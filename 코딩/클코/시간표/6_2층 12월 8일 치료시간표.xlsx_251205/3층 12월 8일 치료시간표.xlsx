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Queen\Desktop\스케쥴 원본\"/>
    </mc:Choice>
  </mc:AlternateContent>
  <xr:revisionPtr revIDLastSave="0" documentId="13_ncr:1_{8D958BB0-E63A-4558-8323-28D987B693D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원본" sheetId="2" r:id="rId1"/>
    <sheet name="12.01" sheetId="4" r:id="rId2"/>
    <sheet name="12.02" sheetId="5" r:id="rId3"/>
    <sheet name="12.03" sheetId="6" r:id="rId4"/>
    <sheet name="12.04" sheetId="7" r:id="rId5"/>
    <sheet name="12.05" sheetId="8" r:id="rId6"/>
    <sheet name="12.08" sheetId="9" r:id="rId7"/>
    <sheet name="HOLD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" i="9" l="1"/>
  <c r="R28" i="9"/>
  <c r="R26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S37" i="8"/>
  <c r="R28" i="8"/>
  <c r="R26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S37" i="7"/>
  <c r="R28" i="7"/>
  <c r="R26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S37" i="6"/>
  <c r="R28" i="6"/>
  <c r="R26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S37" i="5"/>
  <c r="R28" i="5"/>
  <c r="R26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S36" i="4"/>
  <c r="R28" i="4"/>
  <c r="R26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S37" i="2"/>
  <c r="R28" i="2"/>
  <c r="R26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3" i="9" l="1"/>
</calcChain>
</file>

<file path=xl/sharedStrings.xml><?xml version="1.0" encoding="utf-8"?>
<sst xmlns="http://schemas.openxmlformats.org/spreadsheetml/2006/main" count="3314" uniqueCount="567">
  <si>
    <t>재활센터 시간표     2023. 10. 31 (화)</t>
    <phoneticPr fontId="6" type="noConversion"/>
  </si>
  <si>
    <t xml:space="preserve">         시간      치료사</t>
    <phoneticPr fontId="6" type="noConversion"/>
  </si>
  <si>
    <t>7:30~
8:00</t>
    <phoneticPr fontId="6" type="noConversion"/>
  </si>
  <si>
    <t>8:00~
8:30</t>
    <phoneticPr fontId="6" type="noConversion"/>
  </si>
  <si>
    <t>8:30~
9:00</t>
    <phoneticPr fontId="6" type="noConversion"/>
  </si>
  <si>
    <t>9:05~
9:35</t>
  </si>
  <si>
    <t>9:40~
10:10</t>
  </si>
  <si>
    <t>10:15~
10:45</t>
    <phoneticPr fontId="6" type="noConversion"/>
  </si>
  <si>
    <t>10:50~
11:20</t>
  </si>
  <si>
    <t>11:25~
11:55</t>
    <phoneticPr fontId="6" type="noConversion"/>
  </si>
  <si>
    <t>12:00~
12:30</t>
    <phoneticPr fontId="6" type="noConversion"/>
  </si>
  <si>
    <t>점심</t>
  </si>
  <si>
    <t>13:30~
14:00</t>
    <phoneticPr fontId="6" type="noConversion"/>
  </si>
  <si>
    <t>14:05~
14:35</t>
  </si>
  <si>
    <t>14:40~
15:10</t>
  </si>
  <si>
    <t>15:15~
15:45</t>
  </si>
  <si>
    <t>15:50~
16:20</t>
  </si>
  <si>
    <t>박지원</t>
    <phoneticPr fontId="6" type="noConversion"/>
  </si>
  <si>
    <t>N김지윤7</t>
    <phoneticPr fontId="6" type="noConversion"/>
  </si>
  <si>
    <t>N윤동석2</t>
    <phoneticPr fontId="5" type="noConversion"/>
  </si>
  <si>
    <t>RN조남선</t>
    <phoneticPr fontId="5" type="noConversion"/>
  </si>
  <si>
    <t>N장광청</t>
    <phoneticPr fontId="5" type="noConversion"/>
  </si>
  <si>
    <t>RG김귀례2</t>
    <phoneticPr fontId="5" type="noConversion"/>
  </si>
  <si>
    <t>N김복묵</t>
    <phoneticPr fontId="5" type="noConversion"/>
  </si>
  <si>
    <t>RM배희숙</t>
    <phoneticPr fontId="5" type="noConversion"/>
  </si>
  <si>
    <t>N김명숙19</t>
    <phoneticPr fontId="5" type="noConversion"/>
  </si>
  <si>
    <t>RM박미정4</t>
    <phoneticPr fontId="5" type="noConversion"/>
  </si>
  <si>
    <t>RG한순근</t>
    <phoneticPr fontId="5" type="noConversion"/>
  </si>
  <si>
    <t>N이영휘</t>
    <phoneticPr fontId="6" type="noConversion"/>
  </si>
  <si>
    <t>N이수길</t>
    <phoneticPr fontId="6" type="noConversion"/>
  </si>
  <si>
    <t>* 신환</t>
  </si>
  <si>
    <t>서지현</t>
    <phoneticPr fontId="6" type="noConversion"/>
  </si>
  <si>
    <t>N유영만</t>
    <phoneticPr fontId="5" type="noConversion"/>
  </si>
  <si>
    <t>RM윤미기자</t>
    <phoneticPr fontId="5" type="noConversion"/>
  </si>
  <si>
    <t>RM이재용2</t>
    <phoneticPr fontId="5" type="noConversion"/>
  </si>
  <si>
    <t>RG이두현</t>
    <phoneticPr fontId="5" type="noConversion"/>
  </si>
  <si>
    <t>RN이강은</t>
    <phoneticPr fontId="5" type="noConversion"/>
  </si>
  <si>
    <t>N변종구</t>
    <phoneticPr fontId="5" type="noConversion"/>
  </si>
  <si>
    <t>N주현수2</t>
    <phoneticPr fontId="5" type="noConversion"/>
  </si>
  <si>
    <t>RM전효식</t>
    <phoneticPr fontId="5" type="noConversion"/>
  </si>
  <si>
    <t>전지원</t>
    <phoneticPr fontId="6" type="noConversion"/>
  </si>
  <si>
    <t>N김주식</t>
    <phoneticPr fontId="5" type="noConversion"/>
  </si>
  <si>
    <t>RG이두현</t>
    <phoneticPr fontId="5" type="noConversion"/>
  </si>
  <si>
    <t>RN송진영</t>
    <phoneticPr fontId="5" type="noConversion"/>
  </si>
  <si>
    <t>N이영임</t>
    <phoneticPr fontId="5" type="noConversion"/>
  </si>
  <si>
    <t>RN서대성</t>
    <phoneticPr fontId="5" type="noConversion"/>
  </si>
  <si>
    <t>N주현수2</t>
    <phoneticPr fontId="5" type="noConversion"/>
  </si>
  <si>
    <t>RM김영한2</t>
    <phoneticPr fontId="5" type="noConversion"/>
  </si>
  <si>
    <t>N김문식3</t>
    <phoneticPr fontId="6" type="noConversion"/>
  </si>
  <si>
    <t>N신인섭</t>
    <phoneticPr fontId="5" type="noConversion"/>
  </si>
  <si>
    <t>N유용진</t>
    <phoneticPr fontId="5" type="noConversion"/>
  </si>
  <si>
    <t>RM조남선</t>
    <phoneticPr fontId="5" type="noConversion"/>
  </si>
  <si>
    <t>이다한</t>
    <phoneticPr fontId="5" type="noConversion"/>
  </si>
  <si>
    <t>RM송진영</t>
    <phoneticPr fontId="5" type="noConversion"/>
  </si>
  <si>
    <t>N이영휘</t>
    <phoneticPr fontId="6" type="noConversion"/>
  </si>
  <si>
    <t>RM전효식</t>
    <phoneticPr fontId="5" type="noConversion"/>
  </si>
  <si>
    <t>RN김영한2</t>
    <phoneticPr fontId="5" type="noConversion"/>
  </si>
  <si>
    <t>RN정명자5</t>
    <phoneticPr fontId="5" type="noConversion"/>
  </si>
  <si>
    <t>RM서대성</t>
    <phoneticPr fontId="5" type="noConversion"/>
  </si>
  <si>
    <t>RG오병찬</t>
    <phoneticPr fontId="5" type="noConversion"/>
  </si>
  <si>
    <t>N김진학</t>
    <phoneticPr fontId="5" type="noConversion"/>
  </si>
  <si>
    <t>N전용대</t>
    <phoneticPr fontId="5" type="noConversion"/>
  </si>
  <si>
    <t>김혜민</t>
    <phoneticPr fontId="5" type="noConversion"/>
  </si>
  <si>
    <t>RM이정례3</t>
    <phoneticPr fontId="5" type="noConversion"/>
  </si>
  <si>
    <t>RG박복덕</t>
    <phoneticPr fontId="6" type="noConversion"/>
  </si>
  <si>
    <t>RM정명자5</t>
  </si>
  <si>
    <t>N신옥남</t>
    <phoneticPr fontId="5" type="noConversion"/>
  </si>
  <si>
    <t>RM이재용2</t>
    <phoneticPr fontId="5" type="noConversion"/>
  </si>
  <si>
    <t>N윤영섭</t>
    <phoneticPr fontId="6" type="noConversion"/>
  </si>
  <si>
    <t>RM윤미기자</t>
    <phoneticPr fontId="5" type="noConversion"/>
  </si>
  <si>
    <t>RM배희숙</t>
    <phoneticPr fontId="5" type="noConversion"/>
  </si>
  <si>
    <t>N곽홍기</t>
    <phoneticPr fontId="5" type="noConversion"/>
  </si>
  <si>
    <t>N유기분</t>
    <phoneticPr fontId="5" type="noConversion"/>
  </si>
  <si>
    <t>* 변경사항</t>
    <phoneticPr fontId="6" type="noConversion"/>
  </si>
  <si>
    <t>공혜빈</t>
    <phoneticPr fontId="6" type="noConversion"/>
  </si>
  <si>
    <t>N홍우표2</t>
    <phoneticPr fontId="5" type="noConversion"/>
  </si>
  <si>
    <t>N조태은</t>
    <phoneticPr fontId="5" type="noConversion"/>
  </si>
  <si>
    <t>RG권병호</t>
    <phoneticPr fontId="5" type="noConversion"/>
  </si>
  <si>
    <t xml:space="preserve">
N7오정아B</t>
    <phoneticPr fontId="5" type="noConversion"/>
  </si>
  <si>
    <t>N이흥식</t>
    <phoneticPr fontId="5" type="noConversion"/>
  </si>
  <si>
    <t>N송영연</t>
    <phoneticPr fontId="5" type="noConversion"/>
  </si>
  <si>
    <t>RM박미정4</t>
    <phoneticPr fontId="5" type="noConversion"/>
  </si>
  <si>
    <t>권도희</t>
    <phoneticPr fontId="6" type="noConversion"/>
  </si>
  <si>
    <t>RG한순근</t>
    <phoneticPr fontId="5" type="noConversion"/>
  </si>
  <si>
    <t>N이수길</t>
    <phoneticPr fontId="5" type="noConversion"/>
  </si>
  <si>
    <t>RM이강은</t>
    <phoneticPr fontId="5" type="noConversion"/>
  </si>
  <si>
    <t>N이명덕</t>
    <phoneticPr fontId="5" type="noConversion"/>
  </si>
  <si>
    <t>N오치영</t>
    <phoneticPr fontId="5" type="noConversion"/>
  </si>
  <si>
    <t>RG김귀례2</t>
    <phoneticPr fontId="5" type="noConversion"/>
  </si>
  <si>
    <t>N정진월</t>
    <phoneticPr fontId="5" type="noConversion"/>
  </si>
  <si>
    <t>N유해진</t>
    <phoneticPr fontId="5" type="noConversion"/>
  </si>
  <si>
    <t>김은채</t>
    <phoneticPr fontId="6" type="noConversion"/>
  </si>
  <si>
    <t>N이순희5</t>
    <phoneticPr fontId="5" type="noConversion"/>
  </si>
  <si>
    <t>N정규설</t>
    <phoneticPr fontId="5" type="noConversion"/>
  </si>
  <si>
    <t>RM정명자5</t>
    <phoneticPr fontId="5" type="noConversion"/>
  </si>
  <si>
    <t>N윤영섭</t>
    <phoneticPr fontId="5" type="noConversion"/>
  </si>
  <si>
    <t>N김진현2</t>
    <phoneticPr fontId="5" type="noConversion"/>
  </si>
  <si>
    <t>N이재남4</t>
    <phoneticPr fontId="6" type="noConversion"/>
  </si>
  <si>
    <t>N김지윤7</t>
    <phoneticPr fontId="5" type="noConversion"/>
  </si>
  <si>
    <t>배서현</t>
    <phoneticPr fontId="6" type="noConversion"/>
  </si>
  <si>
    <t>N윤동석2</t>
    <phoneticPr fontId="5" type="noConversion"/>
  </si>
  <si>
    <t>N이동열</t>
    <phoneticPr fontId="5" type="noConversion"/>
  </si>
  <si>
    <t>N김봉예</t>
    <phoneticPr fontId="5" type="noConversion"/>
  </si>
  <si>
    <t>N박경원2</t>
    <phoneticPr fontId="6" type="noConversion"/>
  </si>
  <si>
    <t>RG박복덕</t>
  </si>
  <si>
    <t>홍유진</t>
    <phoneticPr fontId="5" type="noConversion"/>
  </si>
  <si>
    <t>RM박미정4</t>
    <phoneticPr fontId="5" type="noConversion"/>
  </si>
  <si>
    <t>RG박복덕</t>
    <phoneticPr fontId="5" type="noConversion"/>
  </si>
  <si>
    <t>N변종구</t>
    <phoneticPr fontId="5" type="noConversion"/>
  </si>
  <si>
    <t>N정창래2</t>
    <phoneticPr fontId="5" type="noConversion"/>
  </si>
  <si>
    <t>RG윤현숙3</t>
    <phoneticPr fontId="5" type="noConversion"/>
  </si>
  <si>
    <t>최지영</t>
    <phoneticPr fontId="6" type="noConversion"/>
  </si>
  <si>
    <t>RG서정욱2</t>
    <phoneticPr fontId="5" type="noConversion"/>
  </si>
  <si>
    <t>RA한순근</t>
    <phoneticPr fontId="5" type="noConversion"/>
  </si>
  <si>
    <t>김경옥</t>
    <phoneticPr fontId="6" type="noConversion"/>
  </si>
  <si>
    <t>CA송영연</t>
    <phoneticPr fontId="5" type="noConversion"/>
  </si>
  <si>
    <t>D정진월</t>
    <phoneticPr fontId="5" type="noConversion"/>
  </si>
  <si>
    <t>RA정명자5</t>
    <phoneticPr fontId="5" type="noConversion"/>
  </si>
  <si>
    <t>H박경원2</t>
    <phoneticPr fontId="5" type="noConversion"/>
  </si>
  <si>
    <t>C유용진
C이재남4</t>
    <phoneticPr fontId="5" type="noConversion"/>
  </si>
  <si>
    <t>RA이재용2</t>
    <phoneticPr fontId="5" type="noConversion"/>
  </si>
  <si>
    <t>CA유용진</t>
    <phoneticPr fontId="5" type="noConversion"/>
  </si>
  <si>
    <t>CA윤동석2</t>
    <phoneticPr fontId="5" type="noConversion"/>
  </si>
  <si>
    <t>D유해진V</t>
    <phoneticPr fontId="5" type="noConversion"/>
  </si>
  <si>
    <t>정지우</t>
    <phoneticPr fontId="6" type="noConversion"/>
  </si>
  <si>
    <t>CA장광청</t>
    <phoneticPr fontId="5" type="noConversion"/>
  </si>
  <si>
    <t>CA오치영</t>
    <phoneticPr fontId="5" type="noConversion"/>
  </si>
  <si>
    <t>CA오정아</t>
    <phoneticPr fontId="6" type="noConversion"/>
  </si>
  <si>
    <t>RA오병찬</t>
    <phoneticPr fontId="5" type="noConversion"/>
  </si>
  <si>
    <t>RS송진영</t>
    <phoneticPr fontId="5" type="noConversion"/>
  </si>
  <si>
    <t>RD권병호</t>
    <phoneticPr fontId="5" type="noConversion"/>
  </si>
  <si>
    <t>CA이영임</t>
    <phoneticPr fontId="5" type="noConversion"/>
  </si>
  <si>
    <t>CA정규설</t>
  </si>
  <si>
    <t>RD윤미기자</t>
    <phoneticPr fontId="5" type="noConversion"/>
  </si>
  <si>
    <t>RA서정욱2</t>
    <phoneticPr fontId="5" type="noConversion"/>
  </si>
  <si>
    <t>CA곽홍기</t>
    <phoneticPr fontId="5" type="noConversion"/>
  </si>
  <si>
    <t>* 퇴원 및 HOLD</t>
    <phoneticPr fontId="5" type="noConversion"/>
  </si>
  <si>
    <t>김유정</t>
    <phoneticPr fontId="5" type="noConversion"/>
  </si>
  <si>
    <t>단축근무</t>
  </si>
  <si>
    <t>CA유해진</t>
    <phoneticPr fontId="5" type="noConversion"/>
  </si>
  <si>
    <t>C유해진
C신옥남</t>
    <phoneticPr fontId="5" type="noConversion"/>
  </si>
  <si>
    <t>D홍우표2V</t>
    <phoneticPr fontId="6" type="noConversion"/>
  </si>
  <si>
    <t>RA박복덕</t>
    <phoneticPr fontId="5" type="noConversion"/>
  </si>
  <si>
    <t>RD김영한2</t>
    <phoneticPr fontId="5" type="noConversion"/>
  </si>
  <si>
    <t>D이영휘V</t>
    <phoneticPr fontId="6" type="noConversion"/>
  </si>
  <si>
    <t>CA김명숙19</t>
    <phoneticPr fontId="5" type="noConversion"/>
  </si>
  <si>
    <t>CA유영만</t>
    <phoneticPr fontId="5" type="noConversion"/>
  </si>
  <si>
    <t>RA송진영</t>
    <phoneticPr fontId="5" type="noConversion"/>
  </si>
  <si>
    <t>정유진</t>
    <phoneticPr fontId="6" type="noConversion"/>
  </si>
  <si>
    <t>단축근무</t>
    <phoneticPr fontId="6" type="noConversion"/>
  </si>
  <si>
    <t>CA김복묵</t>
    <phoneticPr fontId="5" type="noConversion"/>
  </si>
  <si>
    <t>RD이정례3</t>
    <phoneticPr fontId="5" type="noConversion"/>
  </si>
  <si>
    <t>CA조태은</t>
    <phoneticPr fontId="5" type="noConversion"/>
  </si>
  <si>
    <t>CA주현수2</t>
    <phoneticPr fontId="6" type="noConversion"/>
  </si>
  <si>
    <t>CA이영휘</t>
    <phoneticPr fontId="5" type="noConversion"/>
  </si>
  <si>
    <t>RS박미정4</t>
    <phoneticPr fontId="5" type="noConversion"/>
  </si>
  <si>
    <t>CA이동열</t>
    <phoneticPr fontId="5" type="noConversion"/>
  </si>
  <si>
    <t>CA신옥남</t>
    <phoneticPr fontId="5" type="noConversion"/>
  </si>
  <si>
    <t>D이명덕V</t>
    <phoneticPr fontId="5" type="noConversion"/>
  </si>
  <si>
    <t>양은주</t>
    <phoneticPr fontId="6" type="noConversion"/>
  </si>
  <si>
    <t>RA김영한2</t>
    <phoneticPr fontId="5" type="noConversion"/>
  </si>
  <si>
    <t>C변종구
C김지윤7</t>
    <phoneticPr fontId="5" type="noConversion"/>
  </si>
  <si>
    <t>CA김진현2</t>
    <phoneticPr fontId="5" type="noConversion"/>
  </si>
  <si>
    <t>C김명숙19
C곽홍기</t>
    <phoneticPr fontId="5" type="noConversion"/>
  </si>
  <si>
    <t>C이영휘
C윤영섭</t>
    <phoneticPr fontId="5" type="noConversion"/>
  </si>
  <si>
    <t>CA신인섭</t>
    <phoneticPr fontId="5" type="noConversion"/>
  </si>
  <si>
    <t>CA김봉예</t>
  </si>
  <si>
    <t>R윤동석2A
H7윤동석2B</t>
    <phoneticPr fontId="6" type="noConversion"/>
  </si>
  <si>
    <t>서한별</t>
    <phoneticPr fontId="6" type="noConversion"/>
  </si>
  <si>
    <t>RS이강은</t>
    <phoneticPr fontId="5" type="noConversion"/>
  </si>
  <si>
    <t>RS전효식</t>
    <phoneticPr fontId="5" type="noConversion"/>
  </si>
  <si>
    <t>RD이재용2</t>
    <phoneticPr fontId="5" type="noConversion"/>
  </si>
  <si>
    <t>RA윤현숙3</t>
  </si>
  <si>
    <t>RA박미정4</t>
    <phoneticPr fontId="5" type="noConversion"/>
  </si>
  <si>
    <t>CA이수길</t>
    <phoneticPr fontId="5" type="noConversion"/>
  </si>
  <si>
    <t>CA김지윤7</t>
    <phoneticPr fontId="5" type="noConversion"/>
  </si>
  <si>
    <t>D윤영섭V</t>
    <phoneticPr fontId="5" type="noConversion"/>
  </si>
  <si>
    <t>RS이정임4</t>
    <phoneticPr fontId="5" type="noConversion"/>
  </si>
  <si>
    <t>RA조남선</t>
    <phoneticPr fontId="5" type="noConversion"/>
  </si>
  <si>
    <t>RA배희숙</t>
    <phoneticPr fontId="5" type="noConversion"/>
  </si>
  <si>
    <t>CA전용대</t>
    <phoneticPr fontId="5" type="noConversion"/>
  </si>
  <si>
    <t xml:space="preserve">H7오정아A
</t>
    <phoneticPr fontId="5" type="noConversion"/>
  </si>
  <si>
    <t>RD서정욱2</t>
    <phoneticPr fontId="5" type="noConversion"/>
  </si>
  <si>
    <t>* 당일시간변경</t>
    <phoneticPr fontId="6" type="noConversion"/>
  </si>
  <si>
    <t>계장</t>
    <phoneticPr fontId="5" type="noConversion"/>
  </si>
  <si>
    <t>김우주</t>
  </si>
  <si>
    <t>RA이정임4</t>
    <phoneticPr fontId="5" type="noConversion"/>
  </si>
  <si>
    <t>CA이재남4</t>
  </si>
  <si>
    <t>RA이강은</t>
    <phoneticPr fontId="5" type="noConversion"/>
  </si>
  <si>
    <t>RA이정례3</t>
  </si>
  <si>
    <t>김선영</t>
    <phoneticPr fontId="5" type="noConversion"/>
  </si>
  <si>
    <t>RM김영한2</t>
  </si>
  <si>
    <t>RN배희숙</t>
    <phoneticPr fontId="5" type="noConversion"/>
  </si>
  <si>
    <t>RN박미정4</t>
    <phoneticPr fontId="5" type="noConversion"/>
  </si>
  <si>
    <t>RN윤미기자</t>
    <phoneticPr fontId="5" type="noConversion"/>
  </si>
  <si>
    <t>RN이정례3</t>
    <phoneticPr fontId="5" type="noConversion"/>
  </si>
  <si>
    <t>추가치료</t>
    <phoneticPr fontId="5" type="noConversion"/>
  </si>
  <si>
    <t>N오정아</t>
    <phoneticPr fontId="5" type="noConversion"/>
  </si>
  <si>
    <t>임지승</t>
    <phoneticPr fontId="6" type="noConversion"/>
  </si>
  <si>
    <t>M장광청C
M김복묵C
M오정아C
M정규설S
TT박경원2Tt
M이동열Tt</t>
    <phoneticPr fontId="6" type="noConversion"/>
  </si>
  <si>
    <t xml:space="preserve">M이수길C
M이영휘C
M변종구C
M신인섭C
G박경원2S
M유해진Tt
M이재남4CPM
</t>
    <phoneticPr fontId="6" type="noConversion"/>
  </si>
  <si>
    <t>M이명덕C
M이영휘C
M장광청T
M김주식S
M유영만Tt</t>
    <phoneticPr fontId="5" type="noConversion"/>
  </si>
  <si>
    <t xml:space="preserve">
M정규설C
M김진현2C
M변종구C
M이수길S
M오정아S
M조태은Tt</t>
    <phoneticPr fontId="6" type="noConversion"/>
  </si>
  <si>
    <t>M김문식3C
M오치영C
M유용진C
M유기분C
M윤영섭T
M전용대S
M홍우표2Tt
G박경원2Tt</t>
    <phoneticPr fontId="6" type="noConversion"/>
  </si>
  <si>
    <t xml:space="preserve">MM전효식C
MM서정욱2C
MM박미정4S
</t>
    <phoneticPr fontId="5" type="noConversion"/>
  </si>
  <si>
    <t>MM 변경 미희망 :  없음</t>
    <phoneticPr fontId="5" type="noConversion"/>
  </si>
  <si>
    <t>8개 빔</t>
    <phoneticPr fontId="5" type="noConversion"/>
  </si>
  <si>
    <t>강시내</t>
    <phoneticPr fontId="6" type="noConversion"/>
  </si>
  <si>
    <t>단축근무</t>
    <phoneticPr fontId="6" type="noConversion"/>
  </si>
  <si>
    <t>F이명덕
F유해진
F이재남4
F김진현2</t>
    <phoneticPr fontId="6" type="noConversion"/>
  </si>
  <si>
    <t>F장광청
F신인섭
F정진월
F유해진</t>
    <phoneticPr fontId="6" type="noConversion"/>
  </si>
  <si>
    <t>F조태은
F이흥식
F이순희5
F윤영섭
F곽홍기
F주현수2</t>
    <phoneticPr fontId="6" type="noConversion"/>
  </si>
  <si>
    <t>F오정아
F박경원2
F신옥남
F홍우표2</t>
    <phoneticPr fontId="6" type="noConversion"/>
  </si>
  <si>
    <t>단축근무</t>
    <phoneticPr fontId="5" type="noConversion"/>
  </si>
  <si>
    <t xml:space="preserve"> </t>
    <phoneticPr fontId="5" type="noConversion"/>
  </si>
  <si>
    <t>추가</t>
    <phoneticPr fontId="6" type="noConversion"/>
  </si>
  <si>
    <t>8:30~
9:00</t>
  </si>
  <si>
    <t>10:15~
10:45</t>
  </si>
  <si>
    <t>11:25~
11:55</t>
  </si>
  <si>
    <t>12:00~ 
12:30</t>
  </si>
  <si>
    <t xml:space="preserve"> </t>
  </si>
  <si>
    <t>13:30~
14:00</t>
  </si>
  <si>
    <t>NDT</t>
    <phoneticPr fontId="6" type="noConversion"/>
  </si>
  <si>
    <t>N김진현2</t>
    <phoneticPr fontId="6" type="noConversion"/>
  </si>
  <si>
    <t>N송영연
N장광청</t>
    <phoneticPr fontId="6" type="noConversion"/>
  </si>
  <si>
    <t>N전용대
N정규설</t>
    <phoneticPr fontId="6" type="noConversion"/>
  </si>
  <si>
    <t>N김문식3
N신인섭</t>
    <phoneticPr fontId="6" type="noConversion"/>
  </si>
  <si>
    <t>N김복묵
N오정아</t>
    <phoneticPr fontId="6" type="noConversion"/>
  </si>
  <si>
    <t>N김봉예
N유영만</t>
    <phoneticPr fontId="5" type="noConversion"/>
  </si>
  <si>
    <t xml:space="preserve">
</t>
    <phoneticPr fontId="6" type="noConversion"/>
  </si>
  <si>
    <t xml:space="preserve">N홍우표2
</t>
    <phoneticPr fontId="5" type="noConversion"/>
  </si>
  <si>
    <t>MM박복덕</t>
    <phoneticPr fontId="5" type="noConversion"/>
  </si>
  <si>
    <t>MM박복덕</t>
    <phoneticPr fontId="5" type="noConversion"/>
  </si>
  <si>
    <t>CA</t>
    <phoneticPr fontId="6" type="noConversion"/>
  </si>
  <si>
    <t>CA정진월</t>
    <phoneticPr fontId="6" type="noConversion"/>
  </si>
  <si>
    <t>CA홍우표</t>
    <phoneticPr fontId="5" type="noConversion"/>
  </si>
  <si>
    <t>CA이명덕</t>
    <phoneticPr fontId="5" type="noConversion"/>
  </si>
  <si>
    <t>CA이순희5</t>
    <phoneticPr fontId="6" type="noConversion"/>
  </si>
  <si>
    <t>D</t>
    <phoneticPr fontId="6" type="noConversion"/>
  </si>
  <si>
    <t>D정창래2
D이순희5
D오정아</t>
    <phoneticPr fontId="5" type="noConversion"/>
  </si>
  <si>
    <t>D이명덕</t>
    <phoneticPr fontId="6" type="noConversion"/>
  </si>
  <si>
    <t xml:space="preserve">
D홍우표2
D오정아</t>
    <phoneticPr fontId="5" type="noConversion"/>
  </si>
  <si>
    <t xml:space="preserve">D김복묵
</t>
    <phoneticPr fontId="5" type="noConversion"/>
  </si>
  <si>
    <t xml:space="preserve">
D유해진</t>
    <phoneticPr fontId="6" type="noConversion"/>
  </si>
  <si>
    <t>D김문식3</t>
    <phoneticPr fontId="5" type="noConversion"/>
  </si>
  <si>
    <t xml:space="preserve">
D유영만</t>
    <phoneticPr fontId="6" type="noConversion"/>
  </si>
  <si>
    <t>C</t>
    <phoneticPr fontId="6" type="noConversion"/>
  </si>
  <si>
    <t>C박경원2
C이순희5
C조태은</t>
    <phoneticPr fontId="6" type="noConversion"/>
  </si>
  <si>
    <t>C이동열
C윤동석2</t>
    <phoneticPr fontId="5" type="noConversion"/>
  </si>
  <si>
    <t xml:space="preserve">
C장광청</t>
    <phoneticPr fontId="6" type="noConversion"/>
  </si>
  <si>
    <t>C김문식3</t>
    <phoneticPr fontId="6" type="noConversion"/>
  </si>
  <si>
    <t>C홍우표2</t>
    <phoneticPr fontId="6" type="noConversion"/>
  </si>
  <si>
    <t>C유영만
C김복묵</t>
    <phoneticPr fontId="6" type="noConversion"/>
  </si>
  <si>
    <t>8:30~
9:00</t>
    <phoneticPr fontId="6" type="noConversion"/>
  </si>
  <si>
    <t>10:15~
10:45</t>
    <phoneticPr fontId="6" type="noConversion"/>
  </si>
  <si>
    <t>10:50~
11:20</t>
    <phoneticPr fontId="6" type="noConversion"/>
  </si>
  <si>
    <t>11:25~
11:55</t>
    <phoneticPr fontId="6" type="noConversion"/>
  </si>
  <si>
    <t>12:00~
12:30</t>
    <phoneticPr fontId="6" type="noConversion"/>
  </si>
  <si>
    <t>13:30~
14:00</t>
    <phoneticPr fontId="6" type="noConversion"/>
  </si>
  <si>
    <t>16:25~
16:55</t>
    <phoneticPr fontId="6" type="noConversion"/>
  </si>
  <si>
    <t>17:00~
17:30</t>
    <phoneticPr fontId="6" type="noConversion"/>
  </si>
  <si>
    <t>통증</t>
    <phoneticPr fontId="6" type="noConversion"/>
  </si>
  <si>
    <t>한순근
오치영</t>
    <phoneticPr fontId="5" type="noConversion"/>
  </si>
  <si>
    <t>스케쥴 특이 사항 :  없음</t>
    <phoneticPr fontId="5" type="noConversion"/>
  </si>
  <si>
    <t>언어</t>
    <phoneticPr fontId="6" type="noConversion"/>
  </si>
  <si>
    <t>주현수2
정창래2(A)</t>
    <phoneticPr fontId="5" type="noConversion"/>
  </si>
  <si>
    <t xml:space="preserve">
김주식</t>
    <phoneticPr fontId="5" type="noConversion"/>
  </si>
  <si>
    <t>이두현</t>
    <phoneticPr fontId="5" type="noConversion"/>
  </si>
  <si>
    <t>로봇 /
 RG2-R</t>
    <phoneticPr fontId="6" type="noConversion"/>
  </si>
  <si>
    <t>이정례(A)</t>
    <phoneticPr fontId="5" type="noConversion"/>
  </si>
  <si>
    <t xml:space="preserve">오정아(A)
</t>
    <phoneticPr fontId="5" type="noConversion"/>
  </si>
  <si>
    <t>오정아(A)</t>
    <phoneticPr fontId="5" type="noConversion"/>
  </si>
  <si>
    <t xml:space="preserve">
윤동석2(B)</t>
    <phoneticPr fontId="5" type="noConversion"/>
  </si>
  <si>
    <t>2층 도수</t>
    <phoneticPr fontId="6" type="noConversion"/>
  </si>
  <si>
    <t>김정자20</t>
    <phoneticPr fontId="5" type="noConversion"/>
  </si>
  <si>
    <t>이흥식(A)</t>
    <phoneticPr fontId="5" type="noConversion"/>
  </si>
  <si>
    <t>이흥식(B)</t>
    <phoneticPr fontId="5" type="noConversion"/>
  </si>
  <si>
    <t>전산화인지</t>
    <phoneticPr fontId="6" type="noConversion"/>
  </si>
  <si>
    <t>수중</t>
    <phoneticPr fontId="6" type="noConversion"/>
  </si>
  <si>
    <t>주현수2</t>
    <phoneticPr fontId="5" type="noConversion"/>
  </si>
  <si>
    <t>12:00~
12:30</t>
  </si>
  <si>
    <t>16:25~
16:55</t>
  </si>
  <si>
    <t>김용하</t>
  </si>
  <si>
    <t>김효진
(무급휴직)</t>
    <phoneticPr fontId="6" type="noConversion"/>
  </si>
  <si>
    <t xml:space="preserve">3층 재활센터 시간표     2025. 12. </t>
    <phoneticPr fontId="6" type="noConversion"/>
  </si>
  <si>
    <t>시간표 변경사항</t>
    <phoneticPr fontId="6" type="noConversion"/>
  </si>
  <si>
    <t>당일 변경사항</t>
    <phoneticPr fontId="6" type="noConversion"/>
  </si>
  <si>
    <t>* 신환</t>
    <phoneticPr fontId="6" type="noConversion"/>
  </si>
  <si>
    <t>* 변경사항</t>
    <phoneticPr fontId="6" type="noConversion"/>
  </si>
  <si>
    <t xml:space="preserve">M유영만C
M정창래2C
M김지윤7C
M오치영C
M신옥남S
</t>
    <phoneticPr fontId="6" type="noConversion"/>
  </si>
  <si>
    <t>M김봉예C
M김지윤7C
M정창래2C
M이재남4S
M신인섭T
M이동열Tt
M이영임Tt
M이순희5M
M정진월CPM</t>
    <phoneticPr fontId="6" type="noConversion"/>
  </si>
  <si>
    <t>F윤동석2
F유영만
F정창래2</t>
    <phoneticPr fontId="6" type="noConversion"/>
  </si>
  <si>
    <t xml:space="preserve">
C신인섭</t>
    <phoneticPr fontId="6" type="noConversion"/>
  </si>
  <si>
    <t>M김주식C
M송영연C
M유기분C
M조태은S
M김진현2T
M유해진M
M홍우표2Tt
M이영임Tt</t>
    <phoneticPr fontId="6" type="noConversion"/>
  </si>
  <si>
    <t xml:space="preserve">M김복묵C
M송영연C
M윤동석2C
M신옥남C
M곽홍기C
M김진학M
M주현수2S
</t>
    <phoneticPr fontId="6" type="noConversion"/>
  </si>
  <si>
    <t xml:space="preserve">오연숙님 채남순님 </t>
    <phoneticPr fontId="5" type="noConversion"/>
  </si>
  <si>
    <t>F김봉예
F이동열
F이영임
F김명숙19</t>
    <phoneticPr fontId="6" type="noConversion"/>
  </si>
  <si>
    <t>김소희</t>
    <phoneticPr fontId="5" type="noConversion"/>
  </si>
  <si>
    <t>C주현수2
C유기분</t>
    <phoneticPr fontId="5" type="noConversion"/>
  </si>
  <si>
    <t>D이순희5V</t>
    <phoneticPr fontId="5" type="noConversion"/>
  </si>
  <si>
    <t>CA이흥식</t>
    <phoneticPr fontId="5" type="noConversion"/>
  </si>
  <si>
    <t>CA박경원2</t>
    <phoneticPr fontId="5" type="noConversion"/>
  </si>
  <si>
    <t>CA김문식3</t>
    <phoneticPr fontId="5" type="noConversion"/>
  </si>
  <si>
    <t>D곽홍기</t>
    <phoneticPr fontId="5" type="noConversion"/>
  </si>
  <si>
    <t>CA변종구</t>
    <phoneticPr fontId="5" type="noConversion"/>
  </si>
  <si>
    <t>RA서대성</t>
    <phoneticPr fontId="5" type="noConversion"/>
  </si>
  <si>
    <t>C오치영
C이수길</t>
    <phoneticPr fontId="5" type="noConversion"/>
  </si>
  <si>
    <t xml:space="preserve"> O7주현수2D</t>
    <phoneticPr fontId="5" type="noConversion"/>
  </si>
  <si>
    <t>조해인</t>
    <phoneticPr fontId="5" type="noConversion"/>
  </si>
  <si>
    <t>간호간병</t>
    <phoneticPr fontId="5" type="noConversion"/>
  </si>
  <si>
    <t>RG한순근</t>
    <phoneticPr fontId="5" type="noConversion"/>
  </si>
  <si>
    <t>RD김귀례2</t>
    <phoneticPr fontId="5" type="noConversion"/>
  </si>
  <si>
    <t>RN전효식</t>
    <phoneticPr fontId="5" type="noConversion"/>
  </si>
  <si>
    <t>RM이정례3</t>
    <phoneticPr fontId="5" type="noConversion"/>
  </si>
  <si>
    <t>N유기분</t>
    <phoneticPr fontId="5" type="noConversion"/>
  </si>
  <si>
    <t>RM배희숙</t>
    <phoneticPr fontId="5" type="noConversion"/>
  </si>
  <si>
    <t>RM조남선</t>
    <phoneticPr fontId="5" type="noConversion"/>
  </si>
  <si>
    <t>RG김귀례2</t>
    <phoneticPr fontId="5" type="noConversion"/>
  </si>
  <si>
    <t>RM이정임4</t>
    <phoneticPr fontId="5" type="noConversion"/>
  </si>
  <si>
    <t>RG이두현</t>
    <phoneticPr fontId="5" type="noConversion"/>
  </si>
  <si>
    <t>RG서정욱2</t>
    <phoneticPr fontId="5" type="noConversion"/>
  </si>
  <si>
    <t>RM서대성</t>
    <phoneticPr fontId="5" type="noConversion"/>
  </si>
  <si>
    <t>RM윤미기자</t>
    <phoneticPr fontId="5" type="noConversion"/>
  </si>
  <si>
    <t>CA김진학</t>
    <phoneticPr fontId="5" type="noConversion"/>
  </si>
  <si>
    <t>박종규</t>
    <phoneticPr fontId="5" type="noConversion"/>
  </si>
  <si>
    <t>F김진학
F정규설
F이영휘
F변종구</t>
    <phoneticPr fontId="6" type="noConversion"/>
  </si>
  <si>
    <r>
      <t>M김문식3C
M김봉예C</t>
    </r>
    <r>
      <rPr>
        <sz val="10"/>
        <rFont val="돋움"/>
        <family val="3"/>
        <charset val="129"/>
      </rPr>
      <t xml:space="preserve">
M윤영섭C</t>
    </r>
    <r>
      <rPr>
        <sz val="10"/>
        <color theme="1"/>
        <rFont val="돋움"/>
        <family val="3"/>
        <charset val="129"/>
      </rPr>
      <t xml:space="preserve">
M김명숙19T
M이명덕S
M이순희5M
M김진학Tt
M정진월CPM</t>
    </r>
    <phoneticPr fontId="6" type="noConversion"/>
  </si>
  <si>
    <t>RD서정욱2</t>
  </si>
  <si>
    <t>RM조남선</t>
    <phoneticPr fontId="5" type="noConversion"/>
  </si>
  <si>
    <t xml:space="preserve">C송영연
C김봉예
</t>
    <phoneticPr fontId="6" type="noConversion"/>
  </si>
  <si>
    <t>RG윤현숙3</t>
    <phoneticPr fontId="5" type="noConversion"/>
  </si>
  <si>
    <t>RA서대성</t>
    <phoneticPr fontId="5" type="noConversion"/>
  </si>
  <si>
    <t xml:space="preserve">MM이강은C
MM김영한2Tt
MM서대성S
</t>
    <phoneticPr fontId="5" type="noConversion"/>
  </si>
  <si>
    <t>MM이재용2C</t>
    <phoneticPr fontId="5" type="noConversion"/>
  </si>
  <si>
    <t>MM이정례3S</t>
    <phoneticPr fontId="5" type="noConversion"/>
  </si>
  <si>
    <r>
      <t xml:space="preserve">MM서대성C
</t>
    </r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MM윤현숙3CPM
</t>
    </r>
    <phoneticPr fontId="5" type="noConversion"/>
  </si>
  <si>
    <t>MM윤미기자C</t>
    <phoneticPr fontId="5" type="noConversion"/>
  </si>
  <si>
    <t>MM윤미기자C</t>
    <phoneticPr fontId="5" type="noConversion"/>
  </si>
  <si>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MM김귀례2Tt
</t>
    </r>
    <r>
      <rPr>
        <b/>
        <u/>
        <sz val="10"/>
        <rFont val="돋움"/>
        <family val="3"/>
        <charset val="129"/>
      </rPr>
      <t>MM한순근CPM</t>
    </r>
    <phoneticPr fontId="5" type="noConversion"/>
  </si>
  <si>
    <r>
      <t>MM이강은S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b/>
        <u/>
        <sz val="10"/>
        <rFont val="돋움"/>
        <family val="3"/>
        <charset val="129"/>
      </rPr>
      <t>MM한순근CPM</t>
    </r>
    <r>
      <rPr>
        <sz val="10"/>
        <rFont val="돋움"/>
        <family val="3"/>
        <charset val="129"/>
      </rPr>
      <t xml:space="preserve">
</t>
    </r>
    <phoneticPr fontId="5" type="noConversion"/>
  </si>
  <si>
    <t>MM한순근CPM</t>
    <phoneticPr fontId="5" type="noConversion"/>
  </si>
  <si>
    <t>N이영임
N조태은</t>
    <phoneticPr fontId="6" type="noConversion"/>
  </si>
  <si>
    <t>N이순희5
N이동열</t>
    <phoneticPr fontId="5" type="noConversion"/>
  </si>
  <si>
    <t>N정창래2
N박경원2</t>
    <phoneticPr fontId="6" type="noConversion"/>
  </si>
  <si>
    <t>D유영만
D곽홍기
D이영임</t>
    <phoneticPr fontId="6" type="noConversion"/>
  </si>
  <si>
    <t xml:space="preserve">
D이영임
D윤영섭</t>
    <phoneticPr fontId="6" type="noConversion"/>
  </si>
  <si>
    <t>N정진월</t>
    <phoneticPr fontId="6" type="noConversion"/>
  </si>
  <si>
    <r>
      <rPr>
        <u/>
        <sz val="10"/>
        <rFont val="돋움"/>
        <family val="3"/>
        <charset val="129"/>
      </rPr>
      <t>N이명덕</t>
    </r>
    <r>
      <rPr>
        <sz val="10"/>
        <rFont val="돋움"/>
        <family val="3"/>
        <charset val="129"/>
      </rPr>
      <t xml:space="preserve">
</t>
    </r>
    <phoneticPr fontId="5" type="noConversion"/>
  </si>
  <si>
    <r>
      <t xml:space="preserve">D김복묵
</t>
    </r>
    <r>
      <rPr>
        <u/>
        <sz val="10"/>
        <rFont val="돋움"/>
        <family val="3"/>
        <charset val="129"/>
      </rPr>
      <t>D정진월</t>
    </r>
    <phoneticPr fontId="6" type="noConversion"/>
  </si>
  <si>
    <t>D정진월</t>
    <phoneticPr fontId="5" type="noConversion"/>
  </si>
  <si>
    <t>CA이명덕</t>
  </si>
  <si>
    <r>
      <t xml:space="preserve">D김문식3
</t>
    </r>
    <r>
      <rPr>
        <u/>
        <sz val="10"/>
        <rFont val="돋움"/>
        <family val="3"/>
        <charset val="129"/>
      </rPr>
      <t>D정창래2</t>
    </r>
    <phoneticPr fontId="6" type="noConversion"/>
  </si>
  <si>
    <t>D정창래2</t>
    <phoneticPr fontId="5" type="noConversion"/>
  </si>
  <si>
    <t>N김주식</t>
    <phoneticPr fontId="5" type="noConversion"/>
  </si>
  <si>
    <t>C전용대</t>
    <phoneticPr fontId="5" type="noConversion"/>
  </si>
  <si>
    <r>
      <t xml:space="preserve">C이영임
</t>
    </r>
    <r>
      <rPr>
        <u/>
        <sz val="10"/>
        <rFont val="돋움"/>
        <family val="3"/>
        <charset val="129"/>
      </rPr>
      <t>C정규설</t>
    </r>
    <r>
      <rPr>
        <sz val="10"/>
        <rFont val="돋움"/>
        <family val="3"/>
        <charset val="129"/>
      </rPr>
      <t xml:space="preserve">
C김진현2</t>
    </r>
    <phoneticPr fontId="5" type="noConversion"/>
  </si>
  <si>
    <t>C정규설</t>
  </si>
  <si>
    <r>
      <t xml:space="preserve">
</t>
    </r>
    <r>
      <rPr>
        <u/>
        <sz val="10"/>
        <rFont val="돋움"/>
        <family val="3"/>
        <charset val="129"/>
      </rPr>
      <t>C정진월</t>
    </r>
    <phoneticPr fontId="6" type="noConversion"/>
  </si>
  <si>
    <t>C정진월</t>
    <phoneticPr fontId="5" type="noConversion"/>
  </si>
  <si>
    <r>
      <t xml:space="preserve">C정창래2
C이명덕
</t>
    </r>
    <r>
      <rPr>
        <u/>
        <sz val="10"/>
        <rFont val="돋움"/>
        <family val="3"/>
        <charset val="129"/>
      </rPr>
      <t>C전용대</t>
    </r>
    <phoneticPr fontId="6" type="noConversion"/>
  </si>
  <si>
    <t>CA윤영섭</t>
    <phoneticPr fontId="5" type="noConversion"/>
  </si>
  <si>
    <t>RA한순근</t>
    <phoneticPr fontId="5" type="noConversion"/>
  </si>
  <si>
    <t xml:space="preserve">MM서정욱2C
MM최옥자CPM
MM이두현S
</t>
    <phoneticPr fontId="5" type="noConversion"/>
  </si>
  <si>
    <t xml:space="preserve">M이흥식
김명숙19C
M기상우C
M유용진S
M윤동석2S
</t>
    <phoneticPr fontId="6" type="noConversion"/>
  </si>
  <si>
    <t>M전용대C
M곽홍기C
M이흥식</t>
    <phoneticPr fontId="6" type="noConversion"/>
  </si>
  <si>
    <t>RA이두현</t>
    <phoneticPr fontId="5" type="noConversion"/>
  </si>
  <si>
    <t>RA정명자5</t>
    <phoneticPr fontId="5" type="noConversion"/>
  </si>
  <si>
    <t>RA권병호</t>
    <phoneticPr fontId="5" type="noConversion"/>
  </si>
  <si>
    <t>CA정창래2</t>
    <phoneticPr fontId="5" type="noConversion"/>
  </si>
  <si>
    <t>RA김철기</t>
    <phoneticPr fontId="5" type="noConversion"/>
  </si>
  <si>
    <t>RG윤현숙3</t>
    <phoneticPr fontId="5" type="noConversion"/>
  </si>
  <si>
    <t xml:space="preserve">
RA이두현</t>
    <phoneticPr fontId="5" type="noConversion"/>
  </si>
  <si>
    <t>RG김철기</t>
    <phoneticPr fontId="5" type="noConversion"/>
  </si>
  <si>
    <t>17:00~
17:30</t>
  </si>
  <si>
    <t>RG최옥자(3)</t>
    <phoneticPr fontId="5" type="noConversion"/>
  </si>
  <si>
    <t>RG윤현숙3(3)</t>
    <phoneticPr fontId="5" type="noConversion"/>
  </si>
  <si>
    <t>RG김철기(3)</t>
    <phoneticPr fontId="5" type="noConversion"/>
  </si>
  <si>
    <t>RA오병찬(3)</t>
    <phoneticPr fontId="5" type="noConversion"/>
  </si>
  <si>
    <t>RA한순근(3)</t>
    <phoneticPr fontId="5" type="noConversion"/>
  </si>
  <si>
    <t>RA김철기(3)</t>
    <phoneticPr fontId="5" type="noConversion"/>
  </si>
  <si>
    <t>RA정명자5</t>
    <phoneticPr fontId="5" type="noConversion"/>
  </si>
  <si>
    <t>N이재남4</t>
    <phoneticPr fontId="5" type="noConversion"/>
  </si>
  <si>
    <t>RG최옥자</t>
    <phoneticPr fontId="5" type="noConversion"/>
  </si>
  <si>
    <t xml:space="preserve">
F송영연
F전용대
F유용진
</t>
    <phoneticPr fontId="6" type="noConversion"/>
  </si>
  <si>
    <t>F김복묵
F김주식
F이수길
F김지윤7
F오치영
F유기분</t>
    <phoneticPr fontId="6" type="noConversion"/>
  </si>
  <si>
    <t>RA최옥자</t>
    <phoneticPr fontId="5" type="noConversion"/>
  </si>
  <si>
    <t>CA유기분</t>
    <phoneticPr fontId="5" type="noConversion"/>
  </si>
  <si>
    <t>문희연</t>
    <phoneticPr fontId="5" type="noConversion"/>
  </si>
  <si>
    <r>
      <rPr>
        <b/>
        <u/>
        <sz val="10"/>
        <rFont val="돋움"/>
        <family val="3"/>
        <charset val="129"/>
      </rPr>
      <t xml:space="preserve">
MM이재용2C</t>
    </r>
    <r>
      <rPr>
        <sz val="10"/>
        <rFont val="돋움"/>
        <family val="3"/>
        <charset val="129"/>
      </rPr>
      <t xml:space="preserve">
MM권병호C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MM조남선S
</t>
    </r>
    <phoneticPr fontId="5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</si>
  <si>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MM오병찬CPM
</t>
    </r>
    <phoneticPr fontId="5" type="noConversion"/>
  </si>
  <si>
    <t>RN이재용2</t>
    <phoneticPr fontId="5" type="noConversion"/>
  </si>
  <si>
    <t>RM이정임4</t>
    <phoneticPr fontId="5" type="noConversion"/>
  </si>
  <si>
    <t xml:space="preserve">김봉예(A)
오정아(B)
</t>
    <phoneticPr fontId="5" type="noConversion"/>
  </si>
  <si>
    <t>주현수2
김복묵(A)
이정임4</t>
    <phoneticPr fontId="5" type="noConversion"/>
  </si>
  <si>
    <t xml:space="preserve">MM송진영C
MM배희숙C
MM조남선S
MM윤현숙3CPM
</t>
    <phoneticPr fontId="5" type="noConversion"/>
  </si>
  <si>
    <t xml:space="preserve">
MM정명자5Tt
MM권병호T
MM김철기C
MM이두현C</t>
    <phoneticPr fontId="5" type="noConversion"/>
  </si>
  <si>
    <r>
      <t xml:space="preserve">
MM송진영C
MM김철기C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MM박미정4Tt
MM최옥자CPM
</t>
    </r>
    <phoneticPr fontId="5" type="noConversion"/>
  </si>
  <si>
    <t>RM송진영</t>
    <phoneticPr fontId="5" type="noConversion"/>
  </si>
  <si>
    <t>RN이정임4</t>
    <phoneticPr fontId="5" type="noConversion"/>
  </si>
  <si>
    <t>RG권병호</t>
    <phoneticPr fontId="5" type="noConversion"/>
  </si>
  <si>
    <t>RD권병호</t>
    <phoneticPr fontId="5" type="noConversion"/>
  </si>
  <si>
    <t>3층 재활센터 시간표     2025. 12. 01 (월)</t>
    <phoneticPr fontId="6" type="noConversion"/>
  </si>
  <si>
    <t>이다한
(연차)</t>
    <phoneticPr fontId="5" type="noConversion"/>
  </si>
  <si>
    <t>김유정
(연차)</t>
    <phoneticPr fontId="5" type="noConversion"/>
  </si>
  <si>
    <t>RM이재용2</t>
    <phoneticPr fontId="5" type="noConversion"/>
  </si>
  <si>
    <t>N유영만</t>
    <phoneticPr fontId="5" type="noConversion"/>
  </si>
  <si>
    <t>RM이재용2 10:15 -&gt; 8:30 
N유영만 8:30 -&gt; 10:15</t>
    <phoneticPr fontId="5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</si>
  <si>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</t>
    </r>
    <r>
      <rPr>
        <sz val="10"/>
        <color rgb="FFFF0000"/>
        <rFont val="돋움"/>
        <family val="3"/>
        <charset val="129"/>
      </rPr>
      <t>MM오병찬CPM</t>
    </r>
    <phoneticPr fontId="5" type="noConversion"/>
  </si>
  <si>
    <t>MM오병찬CPM</t>
    <phoneticPr fontId="5" type="noConversion"/>
  </si>
  <si>
    <r>
      <t xml:space="preserve">MM서대성C
</t>
    </r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</t>
    </r>
    <r>
      <rPr>
        <sz val="10"/>
        <color rgb="FFFF0000"/>
        <rFont val="돋움"/>
        <family val="3"/>
        <charset val="129"/>
      </rPr>
      <t xml:space="preserve">MM윤현숙3CPM
</t>
    </r>
    <phoneticPr fontId="5" type="noConversion"/>
  </si>
  <si>
    <t>MM윤현숙3CPM</t>
    <phoneticPr fontId="5" type="noConversion"/>
  </si>
  <si>
    <t xml:space="preserve"> RG최옥자
(임수민T)</t>
    <phoneticPr fontId="5" type="noConversion"/>
  </si>
  <si>
    <t>최옥자님 (RG10,RA2,MM4)
김철기님 (비사용? 척수회복기? 월요일 체크 후 오더 변경 예정) RG6,RA6,MM4</t>
    <phoneticPr fontId="5" type="noConversion"/>
  </si>
  <si>
    <t>R윤동석2A</t>
    <phoneticPr fontId="6" type="noConversion"/>
  </si>
  <si>
    <t xml:space="preserve">유기분님 F1개 삭제 / 시간표 다시
김진학님 오전 시간 변경 / 시간표 다시
정창래2님 오후시간 변경 / 시간표 다시
윤현숙3님 RA2삭제 RG2추가 시간변경 / 시간표 다시
서대성님 오전시간변경 / 시간표 다시
이재남4님 오전 변경 / 시간표 다시
유기분님 오전 변경 / 시간표 다시
주현수2님 수중치료 D-&gt;A로 변경 / 시간표 다시
이정임4님 오전 오후 RG2R 시간 변경 / 시간표 다시 
이재용2님 오후 시간 변경 / 시간표 다시
윤현숙3님 통증 종결 / 시간표 다시
한순근님 RA4삭제 RG4추가
조남선님 RA2삭제 RM2추가
오병찬님 RA2삭제 RG2추가
권병호님 RD2삭제 / RG2추가 오전오후 기구종류 변경 
</t>
    <phoneticPr fontId="5" type="noConversion"/>
  </si>
  <si>
    <t>RG최옥자7</t>
  </si>
  <si>
    <t>RA최옥자7</t>
  </si>
  <si>
    <t xml:space="preserve">MM서정욱2C
MM최옥자7CPM
MM이두현S
</t>
  </si>
  <si>
    <t>RG최옥자7(3)</t>
  </si>
  <si>
    <t xml:space="preserve"> RG최옥자7</t>
  </si>
  <si>
    <t xml:space="preserve">
MM정명자5Tt
MM권병호T
MM이두현C</t>
    <phoneticPr fontId="5" type="noConversion"/>
  </si>
  <si>
    <t xml:space="preserve">
MM송진영C
MM이재용2C
MM박미정4Tt
MM최옥자7CPM
</t>
    <phoneticPr fontId="5" type="noConversion"/>
  </si>
  <si>
    <t>RG최옥자7</t>
    <phoneticPr fontId="5" type="noConversion"/>
  </si>
  <si>
    <t>곽홍기님 통증 종결 시간 표 다시
최옥자7님 1:30 5층 -&gt;3층 선생님 진행</t>
    <phoneticPr fontId="5" type="noConversion"/>
  </si>
  <si>
    <t>3층 재활센터 시간표     2025. 12. 02 (화)</t>
    <phoneticPr fontId="6" type="noConversion"/>
  </si>
  <si>
    <t>김철기님 3 -&gt;6층 입원
3층 hold
서대성님 1시~저녁 hold</t>
    <phoneticPr fontId="5" type="noConversion"/>
  </si>
  <si>
    <t>이다한
(연차)</t>
    <phoneticPr fontId="5" type="noConversion"/>
  </si>
  <si>
    <t>김유정
(연차)</t>
    <phoneticPr fontId="5" type="noConversion"/>
  </si>
  <si>
    <t>F이명덕
F이재남4
F김진현2</t>
    <phoneticPr fontId="6" type="noConversion"/>
  </si>
  <si>
    <t xml:space="preserve">
F송영연
F전용대
F유용진
F유해진
</t>
    <phoneticPr fontId="6" type="noConversion"/>
  </si>
  <si>
    <t>RG김귀례2</t>
    <phoneticPr fontId="5" type="noConversion"/>
  </si>
  <si>
    <t>N정규설</t>
    <phoneticPr fontId="5" type="noConversion"/>
  </si>
  <si>
    <t xml:space="preserve">N전용대
</t>
    <phoneticPr fontId="6" type="noConversion"/>
  </si>
  <si>
    <t>N김진현2
N정규설</t>
    <phoneticPr fontId="6" type="noConversion"/>
  </si>
  <si>
    <t>N윤영섭</t>
    <phoneticPr fontId="5" type="noConversion"/>
  </si>
  <si>
    <t>RM정명자5</t>
    <phoneticPr fontId="5" type="noConversion"/>
  </si>
  <si>
    <t>F유해진 12:00 -&gt; 10:50
RG김귀례2 10:15 -&gt; 8:30 
N정규설 8:30 -&gt; 10:15
N윤영섭 9:40 -&gt; 9:05 
RM정명자5 9:05 -&gt; 9:40</t>
    <phoneticPr fontId="5" type="noConversion"/>
  </si>
  <si>
    <r>
      <t xml:space="preserve">D김문식3
D이명덕
</t>
    </r>
    <r>
      <rPr>
        <u/>
        <sz val="10"/>
        <rFont val="돋움"/>
        <family val="3"/>
        <charset val="129"/>
      </rPr>
      <t>D정창래2</t>
    </r>
    <phoneticPr fontId="6" type="noConversion"/>
  </si>
  <si>
    <t>D이영휘V</t>
    <phoneticPr fontId="5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</si>
  <si>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</t>
    </r>
    <r>
      <rPr>
        <sz val="10"/>
        <color rgb="FFFF0000"/>
        <rFont val="돋움"/>
        <family val="3"/>
        <charset val="129"/>
      </rPr>
      <t>MM오병찬CPM</t>
    </r>
    <phoneticPr fontId="5" type="noConversion"/>
  </si>
  <si>
    <t>MM오병찬CPM</t>
    <phoneticPr fontId="5" type="noConversion"/>
  </si>
  <si>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MM김영한2Tt
</t>
    </r>
    <r>
      <rPr>
        <sz val="10"/>
        <color rgb="FFFF0000"/>
        <rFont val="돋움"/>
        <family val="3"/>
        <charset val="129"/>
      </rPr>
      <t>MM윤현숙3CPM</t>
    </r>
    <r>
      <rPr>
        <sz val="10"/>
        <rFont val="돋움"/>
        <family val="3"/>
        <charset val="129"/>
      </rPr>
      <t xml:space="preserve">
</t>
    </r>
    <phoneticPr fontId="5" type="noConversion"/>
  </si>
  <si>
    <t>MM윤현숙3CPM</t>
    <phoneticPr fontId="5" type="noConversion"/>
  </si>
  <si>
    <t xml:space="preserve">주현수2
</t>
    <phoneticPr fontId="5" type="noConversion"/>
  </si>
  <si>
    <t>정창래2(A)
김주식</t>
    <phoneticPr fontId="5" type="noConversion"/>
  </si>
  <si>
    <t>RG한순근(3)</t>
    <phoneticPr fontId="5" type="noConversion"/>
  </si>
  <si>
    <t>RG박복덕</t>
    <phoneticPr fontId="6" type="noConversion"/>
  </si>
  <si>
    <t>RM이강은</t>
    <phoneticPr fontId="5" type="noConversion"/>
  </si>
  <si>
    <t>RA정명자5</t>
    <phoneticPr fontId="5" type="noConversion"/>
  </si>
  <si>
    <t>CA이영임</t>
    <phoneticPr fontId="5" type="noConversion"/>
  </si>
  <si>
    <t>F김봉예
F이동열
F김명숙19</t>
    <phoneticPr fontId="6" type="noConversion"/>
  </si>
  <si>
    <t>F이명덕
F유해진
F이재남4
F김진현2
F이영임</t>
    <phoneticPr fontId="6" type="noConversion"/>
  </si>
  <si>
    <t>정명자5님 오전 오후 시간 변경 / 시간표 다시
이영임님 오전 오후 시간 변경 / 시간표 다시</t>
    <phoneticPr fontId="5" type="noConversion"/>
  </si>
  <si>
    <t>RN김선정3</t>
  </si>
  <si>
    <t>RS김선정3</t>
  </si>
  <si>
    <t xml:space="preserve">
MM정명자5Tt
MM권병호T
MM김선정3C
MM이두현C</t>
  </si>
  <si>
    <t xml:space="preserve">
MM송진영C
MM이재용2C
MM김선정3C
MM박미정4Tt
MM최옥자7CPM
</t>
  </si>
  <si>
    <t>RM김선정3</t>
  </si>
  <si>
    <t>RA김선정3</t>
  </si>
  <si>
    <t xml:space="preserve">김선정3님 (RN2RM4RA4RS2MM4) </t>
    <phoneticPr fontId="5" type="noConversion"/>
  </si>
  <si>
    <t>3층 재활센터 시간표     2025. 12. 03 (수)</t>
    <phoneticPr fontId="6" type="noConversion"/>
  </si>
  <si>
    <t xml:space="preserve">N이명덕
</t>
    <phoneticPr fontId="5" type="noConversion"/>
  </si>
  <si>
    <t>이다한
(연차)</t>
    <phoneticPr fontId="5" type="noConversion"/>
  </si>
  <si>
    <t>홍유진
(공가)</t>
    <phoneticPr fontId="5" type="noConversion"/>
  </si>
  <si>
    <t>D이영휘V</t>
    <phoneticPr fontId="6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</si>
  <si>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</t>
    </r>
    <phoneticPr fontId="5" type="noConversion"/>
  </si>
  <si>
    <t>* 퇴원 및 HOLD</t>
    <phoneticPr fontId="5" type="noConversion"/>
  </si>
  <si>
    <t>오병찬님 가퇴원 HOLD
2:05 김진학님 HOLD( 쪽지 나가 주세여)</t>
    <phoneticPr fontId="5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</si>
  <si>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MM김귀례2Tt</t>
    </r>
    <r>
      <rPr>
        <sz val="10"/>
        <color theme="1"/>
        <rFont val="돋움"/>
        <family val="3"/>
        <charset val="129"/>
      </rPr>
      <t xml:space="preserve">
</t>
    </r>
    <phoneticPr fontId="5" type="noConversion"/>
  </si>
  <si>
    <t>MM김귀례2Tt</t>
    <phoneticPr fontId="5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</si>
  <si>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MM김귀례2Tt
</t>
    </r>
    <phoneticPr fontId="5" type="noConversion"/>
  </si>
  <si>
    <t>RA김선정3</t>
    <phoneticPr fontId="5" type="noConversion"/>
  </si>
  <si>
    <r>
      <t xml:space="preserve">MM서정욱2C
</t>
    </r>
    <r>
      <rPr>
        <sz val="10"/>
        <color rgb="FFFF0000"/>
        <rFont val="돋움"/>
        <family val="3"/>
        <charset val="129"/>
      </rPr>
      <t>MM최옥자7C</t>
    </r>
    <r>
      <rPr>
        <sz val="10"/>
        <rFont val="돋움"/>
        <family val="3"/>
        <charset val="129"/>
      </rPr>
      <t xml:space="preserve">
MM이두현S
</t>
    </r>
    <phoneticPr fontId="5" type="noConversion"/>
  </si>
  <si>
    <r>
      <rPr>
        <b/>
        <u/>
        <sz val="10"/>
        <rFont val="돋움"/>
        <family val="3"/>
        <charset val="129"/>
      </rPr>
      <t>MM이정례3C</t>
    </r>
    <r>
      <rPr>
        <sz val="10"/>
        <rFont val="돋움"/>
        <family val="3"/>
        <charset val="129"/>
      </rPr>
      <t xml:space="preserve">
MM이정임4C
MM최옥자7S
</t>
    </r>
    <phoneticPr fontId="5" type="noConversion"/>
  </si>
  <si>
    <t>RN이정임4</t>
    <phoneticPr fontId="5" type="noConversion"/>
  </si>
  <si>
    <t>RG최옥자7</t>
    <phoneticPr fontId="5" type="noConversion"/>
  </si>
  <si>
    <t>CA오정아</t>
    <phoneticPr fontId="5" type="noConversion"/>
  </si>
  <si>
    <t xml:space="preserve">
D홍우표2
</t>
    <phoneticPr fontId="5" type="noConversion"/>
  </si>
  <si>
    <t>D이명덕
D오정아</t>
    <phoneticPr fontId="6" type="noConversion"/>
  </si>
  <si>
    <t>RD김선정3</t>
    <phoneticPr fontId="5" type="noConversion"/>
  </si>
  <si>
    <t>RG윤현숙3</t>
    <phoneticPr fontId="5" type="noConversion"/>
  </si>
  <si>
    <t>최옥자님 기구 변경 시간변경 / 시간표 다시
김선정3님 RS2삭제 RD2추가 
오정아님 오전 시간 변경 / 시간표 다시</t>
    <phoneticPr fontId="5" type="noConversion"/>
  </si>
  <si>
    <r>
      <t xml:space="preserve">
MM송진영C
</t>
    </r>
    <r>
      <rPr>
        <b/>
        <u/>
        <sz val="10"/>
        <rFont val="돋움"/>
        <family val="3"/>
        <charset val="129"/>
      </rPr>
      <t>MM이재용2C</t>
    </r>
    <r>
      <rPr>
        <sz val="10"/>
        <rFont val="돋움"/>
        <family val="3"/>
        <charset val="129"/>
      </rPr>
      <t xml:space="preserve">
MM김선정3C
MM박미정4Tt
</t>
    </r>
    <phoneticPr fontId="5" type="noConversion"/>
  </si>
  <si>
    <t>3층 재활센터 시간표     2025. 12. 04 (목)</t>
    <phoneticPr fontId="6" type="noConversion"/>
  </si>
  <si>
    <t>H7윤동석2B</t>
    <phoneticPr fontId="6" type="noConversion"/>
  </si>
  <si>
    <t>N7오정아B</t>
    <phoneticPr fontId="5" type="noConversion"/>
  </si>
  <si>
    <t>이다한
(연차)</t>
    <phoneticPr fontId="5" type="noConversion"/>
  </si>
  <si>
    <t>홍유진
(연차)</t>
    <phoneticPr fontId="5" type="noConversion"/>
  </si>
  <si>
    <t xml:space="preserve">N이명덕
</t>
    <phoneticPr fontId="5" type="noConversion"/>
  </si>
  <si>
    <t>RM송진영</t>
    <phoneticPr fontId="5" type="noConversion"/>
  </si>
  <si>
    <t>오병찬님
윤현숙3님 9시 ~오전 HOLD</t>
    <phoneticPr fontId="5" type="noConversion"/>
  </si>
  <si>
    <t xml:space="preserve">MM송진영C
MM배희숙C
MM조남선S
</t>
    <phoneticPr fontId="5" type="noConversion"/>
  </si>
  <si>
    <t xml:space="preserve">
F송영연
F유용진
</t>
    <phoneticPr fontId="6" type="noConversion"/>
  </si>
  <si>
    <t>F이명덕
F유해진
F이재남4
F김진현2
F이영임</t>
    <phoneticPr fontId="6" type="noConversion"/>
  </si>
  <si>
    <t>F윤동석2
F유영만
F정창래2
F전용대</t>
    <phoneticPr fontId="6" type="noConversion"/>
  </si>
  <si>
    <t>10:15 김선정님 HOH 진행
F전용대 10:50 -&gt; 11:25</t>
    <phoneticPr fontId="5" type="noConversion"/>
  </si>
  <si>
    <t xml:space="preserve">
</t>
    <phoneticPr fontId="5" type="noConversion"/>
  </si>
  <si>
    <r>
      <t xml:space="preserve">D김문식3
</t>
    </r>
    <r>
      <rPr>
        <u/>
        <sz val="10"/>
        <rFont val="돋움"/>
        <family val="3"/>
        <charset val="129"/>
      </rPr>
      <t xml:space="preserve">D정창래2
</t>
    </r>
    <r>
      <rPr>
        <sz val="10"/>
        <rFont val="돋움"/>
        <family val="3"/>
        <charset val="129"/>
      </rPr>
      <t>D홍우표2</t>
    </r>
    <phoneticPr fontId="6" type="noConversion"/>
  </si>
  <si>
    <r>
      <t xml:space="preserve">MM정명자5C
MM이정임4C
MM전효식C
</t>
    </r>
    <r>
      <rPr>
        <b/>
        <u/>
        <sz val="10"/>
        <color theme="1"/>
        <rFont val="돋움"/>
        <family val="3"/>
        <charset val="129"/>
      </rPr>
      <t>MM이정례3S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rgb="FFFF0000"/>
        <rFont val="돋움"/>
        <family val="3"/>
        <charset val="129"/>
      </rPr>
      <t>MM김귀례2Tt</t>
    </r>
    <r>
      <rPr>
        <sz val="10"/>
        <color theme="1"/>
        <rFont val="돋움"/>
        <family val="3"/>
        <charset val="129"/>
      </rPr>
      <t xml:space="preserve">
</t>
    </r>
    <phoneticPr fontId="5" type="noConversion"/>
  </si>
  <si>
    <r>
      <t>MM이강은S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b/>
        <u/>
        <sz val="10"/>
        <rFont val="돋움"/>
        <family val="3"/>
        <charset val="129"/>
      </rPr>
      <t/>
    </r>
    <phoneticPr fontId="5" type="noConversion"/>
  </si>
  <si>
    <t>주현수2(A)</t>
    <phoneticPr fontId="5" type="noConversion"/>
  </si>
  <si>
    <t>한순근</t>
    <phoneticPr fontId="5" type="noConversion"/>
  </si>
  <si>
    <t>최지영
(공가)</t>
    <phoneticPr fontId="6" type="noConversion"/>
  </si>
  <si>
    <t>서한별
(공가)</t>
    <phoneticPr fontId="6" type="noConversion"/>
  </si>
  <si>
    <t xml:space="preserve">
C정진월</t>
    <phoneticPr fontId="6" type="noConversion"/>
  </si>
  <si>
    <t>C이영임
C정규설
C김진현2</t>
    <phoneticPr fontId="5" type="noConversion"/>
  </si>
  <si>
    <t>한순근님 10:30 퇴원  / 10:15 부터 삭제
3층 HOLD
주현수2님 3:45 이후 hold 
김귀례님 9시~오전 HOLD
서대성님 오후 HOLD</t>
    <phoneticPr fontId="5" type="noConversion"/>
  </si>
  <si>
    <r>
      <rPr>
        <b/>
        <u/>
        <sz val="10"/>
        <rFont val="돋움"/>
        <family val="3"/>
        <charset val="129"/>
      </rPr>
      <t>MM윤미기자C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MM한순근CPM</t>
    </r>
    <phoneticPr fontId="5" type="noConversion"/>
  </si>
  <si>
    <t xml:space="preserve">M이흥식
김명숙19C
M유기분C
M유용진S
M윤동석2S
</t>
    <phoneticPr fontId="6" type="noConversion"/>
  </si>
  <si>
    <t>M김주식C
M송영연C
M기상우C
M조태은S
M김진현2T
M유해진M
M홍우표2Tt
M이영임Tt</t>
    <phoneticPr fontId="6" type="noConversion"/>
  </si>
  <si>
    <t>3층 재활센터 시간표     2025. 12. 05 (금)</t>
    <phoneticPr fontId="6" type="noConversion"/>
  </si>
  <si>
    <t xml:space="preserve">MM서정욱2C
MM이두현S
</t>
    <phoneticPr fontId="5" type="noConversion"/>
  </si>
  <si>
    <r>
      <rPr>
        <b/>
        <u/>
        <sz val="10"/>
        <rFont val="돋움"/>
        <family val="3"/>
        <charset val="129"/>
      </rPr>
      <t xml:space="preserve">MM윤미기자C
</t>
    </r>
    <r>
      <rPr>
        <sz val="10"/>
        <rFont val="돋움"/>
        <family val="3"/>
        <charset val="129"/>
      </rPr>
      <t xml:space="preserve">MM최옥자7C
MM김영한2Tt
MM윤현숙3CPM
</t>
    </r>
    <phoneticPr fontId="5" type="noConversion"/>
  </si>
  <si>
    <t xml:space="preserve">김선정님 2:40 언어평가 예정(층 오피스톡 확인)
RM박미정4 9:40 -&gt; 9:05
M기상우C 12:00 -&gt; 11:25
M유기분C 11:25 -&gt; 12:00
RM전효식 10:50 -&gt; 1:30
MM최옥자7C 3:50 -&gt; 2:40
</t>
    <phoneticPr fontId="5" type="noConversion"/>
  </si>
  <si>
    <t xml:space="preserve">MM서대성C
MM윤미기자C
MM김영한2Tt
MM윤현숙3CPM
</t>
    <phoneticPr fontId="5" type="noConversion"/>
  </si>
  <si>
    <t>D김문식3
D정창래2</t>
    <phoneticPr fontId="6" type="noConversion"/>
  </si>
  <si>
    <t>D김복묵
D정진월</t>
    <phoneticPr fontId="6" type="noConversion"/>
  </si>
  <si>
    <t>C정창래2
C이명덕
C전용대</t>
    <phoneticPr fontId="6" type="noConversion"/>
  </si>
  <si>
    <t>한순근님</t>
    <phoneticPr fontId="5" type="noConversion"/>
  </si>
  <si>
    <t>M이명덕C
M이영휘C
M전효식C
M장광청T
M김주식S
M유영만Tt</t>
    <phoneticPr fontId="5" type="noConversion"/>
  </si>
  <si>
    <t>N전효식</t>
    <phoneticPr fontId="5" type="noConversion"/>
  </si>
  <si>
    <t>CA전효식</t>
    <phoneticPr fontId="5" type="noConversion"/>
  </si>
  <si>
    <t>F오정아
F박경원2
F신옥남
F홍우표2
F전효식</t>
    <phoneticPr fontId="6" type="noConversion"/>
  </si>
  <si>
    <t>강옥순</t>
    <phoneticPr fontId="5" type="noConversion"/>
  </si>
  <si>
    <t>(수)강옥순</t>
    <phoneticPr fontId="5" type="noConversion"/>
  </si>
  <si>
    <t xml:space="preserve">C전효식
</t>
    <phoneticPr fontId="5" type="noConversion"/>
  </si>
  <si>
    <t>F조태은
F이흥식
F이순희5
F곽홍기
F주현수2</t>
    <phoneticPr fontId="6" type="noConversion"/>
  </si>
  <si>
    <t>F김봉예
F이동열
F김명숙19
F윤영섭</t>
    <phoneticPr fontId="6" type="noConversion"/>
  </si>
  <si>
    <t>RN김선정3</t>
    <phoneticPr fontId="5" type="noConversion"/>
  </si>
  <si>
    <t>RG강옥순</t>
    <phoneticPr fontId="5" type="noConversion"/>
  </si>
  <si>
    <t>RA강옥순</t>
    <phoneticPr fontId="5" type="noConversion"/>
  </si>
  <si>
    <t>MM조남선S</t>
    <phoneticPr fontId="5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</si>
  <si>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MM배희숙C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5" type="noConversion"/>
  </si>
  <si>
    <t>MM송진영C</t>
  </si>
  <si>
    <t>MM송진영C</t>
    <phoneticPr fontId="5" type="noConversion"/>
  </si>
  <si>
    <t>MM최옥자7S</t>
  </si>
  <si>
    <t>MM서정욱2C</t>
    <phoneticPr fontId="5" type="noConversion"/>
  </si>
  <si>
    <r>
      <t xml:space="preserve">
</t>
    </r>
    <r>
      <rPr>
        <b/>
        <u/>
        <sz val="10"/>
        <rFont val="돋움"/>
        <family val="3"/>
        <charset val="129"/>
      </rPr>
      <t xml:space="preserve">MM서정욱2C
MM박미정4S
</t>
    </r>
    <phoneticPr fontId="5" type="noConversion"/>
  </si>
  <si>
    <t>MM박미정4Tt</t>
  </si>
  <si>
    <r>
      <t xml:space="preserve">MM이정례3C
</t>
    </r>
    <r>
      <rPr>
        <b/>
        <u/>
        <sz val="10"/>
        <rFont val="돋움"/>
        <family val="3"/>
        <charset val="129"/>
      </rPr>
      <t>MM이정임4C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MM최옥자7S</t>
    </r>
    <r>
      <rPr>
        <sz val="10"/>
        <rFont val="돋움"/>
        <family val="3"/>
        <charset val="129"/>
      </rPr>
      <t xml:space="preserve">
MM윤현숙3CPM
</t>
    </r>
    <phoneticPr fontId="5" type="noConversion"/>
  </si>
  <si>
    <r>
      <t xml:space="preserve">MM정명자5C
</t>
    </r>
    <r>
      <rPr>
        <b/>
        <u/>
        <sz val="10"/>
        <color theme="1"/>
        <rFont val="돋움"/>
        <family val="3"/>
        <charset val="129"/>
      </rPr>
      <t xml:space="preserve">MM이정임4C
</t>
    </r>
    <r>
      <rPr>
        <sz val="10"/>
        <color theme="1"/>
        <rFont val="돋움"/>
        <family val="3"/>
        <charset val="129"/>
      </rPr>
      <t xml:space="preserve">MM이정례3S
MM김귀례2Tt
</t>
    </r>
    <phoneticPr fontId="5" type="noConversion"/>
  </si>
  <si>
    <t>MM이정임4C</t>
    <phoneticPr fontId="5" type="noConversion"/>
  </si>
  <si>
    <r>
      <t xml:space="preserve">D이명덕
</t>
    </r>
    <r>
      <rPr>
        <u/>
        <sz val="10"/>
        <rFont val="돋움"/>
        <family val="3"/>
        <charset val="129"/>
      </rPr>
      <t>D오정아</t>
    </r>
    <phoneticPr fontId="6" type="noConversion"/>
  </si>
  <si>
    <t>D오정아</t>
  </si>
  <si>
    <r>
      <t xml:space="preserve">D유영만
</t>
    </r>
    <r>
      <rPr>
        <u/>
        <sz val="10"/>
        <rFont val="돋움"/>
        <family val="3"/>
        <charset val="129"/>
      </rPr>
      <t>D곽홍기</t>
    </r>
    <r>
      <rPr>
        <sz val="10"/>
        <rFont val="돋움"/>
        <family val="3"/>
        <charset val="129"/>
      </rPr>
      <t xml:space="preserve">
D이영임</t>
    </r>
    <phoneticPr fontId="6" type="noConversion"/>
  </si>
  <si>
    <r>
      <rPr>
        <u/>
        <sz val="10"/>
        <rFont val="돋움"/>
        <family val="3"/>
        <charset val="129"/>
      </rPr>
      <t>N송영연</t>
    </r>
    <r>
      <rPr>
        <sz val="10"/>
        <rFont val="돋움"/>
        <family val="3"/>
        <charset val="129"/>
      </rPr>
      <t xml:space="preserve">
N장광청</t>
    </r>
    <phoneticPr fontId="6" type="noConversion"/>
  </si>
  <si>
    <r>
      <rPr>
        <u/>
        <sz val="10"/>
        <rFont val="돋움"/>
        <family val="3"/>
        <charset val="129"/>
      </rPr>
      <t>C송영연</t>
    </r>
    <r>
      <rPr>
        <sz val="10"/>
        <rFont val="돋움"/>
        <family val="3"/>
        <charset val="129"/>
      </rPr>
      <t xml:space="preserve">
C김봉예
</t>
    </r>
    <phoneticPr fontId="6" type="noConversion"/>
  </si>
  <si>
    <t>C송영연</t>
    <phoneticPr fontId="5" type="noConversion"/>
  </si>
  <si>
    <r>
      <t xml:space="preserve">
</t>
    </r>
    <r>
      <rPr>
        <u/>
        <sz val="10"/>
        <rFont val="돋움"/>
        <family val="3"/>
        <charset val="129"/>
      </rPr>
      <t>C신인섭</t>
    </r>
    <phoneticPr fontId="6" type="noConversion"/>
  </si>
  <si>
    <t>C신인섭</t>
    <phoneticPr fontId="5" type="noConversion"/>
  </si>
  <si>
    <t>N7오정아D</t>
    <phoneticPr fontId="5" type="noConversion"/>
  </si>
  <si>
    <t xml:space="preserve">M김봉예C
M정창래2C
M김지윤7C
M오치영C
M신옥남S
</t>
    <phoneticPr fontId="6" type="noConversion"/>
  </si>
  <si>
    <r>
      <t>M김문식3C
M유영만C</t>
    </r>
    <r>
      <rPr>
        <sz val="10"/>
        <rFont val="돋움"/>
        <family val="3"/>
        <charset val="129"/>
      </rPr>
      <t xml:space="preserve">
M윤영섭C
M전효식C</t>
    </r>
    <r>
      <rPr>
        <sz val="10"/>
        <color theme="1"/>
        <rFont val="돋움"/>
        <family val="3"/>
        <charset val="129"/>
      </rPr>
      <t xml:space="preserve">
M김명숙19T
M이명덕S
M이순희5M
M김진학Tt
M정진월CPM</t>
    </r>
    <phoneticPr fontId="6" type="noConversion"/>
  </si>
  <si>
    <t xml:space="preserve">
오정아(A)
</t>
    <phoneticPr fontId="5" type="noConversion"/>
  </si>
  <si>
    <t>김봉예(A)</t>
    <phoneticPr fontId="5" type="noConversion"/>
  </si>
  <si>
    <r>
      <t xml:space="preserve">
</t>
    </r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MM이재용2C
</t>
    </r>
    <r>
      <rPr>
        <b/>
        <u/>
        <sz val="10"/>
        <rFont val="돋움"/>
        <family val="3"/>
        <charset val="129"/>
      </rPr>
      <t>MM박미정4Tt</t>
    </r>
    <r>
      <rPr>
        <sz val="10"/>
        <rFont val="돋움"/>
        <family val="3"/>
        <charset val="129"/>
      </rPr>
      <t xml:space="preserve">
</t>
    </r>
    <phoneticPr fontId="5" type="noConversion"/>
  </si>
  <si>
    <r>
      <t xml:space="preserve">
MM이재용2C
MM권병호C
</t>
    </r>
    <r>
      <rPr>
        <sz val="10"/>
        <color rgb="FFFF0000"/>
        <rFont val="돋움"/>
        <family val="3"/>
        <charset val="129"/>
      </rPr>
      <t xml:space="preserve">MM김선정3C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5" type="noConversion"/>
  </si>
  <si>
    <t xml:space="preserve">
MM권병호T
MM김선정3C
MM이두현C</t>
    <phoneticPr fontId="5" type="noConversion"/>
  </si>
  <si>
    <t xml:space="preserve">MM윤미기자C
MM정명자5Tt
MM김귀례2Tt
</t>
    <phoneticPr fontId="5" type="noConversion"/>
  </si>
  <si>
    <t>강옥순님 전실 ESWT(수), TITN4, RG10, RA2 
전효식님 회복기 종결 N2M2F1C2A / 시간표 다시
윤영섭님 오후 시간 변경 / 시간표 다시
이강은님 RS2삭제 RM2추가 
이수길님 오전 변경 / 시간표 다시
윤현숙3님 오전 변경 / 시간표 다시
김지윤7님 오전 오후 변경 / 시간표 다시
오정아님 N7D변경, W( 알봇 A)삭제, W(워크봇B-&gt;A변경 / 시간표 다시
유영만님 오전기구시간 변경 / 시간표 다시
김봉예님 오전 시간 변경 / 시간표 다시
김선정3님 RL2추가 RA2 삭제 / 시간표 다시 
정명자5님 RA2삭제 RG2추가 오전 시간 변경 / 시간표 다시
이두현2님 RA2삭제 RG2추가 오전 시간 변경 / 시간표 다시</t>
    <phoneticPr fontId="5" type="noConversion"/>
  </si>
  <si>
    <t>3층 재활센터 시간표     2025. 12. 08 (월)</t>
    <phoneticPr fontId="6" type="noConversion"/>
  </si>
  <si>
    <t>12.08 (월) 스케줄 변경사항</t>
    <phoneticPr fontId="6" type="noConversion"/>
  </si>
  <si>
    <t>12.08 (월) HOLD</t>
    <phoneticPr fontId="6" type="noConversion"/>
  </si>
  <si>
    <r>
      <t xml:space="preserve">MM이정례3C
MM이정임4C
</t>
    </r>
    <r>
      <rPr>
        <b/>
        <u/>
        <sz val="10"/>
        <rFont val="돋움"/>
        <family val="3"/>
        <charset val="129"/>
      </rPr>
      <t>MM최옥자7S</t>
    </r>
    <r>
      <rPr>
        <sz val="10"/>
        <rFont val="돋움"/>
        <family val="3"/>
        <charset val="129"/>
      </rPr>
      <t xml:space="preserve">
MM윤현숙3CPM
</t>
    </r>
    <phoneticPr fontId="5" type="noConversion"/>
  </si>
  <si>
    <r>
      <t>MM정명자5C
MM이정임4C</t>
    </r>
    <r>
      <rPr>
        <b/>
        <u/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 xml:space="preserve">MM이정례3S
MM김귀례2Tt
</t>
    </r>
    <phoneticPr fontId="5" type="noConversion"/>
  </si>
  <si>
    <t>RL김선정3</t>
    <phoneticPr fontId="5" type="noConversion"/>
  </si>
  <si>
    <t>RL이두현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</si>
</sst>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2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돋움"/>
      <family val="2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b/>
      <u/>
      <sz val="10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rgb="FF000000"/>
      <name val="굴림"/>
      <family val="3"/>
      <charset val="129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u/>
      <sz val="10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.5"/>
      <color rgb="FF000000"/>
      <name val="굴림"/>
      <family val="3"/>
      <charset val="129"/>
    </font>
    <font>
      <sz val="10"/>
      <color rgb="FF00B05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8">
    <border>
      <left/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</cellStyleXfs>
  <cellXfs count="390">
    <xf numFmtId="0" fontId="0" fillId="0" borderId="0" xfId="0">
      <alignment vertical="center"/>
    </xf>
    <xf numFmtId="0" fontId="4" fillId="0" borderId="4" xfId="3" applyFont="1" applyBorder="1" applyAlignment="1">
      <alignment horizontal="center" vertical="center"/>
    </xf>
    <xf numFmtId="0" fontId="3" fillId="0" borderId="0" xfId="2">
      <alignment vertical="center"/>
    </xf>
    <xf numFmtId="0" fontId="3" fillId="0" borderId="0" xfId="2" applyAlignment="1">
      <alignment vertical="top"/>
    </xf>
    <xf numFmtId="0" fontId="4" fillId="0" borderId="0" xfId="3" applyFont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left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/>
    </xf>
    <xf numFmtId="176" fontId="10" fillId="0" borderId="0" xfId="4" applyNumberFormat="1" applyFont="1" applyAlignment="1">
      <alignment horizontal="center" vertical="center" wrapText="1"/>
    </xf>
    <xf numFmtId="0" fontId="10" fillId="0" borderId="8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9" fontId="10" fillId="0" borderId="0" xfId="1" applyFont="1" applyFill="1" applyBorder="1" applyAlignment="1" applyProtection="1">
      <alignment horizontal="center" vertical="center" wrapText="1"/>
    </xf>
    <xf numFmtId="0" fontId="3" fillId="0" borderId="0" xfId="2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 wrapText="1"/>
    </xf>
    <xf numFmtId="0" fontId="13" fillId="0" borderId="5" xfId="6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/>
    </xf>
    <xf numFmtId="0" fontId="3" fillId="3" borderId="0" xfId="2" applyFill="1">
      <alignment vertical="center"/>
    </xf>
    <xf numFmtId="0" fontId="11" fillId="0" borderId="13" xfId="2" applyFont="1" applyBorder="1" applyAlignment="1">
      <alignment horizontal="center" vertical="center" wrapText="1"/>
    </xf>
    <xf numFmtId="9" fontId="10" fillId="0" borderId="4" xfId="1" applyFont="1" applyFill="1" applyBorder="1" applyAlignment="1" applyProtection="1">
      <alignment horizontal="center" vertical="center" wrapText="1"/>
    </xf>
    <xf numFmtId="0" fontId="11" fillId="0" borderId="13" xfId="6" applyFont="1" applyBorder="1" applyAlignment="1">
      <alignment horizontal="center" vertical="center" wrapText="1"/>
    </xf>
    <xf numFmtId="0" fontId="13" fillId="0" borderId="6" xfId="6" applyFont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 wrapText="1"/>
    </xf>
    <xf numFmtId="0" fontId="13" fillId="0" borderId="6" xfId="6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 wrapText="1"/>
    </xf>
    <xf numFmtId="0" fontId="12" fillId="0" borderId="22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2" xfId="6" applyFont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 wrapText="1"/>
    </xf>
    <xf numFmtId="0" fontId="13" fillId="4" borderId="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 wrapText="1"/>
    </xf>
    <xf numFmtId="0" fontId="13" fillId="4" borderId="13" xfId="2" applyFont="1" applyFill="1" applyBorder="1" applyAlignment="1">
      <alignment horizontal="center" vertical="center" wrapText="1"/>
    </xf>
    <xf numFmtId="0" fontId="18" fillId="5" borderId="28" xfId="2" applyFont="1" applyFill="1" applyBorder="1" applyAlignment="1">
      <alignment horizontal="center" vertical="center" wrapText="1"/>
    </xf>
    <xf numFmtId="0" fontId="13" fillId="0" borderId="8" xfId="6" applyFont="1" applyBorder="1" applyAlignment="1">
      <alignment horizontal="center" vertical="center"/>
    </xf>
    <xf numFmtId="17" fontId="3" fillId="0" borderId="0" xfId="2" applyNumberFormat="1" applyAlignment="1">
      <alignment vertical="top"/>
    </xf>
    <xf numFmtId="0" fontId="20" fillId="0" borderId="22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 wrapText="1"/>
    </xf>
    <xf numFmtId="0" fontId="7" fillId="0" borderId="21" xfId="2" applyFont="1" applyBorder="1" applyAlignment="1">
      <alignment horizontal="center" vertical="center" wrapText="1"/>
    </xf>
    <xf numFmtId="0" fontId="21" fillId="0" borderId="6" xfId="6" applyFont="1" applyBorder="1" applyAlignment="1">
      <alignment horizontal="center" vertical="center" wrapText="1"/>
    </xf>
    <xf numFmtId="0" fontId="21" fillId="0" borderId="21" xfId="2" applyFont="1" applyBorder="1" applyAlignment="1">
      <alignment horizontal="center" vertical="center" wrapText="1"/>
    </xf>
    <xf numFmtId="0" fontId="22" fillId="0" borderId="0" xfId="2" applyFont="1">
      <alignment vertical="center"/>
    </xf>
    <xf numFmtId="0" fontId="22" fillId="0" borderId="0" xfId="2" applyFont="1" applyAlignment="1">
      <alignment vertical="top"/>
    </xf>
    <xf numFmtId="0" fontId="10" fillId="0" borderId="13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center" vertical="center" wrapText="1"/>
    </xf>
    <xf numFmtId="0" fontId="13" fillId="0" borderId="32" xfId="6" applyFont="1" applyBorder="1" applyAlignment="1">
      <alignment horizontal="center" vertical="center" wrapText="1"/>
    </xf>
    <xf numFmtId="0" fontId="13" fillId="0" borderId="32" xfId="2" applyFont="1" applyBorder="1" applyAlignment="1">
      <alignment horizontal="center" vertical="center"/>
    </xf>
    <xf numFmtId="0" fontId="21" fillId="0" borderId="32" xfId="6" applyFont="1" applyBorder="1" applyAlignment="1">
      <alignment horizontal="center" vertical="center" wrapText="1"/>
    </xf>
    <xf numFmtId="0" fontId="21" fillId="0" borderId="32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8" fillId="5" borderId="21" xfId="2" applyFont="1" applyFill="1" applyBorder="1" applyAlignment="1">
      <alignment horizontal="center" vertical="center" wrapText="1"/>
    </xf>
    <xf numFmtId="0" fontId="23" fillId="0" borderId="33" xfId="2" applyFont="1" applyBorder="1" applyAlignment="1">
      <alignment vertical="center" wrapText="1"/>
    </xf>
    <xf numFmtId="0" fontId="25" fillId="0" borderId="0" xfId="2" applyFont="1" applyAlignment="1">
      <alignment vertical="center" wrapText="1"/>
    </xf>
    <xf numFmtId="0" fontId="26" fillId="0" borderId="0" xfId="2" applyFont="1" applyAlignment="1">
      <alignment horizontal="center" vertical="center"/>
    </xf>
    <xf numFmtId="0" fontId="27" fillId="0" borderId="0" xfId="2" applyFont="1" applyAlignment="1">
      <alignment horizontal="center" vertical="center" wrapText="1"/>
    </xf>
    <xf numFmtId="0" fontId="27" fillId="0" borderId="34" xfId="2" applyFont="1" applyBorder="1" applyAlignment="1">
      <alignment horizontal="center" vertical="center" wrapText="1"/>
    </xf>
    <xf numFmtId="0" fontId="8" fillId="2" borderId="35" xfId="2" applyFont="1" applyFill="1" applyBorder="1" applyAlignment="1">
      <alignment horizontal="center" vertical="center" wrapText="1"/>
    </xf>
    <xf numFmtId="0" fontId="9" fillId="2" borderId="36" xfId="2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center" vertical="center" wrapText="1"/>
    </xf>
    <xf numFmtId="0" fontId="9" fillId="2" borderId="37" xfId="2" applyFont="1" applyFill="1" applyBorder="1" applyAlignment="1">
      <alignment horizontal="center" vertical="center"/>
    </xf>
    <xf numFmtId="0" fontId="9" fillId="2" borderId="38" xfId="2" applyFont="1" applyFill="1" applyBorder="1" applyAlignment="1">
      <alignment horizontal="center" vertical="center" wrapText="1"/>
    </xf>
    <xf numFmtId="0" fontId="28" fillId="0" borderId="0" xfId="3" applyFont="1" applyAlignment="1">
      <alignment horizontal="center" vertical="center" wrapText="1"/>
    </xf>
    <xf numFmtId="0" fontId="3" fillId="0" borderId="0" xfId="2" applyAlignment="1">
      <alignment vertical="center" wrapText="1"/>
    </xf>
    <xf numFmtId="0" fontId="29" fillId="0" borderId="5" xfId="2" applyFont="1" applyBorder="1" applyAlignment="1">
      <alignment horizontal="center" vertical="center" wrapText="1"/>
    </xf>
    <xf numFmtId="0" fontId="30" fillId="0" borderId="0" xfId="2" applyFont="1" applyAlignment="1">
      <alignment horizontal="center" vertical="center" wrapText="1"/>
    </xf>
    <xf numFmtId="0" fontId="13" fillId="0" borderId="0" xfId="3" applyFont="1" applyAlignment="1">
      <alignment horizontal="left" vertical="top" wrapText="1"/>
    </xf>
    <xf numFmtId="0" fontId="31" fillId="0" borderId="0" xfId="2" applyFont="1" applyAlignment="1">
      <alignment horizontal="center" vertical="center" wrapText="1"/>
    </xf>
    <xf numFmtId="0" fontId="13" fillId="6" borderId="41" xfId="2" applyFont="1" applyFill="1" applyBorder="1" applyAlignment="1">
      <alignment horizontal="center" vertical="center" wrapText="1"/>
    </xf>
    <xf numFmtId="0" fontId="32" fillId="0" borderId="0" xfId="2" applyFont="1">
      <alignment vertical="center"/>
    </xf>
    <xf numFmtId="0" fontId="26" fillId="0" borderId="0" xfId="3" applyFont="1" applyAlignment="1">
      <alignment horizontal="left" vertical="top" wrapText="1"/>
    </xf>
    <xf numFmtId="0" fontId="13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13" fillId="6" borderId="42" xfId="2" applyFont="1" applyFill="1" applyBorder="1" applyAlignment="1">
      <alignment horizontal="center" vertical="center" wrapText="1"/>
    </xf>
    <xf numFmtId="0" fontId="13" fillId="0" borderId="43" xfId="2" applyFont="1" applyBorder="1" applyAlignment="1">
      <alignment horizontal="center" vertical="center"/>
    </xf>
    <xf numFmtId="0" fontId="33" fillId="0" borderId="0" xfId="3" applyFont="1" applyAlignment="1">
      <alignment horizontal="left" vertical="top"/>
    </xf>
    <xf numFmtId="0" fontId="3" fillId="0" borderId="45" xfId="2" applyBorder="1" applyAlignment="1">
      <alignment vertical="center" wrapText="1"/>
    </xf>
    <xf numFmtId="0" fontId="8" fillId="2" borderId="46" xfId="2" applyFont="1" applyFill="1" applyBorder="1" applyAlignment="1">
      <alignment horizontal="center" vertical="center" wrapText="1"/>
    </xf>
    <xf numFmtId="0" fontId="8" fillId="2" borderId="37" xfId="2" applyFont="1" applyFill="1" applyBorder="1" applyAlignment="1">
      <alignment horizontal="center" vertical="center" wrapText="1"/>
    </xf>
    <xf numFmtId="0" fontId="8" fillId="2" borderId="36" xfId="2" applyFont="1" applyFill="1" applyBorder="1" applyAlignment="1">
      <alignment horizontal="center" vertical="center" wrapText="1"/>
    </xf>
    <xf numFmtId="0" fontId="8" fillId="2" borderId="47" xfId="2" applyFont="1" applyFill="1" applyBorder="1" applyAlignment="1">
      <alignment horizontal="center" vertical="center" wrapText="1"/>
    </xf>
    <xf numFmtId="0" fontId="8" fillId="2" borderId="38" xfId="3" applyFont="1" applyFill="1" applyBorder="1" applyAlignment="1">
      <alignment horizontal="center" vertical="center" wrapText="1"/>
    </xf>
    <xf numFmtId="0" fontId="8" fillId="2" borderId="38" xfId="2" applyFont="1" applyFill="1" applyBorder="1" applyAlignment="1">
      <alignment horizontal="center" vertical="center" wrapText="1"/>
    </xf>
    <xf numFmtId="0" fontId="14" fillId="0" borderId="41" xfId="2" applyFont="1" applyBorder="1" applyAlignment="1">
      <alignment horizontal="center" vertical="center" wrapText="1"/>
    </xf>
    <xf numFmtId="0" fontId="14" fillId="0" borderId="48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/>
    </xf>
    <xf numFmtId="0" fontId="14" fillId="0" borderId="48" xfId="2" applyFont="1" applyBorder="1" applyAlignment="1">
      <alignment horizontal="center" vertical="center"/>
    </xf>
    <xf numFmtId="0" fontId="14" fillId="0" borderId="49" xfId="3" applyFont="1" applyBorder="1" applyAlignment="1">
      <alignment horizontal="center" vertical="center"/>
    </xf>
    <xf numFmtId="0" fontId="14" fillId="0" borderId="49" xfId="2" applyFont="1" applyBorder="1" applyAlignment="1">
      <alignment horizontal="center" vertical="center"/>
    </xf>
    <xf numFmtId="0" fontId="14" fillId="0" borderId="50" xfId="2" applyFont="1" applyBorder="1" applyAlignment="1">
      <alignment horizontal="center" vertical="center" wrapText="1"/>
    </xf>
    <xf numFmtId="0" fontId="14" fillId="0" borderId="25" xfId="2" applyFont="1" applyBorder="1" applyAlignment="1">
      <alignment horizontal="center" vertical="center"/>
    </xf>
    <xf numFmtId="0" fontId="14" fillId="0" borderId="51" xfId="3" applyFont="1" applyBorder="1" applyAlignment="1">
      <alignment horizontal="center" vertical="center"/>
    </xf>
    <xf numFmtId="0" fontId="14" fillId="0" borderId="51" xfId="2" applyFont="1" applyBorder="1" applyAlignment="1">
      <alignment horizontal="center" vertical="center"/>
    </xf>
    <xf numFmtId="0" fontId="3" fillId="0" borderId="0" xfId="2" applyAlignment="1">
      <alignment horizontal="center" vertical="top"/>
    </xf>
    <xf numFmtId="0" fontId="14" fillId="0" borderId="51" xfId="3" applyFont="1" applyBorder="1" applyAlignment="1">
      <alignment horizontal="center" vertical="center" wrapText="1"/>
    </xf>
    <xf numFmtId="0" fontId="14" fillId="0" borderId="51" xfId="2" applyFont="1" applyBorder="1" applyAlignment="1">
      <alignment horizontal="center" vertical="center" wrapText="1"/>
    </xf>
    <xf numFmtId="0" fontId="14" fillId="0" borderId="42" xfId="2" applyFont="1" applyBorder="1" applyAlignment="1">
      <alignment horizontal="center" vertical="center" wrapText="1"/>
    </xf>
    <xf numFmtId="0" fontId="14" fillId="0" borderId="52" xfId="2" applyFont="1" applyBorder="1" applyAlignment="1">
      <alignment horizontal="center" vertical="center"/>
    </xf>
    <xf numFmtId="0" fontId="14" fillId="0" borderId="43" xfId="2" applyFont="1" applyBorder="1" applyAlignment="1">
      <alignment horizontal="center" vertical="center"/>
    </xf>
    <xf numFmtId="0" fontId="14" fillId="0" borderId="53" xfId="3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3" fillId="0" borderId="0" xfId="3" applyAlignment="1">
      <alignment vertical="center" wrapText="1"/>
    </xf>
    <xf numFmtId="0" fontId="14" fillId="0" borderId="54" xfId="2" applyFont="1" applyBorder="1" applyAlignment="1">
      <alignment vertical="center" wrapText="1"/>
    </xf>
    <xf numFmtId="0" fontId="10" fillId="2" borderId="37" xfId="2" applyFont="1" applyFill="1" applyBorder="1" applyAlignment="1">
      <alignment horizontal="center" vertical="center" wrapText="1"/>
    </xf>
    <xf numFmtId="0" fontId="13" fillId="2" borderId="37" xfId="2" applyFont="1" applyFill="1" applyBorder="1" applyAlignment="1">
      <alignment horizontal="center" vertical="center"/>
    </xf>
    <xf numFmtId="0" fontId="10" fillId="2" borderId="38" xfId="3" applyFont="1" applyFill="1" applyBorder="1" applyAlignment="1">
      <alignment horizontal="center" vertical="center" wrapText="1"/>
    </xf>
    <xf numFmtId="0" fontId="0" fillId="0" borderId="0" xfId="2" applyFont="1" applyAlignment="1">
      <alignment vertical="center" wrapText="1"/>
    </xf>
    <xf numFmtId="0" fontId="3" fillId="0" borderId="41" xfId="2" applyBorder="1" applyAlignment="1">
      <alignment horizontal="center" vertical="center" wrapText="1"/>
    </xf>
    <xf numFmtId="0" fontId="3" fillId="0" borderId="51" xfId="3" applyBorder="1" applyAlignment="1">
      <alignment horizontal="center" vertical="center"/>
    </xf>
    <xf numFmtId="0" fontId="3" fillId="0" borderId="43" xfId="2" applyBorder="1">
      <alignment vertical="center"/>
    </xf>
    <xf numFmtId="0" fontId="3" fillId="0" borderId="43" xfId="2" applyBorder="1" applyAlignment="1">
      <alignment horizontal="center" vertical="center"/>
    </xf>
    <xf numFmtId="0" fontId="32" fillId="0" borderId="43" xfId="2" applyFont="1" applyBorder="1">
      <alignment vertical="center"/>
    </xf>
    <xf numFmtId="0" fontId="3" fillId="0" borderId="53" xfId="3" applyBorder="1" applyAlignment="1">
      <alignment horizontal="center" vertical="center"/>
    </xf>
    <xf numFmtId="0" fontId="3" fillId="0" borderId="0" xfId="3">
      <alignment vertical="center"/>
    </xf>
    <xf numFmtId="0" fontId="10" fillId="0" borderId="15" xfId="2" applyFont="1" applyBorder="1" applyAlignment="1">
      <alignment horizontal="center" vertical="center"/>
    </xf>
    <xf numFmtId="0" fontId="11" fillId="3" borderId="32" xfId="2" applyFont="1" applyFill="1" applyBorder="1" applyAlignment="1">
      <alignment horizontal="center" vertical="center" wrapText="1"/>
    </xf>
    <xf numFmtId="0" fontId="23" fillId="0" borderId="23" xfId="2" applyFont="1" applyBorder="1" applyAlignment="1">
      <alignment vertical="center" wrapText="1"/>
    </xf>
    <xf numFmtId="0" fontId="3" fillId="3" borderId="10" xfId="2" applyFill="1" applyBorder="1">
      <alignment vertical="center"/>
    </xf>
    <xf numFmtId="0" fontId="3" fillId="0" borderId="0" xfId="4">
      <alignment vertical="center"/>
    </xf>
    <xf numFmtId="0" fontId="34" fillId="0" borderId="0" xfId="4" applyFont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/>
    </xf>
    <xf numFmtId="0" fontId="13" fillId="7" borderId="5" xfId="2" applyFont="1" applyFill="1" applyBorder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 wrapText="1"/>
    </xf>
    <xf numFmtId="0" fontId="14" fillId="7" borderId="21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 wrapText="1"/>
    </xf>
    <xf numFmtId="0" fontId="10" fillId="7" borderId="13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/>
    </xf>
    <xf numFmtId="0" fontId="11" fillId="0" borderId="21" xfId="6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13" fillId="0" borderId="21" xfId="6" applyFont="1" applyBorder="1" applyAlignment="1">
      <alignment horizontal="center" vertical="center" wrapText="1"/>
    </xf>
    <xf numFmtId="0" fontId="13" fillId="0" borderId="21" xfId="6" applyFont="1" applyBorder="1" applyAlignment="1">
      <alignment horizontal="center" vertical="center"/>
    </xf>
    <xf numFmtId="0" fontId="14" fillId="7" borderId="43" xfId="2" applyFont="1" applyFill="1" applyBorder="1" applyAlignment="1">
      <alignment horizontal="center" vertical="center"/>
    </xf>
    <xf numFmtId="0" fontId="14" fillId="7" borderId="8" xfId="2" applyFont="1" applyFill="1" applyBorder="1" applyAlignment="1">
      <alignment horizontal="center" vertical="center" wrapText="1"/>
    </xf>
    <xf numFmtId="0" fontId="13" fillId="7" borderId="30" xfId="2" applyFont="1" applyFill="1" applyBorder="1" applyAlignment="1">
      <alignment horizontal="center" vertical="center" wrapText="1"/>
    </xf>
    <xf numFmtId="0" fontId="29" fillId="0" borderId="5" xfId="2" applyFont="1" applyBorder="1" applyAlignment="1">
      <alignment horizontal="center" vertical="center"/>
    </xf>
    <xf numFmtId="0" fontId="13" fillId="7" borderId="6" xfId="6" applyFont="1" applyFill="1" applyBorder="1" applyAlignment="1">
      <alignment horizontal="center" vertical="center" wrapText="1"/>
    </xf>
    <xf numFmtId="0" fontId="40" fillId="2" borderId="5" xfId="4" applyFont="1" applyFill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 wrapText="1"/>
    </xf>
    <xf numFmtId="0" fontId="13" fillId="0" borderId="8" xfId="7" applyFont="1" applyBorder="1" applyAlignment="1">
      <alignment horizontal="center" vertical="center" wrapText="1"/>
    </xf>
    <xf numFmtId="0" fontId="14" fillId="7" borderId="43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29" fillId="0" borderId="6" xfId="2" applyFont="1" applyBorder="1" applyAlignment="1">
      <alignment horizontal="center" vertical="center" wrapText="1"/>
    </xf>
    <xf numFmtId="0" fontId="3" fillId="0" borderId="87" xfId="3" applyBorder="1" applyAlignment="1">
      <alignment horizontal="center" vertical="center"/>
    </xf>
    <xf numFmtId="0" fontId="11" fillId="8" borderId="13" xfId="2" applyFont="1" applyFill="1" applyBorder="1" applyAlignment="1">
      <alignment horizontal="center" vertical="center" wrapText="1"/>
    </xf>
    <xf numFmtId="0" fontId="11" fillId="8" borderId="6" xfId="2" applyFont="1" applyFill="1" applyBorder="1" applyAlignment="1">
      <alignment horizontal="center" vertical="center" wrapText="1"/>
    </xf>
    <xf numFmtId="0" fontId="41" fillId="8" borderId="5" xfId="2" applyFont="1" applyFill="1" applyBorder="1" applyAlignment="1">
      <alignment horizontal="center" vertical="center" wrapText="1"/>
    </xf>
    <xf numFmtId="0" fontId="41" fillId="8" borderId="5" xfId="2" applyFont="1" applyFill="1" applyBorder="1" applyAlignment="1">
      <alignment horizontal="center" vertical="center"/>
    </xf>
    <xf numFmtId="0" fontId="41" fillId="8" borderId="5" xfId="6" applyFont="1" applyFill="1" applyBorder="1" applyAlignment="1">
      <alignment horizontal="center" vertical="center" wrapText="1"/>
    </xf>
    <xf numFmtId="0" fontId="41" fillId="8" borderId="6" xfId="2" applyFont="1" applyFill="1" applyBorder="1" applyAlignment="1">
      <alignment horizontal="center" vertical="center" wrapText="1"/>
    </xf>
    <xf numFmtId="0" fontId="41" fillId="8" borderId="0" xfId="2" applyFont="1" applyFill="1" applyAlignment="1">
      <alignment horizontal="center" vertical="center"/>
    </xf>
    <xf numFmtId="0" fontId="41" fillId="8" borderId="8" xfId="2" applyFont="1" applyFill="1" applyBorder="1" applyAlignment="1">
      <alignment horizontal="center" vertical="center" wrapText="1"/>
    </xf>
    <xf numFmtId="0" fontId="13" fillId="9" borderId="8" xfId="2" applyFont="1" applyFill="1" applyBorder="1" applyAlignment="1">
      <alignment horizontal="center" vertical="center" wrapText="1"/>
    </xf>
    <xf numFmtId="0" fontId="14" fillId="9" borderId="5" xfId="2" applyFont="1" applyFill="1" applyBorder="1" applyAlignment="1">
      <alignment horizontal="center" vertical="center"/>
    </xf>
    <xf numFmtId="0" fontId="13" fillId="0" borderId="30" xfId="2" applyFont="1" applyBorder="1" applyAlignment="1">
      <alignment horizontal="center" vertical="center" wrapText="1"/>
    </xf>
    <xf numFmtId="0" fontId="13" fillId="9" borderId="21" xfId="2" applyFont="1" applyFill="1" applyBorder="1" applyAlignment="1">
      <alignment horizontal="center" vertical="center" wrapText="1"/>
    </xf>
    <xf numFmtId="0" fontId="13" fillId="9" borderId="5" xfId="2" applyFont="1" applyFill="1" applyBorder="1" applyAlignment="1">
      <alignment horizontal="center" vertical="center" wrapText="1"/>
    </xf>
    <xf numFmtId="0" fontId="13" fillId="9" borderId="24" xfId="2" applyFont="1" applyFill="1" applyBorder="1" applyAlignment="1">
      <alignment horizontal="center" vertical="center" wrapText="1"/>
    </xf>
    <xf numFmtId="0" fontId="41" fillId="0" borderId="5" xfId="2" applyFont="1" applyBorder="1" applyAlignment="1">
      <alignment horizontal="center" vertical="center" wrapText="1"/>
    </xf>
    <xf numFmtId="0" fontId="41" fillId="0" borderId="22" xfId="2" applyFont="1" applyBorder="1" applyAlignment="1">
      <alignment horizontal="center" vertical="center" wrapText="1"/>
    </xf>
    <xf numFmtId="0" fontId="13" fillId="7" borderId="21" xfId="2" applyFont="1" applyFill="1" applyBorder="1" applyAlignment="1">
      <alignment horizontal="center" vertical="center" wrapText="1"/>
    </xf>
    <xf numFmtId="0" fontId="11" fillId="8" borderId="21" xfId="6" applyFont="1" applyFill="1" applyBorder="1" applyAlignment="1">
      <alignment horizontal="center" vertical="center" wrapText="1"/>
    </xf>
    <xf numFmtId="0" fontId="41" fillId="8" borderId="6" xfId="2" applyFont="1" applyFill="1" applyBorder="1" applyAlignment="1">
      <alignment horizontal="center" vertical="center"/>
    </xf>
    <xf numFmtId="0" fontId="41" fillId="8" borderId="21" xfId="6" applyFont="1" applyFill="1" applyBorder="1" applyAlignment="1">
      <alignment horizontal="center" vertical="center" wrapText="1"/>
    </xf>
    <xf numFmtId="0" fontId="41" fillId="8" borderId="21" xfId="2" applyFont="1" applyFill="1" applyBorder="1" applyAlignment="1">
      <alignment horizontal="center" vertical="center" wrapText="1"/>
    </xf>
    <xf numFmtId="0" fontId="41" fillId="8" borderId="21" xfId="2" applyFont="1" applyFill="1" applyBorder="1" applyAlignment="1">
      <alignment horizontal="center" vertical="center"/>
    </xf>
    <xf numFmtId="0" fontId="41" fillId="8" borderId="21" xfId="6" applyFont="1" applyFill="1" applyBorder="1" applyAlignment="1">
      <alignment horizontal="center" vertical="center"/>
    </xf>
    <xf numFmtId="0" fontId="41" fillId="8" borderId="26" xfId="2" applyFont="1" applyFill="1" applyBorder="1">
      <alignment vertical="center"/>
    </xf>
    <xf numFmtId="0" fontId="41" fillId="8" borderId="27" xfId="2" applyFont="1" applyFill="1" applyBorder="1">
      <alignment vertical="center"/>
    </xf>
    <xf numFmtId="0" fontId="10" fillId="7" borderId="6" xfId="2" applyFont="1" applyFill="1" applyBorder="1" applyAlignment="1">
      <alignment horizontal="center" vertical="center" wrapText="1"/>
    </xf>
    <xf numFmtId="0" fontId="13" fillId="9" borderId="6" xfId="2" applyFont="1" applyFill="1" applyBorder="1" applyAlignment="1">
      <alignment horizontal="center" vertical="center" wrapText="1"/>
    </xf>
    <xf numFmtId="0" fontId="11" fillId="8" borderId="5" xfId="2" applyFont="1" applyFill="1" applyBorder="1" applyAlignment="1">
      <alignment horizontal="center" vertical="center" wrapText="1"/>
    </xf>
    <xf numFmtId="0" fontId="7" fillId="8" borderId="8" xfId="2" applyFont="1" applyFill="1" applyBorder="1" applyAlignment="1">
      <alignment horizontal="center" vertical="center" wrapText="1"/>
    </xf>
    <xf numFmtId="0" fontId="41" fillId="9" borderId="8" xfId="2" applyFont="1" applyFill="1" applyBorder="1" applyAlignment="1">
      <alignment horizontal="center" vertical="center" wrapText="1"/>
    </xf>
    <xf numFmtId="0" fontId="13" fillId="9" borderId="22" xfId="2" applyFont="1" applyFill="1" applyBorder="1" applyAlignment="1">
      <alignment horizontal="center" vertical="center" wrapText="1"/>
    </xf>
    <xf numFmtId="0" fontId="41" fillId="8" borderId="13" xfId="2" applyFont="1" applyFill="1" applyBorder="1" applyAlignment="1">
      <alignment horizontal="center" vertical="center" wrapText="1"/>
    </xf>
    <xf numFmtId="0" fontId="41" fillId="8" borderId="13" xfId="2" applyFont="1" applyFill="1" applyBorder="1" applyAlignment="1">
      <alignment horizontal="center" vertical="center"/>
    </xf>
    <xf numFmtId="0" fontId="13" fillId="9" borderId="6" xfId="6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 wrapText="1"/>
    </xf>
    <xf numFmtId="0" fontId="13" fillId="7" borderId="5" xfId="6" applyFont="1" applyFill="1" applyBorder="1" applyAlignment="1">
      <alignment horizontal="center" vertical="center" wrapText="1"/>
    </xf>
    <xf numFmtId="0" fontId="13" fillId="7" borderId="22" xfId="6" applyFont="1" applyFill="1" applyBorder="1" applyAlignment="1">
      <alignment horizontal="center" vertical="center" wrapText="1"/>
    </xf>
    <xf numFmtId="176" fontId="10" fillId="0" borderId="4" xfId="4" applyNumberFormat="1" applyFont="1" applyBorder="1" applyAlignment="1">
      <alignment horizontal="center" vertical="center" wrapText="1"/>
    </xf>
    <xf numFmtId="0" fontId="10" fillId="7" borderId="5" xfId="2" applyFont="1" applyFill="1" applyBorder="1" applyAlignment="1">
      <alignment horizontal="center" vertical="center" wrapText="1"/>
    </xf>
    <xf numFmtId="0" fontId="29" fillId="0" borderId="0" xfId="2" applyFont="1" applyAlignment="1">
      <alignment horizontal="center" vertical="center" wrapText="1"/>
    </xf>
    <xf numFmtId="0" fontId="13" fillId="7" borderId="22" xfId="2" applyFont="1" applyFill="1" applyBorder="1" applyAlignment="1">
      <alignment horizontal="center" vertical="center" wrapText="1"/>
    </xf>
    <xf numFmtId="0" fontId="14" fillId="0" borderId="23" xfId="2" applyFont="1" applyBorder="1" applyAlignment="1">
      <alignment horizontal="center" vertical="center"/>
    </xf>
    <xf numFmtId="0" fontId="14" fillId="0" borderId="3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7" xfId="2" applyFont="1" applyBorder="1" applyAlignment="1">
      <alignment horizontal="center" vertical="center"/>
    </xf>
    <xf numFmtId="0" fontId="17" fillId="0" borderId="14" xfId="5" applyFont="1" applyBorder="1" applyAlignment="1">
      <alignment horizontal="left" vertical="top" wrapText="1"/>
    </xf>
    <xf numFmtId="0" fontId="17" fillId="0" borderId="15" xfId="5" applyFont="1" applyBorder="1" applyAlignment="1">
      <alignment horizontal="left" vertical="top" wrapText="1"/>
    </xf>
    <xf numFmtId="0" fontId="17" fillId="0" borderId="16" xfId="5" applyFont="1" applyBorder="1" applyAlignment="1">
      <alignment horizontal="left" vertical="top" wrapText="1"/>
    </xf>
    <xf numFmtId="0" fontId="17" fillId="0" borderId="17" xfId="5" applyFont="1" applyBorder="1" applyAlignment="1">
      <alignment horizontal="left" vertical="top" wrapText="1"/>
    </xf>
    <xf numFmtId="0" fontId="17" fillId="0" borderId="0" xfId="5" applyFont="1" applyAlignment="1">
      <alignment horizontal="left" vertical="top" wrapText="1"/>
    </xf>
    <xf numFmtId="0" fontId="17" fillId="0" borderId="18" xfId="5" applyFont="1" applyBorder="1" applyAlignment="1">
      <alignment horizontal="left" vertical="top" wrapText="1"/>
    </xf>
    <xf numFmtId="0" fontId="17" fillId="0" borderId="19" xfId="5" applyFont="1" applyBorder="1" applyAlignment="1">
      <alignment horizontal="left" vertical="top" wrapText="1"/>
    </xf>
    <xf numFmtId="0" fontId="17" fillId="0" borderId="7" xfId="5" applyFont="1" applyBorder="1" applyAlignment="1">
      <alignment horizontal="left" vertical="top" wrapText="1"/>
    </xf>
    <xf numFmtId="0" fontId="17" fillId="0" borderId="20" xfId="5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7" xfId="2" applyBorder="1" applyAlignment="1">
      <alignment horizontal="center" vertical="center"/>
    </xf>
    <xf numFmtId="0" fontId="15" fillId="0" borderId="9" xfId="5" applyFont="1" applyBorder="1" applyAlignment="1">
      <alignment horizontal="left" vertical="center" wrapText="1"/>
    </xf>
    <xf numFmtId="0" fontId="15" fillId="0" borderId="10" xfId="5" applyFont="1" applyBorder="1" applyAlignment="1">
      <alignment horizontal="left" vertical="center" wrapText="1"/>
    </xf>
    <xf numFmtId="0" fontId="15" fillId="0" borderId="11" xfId="5" applyFont="1" applyBorder="1" applyAlignment="1">
      <alignment horizontal="left" vertical="center" wrapText="1"/>
    </xf>
    <xf numFmtId="0" fontId="15" fillId="0" borderId="14" xfId="5" applyFont="1" applyBorder="1" applyAlignment="1">
      <alignment horizontal="left" vertical="top" wrapText="1"/>
    </xf>
    <xf numFmtId="0" fontId="15" fillId="0" borderId="15" xfId="5" applyFont="1" applyBorder="1" applyAlignment="1">
      <alignment horizontal="left" vertical="top" wrapText="1"/>
    </xf>
    <xf numFmtId="0" fontId="15" fillId="0" borderId="16" xfId="5" applyFont="1" applyBorder="1" applyAlignment="1">
      <alignment horizontal="left" vertical="top" wrapText="1"/>
    </xf>
    <xf numFmtId="0" fontId="15" fillId="0" borderId="17" xfId="5" applyFont="1" applyBorder="1" applyAlignment="1">
      <alignment horizontal="left" vertical="top" wrapText="1"/>
    </xf>
    <xf numFmtId="0" fontId="15" fillId="0" borderId="0" xfId="5" applyFont="1" applyAlignment="1">
      <alignment horizontal="left" vertical="top" wrapText="1"/>
    </xf>
    <xf numFmtId="0" fontId="15" fillId="0" borderId="18" xfId="5" applyFont="1" applyBorder="1" applyAlignment="1">
      <alignment horizontal="left" vertical="top" wrapText="1"/>
    </xf>
    <xf numFmtId="0" fontId="15" fillId="0" borderId="19" xfId="5" applyFont="1" applyBorder="1" applyAlignment="1">
      <alignment horizontal="left" vertical="top" wrapText="1"/>
    </xf>
    <xf numFmtId="0" fontId="15" fillId="0" borderId="7" xfId="5" applyFont="1" applyBorder="1" applyAlignment="1">
      <alignment horizontal="left" vertical="top" wrapText="1"/>
    </xf>
    <xf numFmtId="0" fontId="15" fillId="0" borderId="20" xfId="5" applyFont="1" applyBorder="1" applyAlignment="1">
      <alignment horizontal="left" vertical="top" wrapText="1"/>
    </xf>
    <xf numFmtId="0" fontId="8" fillId="0" borderId="85" xfId="2" applyFont="1" applyBorder="1" applyAlignment="1">
      <alignment horizontal="center" vertical="center" wrapText="1"/>
    </xf>
    <xf numFmtId="0" fontId="8" fillId="0" borderId="86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10" fillId="0" borderId="30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30" xfId="6" applyFont="1" applyBorder="1" applyAlignment="1">
      <alignment horizontal="center" vertical="center" wrapText="1"/>
    </xf>
    <xf numFmtId="0" fontId="11" fillId="0" borderId="8" xfId="6" applyFont="1" applyBorder="1" applyAlignment="1">
      <alignment horizontal="center" vertical="center" wrapText="1"/>
    </xf>
    <xf numFmtId="0" fontId="11" fillId="0" borderId="23" xfId="6" applyFont="1" applyBorder="1" applyAlignment="1">
      <alignment horizontal="center" vertical="center" wrapText="1"/>
    </xf>
    <xf numFmtId="0" fontId="11" fillId="0" borderId="31" xfId="6" applyFont="1" applyBorder="1" applyAlignment="1">
      <alignment horizontal="center" vertical="center" wrapText="1"/>
    </xf>
    <xf numFmtId="0" fontId="11" fillId="0" borderId="4" xfId="6" applyFont="1" applyBorder="1" applyAlignment="1">
      <alignment horizontal="center" vertical="center" wrapText="1"/>
    </xf>
    <xf numFmtId="0" fontId="11" fillId="0" borderId="12" xfId="6" applyFont="1" applyBorder="1" applyAlignment="1">
      <alignment horizontal="center" vertical="center" wrapText="1"/>
    </xf>
    <xf numFmtId="0" fontId="11" fillId="0" borderId="26" xfId="6" applyFont="1" applyBorder="1" applyAlignment="1">
      <alignment horizontal="center" vertical="center" wrapText="1"/>
    </xf>
    <xf numFmtId="0" fontId="11" fillId="0" borderId="27" xfId="6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7" fillId="0" borderId="18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 wrapText="1"/>
    </xf>
    <xf numFmtId="0" fontId="18" fillId="5" borderId="28" xfId="2" applyFont="1" applyFill="1" applyBorder="1" applyAlignment="1">
      <alignment horizontal="center" vertical="center" wrapText="1"/>
    </xf>
    <xf numFmtId="0" fontId="18" fillId="5" borderId="29" xfId="2" applyFont="1" applyFill="1" applyBorder="1" applyAlignment="1">
      <alignment horizontal="center" vertical="center" wrapText="1"/>
    </xf>
    <xf numFmtId="0" fontId="12" fillId="0" borderId="55" xfId="2" applyFont="1" applyBorder="1" applyAlignment="1">
      <alignment horizontal="center" vertical="center" wrapText="1"/>
    </xf>
    <xf numFmtId="0" fontId="12" fillId="0" borderId="56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left" vertical="center"/>
    </xf>
    <xf numFmtId="0" fontId="15" fillId="0" borderId="10" xfId="2" applyFont="1" applyBorder="1" applyAlignment="1">
      <alignment horizontal="left" vertical="center"/>
    </xf>
    <xf numFmtId="0" fontId="15" fillId="0" borderId="11" xfId="2" applyFont="1" applyBorder="1" applyAlignment="1">
      <alignment horizontal="left" vertical="center"/>
    </xf>
    <xf numFmtId="0" fontId="18" fillId="5" borderId="28" xfId="2" applyFont="1" applyFill="1" applyBorder="1" applyAlignment="1">
      <alignment horizontal="center" vertical="center"/>
    </xf>
    <xf numFmtId="0" fontId="18" fillId="5" borderId="29" xfId="2" applyFont="1" applyFill="1" applyBorder="1" applyAlignment="1">
      <alignment horizontal="center" vertical="center"/>
    </xf>
    <xf numFmtId="0" fontId="19" fillId="0" borderId="14" xfId="2" applyFont="1" applyBorder="1" applyAlignment="1">
      <alignment horizontal="left" vertical="top" wrapText="1"/>
    </xf>
    <xf numFmtId="0" fontId="19" fillId="0" borderId="15" xfId="2" applyFont="1" applyBorder="1" applyAlignment="1">
      <alignment horizontal="left" vertical="top" wrapText="1"/>
    </xf>
    <xf numFmtId="0" fontId="19" fillId="0" borderId="16" xfId="2" applyFont="1" applyBorder="1" applyAlignment="1">
      <alignment horizontal="left" vertical="top" wrapText="1"/>
    </xf>
    <xf numFmtId="0" fontId="19" fillId="0" borderId="17" xfId="2" applyFont="1" applyBorder="1" applyAlignment="1">
      <alignment horizontal="left" vertical="top" wrapText="1"/>
    </xf>
    <xf numFmtId="0" fontId="19" fillId="0" borderId="0" xfId="2" applyFont="1" applyAlignment="1">
      <alignment horizontal="left" vertical="top" wrapText="1"/>
    </xf>
    <xf numFmtId="0" fontId="19" fillId="0" borderId="18" xfId="2" applyFont="1" applyBorder="1" applyAlignment="1">
      <alignment horizontal="left" vertical="top" wrapText="1"/>
    </xf>
    <xf numFmtId="0" fontId="19" fillId="0" borderId="19" xfId="2" applyFont="1" applyBorder="1" applyAlignment="1">
      <alignment horizontal="left" vertical="top" wrapText="1"/>
    </xf>
    <xf numFmtId="0" fontId="19" fillId="0" borderId="7" xfId="2" applyFont="1" applyBorder="1" applyAlignment="1">
      <alignment horizontal="left" vertical="top" wrapText="1"/>
    </xf>
    <xf numFmtId="0" fontId="19" fillId="0" borderId="20" xfId="2" applyFont="1" applyBorder="1" applyAlignment="1">
      <alignment horizontal="left" vertical="top" wrapText="1"/>
    </xf>
    <xf numFmtId="0" fontId="12" fillId="0" borderId="23" xfId="2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 wrapText="1"/>
    </xf>
    <xf numFmtId="0" fontId="18" fillId="5" borderId="24" xfId="2" applyFont="1" applyFill="1" applyBorder="1" applyAlignment="1">
      <alignment horizontal="center" vertical="center" wrapText="1"/>
    </xf>
    <xf numFmtId="0" fontId="18" fillId="5" borderId="25" xfId="2" applyFont="1" applyFill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0" fontId="3" fillId="0" borderId="14" xfId="2" applyBorder="1" applyAlignment="1">
      <alignment horizontal="left" vertical="top" wrapText="1"/>
    </xf>
    <xf numFmtId="0" fontId="3" fillId="0" borderId="15" xfId="2" applyBorder="1" applyAlignment="1">
      <alignment horizontal="left" vertical="top" wrapText="1"/>
    </xf>
    <xf numFmtId="0" fontId="3" fillId="0" borderId="16" xfId="2" applyBorder="1" applyAlignment="1">
      <alignment horizontal="left" vertical="top" wrapText="1"/>
    </xf>
    <xf numFmtId="0" fontId="3" fillId="0" borderId="17" xfId="2" applyBorder="1" applyAlignment="1">
      <alignment horizontal="left" vertical="top" wrapText="1"/>
    </xf>
    <xf numFmtId="0" fontId="3" fillId="0" borderId="0" xfId="2" applyAlignment="1">
      <alignment horizontal="left" vertical="top" wrapText="1"/>
    </xf>
    <xf numFmtId="0" fontId="3" fillId="0" borderId="18" xfId="2" applyBorder="1" applyAlignment="1">
      <alignment horizontal="left" vertical="top" wrapText="1"/>
    </xf>
    <xf numFmtId="0" fontId="3" fillId="0" borderId="19" xfId="2" applyBorder="1" applyAlignment="1">
      <alignment horizontal="left" vertical="top" wrapText="1"/>
    </xf>
    <xf numFmtId="0" fontId="3" fillId="0" borderId="7" xfId="2" applyBorder="1" applyAlignment="1">
      <alignment horizontal="left" vertical="top" wrapText="1"/>
    </xf>
    <xf numFmtId="0" fontId="3" fillId="0" borderId="20" xfId="2" applyBorder="1" applyAlignment="1">
      <alignment horizontal="left" vertical="top" wrapText="1"/>
    </xf>
    <xf numFmtId="0" fontId="7" fillId="0" borderId="23" xfId="2" applyFont="1" applyBorder="1" applyAlignment="1">
      <alignment horizontal="center" vertical="center" wrapText="1"/>
    </xf>
    <xf numFmtId="0" fontId="7" fillId="0" borderId="31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 wrapText="1"/>
    </xf>
    <xf numFmtId="0" fontId="13" fillId="6" borderId="39" xfId="2" applyFont="1" applyFill="1" applyBorder="1" applyAlignment="1">
      <alignment horizontal="center" vertical="center" wrapText="1"/>
    </xf>
    <xf numFmtId="0" fontId="13" fillId="6" borderId="40" xfId="2" applyFont="1" applyFill="1" applyBorder="1" applyAlignment="1">
      <alignment horizontal="center" vertical="center" wrapText="1"/>
    </xf>
    <xf numFmtId="0" fontId="3" fillId="0" borderId="44" xfId="2" applyBorder="1" applyAlignment="1">
      <alignment horizontal="center" vertical="center"/>
    </xf>
    <xf numFmtId="0" fontId="41" fillId="8" borderId="24" xfId="2" applyFont="1" applyFill="1" applyBorder="1" applyAlignment="1">
      <alignment horizontal="center" vertical="center" wrapText="1"/>
    </xf>
    <xf numFmtId="0" fontId="41" fillId="8" borderId="25" xfId="2" applyFont="1" applyFill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29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left" vertical="top" wrapText="1"/>
    </xf>
    <xf numFmtId="0" fontId="34" fillId="0" borderId="57" xfId="4" applyFont="1" applyBorder="1" applyAlignment="1">
      <alignment horizontal="center" vertical="center" wrapText="1"/>
    </xf>
    <xf numFmtId="0" fontId="34" fillId="0" borderId="58" xfId="4" applyFont="1" applyBorder="1" applyAlignment="1">
      <alignment horizontal="center" vertical="center" wrapText="1"/>
    </xf>
    <xf numFmtId="0" fontId="34" fillId="0" borderId="59" xfId="4" applyFont="1" applyBorder="1" applyAlignment="1">
      <alignment horizontal="center" vertical="center" wrapText="1"/>
    </xf>
    <xf numFmtId="0" fontId="35" fillId="0" borderId="60" xfId="4" applyFont="1" applyBorder="1" applyAlignment="1">
      <alignment horizontal="center" vertical="center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4" xfId="4" applyFont="1" applyBorder="1" applyAlignment="1">
      <alignment horizontal="center" vertical="center"/>
    </xf>
    <xf numFmtId="0" fontId="36" fillId="0" borderId="65" xfId="4" applyFont="1" applyBorder="1" applyAlignment="1">
      <alignment horizontal="center" vertical="center"/>
    </xf>
    <xf numFmtId="0" fontId="36" fillId="0" borderId="66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 wrapText="1"/>
    </xf>
    <xf numFmtId="0" fontId="36" fillId="0" borderId="61" xfId="4" applyFont="1" applyBorder="1" applyAlignment="1">
      <alignment horizontal="center" vertical="center" wrapText="1"/>
    </xf>
    <xf numFmtId="0" fontId="36" fillId="0" borderId="62" xfId="4" applyFont="1" applyBorder="1" applyAlignment="1">
      <alignment horizontal="center" vertical="center" wrapText="1"/>
    </xf>
    <xf numFmtId="0" fontId="36" fillId="0" borderId="67" xfId="4" applyFont="1" applyBorder="1" applyAlignment="1">
      <alignment horizontal="center" vertical="center" wrapText="1"/>
    </xf>
    <xf numFmtId="0" fontId="36" fillId="0" borderId="65" xfId="4" applyFont="1" applyBorder="1" applyAlignment="1">
      <alignment horizontal="center" vertical="center" wrapText="1"/>
    </xf>
    <xf numFmtId="0" fontId="36" fillId="0" borderId="66" xfId="4" applyFont="1" applyBorder="1" applyAlignment="1">
      <alignment horizontal="center" vertical="center" wrapText="1"/>
    </xf>
    <xf numFmtId="0" fontId="37" fillId="0" borderId="14" xfId="4" applyFont="1" applyBorder="1" applyAlignment="1">
      <alignment horizontal="left" vertical="center" wrapText="1" indent="2"/>
    </xf>
    <xf numFmtId="0" fontId="37" fillId="0" borderId="15" xfId="4" applyFont="1" applyBorder="1" applyAlignment="1">
      <alignment horizontal="left" vertical="center" wrapText="1" indent="2"/>
    </xf>
    <xf numFmtId="0" fontId="37" fillId="0" borderId="16" xfId="4" applyFont="1" applyBorder="1" applyAlignment="1">
      <alignment horizontal="left" vertical="center" wrapText="1" indent="2"/>
    </xf>
    <xf numFmtId="0" fontId="38" fillId="0" borderId="63" xfId="4" applyFont="1" applyBorder="1" applyAlignment="1">
      <alignment vertical="center" wrapText="1"/>
    </xf>
    <xf numFmtId="0" fontId="39" fillId="0" borderId="61" xfId="4" applyFont="1" applyBorder="1" applyAlignment="1">
      <alignment vertical="center" wrapText="1"/>
    </xf>
    <xf numFmtId="0" fontId="39" fillId="0" borderId="62" xfId="4" applyFont="1" applyBorder="1" applyAlignment="1">
      <alignment vertical="center" wrapText="1"/>
    </xf>
    <xf numFmtId="0" fontId="39" fillId="0" borderId="68" xfId="4" applyFont="1" applyBorder="1" applyAlignment="1">
      <alignment vertical="center" wrapText="1"/>
    </xf>
    <xf numFmtId="0" fontId="39" fillId="0" borderId="69" xfId="4" applyFont="1" applyBorder="1" applyAlignment="1">
      <alignment vertical="center" wrapText="1"/>
    </xf>
    <xf numFmtId="0" fontId="39" fillId="0" borderId="70" xfId="4" applyFont="1" applyBorder="1" applyAlignment="1">
      <alignment vertical="center" wrapText="1"/>
    </xf>
    <xf numFmtId="0" fontId="39" fillId="0" borderId="71" xfId="4" applyFont="1" applyBorder="1" applyAlignment="1">
      <alignment vertical="center" wrapText="1"/>
    </xf>
    <xf numFmtId="0" fontId="39" fillId="0" borderId="72" xfId="4" applyFont="1" applyBorder="1" applyAlignment="1">
      <alignment vertical="center" wrapText="1"/>
    </xf>
    <xf numFmtId="0" fontId="39" fillId="0" borderId="73" xfId="4" applyFont="1" applyBorder="1" applyAlignment="1">
      <alignment vertical="center" wrapText="1"/>
    </xf>
    <xf numFmtId="0" fontId="37" fillId="0" borderId="17" xfId="4" applyFont="1" applyBorder="1" applyAlignment="1">
      <alignment vertical="center" wrapText="1"/>
    </xf>
    <xf numFmtId="0" fontId="37" fillId="0" borderId="0" xfId="4" applyFont="1" applyAlignment="1">
      <alignment vertical="center" wrapText="1"/>
    </xf>
    <xf numFmtId="0" fontId="37" fillId="0" borderId="18" xfId="4" applyFont="1" applyBorder="1" applyAlignment="1">
      <alignment vertical="center" wrapText="1"/>
    </xf>
    <xf numFmtId="0" fontId="37" fillId="0" borderId="0" xfId="4" applyFont="1">
      <alignment vertical="center"/>
    </xf>
    <xf numFmtId="0" fontId="37" fillId="0" borderId="18" xfId="4" applyFont="1" applyBorder="1">
      <alignment vertical="center"/>
    </xf>
    <xf numFmtId="0" fontId="37" fillId="0" borderId="17" xfId="4" applyFont="1" applyBorder="1">
      <alignment vertical="center"/>
    </xf>
    <xf numFmtId="0" fontId="37" fillId="0" borderId="19" xfId="4" applyFont="1" applyBorder="1">
      <alignment vertical="center"/>
    </xf>
    <xf numFmtId="0" fontId="37" fillId="0" borderId="7" xfId="4" applyFont="1" applyBorder="1">
      <alignment vertical="center"/>
    </xf>
    <xf numFmtId="0" fontId="37" fillId="0" borderId="20" xfId="4" applyFont="1" applyBorder="1">
      <alignment vertical="center"/>
    </xf>
    <xf numFmtId="0" fontId="38" fillId="0" borderId="60" xfId="4" applyFont="1" applyBorder="1" applyAlignment="1">
      <alignment horizontal="center" vertical="center" wrapText="1"/>
    </xf>
    <xf numFmtId="0" fontId="38" fillId="0" borderId="75" xfId="4" applyFont="1" applyBorder="1" applyAlignment="1">
      <alignment horizontal="center" vertical="center" wrapText="1"/>
    </xf>
    <xf numFmtId="0" fontId="38" fillId="0" borderId="79" xfId="4" applyFont="1" applyBorder="1" applyAlignment="1">
      <alignment horizontal="center" vertical="center" wrapText="1"/>
    </xf>
    <xf numFmtId="0" fontId="38" fillId="0" borderId="61" xfId="4" applyFont="1" applyBorder="1" applyAlignment="1">
      <alignment horizontal="left" vertical="center" wrapText="1"/>
    </xf>
    <xf numFmtId="0" fontId="38" fillId="0" borderId="61" xfId="4" applyFont="1" applyBorder="1" applyAlignment="1">
      <alignment horizontal="left" vertical="center"/>
    </xf>
    <xf numFmtId="0" fontId="38" fillId="0" borderId="76" xfId="4" applyFont="1" applyBorder="1" applyAlignment="1">
      <alignment horizontal="left" vertical="center" wrapText="1"/>
    </xf>
    <xf numFmtId="0" fontId="38" fillId="0" borderId="76" xfId="4" applyFont="1" applyBorder="1" applyAlignment="1">
      <alignment horizontal="left" vertical="center"/>
    </xf>
    <xf numFmtId="0" fontId="38" fillId="0" borderId="69" xfId="4" applyFont="1" applyBorder="1" applyAlignment="1">
      <alignment horizontal="left" vertical="center"/>
    </xf>
    <xf numFmtId="0" fontId="38" fillId="0" borderId="61" xfId="4" applyFont="1" applyBorder="1" applyAlignment="1">
      <alignment horizontal="center" vertical="center"/>
    </xf>
    <xf numFmtId="0" fontId="38" fillId="0" borderId="76" xfId="4" applyFont="1" applyBorder="1" applyAlignment="1">
      <alignment horizontal="center" vertical="center"/>
    </xf>
    <xf numFmtId="0" fontId="38" fillId="0" borderId="69" xfId="4" applyFont="1" applyBorder="1" applyAlignment="1">
      <alignment horizontal="center" vertical="center"/>
    </xf>
    <xf numFmtId="0" fontId="38" fillId="0" borderId="61" xfId="4" applyFont="1" applyBorder="1" applyAlignment="1">
      <alignment horizontal="center" vertical="center" wrapText="1"/>
    </xf>
    <xf numFmtId="0" fontId="38" fillId="0" borderId="76" xfId="4" applyFont="1" applyBorder="1" applyAlignment="1">
      <alignment horizontal="center" vertical="center" wrapText="1"/>
    </xf>
    <xf numFmtId="0" fontId="38" fillId="0" borderId="74" xfId="4" applyFont="1" applyBorder="1" applyAlignment="1">
      <alignment horizontal="center" vertical="center"/>
    </xf>
    <xf numFmtId="0" fontId="38" fillId="0" borderId="62" xfId="4" applyFont="1" applyBorder="1" applyAlignment="1">
      <alignment horizontal="center" vertical="center"/>
    </xf>
    <xf numFmtId="0" fontId="38" fillId="0" borderId="77" xfId="4" applyFont="1" applyBorder="1" applyAlignment="1">
      <alignment horizontal="center" vertical="center"/>
    </xf>
    <xf numFmtId="0" fontId="38" fillId="0" borderId="78" xfId="4" applyFont="1" applyBorder="1" applyAlignment="1">
      <alignment horizontal="center" vertical="center"/>
    </xf>
    <xf numFmtId="0" fontId="38" fillId="0" borderId="80" xfId="4" applyFont="1" applyBorder="1" applyAlignment="1">
      <alignment horizontal="center" vertical="center"/>
    </xf>
    <xf numFmtId="0" fontId="38" fillId="0" borderId="70" xfId="4" applyFont="1" applyBorder="1" applyAlignment="1">
      <alignment horizontal="center" vertical="center"/>
    </xf>
    <xf numFmtId="0" fontId="38" fillId="0" borderId="79" xfId="4" applyFont="1" applyBorder="1" applyAlignment="1">
      <alignment horizontal="center" vertical="center"/>
    </xf>
    <xf numFmtId="0" fontId="38" fillId="0" borderId="65" xfId="4" applyFont="1" applyBorder="1" applyAlignment="1">
      <alignment horizontal="center" vertical="center"/>
    </xf>
    <xf numFmtId="0" fontId="38" fillId="0" borderId="72" xfId="4" applyFont="1" applyBorder="1" applyAlignment="1">
      <alignment horizontal="center" vertical="center"/>
    </xf>
    <xf numFmtId="0" fontId="38" fillId="0" borderId="45" xfId="4" applyFont="1" applyBorder="1" applyAlignment="1">
      <alignment horizontal="center" vertical="center"/>
    </xf>
    <xf numFmtId="0" fontId="38" fillId="0" borderId="66" xfId="4" applyFont="1" applyBorder="1" applyAlignment="1">
      <alignment horizontal="center" vertical="center"/>
    </xf>
    <xf numFmtId="0" fontId="38" fillId="0" borderId="84" xfId="4" applyFont="1" applyBorder="1" applyAlignment="1">
      <alignment horizontal="center" vertical="center"/>
    </xf>
    <xf numFmtId="0" fontId="38" fillId="0" borderId="73" xfId="4" applyFont="1" applyBorder="1" applyAlignment="1">
      <alignment horizontal="center" vertical="center"/>
    </xf>
    <xf numFmtId="0" fontId="38" fillId="0" borderId="64" xfId="4" applyFont="1" applyBorder="1" applyAlignment="1">
      <alignment horizontal="center" vertical="center"/>
    </xf>
    <xf numFmtId="0" fontId="38" fillId="0" borderId="82" xfId="4" applyFont="1" applyBorder="1" applyAlignment="1">
      <alignment horizontal="center" vertical="center"/>
    </xf>
    <xf numFmtId="0" fontId="38" fillId="0" borderId="81" xfId="4" applyFont="1" applyBorder="1" applyAlignment="1">
      <alignment horizontal="center" vertical="center"/>
    </xf>
    <xf numFmtId="0" fontId="38" fillId="0" borderId="83" xfId="4" applyFont="1" applyBorder="1" applyAlignment="1">
      <alignment horizontal="center" vertical="center"/>
    </xf>
    <xf numFmtId="0" fontId="41" fillId="8" borderId="26" xfId="2" applyFont="1" applyFill="1" applyBorder="1" applyAlignment="1">
      <alignment vertical="center"/>
    </xf>
    <xf numFmtId="0" fontId="41" fillId="8" borderId="27" xfId="2" applyFont="1" applyFill="1" applyBorder="1" applyAlignment="1">
      <alignment vertical="center"/>
    </xf>
  </cellXfs>
  <cellStyles count="8">
    <cellStyle name="백분율" xfId="1" builtinId="5"/>
    <cellStyle name="표준" xfId="0" builtinId="0"/>
    <cellStyle name="표준 2 10 17" xfId="4" xr:uid="{00000000-0005-0000-0000-000002000000}"/>
    <cellStyle name="표준 2 10 18" xfId="3" xr:uid="{00000000-0005-0000-0000-000003000000}"/>
    <cellStyle name="표준 2 10 20" xfId="2" xr:uid="{00000000-0005-0000-0000-000004000000}"/>
    <cellStyle name="표준 2 10 20 9" xfId="7" xr:uid="{00000000-0005-0000-0000-000005000000}"/>
    <cellStyle name="표준 2 2" xfId="6" xr:uid="{00000000-0005-0000-0000-000006000000}"/>
    <cellStyle name="표준 2 3 6 20" xfId="5" xr:uid="{00000000-0005-0000-0000-000007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2"/>
  <sheetViews>
    <sheetView topLeftCell="A2" zoomScale="85" zoomScaleNormal="85" zoomScalePageLayoutView="80" workbookViewId="0">
      <selection activeCell="U20" sqref="U20:Z22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284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213">
        <f>AVERAGE(R5:R30)</f>
        <v>1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1" t="s">
        <v>111</v>
      </c>
      <c r="C4" s="251"/>
      <c r="D4" s="252"/>
      <c r="E4" s="153" t="s">
        <v>313</v>
      </c>
      <c r="F4" s="154" t="s">
        <v>475</v>
      </c>
      <c r="G4" s="155" t="s">
        <v>314</v>
      </c>
      <c r="H4" s="156" t="s">
        <v>315</v>
      </c>
      <c r="I4" s="201" t="s">
        <v>529</v>
      </c>
      <c r="J4" s="155" t="s">
        <v>316</v>
      </c>
      <c r="K4" s="155" t="s">
        <v>317</v>
      </c>
      <c r="L4" s="157"/>
      <c r="M4" s="154" t="s">
        <v>318</v>
      </c>
      <c r="N4" s="155" t="s">
        <v>319</v>
      </c>
      <c r="O4" s="155" t="s">
        <v>320</v>
      </c>
      <c r="P4" s="155" t="s">
        <v>321</v>
      </c>
      <c r="Q4" s="155" t="s">
        <v>322</v>
      </c>
      <c r="R4" s="18">
        <f t="shared" ref="R4:R9" si="0">(COUNTA(C4:Q4))/12</f>
        <v>1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 t="s">
        <v>22</v>
      </c>
      <c r="K5" s="13" t="s">
        <v>36</v>
      </c>
      <c r="L5" s="13"/>
      <c r="M5" s="13" t="s">
        <v>422</v>
      </c>
      <c r="N5" s="13" t="s">
        <v>37</v>
      </c>
      <c r="O5" s="17" t="s">
        <v>24</v>
      </c>
      <c r="P5" s="13" t="s">
        <v>38</v>
      </c>
      <c r="Q5" s="211" t="s">
        <v>520</v>
      </c>
      <c r="R5" s="18">
        <f t="shared" si="0"/>
        <v>1</v>
      </c>
      <c r="S5" s="19"/>
      <c r="U5" s="242"/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42</v>
      </c>
      <c r="H6" s="13" t="s">
        <v>43</v>
      </c>
      <c r="I6" s="13" t="s">
        <v>44</v>
      </c>
      <c r="J6" s="13" t="s">
        <v>45</v>
      </c>
      <c r="K6" s="13" t="s">
        <v>46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3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24" t="s">
        <v>77</v>
      </c>
      <c r="I7" s="15" t="s">
        <v>69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23" t="s">
        <v>52</v>
      </c>
      <c r="C8" s="253"/>
      <c r="D8" s="254"/>
      <c r="E8" s="13" t="s">
        <v>397</v>
      </c>
      <c r="F8" s="13" t="s">
        <v>54</v>
      </c>
      <c r="G8" s="144" t="s">
        <v>520</v>
      </c>
      <c r="H8" s="13" t="s">
        <v>56</v>
      </c>
      <c r="I8" s="13" t="s">
        <v>328</v>
      </c>
      <c r="J8" s="13" t="s">
        <v>57</v>
      </c>
      <c r="K8" s="13" t="s">
        <v>58</v>
      </c>
      <c r="L8" s="13"/>
      <c r="M8" s="22" t="s">
        <v>480</v>
      </c>
      <c r="N8" s="22" t="s">
        <v>60</v>
      </c>
      <c r="O8" s="13" t="s">
        <v>391</v>
      </c>
      <c r="P8" s="13" t="s">
        <v>61</v>
      </c>
      <c r="Q8" s="17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158" t="s">
        <v>62</v>
      </c>
      <c r="C9" s="255"/>
      <c r="D9" s="256"/>
      <c r="E9" s="145" t="s">
        <v>85</v>
      </c>
      <c r="F9" s="14" t="s">
        <v>63</v>
      </c>
      <c r="G9" s="30" t="s">
        <v>446</v>
      </c>
      <c r="H9" s="31" t="s">
        <v>65</v>
      </c>
      <c r="I9" s="31" t="s">
        <v>66</v>
      </c>
      <c r="J9" s="31" t="s">
        <v>67</v>
      </c>
      <c r="K9" s="14" t="s">
        <v>68</v>
      </c>
      <c r="L9" s="32"/>
      <c r="M9" s="14" t="s">
        <v>69</v>
      </c>
      <c r="N9" s="14" t="s">
        <v>70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531</v>
      </c>
      <c r="D10" s="35" t="s">
        <v>531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16" t="s">
        <v>550</v>
      </c>
      <c r="K10" s="212" t="s">
        <v>529</v>
      </c>
      <c r="L10" s="36"/>
      <c r="M10" s="36" t="s">
        <v>79</v>
      </c>
      <c r="N10" s="38" t="s">
        <v>80</v>
      </c>
      <c r="O10" s="15" t="s">
        <v>81</v>
      </c>
      <c r="P10" s="217"/>
      <c r="Q10" s="218"/>
      <c r="R10" s="28">
        <f t="shared" ref="R10:R17" si="1">(COUNTA(C10:Q10))/12</f>
        <v>1</v>
      </c>
      <c r="S10" s="19"/>
      <c r="U10" s="223" t="s">
        <v>559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534</v>
      </c>
      <c r="D11" s="39" t="s">
        <v>533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214" t="s">
        <v>529</v>
      </c>
      <c r="P11" s="219"/>
      <c r="Q11" s="220"/>
      <c r="R11" s="28">
        <f t="shared" si="1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535</v>
      </c>
      <c r="D12" s="39" t="s">
        <v>80</v>
      </c>
      <c r="E12" s="201" t="s">
        <v>529</v>
      </c>
      <c r="F12" s="13" t="s">
        <v>528</v>
      </c>
      <c r="G12" s="13" t="s">
        <v>84</v>
      </c>
      <c r="H12" s="13" t="s">
        <v>447</v>
      </c>
      <c r="I12" s="17" t="s">
        <v>63</v>
      </c>
      <c r="J12" s="13" t="s">
        <v>86</v>
      </c>
      <c r="K12" s="13" t="s">
        <v>87</v>
      </c>
      <c r="L12" s="15"/>
      <c r="M12" s="145" t="s">
        <v>107</v>
      </c>
      <c r="N12" s="16" t="s">
        <v>89</v>
      </c>
      <c r="O12" s="15" t="s">
        <v>90</v>
      </c>
      <c r="P12" s="219"/>
      <c r="Q12" s="220"/>
      <c r="R12" s="18">
        <f>(COUNTA(C12:Q12))/12</f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538</v>
      </c>
      <c r="D13" s="39" t="s">
        <v>538</v>
      </c>
      <c r="E13" s="13" t="s">
        <v>93</v>
      </c>
      <c r="F13" s="145" t="s">
        <v>110</v>
      </c>
      <c r="G13" s="40" t="s">
        <v>95</v>
      </c>
      <c r="H13" s="13" t="s">
        <v>88</v>
      </c>
      <c r="I13" s="41" t="s">
        <v>34</v>
      </c>
      <c r="J13" s="201" t="s">
        <v>529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1"/>
        <v>1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58" t="s">
        <v>105</v>
      </c>
      <c r="C14" s="159" t="s">
        <v>541</v>
      </c>
      <c r="D14" s="43" t="s">
        <v>541</v>
      </c>
      <c r="E14" s="160" t="s">
        <v>51</v>
      </c>
      <c r="F14" s="162" t="s">
        <v>90</v>
      </c>
      <c r="G14" s="31" t="s">
        <v>106</v>
      </c>
      <c r="H14" s="31" t="s">
        <v>107</v>
      </c>
      <c r="I14" s="31" t="s">
        <v>92</v>
      </c>
      <c r="J14" s="45" t="s">
        <v>108</v>
      </c>
      <c r="K14" s="14" t="s">
        <v>109</v>
      </c>
      <c r="L14" s="163"/>
      <c r="M14" s="146" t="s">
        <v>22</v>
      </c>
      <c r="N14" s="14" t="s">
        <v>110</v>
      </c>
      <c r="O14" s="14" t="s">
        <v>87</v>
      </c>
      <c r="P14" s="221"/>
      <c r="Q14" s="222"/>
      <c r="R14" s="18">
        <f t="shared" si="1"/>
        <v>1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1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1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479</v>
      </c>
      <c r="H17" s="13" t="s">
        <v>476</v>
      </c>
      <c r="I17" s="24" t="s">
        <v>129</v>
      </c>
      <c r="J17" s="13" t="s">
        <v>130</v>
      </c>
      <c r="K17" s="13" t="s">
        <v>448</v>
      </c>
      <c r="L17" s="13"/>
      <c r="M17" s="13" t="s">
        <v>132</v>
      </c>
      <c r="N17" s="13" t="s">
        <v>133</v>
      </c>
      <c r="O17" s="13" t="s">
        <v>449</v>
      </c>
      <c r="P17" s="24" t="s">
        <v>134</v>
      </c>
      <c r="Q17" s="17" t="s">
        <v>135</v>
      </c>
      <c r="R17" s="28">
        <f t="shared" si="1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23" t="s">
        <v>137</v>
      </c>
      <c r="C18" s="293"/>
      <c r="D18" s="294"/>
      <c r="E18" s="297" t="s">
        <v>138</v>
      </c>
      <c r="F18" s="298"/>
      <c r="G18" s="13" t="s">
        <v>139</v>
      </c>
      <c r="H18" s="13" t="s">
        <v>140</v>
      </c>
      <c r="I18" s="49" t="s">
        <v>141</v>
      </c>
      <c r="J18" s="13" t="s">
        <v>142</v>
      </c>
      <c r="K18" s="24" t="s">
        <v>143</v>
      </c>
      <c r="L18" s="13"/>
      <c r="M18" s="49" t="s">
        <v>464</v>
      </c>
      <c r="N18" s="22" t="s">
        <v>145</v>
      </c>
      <c r="O18" s="50" t="s">
        <v>146</v>
      </c>
      <c r="P18" s="13" t="s">
        <v>147</v>
      </c>
      <c r="Q18" s="15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543</v>
      </c>
      <c r="D20" s="39" t="s">
        <v>303</v>
      </c>
      <c r="E20" s="15" t="s">
        <v>160</v>
      </c>
      <c r="F20" s="36" t="s">
        <v>161</v>
      </c>
      <c r="G20" s="186" t="s">
        <v>331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167</v>
      </c>
      <c r="P20" s="217"/>
      <c r="Q20" s="218"/>
      <c r="R20" s="28">
        <f>(COUNTA(C20:Q20))/12</f>
        <v>1</v>
      </c>
      <c r="S20" s="19"/>
      <c r="U20" s="282" t="s">
        <v>518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244</v>
      </c>
      <c r="D21" s="39" t="s">
        <v>536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 t="s">
        <v>305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547</v>
      </c>
      <c r="D22" s="43" t="s">
        <v>549</v>
      </c>
      <c r="E22" s="144" t="s">
        <v>174</v>
      </c>
      <c r="F22" s="201" t="s">
        <v>525</v>
      </c>
      <c r="G22" s="22" t="s">
        <v>171</v>
      </c>
      <c r="H22" s="14" t="s">
        <v>471</v>
      </c>
      <c r="I22" s="13" t="s">
        <v>172</v>
      </c>
      <c r="J22" s="14" t="s">
        <v>173</v>
      </c>
      <c r="K22" s="211" t="s">
        <v>175</v>
      </c>
      <c r="L22" s="13"/>
      <c r="M22" s="201" t="s">
        <v>530</v>
      </c>
      <c r="N22" s="145" t="s">
        <v>176</v>
      </c>
      <c r="O22" s="145" t="s">
        <v>521</v>
      </c>
      <c r="P22" s="221"/>
      <c r="Q22" s="222"/>
      <c r="R22" s="28">
        <f>(COUNTA(C22:Q22))/12</f>
        <v>1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 t="s">
        <v>474</v>
      </c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196</v>
      </c>
      <c r="O24" s="31" t="s">
        <v>65</v>
      </c>
      <c r="P24" s="31" t="s">
        <v>85</v>
      </c>
      <c r="Q24" s="31" t="s">
        <v>197</v>
      </c>
      <c r="R24" s="18">
        <f>(COUNTA(C24:Q24))/12</f>
        <v>1</v>
      </c>
      <c r="S24" s="19"/>
      <c r="U24" s="301"/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1" t="s">
        <v>551</v>
      </c>
      <c r="H26" s="165" t="s">
        <v>552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210" t="s">
        <v>519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557</v>
      </c>
      <c r="F27" s="30" t="s">
        <v>532</v>
      </c>
      <c r="G27" s="168" t="s">
        <v>558</v>
      </c>
      <c r="H27" s="30" t="s">
        <v>537</v>
      </c>
      <c r="I27" s="30" t="s">
        <v>332</v>
      </c>
      <c r="J27" s="168" t="s">
        <v>539</v>
      </c>
      <c r="K27" s="30" t="s">
        <v>555</v>
      </c>
      <c r="L27" s="32"/>
      <c r="M27" s="30" t="s">
        <v>499</v>
      </c>
      <c r="N27" s="73" t="s">
        <v>540</v>
      </c>
      <c r="O27" s="30" t="s">
        <v>514</v>
      </c>
      <c r="P27" s="168" t="s">
        <v>556</v>
      </c>
      <c r="Q27" s="30" t="s">
        <v>472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208</v>
      </c>
      <c r="F28" s="274"/>
      <c r="G28" s="14" t="s">
        <v>325</v>
      </c>
      <c r="H28" s="31" t="s">
        <v>384</v>
      </c>
      <c r="I28" s="31" t="s">
        <v>383</v>
      </c>
      <c r="J28" s="14" t="s">
        <v>291</v>
      </c>
      <c r="K28" s="31" t="s">
        <v>451</v>
      </c>
      <c r="L28" s="44"/>
      <c r="M28" s="31" t="s">
        <v>210</v>
      </c>
      <c r="N28" s="14" t="s">
        <v>526</v>
      </c>
      <c r="O28" s="192" t="s">
        <v>527</v>
      </c>
      <c r="P28" s="146" t="s">
        <v>522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545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13" t="s">
        <v>353</v>
      </c>
      <c r="Q32" s="13" t="s">
        <v>100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461</v>
      </c>
      <c r="P33" s="13" t="s">
        <v>232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24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515</v>
      </c>
      <c r="G35" s="13" t="s">
        <v>542</v>
      </c>
      <c r="H35" s="13" t="s">
        <v>477</v>
      </c>
      <c r="I35" s="13" t="s">
        <v>242</v>
      </c>
      <c r="J35" s="13"/>
      <c r="K35" s="13" t="s">
        <v>544</v>
      </c>
      <c r="L35" s="24"/>
      <c r="M35" s="13" t="s">
        <v>345</v>
      </c>
      <c r="N35" s="13" t="s">
        <v>243</v>
      </c>
      <c r="O35" s="13" t="s">
        <v>516</v>
      </c>
      <c r="P35" s="21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548</v>
      </c>
      <c r="G36" s="13" t="s">
        <v>247</v>
      </c>
      <c r="H36" s="13" t="s">
        <v>248</v>
      </c>
      <c r="I36" s="13" t="s">
        <v>249</v>
      </c>
      <c r="J36" s="13" t="s">
        <v>504</v>
      </c>
      <c r="K36" s="13" t="s">
        <v>250</v>
      </c>
      <c r="L36" s="98"/>
      <c r="M36" s="13" t="s">
        <v>517</v>
      </c>
      <c r="N36" s="13" t="s">
        <v>505</v>
      </c>
      <c r="O36" s="13" t="s">
        <v>251</v>
      </c>
      <c r="P36" s="13" t="s">
        <v>252</v>
      </c>
      <c r="Q36" s="13" t="s">
        <v>546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253</v>
      </c>
      <c r="F38" s="102" t="s">
        <v>5</v>
      </c>
      <c r="G38" s="102" t="s">
        <v>6</v>
      </c>
      <c r="H38" s="103" t="s">
        <v>254</v>
      </c>
      <c r="I38" s="104" t="s">
        <v>255</v>
      </c>
      <c r="J38" s="102" t="s">
        <v>256</v>
      </c>
      <c r="K38" s="102" t="s">
        <v>257</v>
      </c>
      <c r="L38" s="84"/>
      <c r="M38" s="102" t="s">
        <v>258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 t="s">
        <v>523</v>
      </c>
      <c r="G39" s="109" t="s">
        <v>524</v>
      </c>
      <c r="H39" s="109"/>
      <c r="I39" s="73"/>
      <c r="J39" s="109"/>
      <c r="K39" s="73"/>
      <c r="L39" s="16"/>
      <c r="M39" s="109"/>
      <c r="N39" s="109" t="s">
        <v>523</v>
      </c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443</v>
      </c>
      <c r="J40" s="17"/>
      <c r="K40" s="17"/>
      <c r="L40" s="24"/>
      <c r="M40" s="74" t="s">
        <v>444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 t="s">
        <v>554</v>
      </c>
      <c r="I41" s="74" t="s">
        <v>553</v>
      </c>
      <c r="J41" s="74"/>
      <c r="K41" s="74"/>
      <c r="L41" s="24"/>
      <c r="M41" s="74"/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/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500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/>
      <c r="F47" s="170" t="s">
        <v>35</v>
      </c>
      <c r="G47" s="13" t="s">
        <v>399</v>
      </c>
      <c r="H47" s="13"/>
      <c r="I47" s="47" t="s">
        <v>418</v>
      </c>
      <c r="J47" s="13" t="s">
        <v>85</v>
      </c>
      <c r="K47" s="13" t="s">
        <v>59</v>
      </c>
      <c r="L47" s="24"/>
      <c r="M47" s="170"/>
      <c r="N47" s="170" t="s">
        <v>457</v>
      </c>
      <c r="O47" s="170"/>
      <c r="P47" s="170"/>
      <c r="Q47" s="170" t="s">
        <v>457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3"/>
      <c r="H48" s="170"/>
      <c r="I48" s="47" t="s">
        <v>380</v>
      </c>
      <c r="J48" s="171"/>
      <c r="K48" s="170"/>
      <c r="L48" s="44"/>
      <c r="M48" s="14"/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370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366</v>
      </c>
      <c r="J53" s="122"/>
      <c r="K53" s="144" t="s">
        <v>113</v>
      </c>
      <c r="L53" s="14"/>
      <c r="M53" s="173"/>
      <c r="N53" s="14" t="s">
        <v>400</v>
      </c>
      <c r="O53" s="147" t="s">
        <v>128</v>
      </c>
      <c r="P53" s="144" t="s">
        <v>361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8">
    <mergeCell ref="E48:F48"/>
    <mergeCell ref="U40:W40"/>
    <mergeCell ref="U24:Z28"/>
    <mergeCell ref="C23:D24"/>
    <mergeCell ref="U23:Z23"/>
    <mergeCell ref="D32:D33"/>
    <mergeCell ref="D37:R37"/>
    <mergeCell ref="U19:Z19"/>
    <mergeCell ref="E19:F19"/>
    <mergeCell ref="U20:Z22"/>
    <mergeCell ref="P20:Q22"/>
    <mergeCell ref="C15:D19"/>
    <mergeCell ref="E18:F18"/>
    <mergeCell ref="A26:A27"/>
    <mergeCell ref="B26:B27"/>
    <mergeCell ref="C26:D28"/>
    <mergeCell ref="U29:Z30"/>
    <mergeCell ref="E28:F28"/>
    <mergeCell ref="C29:D29"/>
    <mergeCell ref="P10:Q14"/>
    <mergeCell ref="U10:Z18"/>
    <mergeCell ref="A1:Q1"/>
    <mergeCell ref="A2:Q2"/>
    <mergeCell ref="U2:Z3"/>
    <mergeCell ref="U4:Z4"/>
    <mergeCell ref="U5:Z8"/>
    <mergeCell ref="C4:D9"/>
    <mergeCell ref="U9:Z9"/>
  </mergeCells>
  <phoneticPr fontId="5" type="noConversion"/>
  <conditionalFormatting sqref="O85:O86">
    <cfRule type="uniqueValues" dxfId="20" priority="3"/>
  </conditionalFormatting>
  <conditionalFormatting sqref="M79:M80">
    <cfRule type="uniqueValues" dxfId="19" priority="2"/>
  </conditionalFormatting>
  <conditionalFormatting sqref="N85:N86">
    <cfRule type="uniqueValues" dxfId="18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72"/>
  <sheetViews>
    <sheetView topLeftCell="A2" zoomScale="85" zoomScaleNormal="85" zoomScalePageLayoutView="80" workbookViewId="0">
      <selection activeCell="E12" sqref="E12:F12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401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>
        <f>AVERAGE(R5:R30)</f>
        <v>0.99621212121212122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1" t="s">
        <v>111</v>
      </c>
      <c r="C4" s="251"/>
      <c r="D4" s="252"/>
      <c r="E4" s="153" t="s">
        <v>63</v>
      </c>
      <c r="F4" s="154" t="s">
        <v>59</v>
      </c>
      <c r="G4" s="155" t="s">
        <v>314</v>
      </c>
      <c r="H4" s="156" t="s">
        <v>24</v>
      </c>
      <c r="I4" s="154" t="s">
        <v>39</v>
      </c>
      <c r="J4" s="155" t="s">
        <v>51</v>
      </c>
      <c r="K4" s="155" t="s">
        <v>22</v>
      </c>
      <c r="L4" s="157"/>
      <c r="M4" s="154" t="s">
        <v>318</v>
      </c>
      <c r="N4" s="155" t="s">
        <v>35</v>
      </c>
      <c r="O4" s="155" t="s">
        <v>112</v>
      </c>
      <c r="P4" s="155" t="s">
        <v>321</v>
      </c>
      <c r="Q4" s="155" t="s">
        <v>69</v>
      </c>
      <c r="R4" s="18">
        <f t="shared" ref="R4:R17" si="0">(COUNTA(C4:Q4))/12</f>
        <v>1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85" t="s">
        <v>404</v>
      </c>
      <c r="F5" s="13" t="s">
        <v>33</v>
      </c>
      <c r="G5" s="13" t="s">
        <v>25</v>
      </c>
      <c r="H5" s="184" t="s">
        <v>405</v>
      </c>
      <c r="I5" s="13" t="s">
        <v>35</v>
      </c>
      <c r="J5" s="13" t="s">
        <v>22</v>
      </c>
      <c r="K5" s="13" t="s">
        <v>36</v>
      </c>
      <c r="L5" s="15"/>
      <c r="M5" s="145" t="s">
        <v>372</v>
      </c>
      <c r="N5" s="13" t="s">
        <v>37</v>
      </c>
      <c r="O5" s="17" t="s">
        <v>24</v>
      </c>
      <c r="P5" s="13" t="s">
        <v>38</v>
      </c>
      <c r="Q5" s="22" t="s">
        <v>39</v>
      </c>
      <c r="R5" s="18">
        <f t="shared" si="0"/>
        <v>1</v>
      </c>
      <c r="S5" s="19"/>
      <c r="U5" s="242" t="s">
        <v>412</v>
      </c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6" t="s">
        <v>382</v>
      </c>
      <c r="F6" s="24" t="s">
        <v>41</v>
      </c>
      <c r="G6" s="13" t="s">
        <v>42</v>
      </c>
      <c r="H6" s="13" t="s">
        <v>43</v>
      </c>
      <c r="I6" s="13" t="s">
        <v>44</v>
      </c>
      <c r="J6" s="13" t="s">
        <v>45</v>
      </c>
      <c r="K6" s="13" t="s">
        <v>46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7" t="s">
        <v>99</v>
      </c>
      <c r="C7" s="253"/>
      <c r="D7" s="254"/>
      <c r="E7" s="13" t="s">
        <v>101</v>
      </c>
      <c r="F7" s="145" t="s">
        <v>381</v>
      </c>
      <c r="G7" s="146" t="s">
        <v>382</v>
      </c>
      <c r="H7" s="24" t="s">
        <v>77</v>
      </c>
      <c r="I7" s="15" t="s">
        <v>69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45" t="s">
        <v>28</v>
      </c>
      <c r="Q7" s="151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176" t="s">
        <v>402</v>
      </c>
      <c r="C8" s="253"/>
      <c r="D8" s="254"/>
      <c r="E8" s="178" t="s">
        <v>397</v>
      </c>
      <c r="F8" s="178" t="s">
        <v>28</v>
      </c>
      <c r="G8" s="179" t="s">
        <v>39</v>
      </c>
      <c r="H8" s="178" t="s">
        <v>56</v>
      </c>
      <c r="I8" s="178" t="s">
        <v>51</v>
      </c>
      <c r="J8" s="178" t="s">
        <v>57</v>
      </c>
      <c r="K8" s="178" t="s">
        <v>58</v>
      </c>
      <c r="L8" s="178"/>
      <c r="M8" s="180" t="s">
        <v>59</v>
      </c>
      <c r="N8" s="180" t="s">
        <v>60</v>
      </c>
      <c r="O8" s="178" t="s">
        <v>391</v>
      </c>
      <c r="P8" s="178" t="s">
        <v>61</v>
      </c>
      <c r="Q8" s="179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29" t="s">
        <v>62</v>
      </c>
      <c r="C9" s="255"/>
      <c r="D9" s="256"/>
      <c r="E9" s="13" t="s">
        <v>312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34</v>
      </c>
      <c r="K9" s="14" t="s">
        <v>68</v>
      </c>
      <c r="L9" s="32"/>
      <c r="M9" s="14" t="s">
        <v>69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333</v>
      </c>
      <c r="D10" s="35" t="s">
        <v>333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5"/>
      <c r="K10" s="37" t="s">
        <v>39</v>
      </c>
      <c r="L10" s="36"/>
      <c r="M10" s="36" t="s">
        <v>79</v>
      </c>
      <c r="N10" s="38" t="s">
        <v>80</v>
      </c>
      <c r="O10" s="15" t="s">
        <v>26</v>
      </c>
      <c r="P10" s="217"/>
      <c r="Q10" s="218"/>
      <c r="R10" s="28">
        <f t="shared" si="0"/>
        <v>0.91666666666666663</v>
      </c>
      <c r="S10" s="19"/>
      <c r="U10" s="223" t="s">
        <v>414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334</v>
      </c>
      <c r="D11" s="39" t="s">
        <v>334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13" t="s">
        <v>27</v>
      </c>
      <c r="P11" s="219"/>
      <c r="Q11" s="220"/>
      <c r="R11" s="28">
        <f t="shared" si="0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336</v>
      </c>
      <c r="D12" s="39" t="s">
        <v>337</v>
      </c>
      <c r="E12" s="13" t="s">
        <v>27</v>
      </c>
      <c r="F12" s="150" t="s">
        <v>310</v>
      </c>
      <c r="G12" s="13" t="s">
        <v>84</v>
      </c>
      <c r="H12" s="13" t="s">
        <v>85</v>
      </c>
      <c r="I12" s="17" t="s">
        <v>63</v>
      </c>
      <c r="J12" s="13" t="s">
        <v>86</v>
      </c>
      <c r="K12" s="13" t="s">
        <v>87</v>
      </c>
      <c r="L12" s="15"/>
      <c r="M12" s="13" t="s">
        <v>88</v>
      </c>
      <c r="N12" s="16" t="s">
        <v>89</v>
      </c>
      <c r="O12" s="15" t="s">
        <v>90</v>
      </c>
      <c r="P12" s="219"/>
      <c r="Q12" s="220"/>
      <c r="R12" s="18">
        <f t="shared" si="0"/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340</v>
      </c>
      <c r="D13" s="39" t="s">
        <v>340</v>
      </c>
      <c r="E13" s="13" t="s">
        <v>93</v>
      </c>
      <c r="F13" s="13" t="s">
        <v>94</v>
      </c>
      <c r="G13" s="40" t="s">
        <v>95</v>
      </c>
      <c r="H13" s="13" t="s">
        <v>88</v>
      </c>
      <c r="I13" s="41" t="s">
        <v>34</v>
      </c>
      <c r="J13" s="145" t="s">
        <v>330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1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58" t="s">
        <v>105</v>
      </c>
      <c r="C14" s="159" t="s">
        <v>41</v>
      </c>
      <c r="D14" s="43" t="s">
        <v>86</v>
      </c>
      <c r="E14" s="160" t="s">
        <v>51</v>
      </c>
      <c r="F14" s="162" t="s">
        <v>90</v>
      </c>
      <c r="G14" s="31" t="s">
        <v>26</v>
      </c>
      <c r="H14" s="31" t="s">
        <v>107</v>
      </c>
      <c r="I14" s="31" t="s">
        <v>92</v>
      </c>
      <c r="J14" s="45" t="s">
        <v>37</v>
      </c>
      <c r="K14" s="14" t="s">
        <v>109</v>
      </c>
      <c r="L14" s="163"/>
      <c r="M14" s="14" t="s">
        <v>104</v>
      </c>
      <c r="N14" s="14" t="s">
        <v>110</v>
      </c>
      <c r="O14" s="14" t="s">
        <v>87</v>
      </c>
      <c r="P14" s="221"/>
      <c r="Q14" s="222"/>
      <c r="R14" s="18">
        <f t="shared" si="0"/>
        <v>1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1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49" t="s">
        <v>360</v>
      </c>
      <c r="Q15" s="149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45" t="s">
        <v>327</v>
      </c>
      <c r="H16" s="145" t="s">
        <v>385</v>
      </c>
      <c r="I16" s="145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127</v>
      </c>
      <c r="H17" s="13" t="s">
        <v>128</v>
      </c>
      <c r="I17" s="24" t="s">
        <v>129</v>
      </c>
      <c r="J17" s="13" t="s">
        <v>130</v>
      </c>
      <c r="K17" s="13" t="s">
        <v>131</v>
      </c>
      <c r="L17" s="13"/>
      <c r="M17" s="13" t="s">
        <v>132</v>
      </c>
      <c r="N17" s="13" t="s">
        <v>133</v>
      </c>
      <c r="O17" s="13" t="s">
        <v>117</v>
      </c>
      <c r="P17" s="24" t="s">
        <v>134</v>
      </c>
      <c r="Q17" s="17" t="s">
        <v>135</v>
      </c>
      <c r="R17" s="28">
        <f t="shared" si="0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177" t="s">
        <v>403</v>
      </c>
      <c r="C18" s="293"/>
      <c r="D18" s="294"/>
      <c r="E18" s="297" t="s">
        <v>138</v>
      </c>
      <c r="F18" s="298"/>
      <c r="G18" s="178" t="s">
        <v>139</v>
      </c>
      <c r="H18" s="178" t="s">
        <v>140</v>
      </c>
      <c r="I18" s="181" t="s">
        <v>141</v>
      </c>
      <c r="J18" s="178" t="s">
        <v>142</v>
      </c>
      <c r="K18" s="179" t="s">
        <v>143</v>
      </c>
      <c r="L18" s="178"/>
      <c r="M18" s="181" t="s">
        <v>144</v>
      </c>
      <c r="N18" s="180" t="s">
        <v>145</v>
      </c>
      <c r="O18" s="182" t="s">
        <v>146</v>
      </c>
      <c r="P18" s="178" t="s">
        <v>147</v>
      </c>
      <c r="Q18" s="183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350</v>
      </c>
      <c r="D20" s="39" t="s">
        <v>349</v>
      </c>
      <c r="E20" s="15" t="s">
        <v>160</v>
      </c>
      <c r="F20" s="36" t="s">
        <v>161</v>
      </c>
      <c r="G20" s="16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413</v>
      </c>
      <c r="P20" s="217"/>
      <c r="Q20" s="218"/>
      <c r="R20" s="28">
        <f>(COUNTA(C20:Q20))/12</f>
        <v>1</v>
      </c>
      <c r="S20" s="19"/>
      <c r="U20" s="282" t="s">
        <v>295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354</v>
      </c>
      <c r="D21" s="39" t="s">
        <v>352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 t="s">
        <v>305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358</v>
      </c>
      <c r="D22" s="43" t="s">
        <v>356</v>
      </c>
      <c r="E22" s="24" t="s">
        <v>169</v>
      </c>
      <c r="F22" s="13" t="s">
        <v>170</v>
      </c>
      <c r="G22" s="22" t="s">
        <v>171</v>
      </c>
      <c r="H22" s="146" t="s">
        <v>369</v>
      </c>
      <c r="I22" s="13" t="s">
        <v>172</v>
      </c>
      <c r="J22" s="14" t="s">
        <v>173</v>
      </c>
      <c r="K22" s="22" t="s">
        <v>174</v>
      </c>
      <c r="L22" s="13"/>
      <c r="M22" s="24" t="s">
        <v>175</v>
      </c>
      <c r="N22" s="13" t="s">
        <v>113</v>
      </c>
      <c r="O22" s="48" t="s">
        <v>176</v>
      </c>
      <c r="P22" s="221"/>
      <c r="Q22" s="222"/>
      <c r="R22" s="28">
        <f>(COUNTA(C22:Q22))/12</f>
        <v>1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 t="s">
        <v>59</v>
      </c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408</v>
      </c>
      <c r="O24" s="61" t="s">
        <v>410</v>
      </c>
      <c r="P24" s="31" t="s">
        <v>85</v>
      </c>
      <c r="Q24" s="31" t="s">
        <v>197</v>
      </c>
      <c r="R24" s="18">
        <f>(COUNTA(C24:Q24))/12</f>
        <v>1</v>
      </c>
      <c r="S24" s="19"/>
      <c r="U24" s="301" t="s">
        <v>406</v>
      </c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" t="s">
        <v>289</v>
      </c>
      <c r="H26" s="165" t="s">
        <v>326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74" t="s">
        <v>201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395</v>
      </c>
      <c r="F27" s="30" t="s">
        <v>394</v>
      </c>
      <c r="G27" s="30" t="s">
        <v>338</v>
      </c>
      <c r="H27" s="30" t="s">
        <v>204</v>
      </c>
      <c r="I27" s="30" t="s">
        <v>332</v>
      </c>
      <c r="J27" s="30" t="s">
        <v>389</v>
      </c>
      <c r="K27" s="168" t="s">
        <v>396</v>
      </c>
      <c r="L27" s="32"/>
      <c r="M27" s="30" t="s">
        <v>339</v>
      </c>
      <c r="N27" s="73" t="s">
        <v>407</v>
      </c>
      <c r="O27" s="30" t="s">
        <v>409</v>
      </c>
      <c r="P27" s="168" t="s">
        <v>388</v>
      </c>
      <c r="Q27" s="168" t="s">
        <v>362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6" t="s">
        <v>325</v>
      </c>
      <c r="H28" s="31" t="s">
        <v>384</v>
      </c>
      <c r="I28" s="31" t="s">
        <v>383</v>
      </c>
      <c r="J28" s="14" t="s">
        <v>291</v>
      </c>
      <c r="K28" s="31" t="s">
        <v>209</v>
      </c>
      <c r="L28" s="44"/>
      <c r="M28" s="31" t="s">
        <v>210</v>
      </c>
      <c r="N28" s="14" t="s">
        <v>211</v>
      </c>
      <c r="O28" s="31" t="s">
        <v>296</v>
      </c>
      <c r="P28" s="14" t="s">
        <v>212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>
        <v>27</v>
      </c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224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88" t="s">
        <v>41</v>
      </c>
      <c r="Q32" s="13" t="s">
        <v>100</v>
      </c>
      <c r="R32" s="86"/>
      <c r="S32" s="91"/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347</v>
      </c>
      <c r="P33" s="13" t="s">
        <v>231</v>
      </c>
      <c r="Q33" s="13"/>
      <c r="R33" s="90"/>
      <c r="S33" s="91">
        <v>4</v>
      </c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167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19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351</v>
      </c>
      <c r="G35" s="13" t="s">
        <v>240</v>
      </c>
      <c r="H35" s="13" t="s">
        <v>241</v>
      </c>
      <c r="I35" s="13" t="s">
        <v>242</v>
      </c>
      <c r="J35" s="13"/>
      <c r="K35" s="13" t="s">
        <v>344</v>
      </c>
      <c r="L35" s="24"/>
      <c r="M35" s="13" t="s">
        <v>345</v>
      </c>
      <c r="N35" s="13" t="s">
        <v>243</v>
      </c>
      <c r="O35" s="13" t="s">
        <v>348</v>
      </c>
      <c r="P35" s="95" t="s">
        <v>244</v>
      </c>
      <c r="Q35" s="13" t="s">
        <v>245</v>
      </c>
      <c r="R35" s="94"/>
      <c r="S35" s="96">
        <v>23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292</v>
      </c>
      <c r="G36" s="13" t="s">
        <v>247</v>
      </c>
      <c r="H36" s="13" t="s">
        <v>248</v>
      </c>
      <c r="I36" s="13" t="s">
        <v>249</v>
      </c>
      <c r="J36" s="13" t="s">
        <v>357</v>
      </c>
      <c r="K36" s="13" t="s">
        <v>250</v>
      </c>
      <c r="L36" s="98"/>
      <c r="M36" s="13" t="s">
        <v>359</v>
      </c>
      <c r="N36" s="13" t="s">
        <v>355</v>
      </c>
      <c r="O36" s="13" t="s">
        <v>251</v>
      </c>
      <c r="P36" s="13" t="s">
        <v>252</v>
      </c>
      <c r="Q36" s="13" t="s">
        <v>329</v>
      </c>
      <c r="R36" s="99"/>
      <c r="S36" s="96">
        <f>S31+S33+S34+S35</f>
        <v>73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256</v>
      </c>
      <c r="K38" s="102" t="s">
        <v>10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/>
      <c r="G39" s="109"/>
      <c r="H39" s="109"/>
      <c r="I39" s="73" t="s">
        <v>262</v>
      </c>
      <c r="J39" s="109"/>
      <c r="K39" s="73"/>
      <c r="L39" s="16"/>
      <c r="M39" s="109"/>
      <c r="N39" s="109"/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265</v>
      </c>
      <c r="J40" s="17"/>
      <c r="K40" s="17"/>
      <c r="L40" s="24"/>
      <c r="M40" s="74" t="s">
        <v>266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/>
      <c r="I41" s="74" t="s">
        <v>392</v>
      </c>
      <c r="J41" s="74" t="s">
        <v>270</v>
      </c>
      <c r="K41" s="74"/>
      <c r="L41" s="24"/>
      <c r="M41" s="74" t="s">
        <v>271</v>
      </c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 t="s">
        <v>274</v>
      </c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279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 t="s">
        <v>398</v>
      </c>
      <c r="F47" s="170" t="s">
        <v>374</v>
      </c>
      <c r="G47" s="13" t="s">
        <v>399</v>
      </c>
      <c r="H47" s="13"/>
      <c r="I47" s="47" t="s">
        <v>374</v>
      </c>
      <c r="J47" s="13" t="s">
        <v>85</v>
      </c>
      <c r="K47" s="13" t="s">
        <v>59</v>
      </c>
      <c r="L47" s="24"/>
      <c r="M47" s="170" t="s">
        <v>375</v>
      </c>
      <c r="N47" s="170" t="s">
        <v>376</v>
      </c>
      <c r="O47" s="170" t="s">
        <v>377</v>
      </c>
      <c r="P47" s="170" t="s">
        <v>378</v>
      </c>
      <c r="Q47" s="170" t="s">
        <v>376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70" t="s">
        <v>379</v>
      </c>
      <c r="H48" s="170" t="s">
        <v>365</v>
      </c>
      <c r="I48" s="47" t="s">
        <v>117</v>
      </c>
      <c r="J48" s="171" t="s">
        <v>379</v>
      </c>
      <c r="K48" s="170" t="s">
        <v>113</v>
      </c>
      <c r="L48" s="44"/>
      <c r="M48" s="14" t="s">
        <v>411</v>
      </c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400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8">
    <mergeCell ref="A1:Q1"/>
    <mergeCell ref="A2:Q2"/>
    <mergeCell ref="U2:Z3"/>
    <mergeCell ref="C4:D9"/>
    <mergeCell ref="U4:Z4"/>
    <mergeCell ref="U5:Z8"/>
    <mergeCell ref="U9:Z9"/>
    <mergeCell ref="U10:Z18"/>
    <mergeCell ref="C15:D19"/>
    <mergeCell ref="E18:F18"/>
    <mergeCell ref="E19:F19"/>
    <mergeCell ref="U19:Z19"/>
    <mergeCell ref="A26:A27"/>
    <mergeCell ref="B26:B27"/>
    <mergeCell ref="C26:D28"/>
    <mergeCell ref="E28:F28"/>
    <mergeCell ref="P10:Q14"/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</mergeCells>
  <phoneticPr fontId="5" type="noConversion"/>
  <conditionalFormatting sqref="O85:O86">
    <cfRule type="uniqueValues" dxfId="17" priority="3"/>
  </conditionalFormatting>
  <conditionalFormatting sqref="M79:M80">
    <cfRule type="uniqueValues" dxfId="16" priority="2"/>
  </conditionalFormatting>
  <conditionalFormatting sqref="N85:N86">
    <cfRule type="uniqueValues" dxfId="15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72"/>
  <sheetViews>
    <sheetView topLeftCell="A2" zoomScale="85" zoomScaleNormal="85" zoomScalePageLayoutView="80" workbookViewId="0">
      <selection activeCell="H6" sqref="H6:H7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424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>
        <f>AVERAGE(R5:R30)</f>
        <v>0.99242424242424254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1" t="s">
        <v>111</v>
      </c>
      <c r="C4" s="251"/>
      <c r="D4" s="252"/>
      <c r="E4" s="153" t="s">
        <v>63</v>
      </c>
      <c r="F4" s="154" t="s">
        <v>59</v>
      </c>
      <c r="G4" s="155" t="s">
        <v>72</v>
      </c>
      <c r="H4" s="156" t="s">
        <v>24</v>
      </c>
      <c r="I4" s="154" t="s">
        <v>39</v>
      </c>
      <c r="J4" s="155" t="s">
        <v>51</v>
      </c>
      <c r="K4" s="190" t="s">
        <v>22</v>
      </c>
      <c r="L4" s="157"/>
      <c r="M4" s="154" t="s">
        <v>318</v>
      </c>
      <c r="N4" s="155" t="s">
        <v>35</v>
      </c>
      <c r="O4" s="155" t="s">
        <v>112</v>
      </c>
      <c r="P4" s="155"/>
      <c r="Q4" s="155" t="s">
        <v>33</v>
      </c>
      <c r="R4" s="18">
        <f t="shared" ref="R4:R17" si="0">(COUNTA(C4:Q4))/12</f>
        <v>0.91666666666666663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 t="s">
        <v>22</v>
      </c>
      <c r="K5" s="13" t="s">
        <v>36</v>
      </c>
      <c r="L5" s="15"/>
      <c r="M5" s="145" t="s">
        <v>422</v>
      </c>
      <c r="N5" s="13" t="s">
        <v>37</v>
      </c>
      <c r="O5" s="17" t="s">
        <v>24</v>
      </c>
      <c r="P5" s="13" t="s">
        <v>38</v>
      </c>
      <c r="Q5" s="22" t="s">
        <v>39</v>
      </c>
      <c r="R5" s="18">
        <f t="shared" si="0"/>
        <v>1</v>
      </c>
      <c r="S5" s="19"/>
      <c r="U5" s="242"/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35</v>
      </c>
      <c r="H6" s="13" t="s">
        <v>43</v>
      </c>
      <c r="I6" s="13" t="s">
        <v>44</v>
      </c>
      <c r="J6" s="13" t="s">
        <v>45</v>
      </c>
      <c r="K6" s="13" t="s">
        <v>38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7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13" t="s">
        <v>43</v>
      </c>
      <c r="I7" s="15" t="s">
        <v>33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176" t="s">
        <v>426</v>
      </c>
      <c r="C8" s="253"/>
      <c r="D8" s="254"/>
      <c r="E8" s="178" t="s">
        <v>53</v>
      </c>
      <c r="F8" s="178" t="s">
        <v>28</v>
      </c>
      <c r="G8" s="179" t="s">
        <v>39</v>
      </c>
      <c r="H8" s="178" t="s">
        <v>56</v>
      </c>
      <c r="I8" s="178" t="s">
        <v>51</v>
      </c>
      <c r="J8" s="178" t="s">
        <v>57</v>
      </c>
      <c r="K8" s="178" t="s">
        <v>58</v>
      </c>
      <c r="L8" s="178"/>
      <c r="M8" s="180" t="s">
        <v>59</v>
      </c>
      <c r="N8" s="180" t="s">
        <v>60</v>
      </c>
      <c r="O8" s="178" t="s">
        <v>318</v>
      </c>
      <c r="P8" s="178" t="s">
        <v>61</v>
      </c>
      <c r="Q8" s="179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29" t="s">
        <v>62</v>
      </c>
      <c r="C9" s="255"/>
      <c r="D9" s="256"/>
      <c r="E9" s="13" t="s">
        <v>312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34</v>
      </c>
      <c r="K9" s="14" t="s">
        <v>68</v>
      </c>
      <c r="L9" s="32"/>
      <c r="M9" s="14" t="s">
        <v>33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333</v>
      </c>
      <c r="D10" s="35" t="s">
        <v>333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5" t="s">
        <v>78</v>
      </c>
      <c r="K10" s="37" t="s">
        <v>39</v>
      </c>
      <c r="L10" s="36"/>
      <c r="M10" s="36" t="s">
        <v>79</v>
      </c>
      <c r="N10" s="38" t="s">
        <v>80</v>
      </c>
      <c r="O10" s="15" t="s">
        <v>26</v>
      </c>
      <c r="P10" s="217"/>
      <c r="Q10" s="218"/>
      <c r="R10" s="28">
        <f t="shared" si="0"/>
        <v>1</v>
      </c>
      <c r="S10" s="19"/>
      <c r="U10" s="223" t="s">
        <v>423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334</v>
      </c>
      <c r="D11" s="39" t="s">
        <v>334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13" t="s">
        <v>27</v>
      </c>
      <c r="P11" s="219"/>
      <c r="Q11" s="220"/>
      <c r="R11" s="28">
        <f t="shared" si="0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336</v>
      </c>
      <c r="D12" s="39" t="s">
        <v>336</v>
      </c>
      <c r="E12" s="13" t="s">
        <v>27</v>
      </c>
      <c r="F12" s="16" t="s">
        <v>27</v>
      </c>
      <c r="G12" s="13" t="s">
        <v>84</v>
      </c>
      <c r="H12" s="13" t="s">
        <v>85</v>
      </c>
      <c r="I12" s="17" t="s">
        <v>63</v>
      </c>
      <c r="J12" s="13" t="s">
        <v>86</v>
      </c>
      <c r="K12" s="13" t="s">
        <v>87</v>
      </c>
      <c r="L12" s="15"/>
      <c r="M12" s="13" t="s">
        <v>22</v>
      </c>
      <c r="N12" s="16" t="s">
        <v>89</v>
      </c>
      <c r="O12" s="15" t="s">
        <v>90</v>
      </c>
      <c r="P12" s="219"/>
      <c r="Q12" s="220"/>
      <c r="R12" s="18">
        <f t="shared" si="0"/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340</v>
      </c>
      <c r="D13" s="39" t="s">
        <v>340</v>
      </c>
      <c r="E13" s="188" t="s">
        <v>430</v>
      </c>
      <c r="F13" s="188" t="s">
        <v>434</v>
      </c>
      <c r="G13" s="189" t="s">
        <v>435</v>
      </c>
      <c r="H13" s="188" t="s">
        <v>431</v>
      </c>
      <c r="I13" s="41" t="s">
        <v>34</v>
      </c>
      <c r="J13" s="13" t="s">
        <v>110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1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58" t="s">
        <v>105</v>
      </c>
      <c r="C14" s="159" t="s">
        <v>41</v>
      </c>
      <c r="D14" s="43" t="s">
        <v>86</v>
      </c>
      <c r="E14" s="160" t="s">
        <v>51</v>
      </c>
      <c r="F14" s="162" t="s">
        <v>90</v>
      </c>
      <c r="G14" s="31" t="s">
        <v>26</v>
      </c>
      <c r="H14" s="31" t="s">
        <v>107</v>
      </c>
      <c r="I14" s="31" t="s">
        <v>92</v>
      </c>
      <c r="J14" s="45" t="s">
        <v>37</v>
      </c>
      <c r="K14" s="14" t="s">
        <v>109</v>
      </c>
      <c r="L14" s="163"/>
      <c r="M14" s="14" t="s">
        <v>104</v>
      </c>
      <c r="N14" s="14" t="s">
        <v>110</v>
      </c>
      <c r="O14" s="14" t="s">
        <v>87</v>
      </c>
      <c r="P14" s="221"/>
      <c r="Q14" s="222"/>
      <c r="R14" s="18">
        <f t="shared" si="0"/>
        <v>1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191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127</v>
      </c>
      <c r="H17" s="13" t="s">
        <v>128</v>
      </c>
      <c r="I17" s="24" t="s">
        <v>129</v>
      </c>
      <c r="J17" s="13" t="s">
        <v>130</v>
      </c>
      <c r="K17" s="13" t="s">
        <v>131</v>
      </c>
      <c r="L17" s="13"/>
      <c r="M17" s="13" t="s">
        <v>132</v>
      </c>
      <c r="N17" s="13" t="s">
        <v>133</v>
      </c>
      <c r="O17" s="13" t="s">
        <v>117</v>
      </c>
      <c r="P17" s="24" t="s">
        <v>134</v>
      </c>
      <c r="Q17" s="17" t="s">
        <v>135</v>
      </c>
      <c r="R17" s="28">
        <f t="shared" si="0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177" t="s">
        <v>427</v>
      </c>
      <c r="C18" s="293"/>
      <c r="D18" s="294"/>
      <c r="E18" s="317"/>
      <c r="F18" s="318"/>
      <c r="G18" s="178" t="s">
        <v>139</v>
      </c>
      <c r="H18" s="178" t="s">
        <v>140</v>
      </c>
      <c r="I18" s="181" t="s">
        <v>141</v>
      </c>
      <c r="J18" s="178" t="s">
        <v>142</v>
      </c>
      <c r="K18" s="179" t="s">
        <v>143</v>
      </c>
      <c r="L18" s="178"/>
      <c r="M18" s="181" t="s">
        <v>438</v>
      </c>
      <c r="N18" s="180" t="s">
        <v>145</v>
      </c>
      <c r="O18" s="182" t="s">
        <v>146</v>
      </c>
      <c r="P18" s="178" t="s">
        <v>147</v>
      </c>
      <c r="Q18" s="183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350</v>
      </c>
      <c r="D20" s="39" t="s">
        <v>116</v>
      </c>
      <c r="E20" s="15" t="s">
        <v>160</v>
      </c>
      <c r="F20" s="36" t="s">
        <v>161</v>
      </c>
      <c r="G20" s="18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167</v>
      </c>
      <c r="P20" s="217"/>
      <c r="Q20" s="218"/>
      <c r="R20" s="28">
        <f>(COUNTA(C20:Q20))/12</f>
        <v>1</v>
      </c>
      <c r="S20" s="19"/>
      <c r="U20" s="282" t="s">
        <v>425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354</v>
      </c>
      <c r="D21" s="39" t="s">
        <v>352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/>
      <c r="N21" s="13" t="s">
        <v>306</v>
      </c>
      <c r="O21" s="47" t="s">
        <v>307</v>
      </c>
      <c r="P21" s="219"/>
      <c r="Q21" s="220"/>
      <c r="R21" s="28">
        <f>(COUNTA(C21:Q21))/12</f>
        <v>0.91666666666666663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358</v>
      </c>
      <c r="D22" s="43" t="s">
        <v>356</v>
      </c>
      <c r="E22" s="24" t="s">
        <v>169</v>
      </c>
      <c r="F22" s="13" t="s">
        <v>170</v>
      </c>
      <c r="G22" s="22" t="s">
        <v>171</v>
      </c>
      <c r="H22" s="14"/>
      <c r="I22" s="13" t="s">
        <v>172</v>
      </c>
      <c r="J22" s="14" t="s">
        <v>173</v>
      </c>
      <c r="K22" s="22" t="s">
        <v>174</v>
      </c>
      <c r="L22" s="13"/>
      <c r="M22" s="24" t="s">
        <v>175</v>
      </c>
      <c r="N22" s="13" t="s">
        <v>113</v>
      </c>
      <c r="O22" s="48" t="s">
        <v>176</v>
      </c>
      <c r="P22" s="221"/>
      <c r="Q22" s="222"/>
      <c r="R22" s="28">
        <f>(COUNTA(C22:Q22))/12</f>
        <v>0.91666666666666663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 t="s">
        <v>59</v>
      </c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440</v>
      </c>
      <c r="O24" s="61" t="s">
        <v>442</v>
      </c>
      <c r="P24" s="31" t="s">
        <v>85</v>
      </c>
      <c r="Q24" s="31" t="s">
        <v>197</v>
      </c>
      <c r="R24" s="18">
        <f>(COUNTA(C24:Q24))/12</f>
        <v>1</v>
      </c>
      <c r="S24" s="19"/>
      <c r="U24" s="301" t="s">
        <v>436</v>
      </c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" t="s">
        <v>289</v>
      </c>
      <c r="H26" s="73" t="s">
        <v>326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74" t="s">
        <v>201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420</v>
      </c>
      <c r="F27" s="30" t="s">
        <v>394</v>
      </c>
      <c r="G27" s="30" t="s">
        <v>338</v>
      </c>
      <c r="H27" s="30" t="s">
        <v>204</v>
      </c>
      <c r="I27" s="30" t="s">
        <v>332</v>
      </c>
      <c r="J27" s="30" t="s">
        <v>389</v>
      </c>
      <c r="K27" s="30" t="s">
        <v>421</v>
      </c>
      <c r="L27" s="32"/>
      <c r="M27" s="30" t="s">
        <v>339</v>
      </c>
      <c r="N27" s="73" t="s">
        <v>439</v>
      </c>
      <c r="O27" s="30" t="s">
        <v>441</v>
      </c>
      <c r="P27" s="30" t="s">
        <v>388</v>
      </c>
      <c r="Q27" s="30" t="s">
        <v>417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" t="s">
        <v>325</v>
      </c>
      <c r="H28" s="31" t="s">
        <v>384</v>
      </c>
      <c r="I28" s="187" t="s">
        <v>429</v>
      </c>
      <c r="J28" s="14" t="s">
        <v>291</v>
      </c>
      <c r="K28" s="31" t="s">
        <v>428</v>
      </c>
      <c r="L28" s="44"/>
      <c r="M28" s="31" t="s">
        <v>210</v>
      </c>
      <c r="N28" s="14" t="s">
        <v>211</v>
      </c>
      <c r="O28" s="31" t="s">
        <v>296</v>
      </c>
      <c r="P28" s="14" t="s">
        <v>212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433</v>
      </c>
      <c r="F32" s="13" t="s">
        <v>341</v>
      </c>
      <c r="G32" s="13" t="s">
        <v>224</v>
      </c>
      <c r="H32" s="13" t="s">
        <v>432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88" t="s">
        <v>41</v>
      </c>
      <c r="Q32" s="13" t="s">
        <v>19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347</v>
      </c>
      <c r="P33" s="13" t="s">
        <v>231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167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437</v>
      </c>
      <c r="G35" s="13"/>
      <c r="H35" s="13" t="s">
        <v>241</v>
      </c>
      <c r="I35" s="13" t="s">
        <v>242</v>
      </c>
      <c r="J35" s="13"/>
      <c r="K35" s="13" t="s">
        <v>344</v>
      </c>
      <c r="L35" s="24"/>
      <c r="M35" s="13" t="s">
        <v>345</v>
      </c>
      <c r="N35" s="13" t="s">
        <v>243</v>
      </c>
      <c r="O35" s="13" t="s">
        <v>348</v>
      </c>
      <c r="P35" s="9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292</v>
      </c>
      <c r="G36" s="13" t="s">
        <v>247</v>
      </c>
      <c r="H36" s="13" t="s">
        <v>248</v>
      </c>
      <c r="I36" s="13" t="s">
        <v>249</v>
      </c>
      <c r="J36" s="13" t="s">
        <v>357</v>
      </c>
      <c r="K36" s="13" t="s">
        <v>250</v>
      </c>
      <c r="L36" s="98"/>
      <c r="M36" s="13" t="s">
        <v>359</v>
      </c>
      <c r="N36" s="13" t="s">
        <v>355</v>
      </c>
      <c r="O36" s="13" t="s">
        <v>251</v>
      </c>
      <c r="P36" s="13" t="s">
        <v>252</v>
      </c>
      <c r="Q36" s="13" t="s">
        <v>329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9</v>
      </c>
      <c r="K38" s="102" t="s">
        <v>10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/>
      <c r="G39" s="109"/>
      <c r="H39" s="109"/>
      <c r="I39" s="73" t="s">
        <v>262</v>
      </c>
      <c r="J39" s="109"/>
      <c r="K39" s="73"/>
      <c r="L39" s="16"/>
      <c r="M39" s="109"/>
      <c r="N39" s="109"/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265</v>
      </c>
      <c r="J40" s="17"/>
      <c r="K40" s="17"/>
      <c r="L40" s="24"/>
      <c r="M40" s="74" t="s">
        <v>266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/>
      <c r="I41" s="74" t="s">
        <v>392</v>
      </c>
      <c r="J41" s="74" t="s">
        <v>270</v>
      </c>
      <c r="K41" s="74"/>
      <c r="L41" s="24"/>
      <c r="M41" s="74" t="s">
        <v>271</v>
      </c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 t="s">
        <v>274</v>
      </c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279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 t="s">
        <v>398</v>
      </c>
      <c r="F47" s="170" t="s">
        <v>418</v>
      </c>
      <c r="G47" s="13" t="s">
        <v>77</v>
      </c>
      <c r="H47" s="13"/>
      <c r="I47" s="47" t="s">
        <v>418</v>
      </c>
      <c r="J47" s="13" t="s">
        <v>85</v>
      </c>
      <c r="K47" s="13" t="s">
        <v>59</v>
      </c>
      <c r="L47" s="24"/>
      <c r="M47" s="170" t="s">
        <v>375</v>
      </c>
      <c r="N47" s="170"/>
      <c r="O47" s="170" t="s">
        <v>377</v>
      </c>
      <c r="P47" s="170" t="s">
        <v>378</v>
      </c>
      <c r="Q47" s="170"/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70"/>
      <c r="H48" s="170" t="s">
        <v>365</v>
      </c>
      <c r="I48" s="47" t="s">
        <v>117</v>
      </c>
      <c r="J48" s="171"/>
      <c r="K48" s="170" t="s">
        <v>113</v>
      </c>
      <c r="L48" s="44"/>
      <c r="M48" s="14" t="s">
        <v>419</v>
      </c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130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8"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  <mergeCell ref="A26:A27"/>
    <mergeCell ref="B26:B27"/>
    <mergeCell ref="C26:D28"/>
    <mergeCell ref="E28:F28"/>
    <mergeCell ref="P10:Q14"/>
    <mergeCell ref="U10:Z18"/>
    <mergeCell ref="C15:D19"/>
    <mergeCell ref="E18:F18"/>
    <mergeCell ref="E19:F19"/>
    <mergeCell ref="U19:Z19"/>
    <mergeCell ref="A1:Q1"/>
    <mergeCell ref="A2:Q2"/>
    <mergeCell ref="U2:Z3"/>
    <mergeCell ref="C4:D9"/>
    <mergeCell ref="U4:Z4"/>
    <mergeCell ref="U5:Z8"/>
    <mergeCell ref="U9:Z9"/>
  </mergeCells>
  <phoneticPr fontId="5" type="noConversion"/>
  <conditionalFormatting sqref="O85:O86">
    <cfRule type="uniqueValues" dxfId="14" priority="3"/>
  </conditionalFormatting>
  <conditionalFormatting sqref="M79:M80">
    <cfRule type="uniqueValues" dxfId="13" priority="2"/>
  </conditionalFormatting>
  <conditionalFormatting sqref="N85:N86">
    <cfRule type="uniqueValues" dxfId="12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2"/>
  <sheetViews>
    <sheetView topLeftCell="A2" zoomScale="85" zoomScaleNormal="85" zoomScalePageLayoutView="80" workbookViewId="0">
      <selection activeCell="G16" sqref="G16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460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>
        <f>AVERAGE(R5:R30)</f>
        <v>0.9772727272727274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1" t="s">
        <v>111</v>
      </c>
      <c r="C4" s="251"/>
      <c r="D4" s="252"/>
      <c r="E4" s="153" t="s">
        <v>63</v>
      </c>
      <c r="F4" s="154"/>
      <c r="G4" s="155" t="s">
        <v>72</v>
      </c>
      <c r="H4" s="156" t="s">
        <v>24</v>
      </c>
      <c r="I4" s="154" t="s">
        <v>39</v>
      </c>
      <c r="J4" s="155" t="s">
        <v>51</v>
      </c>
      <c r="K4" s="155" t="s">
        <v>22</v>
      </c>
      <c r="L4" s="157"/>
      <c r="M4" s="154" t="s">
        <v>318</v>
      </c>
      <c r="N4" s="155" t="s">
        <v>35</v>
      </c>
      <c r="O4" s="155" t="s">
        <v>112</v>
      </c>
      <c r="P4" s="155" t="s">
        <v>58</v>
      </c>
      <c r="Q4" s="155" t="s">
        <v>33</v>
      </c>
      <c r="R4" s="18">
        <f t="shared" ref="R4:R17" si="0">(COUNTA(C4:Q4))/12</f>
        <v>0.91666666666666663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 t="s">
        <v>22</v>
      </c>
      <c r="K5" s="13" t="s">
        <v>36</v>
      </c>
      <c r="L5" s="15"/>
      <c r="M5" s="145" t="s">
        <v>422</v>
      </c>
      <c r="N5" s="13" t="s">
        <v>37</v>
      </c>
      <c r="O5" s="17" t="s">
        <v>24</v>
      </c>
      <c r="P5" s="13" t="s">
        <v>38</v>
      </c>
      <c r="Q5" s="22" t="s">
        <v>39</v>
      </c>
      <c r="R5" s="18">
        <f t="shared" si="0"/>
        <v>1</v>
      </c>
      <c r="S5" s="19"/>
      <c r="U5" s="242" t="s">
        <v>459</v>
      </c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35</v>
      </c>
      <c r="H6" s="13" t="s">
        <v>43</v>
      </c>
      <c r="I6" s="13" t="s">
        <v>44</v>
      </c>
      <c r="J6" s="13" t="s">
        <v>45</v>
      </c>
      <c r="K6" s="13" t="s">
        <v>38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7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24" t="s">
        <v>77</v>
      </c>
      <c r="I7" s="15" t="s">
        <v>33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176" t="s">
        <v>462</v>
      </c>
      <c r="C8" s="253"/>
      <c r="D8" s="254"/>
      <c r="E8" s="178" t="s">
        <v>53</v>
      </c>
      <c r="F8" s="178" t="s">
        <v>28</v>
      </c>
      <c r="G8" s="179" t="s">
        <v>39</v>
      </c>
      <c r="H8" s="178" t="s">
        <v>56</v>
      </c>
      <c r="I8" s="178" t="s">
        <v>51</v>
      </c>
      <c r="J8" s="178" t="s">
        <v>57</v>
      </c>
      <c r="K8" s="178" t="s">
        <v>58</v>
      </c>
      <c r="L8" s="178"/>
      <c r="M8" s="180"/>
      <c r="N8" s="180"/>
      <c r="O8" s="178" t="s">
        <v>318</v>
      </c>
      <c r="P8" s="178" t="s">
        <v>61</v>
      </c>
      <c r="Q8" s="179" t="s">
        <v>390</v>
      </c>
      <c r="R8" s="18">
        <f t="shared" si="0"/>
        <v>0.83333333333333337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29" t="s">
        <v>62</v>
      </c>
      <c r="C9" s="255"/>
      <c r="D9" s="256"/>
      <c r="E9" s="13" t="s">
        <v>312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34</v>
      </c>
      <c r="K9" s="14" t="s">
        <v>68</v>
      </c>
      <c r="L9" s="32"/>
      <c r="M9" s="14" t="s">
        <v>33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333</v>
      </c>
      <c r="D10" s="35" t="s">
        <v>333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5" t="s">
        <v>78</v>
      </c>
      <c r="K10" s="37" t="s">
        <v>39</v>
      </c>
      <c r="L10" s="36"/>
      <c r="M10" s="36" t="s">
        <v>79</v>
      </c>
      <c r="N10" s="38" t="s">
        <v>80</v>
      </c>
      <c r="O10" s="15" t="s">
        <v>26</v>
      </c>
      <c r="P10" s="217"/>
      <c r="Q10" s="218"/>
      <c r="R10" s="28">
        <f t="shared" si="0"/>
        <v>1</v>
      </c>
      <c r="S10" s="19"/>
      <c r="U10" s="223" t="s">
        <v>452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334</v>
      </c>
      <c r="D11" s="39" t="s">
        <v>334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13" t="s">
        <v>27</v>
      </c>
      <c r="P11" s="219"/>
      <c r="Q11" s="220"/>
      <c r="R11" s="28">
        <f t="shared" si="0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336</v>
      </c>
      <c r="D12" s="39" t="s">
        <v>336</v>
      </c>
      <c r="E12" s="13" t="s">
        <v>27</v>
      </c>
      <c r="F12" s="16" t="s">
        <v>27</v>
      </c>
      <c r="G12" s="13" t="s">
        <v>84</v>
      </c>
      <c r="H12" s="13" t="s">
        <v>447</v>
      </c>
      <c r="I12" s="17" t="s">
        <v>63</v>
      </c>
      <c r="J12" s="13" t="s">
        <v>86</v>
      </c>
      <c r="K12" s="13" t="s">
        <v>87</v>
      </c>
      <c r="L12" s="15"/>
      <c r="M12" s="13" t="s">
        <v>22</v>
      </c>
      <c r="N12" s="16" t="s">
        <v>89</v>
      </c>
      <c r="O12" s="15" t="s">
        <v>90</v>
      </c>
      <c r="P12" s="219"/>
      <c r="Q12" s="220"/>
      <c r="R12" s="18">
        <f t="shared" si="0"/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340</v>
      </c>
      <c r="D13" s="39" t="s">
        <v>340</v>
      </c>
      <c r="E13" s="13" t="s">
        <v>93</v>
      </c>
      <c r="F13" s="145" t="s">
        <v>453</v>
      </c>
      <c r="G13" s="40" t="s">
        <v>95</v>
      </c>
      <c r="H13" s="13" t="s">
        <v>22</v>
      </c>
      <c r="I13" s="41" t="s">
        <v>34</v>
      </c>
      <c r="J13" s="13" t="s">
        <v>110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1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93" t="s">
        <v>463</v>
      </c>
      <c r="C14" s="319"/>
      <c r="D14" s="320"/>
      <c r="E14" s="194" t="s">
        <v>51</v>
      </c>
      <c r="F14" s="195" t="s">
        <v>90</v>
      </c>
      <c r="G14" s="196" t="s">
        <v>26</v>
      </c>
      <c r="H14" s="196" t="s">
        <v>107</v>
      </c>
      <c r="I14" s="196" t="s">
        <v>92</v>
      </c>
      <c r="J14" s="197" t="s">
        <v>37</v>
      </c>
      <c r="K14" s="181" t="s">
        <v>109</v>
      </c>
      <c r="L14" s="198"/>
      <c r="M14" s="181" t="s">
        <v>104</v>
      </c>
      <c r="N14" s="181" t="s">
        <v>110</v>
      </c>
      <c r="O14" s="181" t="s">
        <v>87</v>
      </c>
      <c r="P14" s="199"/>
      <c r="Q14" s="200"/>
      <c r="R14" s="18">
        <f t="shared" si="0"/>
        <v>0.83333333333333337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127</v>
      </c>
      <c r="H17" s="13"/>
      <c r="I17" s="24" t="s">
        <v>129</v>
      </c>
      <c r="J17" s="13" t="s">
        <v>130</v>
      </c>
      <c r="K17" s="145" t="s">
        <v>448</v>
      </c>
      <c r="L17" s="13"/>
      <c r="M17" s="13" t="s">
        <v>132</v>
      </c>
      <c r="N17" s="13" t="s">
        <v>133</v>
      </c>
      <c r="O17" s="145" t="s">
        <v>449</v>
      </c>
      <c r="P17" s="24" t="s">
        <v>134</v>
      </c>
      <c r="Q17" s="17" t="s">
        <v>135</v>
      </c>
      <c r="R17" s="28">
        <f t="shared" si="0"/>
        <v>0.91666666666666663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23" t="s">
        <v>137</v>
      </c>
      <c r="C18" s="293"/>
      <c r="D18" s="294"/>
      <c r="E18" s="297" t="s">
        <v>138</v>
      </c>
      <c r="F18" s="298"/>
      <c r="G18" s="13" t="s">
        <v>139</v>
      </c>
      <c r="H18" s="13" t="s">
        <v>140</v>
      </c>
      <c r="I18" s="49" t="s">
        <v>141</v>
      </c>
      <c r="J18" s="13" t="s">
        <v>142</v>
      </c>
      <c r="K18" s="24" t="s">
        <v>143</v>
      </c>
      <c r="L18" s="13"/>
      <c r="M18" s="49" t="s">
        <v>144</v>
      </c>
      <c r="N18" s="22" t="s">
        <v>145</v>
      </c>
      <c r="O18" s="50" t="s">
        <v>146</v>
      </c>
      <c r="P18" s="13" t="s">
        <v>147</v>
      </c>
      <c r="Q18" s="15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466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350</v>
      </c>
      <c r="D20" s="39" t="s">
        <v>116</v>
      </c>
      <c r="E20" s="15" t="s">
        <v>160</v>
      </c>
      <c r="F20" s="36" t="s">
        <v>161</v>
      </c>
      <c r="G20" s="18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167</v>
      </c>
      <c r="P20" s="217"/>
      <c r="Q20" s="218"/>
      <c r="R20" s="28">
        <f>(COUNTA(C20:Q20))/12</f>
        <v>1</v>
      </c>
      <c r="S20" s="19"/>
      <c r="U20" s="282" t="s">
        <v>467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354</v>
      </c>
      <c r="D21" s="39" t="s">
        <v>352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 t="s">
        <v>305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358</v>
      </c>
      <c r="D22" s="43" t="s">
        <v>356</v>
      </c>
      <c r="E22" s="24" t="s">
        <v>169</v>
      </c>
      <c r="F22" s="13" t="s">
        <v>170</v>
      </c>
      <c r="G22" s="22" t="s">
        <v>171</v>
      </c>
      <c r="H22" s="146" t="s">
        <v>454</v>
      </c>
      <c r="I22" s="13" t="s">
        <v>172</v>
      </c>
      <c r="J22" s="14" t="s">
        <v>173</v>
      </c>
      <c r="K22" s="22" t="s">
        <v>174</v>
      </c>
      <c r="L22" s="13"/>
      <c r="M22" s="24" t="s">
        <v>175</v>
      </c>
      <c r="N22" s="13" t="s">
        <v>113</v>
      </c>
      <c r="O22" s="48" t="s">
        <v>176</v>
      </c>
      <c r="P22" s="221"/>
      <c r="Q22" s="222"/>
      <c r="R22" s="28">
        <f>(COUNTA(C22:Q22))/12</f>
        <v>1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/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469</v>
      </c>
      <c r="O24" s="192" t="s">
        <v>65</v>
      </c>
      <c r="P24" s="31" t="s">
        <v>85</v>
      </c>
      <c r="Q24" s="31" t="s">
        <v>197</v>
      </c>
      <c r="R24" s="18">
        <f>(COUNTA(C24:Q24))/12</f>
        <v>0.91666666666666663</v>
      </c>
      <c r="S24" s="19"/>
      <c r="U24" s="301"/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" t="s">
        <v>289</v>
      </c>
      <c r="H26" s="73" t="s">
        <v>326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74" t="s">
        <v>201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168" t="s">
        <v>455</v>
      </c>
      <c r="F27" s="30" t="s">
        <v>394</v>
      </c>
      <c r="G27" s="30" t="s">
        <v>338</v>
      </c>
      <c r="H27" s="30" t="s">
        <v>204</v>
      </c>
      <c r="I27" s="30" t="s">
        <v>332</v>
      </c>
      <c r="J27" s="30" t="s">
        <v>465</v>
      </c>
      <c r="K27" s="168" t="s">
        <v>456</v>
      </c>
      <c r="L27" s="32"/>
      <c r="M27" s="30" t="s">
        <v>339</v>
      </c>
      <c r="N27" s="73" t="s">
        <v>468</v>
      </c>
      <c r="O27" s="30" t="s">
        <v>335</v>
      </c>
      <c r="P27" s="30" t="s">
        <v>388</v>
      </c>
      <c r="Q27" s="30" t="s">
        <v>417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" t="s">
        <v>325</v>
      </c>
      <c r="H28" s="31" t="s">
        <v>384</v>
      </c>
      <c r="I28" s="31" t="s">
        <v>383</v>
      </c>
      <c r="J28" s="14" t="s">
        <v>291</v>
      </c>
      <c r="K28" s="192" t="s">
        <v>451</v>
      </c>
      <c r="L28" s="44"/>
      <c r="M28" s="31" t="s">
        <v>210</v>
      </c>
      <c r="N28" s="14" t="s">
        <v>211</v>
      </c>
      <c r="O28" s="31" t="s">
        <v>450</v>
      </c>
      <c r="P28" s="14" t="s">
        <v>212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224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13" t="s">
        <v>41</v>
      </c>
      <c r="Q32" s="13" t="s">
        <v>19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461</v>
      </c>
      <c r="P33" s="13" t="s">
        <v>231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167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351</v>
      </c>
      <c r="G35" s="13" t="s">
        <v>240</v>
      </c>
      <c r="H35" s="13" t="s">
        <v>241</v>
      </c>
      <c r="I35" s="13" t="s">
        <v>242</v>
      </c>
      <c r="J35" s="13"/>
      <c r="K35" s="13" t="s">
        <v>344</v>
      </c>
      <c r="L35" s="24"/>
      <c r="M35" s="13" t="s">
        <v>345</v>
      </c>
      <c r="N35" s="13" t="s">
        <v>243</v>
      </c>
      <c r="O35" s="13" t="s">
        <v>348</v>
      </c>
      <c r="P35" s="9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292</v>
      </c>
      <c r="G36" s="13" t="s">
        <v>247</v>
      </c>
      <c r="H36" s="13" t="s">
        <v>248</v>
      </c>
      <c r="I36" s="13" t="s">
        <v>249</v>
      </c>
      <c r="J36" s="13" t="s">
        <v>357</v>
      </c>
      <c r="K36" s="13" t="s">
        <v>250</v>
      </c>
      <c r="L36" s="98"/>
      <c r="M36" s="13" t="s">
        <v>359</v>
      </c>
      <c r="N36" s="13" t="s">
        <v>355</v>
      </c>
      <c r="O36" s="13" t="s">
        <v>251</v>
      </c>
      <c r="P36" s="13" t="s">
        <v>252</v>
      </c>
      <c r="Q36" s="13" t="s">
        <v>329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9</v>
      </c>
      <c r="K38" s="102" t="s">
        <v>10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/>
      <c r="G39" s="109"/>
      <c r="H39" s="109"/>
      <c r="I39" s="73" t="s">
        <v>262</v>
      </c>
      <c r="J39" s="109"/>
      <c r="K39" s="73"/>
      <c r="L39" s="16"/>
      <c r="M39" s="109"/>
      <c r="N39" s="109"/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443</v>
      </c>
      <c r="J40" s="17"/>
      <c r="K40" s="17"/>
      <c r="L40" s="24"/>
      <c r="M40" s="74" t="s">
        <v>444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/>
      <c r="I41" s="74" t="s">
        <v>392</v>
      </c>
      <c r="J41" s="74" t="s">
        <v>270</v>
      </c>
      <c r="K41" s="74"/>
      <c r="L41" s="24"/>
      <c r="M41" s="74" t="s">
        <v>271</v>
      </c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 t="s">
        <v>274</v>
      </c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279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 t="s">
        <v>398</v>
      </c>
      <c r="F47" s="170" t="s">
        <v>418</v>
      </c>
      <c r="G47" s="13" t="s">
        <v>77</v>
      </c>
      <c r="H47" s="13"/>
      <c r="I47" s="47" t="s">
        <v>418</v>
      </c>
      <c r="J47" s="13" t="s">
        <v>85</v>
      </c>
      <c r="K47" s="13"/>
      <c r="L47" s="24"/>
      <c r="M47" s="170" t="s">
        <v>375</v>
      </c>
      <c r="N47" s="170" t="s">
        <v>457</v>
      </c>
      <c r="O47" s="170"/>
      <c r="P47" s="170" t="s">
        <v>445</v>
      </c>
      <c r="Q47" s="170" t="s">
        <v>457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70" t="s">
        <v>458</v>
      </c>
      <c r="H48" s="170" t="s">
        <v>365</v>
      </c>
      <c r="I48" s="47" t="s">
        <v>117</v>
      </c>
      <c r="J48" s="171" t="s">
        <v>458</v>
      </c>
      <c r="K48" s="170" t="s">
        <v>113</v>
      </c>
      <c r="L48" s="44"/>
      <c r="M48" s="14"/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130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9">
    <mergeCell ref="U29:Z30"/>
    <mergeCell ref="D32:D33"/>
    <mergeCell ref="D37:R37"/>
    <mergeCell ref="U40:W40"/>
    <mergeCell ref="P20:Q22"/>
    <mergeCell ref="U20:Z22"/>
    <mergeCell ref="C23:D24"/>
    <mergeCell ref="U23:Z23"/>
    <mergeCell ref="U24:Z28"/>
    <mergeCell ref="A26:A27"/>
    <mergeCell ref="B26:B27"/>
    <mergeCell ref="C26:D28"/>
    <mergeCell ref="E28:F28"/>
    <mergeCell ref="E48:F48"/>
    <mergeCell ref="C29:D29"/>
    <mergeCell ref="U10:Z18"/>
    <mergeCell ref="C15:D19"/>
    <mergeCell ref="E18:F18"/>
    <mergeCell ref="E19:F19"/>
    <mergeCell ref="U19:Z19"/>
    <mergeCell ref="C14:D14"/>
    <mergeCell ref="P10:Q13"/>
    <mergeCell ref="A1:Q1"/>
    <mergeCell ref="A2:Q2"/>
    <mergeCell ref="U2:Z3"/>
    <mergeCell ref="C4:D9"/>
    <mergeCell ref="U4:Z4"/>
    <mergeCell ref="U5:Z8"/>
    <mergeCell ref="U9:Z9"/>
  </mergeCells>
  <phoneticPr fontId="5" type="noConversion"/>
  <conditionalFormatting sqref="O85:O86">
    <cfRule type="uniqueValues" dxfId="11" priority="3"/>
  </conditionalFormatting>
  <conditionalFormatting sqref="M79:M80">
    <cfRule type="uniqueValues" dxfId="10" priority="2"/>
  </conditionalFormatting>
  <conditionalFormatting sqref="N85:N86">
    <cfRule type="uniqueValues" dxfId="9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72"/>
  <sheetViews>
    <sheetView topLeftCell="A2" zoomScale="85" zoomScaleNormal="85" zoomScalePageLayoutView="80" workbookViewId="0">
      <selection activeCell="R12" sqref="R12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483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>
        <f>AVERAGE(R5:R30)</f>
        <v>0.98106060606060619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1" t="s">
        <v>111</v>
      </c>
      <c r="C4" s="251"/>
      <c r="D4" s="252"/>
      <c r="E4" s="153" t="s">
        <v>63</v>
      </c>
      <c r="F4" s="201" t="s">
        <v>422</v>
      </c>
      <c r="G4" s="155" t="s">
        <v>72</v>
      </c>
      <c r="H4" s="156" t="s">
        <v>24</v>
      </c>
      <c r="I4" s="154" t="s">
        <v>55</v>
      </c>
      <c r="J4" s="155" t="s">
        <v>51</v>
      </c>
      <c r="K4" s="155" t="s">
        <v>22</v>
      </c>
      <c r="L4" s="157"/>
      <c r="M4" s="154" t="s">
        <v>318</v>
      </c>
      <c r="N4" s="155" t="s">
        <v>35</v>
      </c>
      <c r="O4" s="155" t="s">
        <v>112</v>
      </c>
      <c r="P4" s="155" t="s">
        <v>321</v>
      </c>
      <c r="Q4" s="155" t="s">
        <v>33</v>
      </c>
      <c r="R4" s="18">
        <f t="shared" ref="R4:R17" si="0">(COUNTA(C4:Q4))/12</f>
        <v>1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 t="s">
        <v>22</v>
      </c>
      <c r="K5" s="13" t="s">
        <v>36</v>
      </c>
      <c r="L5" s="15"/>
      <c r="M5" s="13" t="s">
        <v>422</v>
      </c>
      <c r="N5" s="13" t="s">
        <v>37</v>
      </c>
      <c r="O5" s="17" t="s">
        <v>24</v>
      </c>
      <c r="P5" s="13" t="s">
        <v>38</v>
      </c>
      <c r="Q5" s="22" t="s">
        <v>39</v>
      </c>
      <c r="R5" s="18">
        <f t="shared" si="0"/>
        <v>1</v>
      </c>
      <c r="S5" s="19"/>
      <c r="U5" s="242"/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35</v>
      </c>
      <c r="H6" s="13" t="s">
        <v>43</v>
      </c>
      <c r="I6" s="13" t="s">
        <v>44</v>
      </c>
      <c r="J6" s="13" t="s">
        <v>45</v>
      </c>
      <c r="K6" s="13" t="s">
        <v>38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7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24" t="s">
        <v>77</v>
      </c>
      <c r="I7" s="15" t="s">
        <v>33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176" t="s">
        <v>486</v>
      </c>
      <c r="C8" s="253"/>
      <c r="D8" s="254"/>
      <c r="E8" s="178" t="s">
        <v>489</v>
      </c>
      <c r="F8" s="178" t="s">
        <v>28</v>
      </c>
      <c r="G8" s="179" t="s">
        <v>55</v>
      </c>
      <c r="H8" s="178" t="s">
        <v>56</v>
      </c>
      <c r="I8" s="178" t="s">
        <v>51</v>
      </c>
      <c r="J8" s="178" t="s">
        <v>57</v>
      </c>
      <c r="K8" s="178" t="s">
        <v>58</v>
      </c>
      <c r="L8" s="178"/>
      <c r="M8" s="180" t="s">
        <v>110</v>
      </c>
      <c r="N8" s="180" t="s">
        <v>60</v>
      </c>
      <c r="O8" s="178" t="s">
        <v>318</v>
      </c>
      <c r="P8" s="178" t="s">
        <v>61</v>
      </c>
      <c r="Q8" s="179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29" t="s">
        <v>62</v>
      </c>
      <c r="C9" s="255"/>
      <c r="D9" s="256"/>
      <c r="E9" s="13" t="s">
        <v>312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67</v>
      </c>
      <c r="K9" s="14" t="s">
        <v>68</v>
      </c>
      <c r="L9" s="32"/>
      <c r="M9" s="14" t="s">
        <v>33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333</v>
      </c>
      <c r="D10" s="35" t="s">
        <v>333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5" t="s">
        <v>485</v>
      </c>
      <c r="K10" s="37" t="s">
        <v>55</v>
      </c>
      <c r="L10" s="36"/>
      <c r="M10" s="36" t="s">
        <v>79</v>
      </c>
      <c r="N10" s="38" t="s">
        <v>80</v>
      </c>
      <c r="O10" s="15" t="s">
        <v>81</v>
      </c>
      <c r="P10" s="217"/>
      <c r="Q10" s="218"/>
      <c r="R10" s="28">
        <f t="shared" si="0"/>
        <v>1</v>
      </c>
      <c r="S10" s="19"/>
      <c r="U10" s="223" t="s">
        <v>481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334</v>
      </c>
      <c r="D11" s="39" t="s">
        <v>334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13" t="s">
        <v>27</v>
      </c>
      <c r="P11" s="219"/>
      <c r="Q11" s="220"/>
      <c r="R11" s="28">
        <f t="shared" si="0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336</v>
      </c>
      <c r="D12" s="39" t="s">
        <v>336</v>
      </c>
      <c r="E12" s="13" t="s">
        <v>83</v>
      </c>
      <c r="F12" s="16" t="s">
        <v>83</v>
      </c>
      <c r="G12" s="13" t="s">
        <v>84</v>
      </c>
      <c r="H12" s="13" t="s">
        <v>85</v>
      </c>
      <c r="I12" s="17" t="s">
        <v>63</v>
      </c>
      <c r="J12" s="13" t="s">
        <v>86</v>
      </c>
      <c r="K12" s="13" t="s">
        <v>87</v>
      </c>
      <c r="L12" s="15"/>
      <c r="M12" s="13" t="s">
        <v>88</v>
      </c>
      <c r="N12" s="16" t="s">
        <v>89</v>
      </c>
      <c r="O12" s="15" t="s">
        <v>90</v>
      </c>
      <c r="P12" s="219"/>
      <c r="Q12" s="220"/>
      <c r="R12" s="18">
        <f>(COUNTA(C12:Q12))/12</f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340</v>
      </c>
      <c r="D13" s="39" t="s">
        <v>340</v>
      </c>
      <c r="E13" s="13" t="s">
        <v>93</v>
      </c>
      <c r="F13" s="13" t="s">
        <v>453</v>
      </c>
      <c r="G13" s="40" t="s">
        <v>95</v>
      </c>
      <c r="H13" s="13" t="s">
        <v>88</v>
      </c>
      <c r="I13" s="41" t="s">
        <v>67</v>
      </c>
      <c r="J13" s="13"/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0.91666666666666663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93" t="s">
        <v>487</v>
      </c>
      <c r="C14" s="319"/>
      <c r="D14" s="320"/>
      <c r="E14" s="194" t="s">
        <v>51</v>
      </c>
      <c r="F14" s="195" t="s">
        <v>90</v>
      </c>
      <c r="G14" s="196" t="s">
        <v>26</v>
      </c>
      <c r="H14" s="196" t="s">
        <v>107</v>
      </c>
      <c r="I14" s="196" t="s">
        <v>92</v>
      </c>
      <c r="J14" s="197" t="s">
        <v>108</v>
      </c>
      <c r="K14" s="181" t="s">
        <v>109</v>
      </c>
      <c r="L14" s="198"/>
      <c r="M14" s="181" t="s">
        <v>104</v>
      </c>
      <c r="N14" s="181" t="s">
        <v>110</v>
      </c>
      <c r="O14" s="181" t="s">
        <v>87</v>
      </c>
      <c r="P14" s="199"/>
      <c r="Q14" s="200"/>
      <c r="R14" s="18">
        <f t="shared" si="0"/>
        <v>0.83333333333333337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144" t="s">
        <v>479</v>
      </c>
      <c r="H17" s="145" t="s">
        <v>476</v>
      </c>
      <c r="I17" s="24" t="s">
        <v>129</v>
      </c>
      <c r="J17" s="13" t="s">
        <v>130</v>
      </c>
      <c r="K17" s="13" t="s">
        <v>117</v>
      </c>
      <c r="L17" s="13"/>
      <c r="M17" s="13" t="s">
        <v>132</v>
      </c>
      <c r="N17" s="13" t="s">
        <v>133</v>
      </c>
      <c r="O17" s="13" t="s">
        <v>131</v>
      </c>
      <c r="P17" s="24" t="s">
        <v>134</v>
      </c>
      <c r="Q17" s="17" t="s">
        <v>135</v>
      </c>
      <c r="R17" s="28">
        <f t="shared" si="0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23" t="s">
        <v>137</v>
      </c>
      <c r="C18" s="293"/>
      <c r="D18" s="294"/>
      <c r="E18" s="297" t="s">
        <v>138</v>
      </c>
      <c r="F18" s="298"/>
      <c r="G18" s="13" t="s">
        <v>139</v>
      </c>
      <c r="H18" s="13" t="s">
        <v>140</v>
      </c>
      <c r="I18" s="49" t="s">
        <v>141</v>
      </c>
      <c r="J18" s="13" t="s">
        <v>142</v>
      </c>
      <c r="K18" s="24" t="s">
        <v>143</v>
      </c>
      <c r="L18" s="13"/>
      <c r="M18" s="49" t="s">
        <v>144</v>
      </c>
      <c r="N18" s="22" t="s">
        <v>145</v>
      </c>
      <c r="O18" s="50" t="s">
        <v>146</v>
      </c>
      <c r="P18" s="13" t="s">
        <v>147</v>
      </c>
      <c r="Q18" s="15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350</v>
      </c>
      <c r="D20" s="39" t="s">
        <v>116</v>
      </c>
      <c r="E20" s="15" t="s">
        <v>160</v>
      </c>
      <c r="F20" s="36" t="s">
        <v>161</v>
      </c>
      <c r="G20" s="18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484</v>
      </c>
      <c r="P20" s="217"/>
      <c r="Q20" s="218"/>
      <c r="R20" s="28">
        <f>(COUNTA(C20:Q20))/12</f>
        <v>1</v>
      </c>
      <c r="S20" s="19"/>
      <c r="U20" s="282" t="s">
        <v>490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354</v>
      </c>
      <c r="D21" s="39" t="s">
        <v>352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 t="s">
        <v>305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358</v>
      </c>
      <c r="D22" s="43" t="s">
        <v>356</v>
      </c>
      <c r="E22" s="24" t="s">
        <v>169</v>
      </c>
      <c r="F22" s="13" t="s">
        <v>170</v>
      </c>
      <c r="G22" s="22" t="s">
        <v>171</v>
      </c>
      <c r="H22" s="146" t="s">
        <v>471</v>
      </c>
      <c r="I22" s="13"/>
      <c r="J22" s="14" t="s">
        <v>173</v>
      </c>
      <c r="K22" s="22" t="s">
        <v>174</v>
      </c>
      <c r="L22" s="13"/>
      <c r="M22" s="24" t="s">
        <v>175</v>
      </c>
      <c r="N22" s="13" t="s">
        <v>113</v>
      </c>
      <c r="O22" s="48" t="s">
        <v>176</v>
      </c>
      <c r="P22" s="221"/>
      <c r="Q22" s="222"/>
      <c r="R22" s="28">
        <f>(COUNTA(C22:Q22))/12</f>
        <v>0.91666666666666663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192" t="s">
        <v>398</v>
      </c>
      <c r="F24" s="31" t="s">
        <v>191</v>
      </c>
      <c r="G24" s="13" t="s">
        <v>192</v>
      </c>
      <c r="H24" s="31"/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469</v>
      </c>
      <c r="O24" s="31" t="s">
        <v>65</v>
      </c>
      <c r="P24" s="31" t="s">
        <v>85</v>
      </c>
      <c r="Q24" s="31" t="s">
        <v>197</v>
      </c>
      <c r="R24" s="18">
        <f>(COUNTA(C24:Q24))/12</f>
        <v>0.91666666666666663</v>
      </c>
      <c r="S24" s="19"/>
      <c r="U24" s="301" t="s">
        <v>495</v>
      </c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" t="s">
        <v>289</v>
      </c>
      <c r="H26" s="73" t="s">
        <v>326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74" t="s">
        <v>201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455</v>
      </c>
      <c r="F27" s="30" t="s">
        <v>491</v>
      </c>
      <c r="G27" s="30" t="s">
        <v>338</v>
      </c>
      <c r="H27" s="30" t="s">
        <v>204</v>
      </c>
      <c r="I27" s="30" t="s">
        <v>332</v>
      </c>
      <c r="J27" s="168" t="s">
        <v>473</v>
      </c>
      <c r="K27" s="30" t="s">
        <v>482</v>
      </c>
      <c r="L27" s="32"/>
      <c r="M27" s="30" t="s">
        <v>339</v>
      </c>
      <c r="N27" s="73" t="s">
        <v>498</v>
      </c>
      <c r="O27" s="30" t="s">
        <v>335</v>
      </c>
      <c r="P27" s="30" t="s">
        <v>388</v>
      </c>
      <c r="Q27" s="168" t="s">
        <v>472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" t="s">
        <v>325</v>
      </c>
      <c r="H28" s="31" t="s">
        <v>384</v>
      </c>
      <c r="I28" s="31" t="s">
        <v>492</v>
      </c>
      <c r="J28" s="202" t="s">
        <v>494</v>
      </c>
      <c r="K28" s="31" t="s">
        <v>493</v>
      </c>
      <c r="L28" s="44"/>
      <c r="M28" s="31" t="s">
        <v>210</v>
      </c>
      <c r="N28" s="14" t="s">
        <v>211</v>
      </c>
      <c r="O28" s="31" t="s">
        <v>450</v>
      </c>
      <c r="P28" s="14" t="s">
        <v>212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224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13" t="s">
        <v>41</v>
      </c>
      <c r="Q32" s="13" t="s">
        <v>19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488</v>
      </c>
      <c r="P33" s="13" t="s">
        <v>231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167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497</v>
      </c>
      <c r="G35" s="13" t="s">
        <v>478</v>
      </c>
      <c r="H35" s="13" t="s">
        <v>496</v>
      </c>
      <c r="I35" s="13" t="s">
        <v>242</v>
      </c>
      <c r="J35" s="13"/>
      <c r="K35" s="13" t="s">
        <v>344</v>
      </c>
      <c r="L35" s="24"/>
      <c r="M35" s="13" t="s">
        <v>345</v>
      </c>
      <c r="N35" s="13" t="s">
        <v>243</v>
      </c>
      <c r="O35" s="13" t="s">
        <v>348</v>
      </c>
      <c r="P35" s="9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292</v>
      </c>
      <c r="G36" s="13" t="s">
        <v>247</v>
      </c>
      <c r="H36" s="13" t="s">
        <v>248</v>
      </c>
      <c r="I36" s="13" t="s">
        <v>249</v>
      </c>
      <c r="J36" s="13" t="s">
        <v>357</v>
      </c>
      <c r="K36" s="13" t="s">
        <v>250</v>
      </c>
      <c r="L36" s="98"/>
      <c r="M36" s="13" t="s">
        <v>359</v>
      </c>
      <c r="N36" s="13" t="s">
        <v>355</v>
      </c>
      <c r="O36" s="13" t="s">
        <v>251</v>
      </c>
      <c r="P36" s="13" t="s">
        <v>252</v>
      </c>
      <c r="Q36" s="13" t="s">
        <v>329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9</v>
      </c>
      <c r="K38" s="102" t="s">
        <v>257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/>
      <c r="G39" s="109"/>
      <c r="H39" s="109"/>
      <c r="I39" s="73" t="s">
        <v>262</v>
      </c>
      <c r="J39" s="109"/>
      <c r="K39" s="73"/>
      <c r="L39" s="16"/>
      <c r="M39" s="109"/>
      <c r="N39" s="109"/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443</v>
      </c>
      <c r="J40" s="17"/>
      <c r="K40" s="17"/>
      <c r="L40" s="24"/>
      <c r="M40" s="74" t="s">
        <v>444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/>
      <c r="I41" s="74" t="s">
        <v>392</v>
      </c>
      <c r="J41" s="74" t="s">
        <v>270</v>
      </c>
      <c r="K41" s="74"/>
      <c r="L41" s="24"/>
      <c r="M41" s="74" t="s">
        <v>271</v>
      </c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 t="s">
        <v>274</v>
      </c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279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/>
      <c r="F47" s="170"/>
      <c r="G47" s="13" t="s">
        <v>77</v>
      </c>
      <c r="H47" s="13"/>
      <c r="I47" s="47" t="s">
        <v>418</v>
      </c>
      <c r="J47" s="13" t="s">
        <v>85</v>
      </c>
      <c r="K47" s="13" t="s">
        <v>59</v>
      </c>
      <c r="L47" s="24"/>
      <c r="M47" s="170"/>
      <c r="N47" s="170" t="s">
        <v>457</v>
      </c>
      <c r="O47" s="170"/>
      <c r="P47" s="170" t="s">
        <v>445</v>
      </c>
      <c r="Q47" s="170" t="s">
        <v>457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3"/>
      <c r="H48" s="170" t="s">
        <v>365</v>
      </c>
      <c r="I48" s="47" t="s">
        <v>117</v>
      </c>
      <c r="J48" s="171" t="s">
        <v>458</v>
      </c>
      <c r="K48" s="170" t="s">
        <v>113</v>
      </c>
      <c r="L48" s="44"/>
      <c r="M48" s="14"/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130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9">
    <mergeCell ref="A1:Q1"/>
    <mergeCell ref="A2:Q2"/>
    <mergeCell ref="U2:Z3"/>
    <mergeCell ref="C4:D9"/>
    <mergeCell ref="U4:Z4"/>
    <mergeCell ref="U5:Z8"/>
    <mergeCell ref="U9:Z9"/>
    <mergeCell ref="A26:A27"/>
    <mergeCell ref="B26:B27"/>
    <mergeCell ref="C26:D28"/>
    <mergeCell ref="E28:F28"/>
    <mergeCell ref="U10:Z18"/>
    <mergeCell ref="C15:D19"/>
    <mergeCell ref="E18:F18"/>
    <mergeCell ref="E19:F19"/>
    <mergeCell ref="U19:Z19"/>
    <mergeCell ref="C14:D14"/>
    <mergeCell ref="P10:Q13"/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</mergeCells>
  <phoneticPr fontId="5" type="noConversion"/>
  <conditionalFormatting sqref="O85:O86">
    <cfRule type="uniqueValues" dxfId="8" priority="3"/>
  </conditionalFormatting>
  <conditionalFormatting sqref="M79:M80">
    <cfRule type="uniqueValues" dxfId="7" priority="2"/>
  </conditionalFormatting>
  <conditionalFormatting sqref="N85:N86">
    <cfRule type="uniqueValues" dxfId="6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A61D-49A6-42FA-8633-C6FB07655099}">
  <sheetPr>
    <pageSetUpPr fitToPage="1"/>
  </sheetPr>
  <dimension ref="A1:AB72"/>
  <sheetViews>
    <sheetView topLeftCell="A2" zoomScale="85" zoomScaleNormal="85" zoomScalePageLayoutView="80" workbookViewId="0">
      <selection activeCell="R12" sqref="R12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510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10">
        <f>AVERAGE(R5:R30)</f>
        <v>0.96969696969696961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04" t="s">
        <v>502</v>
      </c>
      <c r="C4" s="251"/>
      <c r="D4" s="252"/>
      <c r="E4" s="207" t="s">
        <v>63</v>
      </c>
      <c r="F4" s="181" t="s">
        <v>422</v>
      </c>
      <c r="G4" s="178" t="s">
        <v>72</v>
      </c>
      <c r="H4" s="183" t="s">
        <v>24</v>
      </c>
      <c r="I4" s="181"/>
      <c r="J4" s="178" t="s">
        <v>51</v>
      </c>
      <c r="K4" s="178"/>
      <c r="L4" s="208"/>
      <c r="M4" s="181" t="s">
        <v>318</v>
      </c>
      <c r="N4" s="178" t="s">
        <v>35</v>
      </c>
      <c r="O4" s="178" t="s">
        <v>112</v>
      </c>
      <c r="P4" s="178"/>
      <c r="Q4" s="178" t="s">
        <v>33</v>
      </c>
      <c r="R4" s="18">
        <f t="shared" ref="R4:R17" si="0">(COUNTA(C4:Q4))/12</f>
        <v>0.75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/>
      <c r="K5" s="13" t="s">
        <v>36</v>
      </c>
      <c r="L5" s="15"/>
      <c r="M5" s="13" t="s">
        <v>422</v>
      </c>
      <c r="N5" s="13" t="s">
        <v>37</v>
      </c>
      <c r="O5" s="17" t="s">
        <v>24</v>
      </c>
      <c r="P5" s="13" t="s">
        <v>38</v>
      </c>
      <c r="Q5" s="22" t="s">
        <v>39</v>
      </c>
      <c r="R5" s="18">
        <f t="shared" si="0"/>
        <v>0.91666666666666663</v>
      </c>
      <c r="S5" s="19"/>
      <c r="U5" s="242"/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35</v>
      </c>
      <c r="H6" s="13" t="s">
        <v>43</v>
      </c>
      <c r="I6" s="13" t="s">
        <v>44</v>
      </c>
      <c r="J6" s="13" t="s">
        <v>45</v>
      </c>
      <c r="K6" s="13" t="s">
        <v>38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7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24" t="s">
        <v>77</v>
      </c>
      <c r="I7" s="15" t="s">
        <v>33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27" t="s">
        <v>52</v>
      </c>
      <c r="C8" s="253"/>
      <c r="D8" s="254"/>
      <c r="E8" s="13" t="s">
        <v>53</v>
      </c>
      <c r="F8" s="13" t="s">
        <v>28</v>
      </c>
      <c r="G8" s="24" t="s">
        <v>39</v>
      </c>
      <c r="H8" s="13" t="s">
        <v>56</v>
      </c>
      <c r="I8" s="13" t="s">
        <v>51</v>
      </c>
      <c r="J8" s="13" t="s">
        <v>57</v>
      </c>
      <c r="K8" s="13" t="s">
        <v>58</v>
      </c>
      <c r="L8" s="13"/>
      <c r="M8" s="22" t="s">
        <v>110</v>
      </c>
      <c r="N8" s="22" t="s">
        <v>60</v>
      </c>
      <c r="O8" s="13" t="s">
        <v>318</v>
      </c>
      <c r="P8" s="13" t="s">
        <v>61</v>
      </c>
      <c r="Q8" s="17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29" t="s">
        <v>62</v>
      </c>
      <c r="C9" s="255"/>
      <c r="D9" s="256"/>
      <c r="E9" s="13" t="s">
        <v>312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34</v>
      </c>
      <c r="K9" s="14" t="s">
        <v>68</v>
      </c>
      <c r="L9" s="32"/>
      <c r="M9" s="14" t="s">
        <v>33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333</v>
      </c>
      <c r="D10" s="35" t="s">
        <v>333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5" t="s">
        <v>78</v>
      </c>
      <c r="K10" s="37" t="s">
        <v>39</v>
      </c>
      <c r="L10" s="36"/>
      <c r="M10" s="36" t="s">
        <v>79</v>
      </c>
      <c r="N10" s="38" t="s">
        <v>80</v>
      </c>
      <c r="O10" s="15" t="s">
        <v>26</v>
      </c>
      <c r="P10" s="217"/>
      <c r="Q10" s="218"/>
      <c r="R10" s="28">
        <f t="shared" si="0"/>
        <v>1</v>
      </c>
      <c r="S10" s="19"/>
      <c r="U10" s="223"/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334</v>
      </c>
      <c r="D11" s="39" t="s">
        <v>334</v>
      </c>
      <c r="E11" s="13" t="s">
        <v>18</v>
      </c>
      <c r="F11" s="13" t="s">
        <v>19</v>
      </c>
      <c r="G11" s="14" t="s">
        <v>20</v>
      </c>
      <c r="H11" s="15" t="s">
        <v>21</v>
      </c>
      <c r="I11" s="13"/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13"/>
      <c r="P11" s="219"/>
      <c r="Q11" s="220"/>
      <c r="R11" s="28">
        <f t="shared" si="0"/>
        <v>0.83333333333333337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336</v>
      </c>
      <c r="D12" s="39" t="s">
        <v>336</v>
      </c>
      <c r="E12" s="13" t="s">
        <v>27</v>
      </c>
      <c r="F12" s="16" t="s">
        <v>27</v>
      </c>
      <c r="G12" s="13" t="s">
        <v>84</v>
      </c>
      <c r="H12" s="13" t="s">
        <v>85</v>
      </c>
      <c r="I12" s="17" t="s">
        <v>63</v>
      </c>
      <c r="J12" s="13" t="s">
        <v>86</v>
      </c>
      <c r="K12" s="13" t="s">
        <v>87</v>
      </c>
      <c r="L12" s="15"/>
      <c r="M12" s="13" t="s">
        <v>22</v>
      </c>
      <c r="N12" s="16" t="s">
        <v>89</v>
      </c>
      <c r="O12" s="15" t="s">
        <v>90</v>
      </c>
      <c r="P12" s="219"/>
      <c r="Q12" s="220"/>
      <c r="R12" s="18">
        <f>(COUNTA(C12:Q12))/12</f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340</v>
      </c>
      <c r="D13" s="39" t="s">
        <v>340</v>
      </c>
      <c r="E13" s="13" t="s">
        <v>93</v>
      </c>
      <c r="F13" s="13" t="s">
        <v>453</v>
      </c>
      <c r="G13" s="40" t="s">
        <v>95</v>
      </c>
      <c r="H13" s="13"/>
      <c r="I13" s="41" t="s">
        <v>34</v>
      </c>
      <c r="J13" s="13" t="s">
        <v>110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0.91666666666666663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58" t="s">
        <v>105</v>
      </c>
      <c r="C14" s="159" t="s">
        <v>41</v>
      </c>
      <c r="D14" s="43" t="s">
        <v>86</v>
      </c>
      <c r="E14" s="160" t="s">
        <v>51</v>
      </c>
      <c r="F14" s="162" t="s">
        <v>90</v>
      </c>
      <c r="G14" s="31"/>
      <c r="H14" s="31" t="s">
        <v>107</v>
      </c>
      <c r="I14" s="31" t="s">
        <v>92</v>
      </c>
      <c r="J14" s="45" t="s">
        <v>37</v>
      </c>
      <c r="K14" s="14" t="s">
        <v>109</v>
      </c>
      <c r="L14" s="163"/>
      <c r="M14" s="14" t="s">
        <v>104</v>
      </c>
      <c r="N14" s="14" t="s">
        <v>110</v>
      </c>
      <c r="O14" s="14" t="s">
        <v>87</v>
      </c>
      <c r="P14" s="221"/>
      <c r="Q14" s="222"/>
      <c r="R14" s="18">
        <f t="shared" si="0"/>
        <v>0.91666666666666663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205" t="s">
        <v>26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479</v>
      </c>
      <c r="H17" s="13" t="s">
        <v>476</v>
      </c>
      <c r="I17" s="24" t="s">
        <v>129</v>
      </c>
      <c r="J17" s="13" t="s">
        <v>130</v>
      </c>
      <c r="K17" s="13" t="s">
        <v>117</v>
      </c>
      <c r="L17" s="13"/>
      <c r="M17" s="13" t="s">
        <v>132</v>
      </c>
      <c r="N17" s="13" t="s">
        <v>133</v>
      </c>
      <c r="O17" s="13" t="s">
        <v>131</v>
      </c>
      <c r="P17" s="24" t="s">
        <v>134</v>
      </c>
      <c r="Q17" s="17" t="s">
        <v>135</v>
      </c>
      <c r="R17" s="28">
        <f t="shared" si="0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23" t="s">
        <v>137</v>
      </c>
      <c r="C18" s="293"/>
      <c r="D18" s="294"/>
      <c r="E18" s="297" t="s">
        <v>138</v>
      </c>
      <c r="F18" s="298"/>
      <c r="G18" s="13" t="s">
        <v>139</v>
      </c>
      <c r="H18" s="13" t="s">
        <v>140</v>
      </c>
      <c r="I18" s="49" t="s">
        <v>141</v>
      </c>
      <c r="J18" s="13" t="s">
        <v>142</v>
      </c>
      <c r="K18" s="24" t="s">
        <v>143</v>
      </c>
      <c r="L18" s="13"/>
      <c r="M18" s="49" t="s">
        <v>144</v>
      </c>
      <c r="N18" s="22" t="s">
        <v>145</v>
      </c>
      <c r="O18" s="50" t="s">
        <v>146</v>
      </c>
      <c r="P18" s="13" t="s">
        <v>147</v>
      </c>
      <c r="Q18" s="15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350</v>
      </c>
      <c r="D20" s="39" t="s">
        <v>116</v>
      </c>
      <c r="E20" s="15" t="s">
        <v>160</v>
      </c>
      <c r="F20" s="36" t="s">
        <v>161</v>
      </c>
      <c r="G20" s="18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167</v>
      </c>
      <c r="P20" s="217"/>
      <c r="Q20" s="218"/>
      <c r="R20" s="28">
        <f>(COUNTA(C20:Q20))/12</f>
        <v>1</v>
      </c>
      <c r="S20" s="19"/>
      <c r="U20" s="282" t="s">
        <v>506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354</v>
      </c>
      <c r="D21" s="39" t="s">
        <v>352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205" t="s">
        <v>39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203" t="s">
        <v>503</v>
      </c>
      <c r="C22" s="43"/>
      <c r="D22" s="43"/>
      <c r="E22" s="179" t="s">
        <v>169</v>
      </c>
      <c r="F22" s="178" t="s">
        <v>170</v>
      </c>
      <c r="G22" s="180" t="s">
        <v>171</v>
      </c>
      <c r="H22" s="181" t="s">
        <v>471</v>
      </c>
      <c r="I22" s="178" t="s">
        <v>172</v>
      </c>
      <c r="J22" s="181" t="s">
        <v>173</v>
      </c>
      <c r="K22" s="180" t="s">
        <v>174</v>
      </c>
      <c r="L22" s="178"/>
      <c r="M22" s="179" t="s">
        <v>175</v>
      </c>
      <c r="N22" s="178"/>
      <c r="O22" s="178" t="s">
        <v>176</v>
      </c>
      <c r="P22" s="199"/>
      <c r="Q22" s="200"/>
      <c r="R22" s="28">
        <f>(COUNTA(C22:Q22))/12</f>
        <v>0.75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 t="s">
        <v>398</v>
      </c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196</v>
      </c>
      <c r="O24" s="31" t="s">
        <v>65</v>
      </c>
      <c r="P24" s="31" t="s">
        <v>85</v>
      </c>
      <c r="Q24" s="31" t="s">
        <v>197</v>
      </c>
      <c r="R24" s="18">
        <f>(COUNTA(C24:Q24))/12</f>
        <v>1</v>
      </c>
      <c r="S24" s="19"/>
      <c r="U24" s="321" t="s">
        <v>513</v>
      </c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" t="s">
        <v>289</v>
      </c>
      <c r="H26" s="73" t="s">
        <v>326</v>
      </c>
      <c r="I26" s="15" t="s">
        <v>200</v>
      </c>
      <c r="J26" s="184" t="s">
        <v>509</v>
      </c>
      <c r="K26" s="206" t="s">
        <v>508</v>
      </c>
      <c r="L26" s="38"/>
      <c r="M26" s="15" t="s">
        <v>294</v>
      </c>
      <c r="N26" s="74" t="s">
        <v>201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455</v>
      </c>
      <c r="F27" s="30" t="s">
        <v>394</v>
      </c>
      <c r="G27" s="30" t="s">
        <v>507</v>
      </c>
      <c r="H27" s="30" t="s">
        <v>204</v>
      </c>
      <c r="I27" s="30" t="s">
        <v>332</v>
      </c>
      <c r="J27" s="30" t="s">
        <v>473</v>
      </c>
      <c r="K27" s="30" t="s">
        <v>482</v>
      </c>
      <c r="L27" s="32"/>
      <c r="M27" s="30" t="s">
        <v>499</v>
      </c>
      <c r="N27" s="73" t="s">
        <v>470</v>
      </c>
      <c r="O27" s="209" t="s">
        <v>512</v>
      </c>
      <c r="P27" s="30" t="s">
        <v>388</v>
      </c>
      <c r="Q27" s="30" t="s">
        <v>511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" t="s">
        <v>325</v>
      </c>
      <c r="H28" s="31" t="s">
        <v>384</v>
      </c>
      <c r="I28" s="31" t="s">
        <v>383</v>
      </c>
      <c r="J28" s="14" t="s">
        <v>291</v>
      </c>
      <c r="K28" s="31" t="s">
        <v>451</v>
      </c>
      <c r="L28" s="44"/>
      <c r="M28" s="31" t="s">
        <v>210</v>
      </c>
      <c r="N28" s="14" t="s">
        <v>211</v>
      </c>
      <c r="O28" s="31" t="s">
        <v>450</v>
      </c>
      <c r="P28" s="14" t="s">
        <v>212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224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88" t="s">
        <v>41</v>
      </c>
      <c r="Q32" s="13" t="s">
        <v>19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347</v>
      </c>
      <c r="P33" s="13" t="s">
        <v>231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167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351</v>
      </c>
      <c r="G35" s="13" t="s">
        <v>478</v>
      </c>
      <c r="H35" s="13" t="s">
        <v>477</v>
      </c>
      <c r="I35" s="13" t="s">
        <v>242</v>
      </c>
      <c r="J35" s="13"/>
      <c r="K35" s="13" t="s">
        <v>344</v>
      </c>
      <c r="L35" s="24"/>
      <c r="M35" s="13" t="s">
        <v>345</v>
      </c>
      <c r="N35" s="13" t="s">
        <v>243</v>
      </c>
      <c r="O35" s="13" t="s">
        <v>348</v>
      </c>
      <c r="P35" s="9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292</v>
      </c>
      <c r="G36" s="13" t="s">
        <v>247</v>
      </c>
      <c r="H36" s="13" t="s">
        <v>248</v>
      </c>
      <c r="I36" s="13" t="s">
        <v>249</v>
      </c>
      <c r="J36" s="13" t="s">
        <v>504</v>
      </c>
      <c r="K36" s="13" t="s">
        <v>250</v>
      </c>
      <c r="L36" s="98"/>
      <c r="M36" s="13" t="s">
        <v>359</v>
      </c>
      <c r="N36" s="13" t="s">
        <v>505</v>
      </c>
      <c r="O36" s="13" t="s">
        <v>251</v>
      </c>
      <c r="P36" s="13" t="s">
        <v>252</v>
      </c>
      <c r="Q36" s="13" t="s">
        <v>329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9</v>
      </c>
      <c r="K38" s="102" t="s">
        <v>10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/>
      <c r="G39" s="109"/>
      <c r="H39" s="109"/>
      <c r="I39" s="73" t="s">
        <v>501</v>
      </c>
      <c r="J39" s="109"/>
      <c r="K39" s="73"/>
      <c r="L39" s="16"/>
      <c r="M39" s="109"/>
      <c r="N39" s="109"/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443</v>
      </c>
      <c r="J40" s="17"/>
      <c r="K40" s="17"/>
      <c r="L40" s="24"/>
      <c r="M40" s="74" t="s">
        <v>444</v>
      </c>
      <c r="N40" s="17"/>
      <c r="O40" s="17" t="s">
        <v>267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/>
      <c r="I41" s="74" t="s">
        <v>392</v>
      </c>
      <c r="J41" s="74" t="s">
        <v>270</v>
      </c>
      <c r="K41" s="74"/>
      <c r="L41" s="24"/>
      <c r="M41" s="74"/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/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500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/>
      <c r="F47" s="170"/>
      <c r="G47" s="13" t="s">
        <v>77</v>
      </c>
      <c r="H47" s="13"/>
      <c r="I47" s="47" t="s">
        <v>418</v>
      </c>
      <c r="J47" s="13" t="s">
        <v>85</v>
      </c>
      <c r="K47" s="13" t="s">
        <v>59</v>
      </c>
      <c r="L47" s="24"/>
      <c r="M47" s="170"/>
      <c r="N47" s="170" t="s">
        <v>457</v>
      </c>
      <c r="O47" s="170"/>
      <c r="P47" s="170"/>
      <c r="Q47" s="170" t="s">
        <v>457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3"/>
      <c r="H48" s="170" t="s">
        <v>365</v>
      </c>
      <c r="I48" s="47" t="s">
        <v>117</v>
      </c>
      <c r="J48" s="171" t="s">
        <v>458</v>
      </c>
      <c r="K48" s="170"/>
      <c r="L48" s="44"/>
      <c r="M48" s="14"/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130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8">
    <mergeCell ref="E48:F48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  <mergeCell ref="A26:A27"/>
    <mergeCell ref="B26:B27"/>
    <mergeCell ref="C26:D28"/>
    <mergeCell ref="E28:F28"/>
    <mergeCell ref="P10:Q14"/>
    <mergeCell ref="P20:Q21"/>
    <mergeCell ref="U10:Z18"/>
    <mergeCell ref="C15:D19"/>
    <mergeCell ref="E18:F18"/>
    <mergeCell ref="E19:F19"/>
    <mergeCell ref="U19:Z19"/>
    <mergeCell ref="A1:Q1"/>
    <mergeCell ref="A2:Q2"/>
    <mergeCell ref="U2:Z3"/>
    <mergeCell ref="C4:D9"/>
    <mergeCell ref="U4:Z4"/>
    <mergeCell ref="U5:Z8"/>
    <mergeCell ref="U9:Z9"/>
  </mergeCells>
  <phoneticPr fontId="5" type="noConversion"/>
  <conditionalFormatting sqref="O85:O86">
    <cfRule type="uniqueValues" dxfId="5" priority="3"/>
  </conditionalFormatting>
  <conditionalFormatting sqref="M79:M80">
    <cfRule type="uniqueValues" dxfId="4" priority="2"/>
  </conditionalFormatting>
  <conditionalFormatting sqref="N85:N86">
    <cfRule type="uniqueValues" dxfId="3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273-E408-4DA1-AF4A-E9086E66DE1F}">
  <sheetPr>
    <pageSetUpPr fitToPage="1"/>
  </sheetPr>
  <dimension ref="A1:AB72"/>
  <sheetViews>
    <sheetView tabSelected="1" topLeftCell="A2" zoomScale="85" zoomScaleNormal="85" zoomScalePageLayoutView="80" workbookViewId="0">
      <selection activeCell="E4" sqref="E4:O16"/>
    </sheetView>
  </sheetViews>
  <sheetFormatPr defaultRowHeight="16.5"/>
  <cols>
    <col min="1" max="1" width="4.33203125" style="2" customWidth="1"/>
    <col min="2" max="2" width="13.33203125" style="87" customWidth="1"/>
    <col min="3" max="4" width="15.83203125" style="87" customWidth="1"/>
    <col min="5" max="11" width="15.83203125" style="2" customWidth="1"/>
    <col min="12" max="12" width="3.5" style="93" customWidth="1"/>
    <col min="13" max="17" width="15.83203125" style="2" customWidth="1"/>
    <col min="18" max="18" width="15.83203125" style="137" customWidth="1"/>
    <col min="19" max="19" width="15.83203125" style="2" customWidth="1"/>
    <col min="20" max="20" width="2.1640625" style="2" customWidth="1"/>
    <col min="21" max="26" width="10.83203125" style="2" customWidth="1"/>
    <col min="27" max="27" width="10" style="3" bestFit="1" customWidth="1"/>
    <col min="28" max="16384" width="9.33203125" style="2"/>
  </cols>
  <sheetData>
    <row r="1" spans="1:26" ht="16.5" hidden="1" customHeight="1">
      <c r="A1" s="232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4"/>
      <c r="R1" s="1"/>
    </row>
    <row r="2" spans="1:26" ht="18" customHeight="1">
      <c r="A2" s="235" t="s">
        <v>560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4"/>
      <c r="U2" s="237"/>
      <c r="V2" s="237"/>
      <c r="W2" s="237"/>
      <c r="X2" s="237"/>
      <c r="Y2" s="237"/>
      <c r="Z2" s="237"/>
    </row>
    <row r="3" spans="1:26" ht="21" customHeight="1" thickBot="1">
      <c r="A3" s="5"/>
      <c r="B3" s="6" t="s">
        <v>1</v>
      </c>
      <c r="C3" s="7" t="s">
        <v>2</v>
      </c>
      <c r="D3" s="7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8" t="s">
        <v>8</v>
      </c>
      <c r="J3" s="7" t="s">
        <v>9</v>
      </c>
      <c r="K3" s="7" t="s">
        <v>10</v>
      </c>
      <c r="L3" s="9" t="s">
        <v>11</v>
      </c>
      <c r="M3" s="8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213">
        <f>AVERAGE(R5:R30)</f>
        <v>0.99242424242424254</v>
      </c>
      <c r="U3" s="238"/>
      <c r="V3" s="238"/>
      <c r="W3" s="238"/>
      <c r="X3" s="238"/>
      <c r="Y3" s="238"/>
      <c r="Z3" s="238"/>
    </row>
    <row r="4" spans="1:26" ht="27.95" customHeight="1" thickBot="1">
      <c r="A4" s="152">
        <v>1</v>
      </c>
      <c r="B4" s="204" t="s">
        <v>502</v>
      </c>
      <c r="C4" s="251"/>
      <c r="D4" s="252"/>
      <c r="E4" s="207" t="s">
        <v>63</v>
      </c>
      <c r="F4" s="181" t="s">
        <v>422</v>
      </c>
      <c r="G4" s="178" t="s">
        <v>72</v>
      </c>
      <c r="H4" s="183" t="s">
        <v>24</v>
      </c>
      <c r="I4" s="181" t="s">
        <v>529</v>
      </c>
      <c r="J4" s="178" t="s">
        <v>51</v>
      </c>
      <c r="K4" s="178" t="s">
        <v>22</v>
      </c>
      <c r="L4" s="208"/>
      <c r="M4" s="181" t="s">
        <v>318</v>
      </c>
      <c r="N4" s="178" t="s">
        <v>35</v>
      </c>
      <c r="O4" s="178" t="s">
        <v>112</v>
      </c>
      <c r="P4" s="178" t="s">
        <v>58</v>
      </c>
      <c r="Q4" s="178" t="s">
        <v>33</v>
      </c>
      <c r="R4" s="18">
        <f t="shared" ref="R4:R17" si="0">(COUNTA(C4:Q4))/12</f>
        <v>1</v>
      </c>
      <c r="S4" s="19"/>
      <c r="U4" s="239" t="s">
        <v>30</v>
      </c>
      <c r="V4" s="240"/>
      <c r="W4" s="240"/>
      <c r="X4" s="240"/>
      <c r="Y4" s="240"/>
      <c r="Z4" s="241"/>
    </row>
    <row r="5" spans="1:26" ht="27.95" customHeight="1">
      <c r="A5" s="20">
        <v>2</v>
      </c>
      <c r="B5" s="21" t="s">
        <v>31</v>
      </c>
      <c r="C5" s="253"/>
      <c r="D5" s="254"/>
      <c r="E5" s="17" t="s">
        <v>32</v>
      </c>
      <c r="F5" s="13" t="s">
        <v>33</v>
      </c>
      <c r="G5" s="13" t="s">
        <v>25</v>
      </c>
      <c r="H5" s="15" t="s">
        <v>34</v>
      </c>
      <c r="I5" s="13" t="s">
        <v>35</v>
      </c>
      <c r="J5" s="13" t="s">
        <v>22</v>
      </c>
      <c r="K5" s="13" t="s">
        <v>36</v>
      </c>
      <c r="L5" s="13"/>
      <c r="M5" s="13" t="s">
        <v>422</v>
      </c>
      <c r="N5" s="13" t="s">
        <v>37</v>
      </c>
      <c r="O5" s="17" t="s">
        <v>24</v>
      </c>
      <c r="P5" s="13" t="s">
        <v>38</v>
      </c>
      <c r="Q5" s="211" t="s">
        <v>520</v>
      </c>
      <c r="R5" s="18">
        <f t="shared" si="0"/>
        <v>1</v>
      </c>
      <c r="S5" s="19"/>
      <c r="U5" s="242"/>
      <c r="V5" s="243"/>
      <c r="W5" s="243"/>
      <c r="X5" s="243"/>
      <c r="Y5" s="243"/>
      <c r="Z5" s="244"/>
    </row>
    <row r="6" spans="1:26" ht="27.95" customHeight="1">
      <c r="A6" s="11">
        <v>3</v>
      </c>
      <c r="B6" s="23" t="s">
        <v>40</v>
      </c>
      <c r="C6" s="253"/>
      <c r="D6" s="254"/>
      <c r="E6" s="14" t="s">
        <v>415</v>
      </c>
      <c r="F6" s="24" t="s">
        <v>41</v>
      </c>
      <c r="G6" s="13" t="s">
        <v>35</v>
      </c>
      <c r="H6" s="13" t="s">
        <v>43</v>
      </c>
      <c r="I6" s="13" t="s">
        <v>44</v>
      </c>
      <c r="J6" s="13" t="s">
        <v>45</v>
      </c>
      <c r="K6" s="13" t="s">
        <v>38</v>
      </c>
      <c r="L6" s="13"/>
      <c r="M6" s="13" t="s">
        <v>47</v>
      </c>
      <c r="N6" s="13" t="s">
        <v>48</v>
      </c>
      <c r="O6" s="13" t="s">
        <v>49</v>
      </c>
      <c r="P6" s="25" t="s">
        <v>50</v>
      </c>
      <c r="Q6" s="13" t="s">
        <v>51</v>
      </c>
      <c r="R6" s="18">
        <f t="shared" si="0"/>
        <v>1</v>
      </c>
      <c r="S6" s="19"/>
      <c r="U6" s="245"/>
      <c r="V6" s="246"/>
      <c r="W6" s="246"/>
      <c r="X6" s="246"/>
      <c r="Y6" s="246"/>
      <c r="Z6" s="247"/>
    </row>
    <row r="7" spans="1:26" ht="27.75" customHeight="1">
      <c r="A7" s="11">
        <v>4</v>
      </c>
      <c r="B7" s="23" t="s">
        <v>99</v>
      </c>
      <c r="C7" s="253"/>
      <c r="D7" s="254"/>
      <c r="E7" s="13" t="s">
        <v>101</v>
      </c>
      <c r="F7" s="13" t="s">
        <v>381</v>
      </c>
      <c r="G7" s="14" t="s">
        <v>415</v>
      </c>
      <c r="H7" s="24" t="s">
        <v>77</v>
      </c>
      <c r="I7" s="15" t="s">
        <v>33</v>
      </c>
      <c r="J7" s="13" t="s">
        <v>102</v>
      </c>
      <c r="K7" s="13" t="s">
        <v>66</v>
      </c>
      <c r="L7" s="13"/>
      <c r="M7" s="13" t="s">
        <v>65</v>
      </c>
      <c r="N7" s="15" t="s">
        <v>103</v>
      </c>
      <c r="O7" s="13" t="s">
        <v>104</v>
      </c>
      <c r="P7" s="13" t="s">
        <v>28</v>
      </c>
      <c r="Q7" s="15" t="s">
        <v>29</v>
      </c>
      <c r="R7" s="18">
        <f t="shared" si="0"/>
        <v>1</v>
      </c>
      <c r="S7" s="19"/>
      <c r="U7" s="245"/>
      <c r="V7" s="246"/>
      <c r="W7" s="246"/>
      <c r="X7" s="246"/>
      <c r="Y7" s="246"/>
      <c r="Z7" s="247"/>
    </row>
    <row r="8" spans="1:26" ht="27.75" customHeight="1" thickBot="1">
      <c r="A8" s="11">
        <v>5</v>
      </c>
      <c r="B8" s="23" t="s">
        <v>52</v>
      </c>
      <c r="C8" s="253"/>
      <c r="D8" s="254"/>
      <c r="E8" s="13" t="s">
        <v>53</v>
      </c>
      <c r="F8" s="13" t="s">
        <v>28</v>
      </c>
      <c r="G8" s="144" t="s">
        <v>520</v>
      </c>
      <c r="H8" s="13" t="s">
        <v>56</v>
      </c>
      <c r="I8" s="13" t="s">
        <v>51</v>
      </c>
      <c r="J8" s="13" t="s">
        <v>57</v>
      </c>
      <c r="K8" s="13" t="s">
        <v>58</v>
      </c>
      <c r="L8" s="13"/>
      <c r="M8" s="22" t="s">
        <v>110</v>
      </c>
      <c r="N8" s="22" t="s">
        <v>60</v>
      </c>
      <c r="O8" s="13" t="s">
        <v>318</v>
      </c>
      <c r="P8" s="13" t="s">
        <v>61</v>
      </c>
      <c r="Q8" s="17" t="s">
        <v>390</v>
      </c>
      <c r="R8" s="18">
        <f t="shared" si="0"/>
        <v>1</v>
      </c>
      <c r="S8" s="19"/>
      <c r="U8" s="248"/>
      <c r="V8" s="249"/>
      <c r="W8" s="249"/>
      <c r="X8" s="249"/>
      <c r="Y8" s="249"/>
      <c r="Z8" s="250"/>
    </row>
    <row r="9" spans="1:26" ht="27.95" customHeight="1" thickBot="1">
      <c r="A9" s="20">
        <v>6</v>
      </c>
      <c r="B9" s="158" t="s">
        <v>62</v>
      </c>
      <c r="C9" s="255"/>
      <c r="D9" s="256"/>
      <c r="E9" s="145" t="s">
        <v>85</v>
      </c>
      <c r="F9" s="14" t="s">
        <v>63</v>
      </c>
      <c r="G9" s="30" t="s">
        <v>64</v>
      </c>
      <c r="H9" s="31" t="s">
        <v>65</v>
      </c>
      <c r="I9" s="31" t="s">
        <v>66</v>
      </c>
      <c r="J9" s="31" t="s">
        <v>34</v>
      </c>
      <c r="K9" s="14" t="s">
        <v>68</v>
      </c>
      <c r="L9" s="32"/>
      <c r="M9" s="14" t="s">
        <v>33</v>
      </c>
      <c r="N9" s="14" t="s">
        <v>24</v>
      </c>
      <c r="O9" s="31" t="s">
        <v>71</v>
      </c>
      <c r="P9" s="13" t="s">
        <v>72</v>
      </c>
      <c r="Q9" s="14" t="s">
        <v>53</v>
      </c>
      <c r="R9" s="18">
        <f t="shared" si="0"/>
        <v>1</v>
      </c>
      <c r="S9" s="19"/>
      <c r="U9" s="239" t="s">
        <v>73</v>
      </c>
      <c r="V9" s="240"/>
      <c r="W9" s="240"/>
      <c r="X9" s="240"/>
      <c r="Y9" s="240"/>
      <c r="Z9" s="241"/>
    </row>
    <row r="10" spans="1:26" ht="27.95" customHeight="1">
      <c r="A10" s="33">
        <v>7</v>
      </c>
      <c r="B10" s="34" t="s">
        <v>74</v>
      </c>
      <c r="C10" s="35" t="s">
        <v>531</v>
      </c>
      <c r="D10" s="35" t="s">
        <v>531</v>
      </c>
      <c r="E10" s="36" t="s">
        <v>76</v>
      </c>
      <c r="F10" s="36" t="s">
        <v>58</v>
      </c>
      <c r="G10" s="36" t="s">
        <v>71</v>
      </c>
      <c r="H10" s="15" t="s">
        <v>50</v>
      </c>
      <c r="I10" s="16" t="s">
        <v>77</v>
      </c>
      <c r="J10" s="216" t="s">
        <v>550</v>
      </c>
      <c r="K10" s="212" t="s">
        <v>529</v>
      </c>
      <c r="L10" s="36"/>
      <c r="M10" s="36" t="s">
        <v>79</v>
      </c>
      <c r="N10" s="38" t="s">
        <v>80</v>
      </c>
      <c r="O10" s="15" t="s">
        <v>26</v>
      </c>
      <c r="P10" s="217"/>
      <c r="Q10" s="218"/>
      <c r="R10" s="28">
        <f t="shared" si="0"/>
        <v>1</v>
      </c>
      <c r="S10" s="19"/>
      <c r="U10" s="223" t="s">
        <v>559</v>
      </c>
      <c r="V10" s="224"/>
      <c r="W10" s="224"/>
      <c r="X10" s="224"/>
      <c r="Y10" s="224"/>
      <c r="Z10" s="225"/>
    </row>
    <row r="11" spans="1:26" ht="27.95" customHeight="1">
      <c r="A11" s="64">
        <v>8</v>
      </c>
      <c r="B11" s="12" t="s">
        <v>17</v>
      </c>
      <c r="C11" s="39" t="s">
        <v>534</v>
      </c>
      <c r="D11" s="39" t="s">
        <v>533</v>
      </c>
      <c r="E11" s="13" t="s">
        <v>18</v>
      </c>
      <c r="F11" s="13" t="s">
        <v>19</v>
      </c>
      <c r="G11" s="14" t="s">
        <v>20</v>
      </c>
      <c r="H11" s="15" t="s">
        <v>21</v>
      </c>
      <c r="I11" s="13" t="s">
        <v>22</v>
      </c>
      <c r="J11" s="16" t="s">
        <v>23</v>
      </c>
      <c r="K11" s="13" t="s">
        <v>24</v>
      </c>
      <c r="L11" s="15"/>
      <c r="M11" s="17" t="s">
        <v>25</v>
      </c>
      <c r="N11" s="15" t="s">
        <v>26</v>
      </c>
      <c r="O11" s="214" t="s">
        <v>529</v>
      </c>
      <c r="P11" s="219"/>
      <c r="Q11" s="220"/>
      <c r="R11" s="28">
        <f t="shared" si="0"/>
        <v>1</v>
      </c>
      <c r="S11" s="19"/>
      <c r="U11" s="226"/>
      <c r="V11" s="227"/>
      <c r="W11" s="227"/>
      <c r="X11" s="227"/>
      <c r="Y11" s="227"/>
      <c r="Z11" s="228"/>
    </row>
    <row r="12" spans="1:26" ht="27.95" customHeight="1">
      <c r="A12" s="20">
        <v>9</v>
      </c>
      <c r="B12" s="21" t="s">
        <v>82</v>
      </c>
      <c r="C12" s="39" t="s">
        <v>535</v>
      </c>
      <c r="D12" s="39" t="s">
        <v>80</v>
      </c>
      <c r="E12" s="201" t="s">
        <v>529</v>
      </c>
      <c r="F12" s="13" t="s">
        <v>528</v>
      </c>
      <c r="G12" s="13" t="s">
        <v>84</v>
      </c>
      <c r="H12" s="13" t="s">
        <v>85</v>
      </c>
      <c r="I12" s="17" t="s">
        <v>63</v>
      </c>
      <c r="J12" s="13" t="s">
        <v>86</v>
      </c>
      <c r="K12" s="13" t="s">
        <v>87</v>
      </c>
      <c r="L12" s="15"/>
      <c r="M12" s="145" t="s">
        <v>107</v>
      </c>
      <c r="N12" s="16" t="s">
        <v>89</v>
      </c>
      <c r="O12" s="15" t="s">
        <v>90</v>
      </c>
      <c r="P12" s="219"/>
      <c r="Q12" s="220"/>
      <c r="R12" s="18">
        <f>(COUNTA(C12:Q12))/12</f>
        <v>1</v>
      </c>
      <c r="S12" s="19"/>
      <c r="U12" s="226"/>
      <c r="V12" s="227"/>
      <c r="W12" s="227"/>
      <c r="X12" s="227"/>
      <c r="Y12" s="227"/>
      <c r="Z12" s="228"/>
    </row>
    <row r="13" spans="1:26" ht="27.75" customHeight="1">
      <c r="A13" s="20">
        <v>10</v>
      </c>
      <c r="B13" s="12" t="s">
        <v>91</v>
      </c>
      <c r="C13" s="39" t="s">
        <v>538</v>
      </c>
      <c r="D13" s="39" t="s">
        <v>538</v>
      </c>
      <c r="E13" s="13" t="s">
        <v>93</v>
      </c>
      <c r="F13" s="145" t="s">
        <v>110</v>
      </c>
      <c r="G13" s="40" t="s">
        <v>95</v>
      </c>
      <c r="H13" s="13" t="s">
        <v>22</v>
      </c>
      <c r="I13" s="41" t="s">
        <v>34</v>
      </c>
      <c r="J13" s="201" t="s">
        <v>529</v>
      </c>
      <c r="K13" s="24" t="s">
        <v>75</v>
      </c>
      <c r="L13" s="14"/>
      <c r="M13" s="14" t="s">
        <v>96</v>
      </c>
      <c r="N13" s="13" t="s">
        <v>97</v>
      </c>
      <c r="O13" s="13" t="s">
        <v>98</v>
      </c>
      <c r="P13" s="219"/>
      <c r="Q13" s="220"/>
      <c r="R13" s="18">
        <f t="shared" si="0"/>
        <v>1</v>
      </c>
      <c r="S13" s="19"/>
      <c r="U13" s="226"/>
      <c r="V13" s="227"/>
      <c r="W13" s="227"/>
      <c r="X13" s="227"/>
      <c r="Y13" s="227"/>
      <c r="Z13" s="228"/>
    </row>
    <row r="14" spans="1:26" ht="27.95" customHeight="1" thickBot="1">
      <c r="A14" s="51">
        <v>11</v>
      </c>
      <c r="B14" s="193" t="s">
        <v>487</v>
      </c>
      <c r="C14" s="319"/>
      <c r="D14" s="320"/>
      <c r="E14" s="194" t="s">
        <v>51</v>
      </c>
      <c r="F14" s="195" t="s">
        <v>90</v>
      </c>
      <c r="G14" s="196" t="s">
        <v>26</v>
      </c>
      <c r="H14" s="196" t="s">
        <v>107</v>
      </c>
      <c r="I14" s="196" t="s">
        <v>92</v>
      </c>
      <c r="J14" s="197" t="s">
        <v>37</v>
      </c>
      <c r="K14" s="181" t="s">
        <v>109</v>
      </c>
      <c r="L14" s="198"/>
      <c r="M14" s="181" t="s">
        <v>22</v>
      </c>
      <c r="N14" s="181" t="s">
        <v>110</v>
      </c>
      <c r="O14" s="181" t="s">
        <v>87</v>
      </c>
      <c r="P14" s="388"/>
      <c r="Q14" s="389"/>
      <c r="R14" s="18">
        <f t="shared" si="0"/>
        <v>0.83333333333333337</v>
      </c>
      <c r="S14" s="19"/>
      <c r="U14" s="226"/>
      <c r="V14" s="227"/>
      <c r="W14" s="227"/>
      <c r="X14" s="227"/>
      <c r="Y14" s="227"/>
      <c r="Z14" s="228"/>
    </row>
    <row r="15" spans="1:26" ht="27" customHeight="1">
      <c r="A15" s="11">
        <v>12</v>
      </c>
      <c r="B15" s="46" t="s">
        <v>308</v>
      </c>
      <c r="C15" s="291"/>
      <c r="D15" s="292"/>
      <c r="E15" s="161" t="s">
        <v>309</v>
      </c>
      <c r="F15" s="15" t="s">
        <v>311</v>
      </c>
      <c r="G15" s="15" t="s">
        <v>177</v>
      </c>
      <c r="H15" s="55" t="s">
        <v>178</v>
      </c>
      <c r="I15" s="15" t="s">
        <v>142</v>
      </c>
      <c r="J15" s="15" t="s">
        <v>179</v>
      </c>
      <c r="K15" s="36" t="s">
        <v>180</v>
      </c>
      <c r="L15" s="16"/>
      <c r="M15" s="36" t="s">
        <v>181</v>
      </c>
      <c r="N15" s="38" t="s">
        <v>182</v>
      </c>
      <c r="O15" s="161" t="s">
        <v>130</v>
      </c>
      <c r="P15" s="153" t="s">
        <v>360</v>
      </c>
      <c r="Q15" s="153" t="s">
        <v>368</v>
      </c>
      <c r="R15" s="18">
        <f t="shared" si="0"/>
        <v>1</v>
      </c>
      <c r="S15" s="19"/>
      <c r="U15" s="226"/>
      <c r="V15" s="227"/>
      <c r="W15" s="227"/>
      <c r="X15" s="227"/>
      <c r="Y15" s="227"/>
      <c r="Z15" s="228"/>
    </row>
    <row r="16" spans="1:26" ht="27.95" customHeight="1">
      <c r="A16" s="11">
        <v>13</v>
      </c>
      <c r="B16" s="46" t="s">
        <v>114</v>
      </c>
      <c r="C16" s="293"/>
      <c r="D16" s="294"/>
      <c r="E16" s="13" t="s">
        <v>115</v>
      </c>
      <c r="F16" s="16" t="s">
        <v>116</v>
      </c>
      <c r="G16" s="13" t="s">
        <v>327</v>
      </c>
      <c r="H16" s="13" t="s">
        <v>416</v>
      </c>
      <c r="I16" s="13" t="s">
        <v>386</v>
      </c>
      <c r="J16" s="13" t="s">
        <v>118</v>
      </c>
      <c r="K16" s="13" t="s">
        <v>365</v>
      </c>
      <c r="L16" s="13"/>
      <c r="M16" s="47" t="s">
        <v>119</v>
      </c>
      <c r="N16" s="22" t="s">
        <v>120</v>
      </c>
      <c r="O16" s="47" t="s">
        <v>121</v>
      </c>
      <c r="P16" s="13" t="s">
        <v>122</v>
      </c>
      <c r="Q16" s="48" t="s">
        <v>123</v>
      </c>
      <c r="R16" s="28">
        <f t="shared" si="0"/>
        <v>1</v>
      </c>
      <c r="S16" s="19"/>
      <c r="U16" s="226"/>
      <c r="V16" s="227"/>
      <c r="W16" s="227"/>
      <c r="X16" s="227"/>
      <c r="Y16" s="227"/>
      <c r="Z16" s="228"/>
    </row>
    <row r="17" spans="1:28" ht="27.95" customHeight="1">
      <c r="A17" s="42">
        <v>14</v>
      </c>
      <c r="B17" s="12" t="s">
        <v>124</v>
      </c>
      <c r="C17" s="293"/>
      <c r="D17" s="294"/>
      <c r="E17" s="24" t="s">
        <v>125</v>
      </c>
      <c r="F17" s="22" t="s">
        <v>126</v>
      </c>
      <c r="G17" s="24" t="s">
        <v>479</v>
      </c>
      <c r="H17" s="13" t="s">
        <v>476</v>
      </c>
      <c r="I17" s="24" t="s">
        <v>129</v>
      </c>
      <c r="J17" s="13" t="s">
        <v>130</v>
      </c>
      <c r="K17" s="13" t="s">
        <v>117</v>
      </c>
      <c r="L17" s="13"/>
      <c r="M17" s="13" t="s">
        <v>132</v>
      </c>
      <c r="N17" s="13" t="s">
        <v>133</v>
      </c>
      <c r="O17" s="13" t="s">
        <v>131</v>
      </c>
      <c r="P17" s="24" t="s">
        <v>134</v>
      </c>
      <c r="Q17" s="17" t="s">
        <v>135</v>
      </c>
      <c r="R17" s="28">
        <f t="shared" si="0"/>
        <v>1</v>
      </c>
      <c r="S17" s="19"/>
      <c r="U17" s="226"/>
      <c r="V17" s="227"/>
      <c r="W17" s="227"/>
      <c r="X17" s="227"/>
      <c r="Y17" s="227"/>
      <c r="Z17" s="228"/>
    </row>
    <row r="18" spans="1:28" ht="27.75" customHeight="1" thickBot="1">
      <c r="A18" s="20">
        <v>15</v>
      </c>
      <c r="B18" s="23" t="s">
        <v>137</v>
      </c>
      <c r="C18" s="293"/>
      <c r="D18" s="294"/>
      <c r="E18" s="297" t="s">
        <v>138</v>
      </c>
      <c r="F18" s="298"/>
      <c r="G18" s="13" t="s">
        <v>139</v>
      </c>
      <c r="H18" s="13" t="s">
        <v>140</v>
      </c>
      <c r="I18" s="49" t="s">
        <v>141</v>
      </c>
      <c r="J18" s="13" t="s">
        <v>142</v>
      </c>
      <c r="K18" s="24" t="s">
        <v>143</v>
      </c>
      <c r="L18" s="13"/>
      <c r="M18" s="49" t="s">
        <v>144</v>
      </c>
      <c r="N18" s="22" t="s">
        <v>145</v>
      </c>
      <c r="O18" s="50" t="s">
        <v>146</v>
      </c>
      <c r="P18" s="13" t="s">
        <v>147</v>
      </c>
      <c r="Q18" s="15" t="s">
        <v>367</v>
      </c>
      <c r="R18" s="18">
        <f>(COUNTA(G18:Q18))/10</f>
        <v>1</v>
      </c>
      <c r="S18" s="19"/>
      <c r="U18" s="229"/>
      <c r="V18" s="230"/>
      <c r="W18" s="230"/>
      <c r="X18" s="230"/>
      <c r="Y18" s="230"/>
      <c r="Z18" s="231"/>
    </row>
    <row r="19" spans="1:28" ht="27.95" customHeight="1" thickBot="1">
      <c r="A19" s="51">
        <v>16</v>
      </c>
      <c r="B19" s="52" t="s">
        <v>148</v>
      </c>
      <c r="C19" s="295"/>
      <c r="D19" s="296"/>
      <c r="E19" s="280" t="s">
        <v>149</v>
      </c>
      <c r="F19" s="281"/>
      <c r="G19" s="14" t="s">
        <v>150</v>
      </c>
      <c r="H19" s="14" t="s">
        <v>151</v>
      </c>
      <c r="I19" s="31" t="s">
        <v>152</v>
      </c>
      <c r="J19" s="31" t="s">
        <v>153</v>
      </c>
      <c r="K19" s="31" t="s">
        <v>154</v>
      </c>
      <c r="L19" s="31"/>
      <c r="M19" s="31" t="s">
        <v>155</v>
      </c>
      <c r="N19" s="31" t="s">
        <v>156</v>
      </c>
      <c r="O19" s="31" t="s">
        <v>157</v>
      </c>
      <c r="P19" s="53" t="s">
        <v>158</v>
      </c>
      <c r="Q19" s="54" t="s">
        <v>149</v>
      </c>
      <c r="R19" s="18">
        <f>(COUNTA(F19:P19))/9</f>
        <v>1</v>
      </c>
      <c r="S19" s="19"/>
      <c r="U19" s="277" t="s">
        <v>136</v>
      </c>
      <c r="V19" s="278"/>
      <c r="W19" s="278"/>
      <c r="X19" s="278"/>
      <c r="Y19" s="278"/>
      <c r="Z19" s="279"/>
    </row>
    <row r="20" spans="1:28" ht="27.95" customHeight="1">
      <c r="A20" s="11">
        <v>17</v>
      </c>
      <c r="B20" s="12" t="s">
        <v>159</v>
      </c>
      <c r="C20" s="39" t="s">
        <v>543</v>
      </c>
      <c r="D20" s="39" t="s">
        <v>303</v>
      </c>
      <c r="E20" s="15" t="s">
        <v>160</v>
      </c>
      <c r="F20" s="36" t="s">
        <v>161</v>
      </c>
      <c r="G20" s="186" t="s">
        <v>305</v>
      </c>
      <c r="H20" s="36" t="s">
        <v>162</v>
      </c>
      <c r="I20" s="37" t="s">
        <v>163</v>
      </c>
      <c r="J20" s="36" t="s">
        <v>164</v>
      </c>
      <c r="K20" s="36" t="s">
        <v>165</v>
      </c>
      <c r="L20" s="36"/>
      <c r="M20" s="36" t="s">
        <v>166</v>
      </c>
      <c r="N20" s="25" t="s">
        <v>147</v>
      </c>
      <c r="O20" s="37" t="s">
        <v>413</v>
      </c>
      <c r="P20" s="217"/>
      <c r="Q20" s="218"/>
      <c r="R20" s="28">
        <f>(COUNTA(C20:Q20))/12</f>
        <v>1</v>
      </c>
      <c r="S20" s="19"/>
      <c r="U20" s="282" t="s">
        <v>518</v>
      </c>
      <c r="V20" s="283"/>
      <c r="W20" s="283"/>
      <c r="X20" s="283"/>
      <c r="Y20" s="283"/>
      <c r="Z20" s="284"/>
    </row>
    <row r="21" spans="1:28" ht="27.95" customHeight="1">
      <c r="A21" s="11">
        <v>18</v>
      </c>
      <c r="B21" s="12" t="s">
        <v>297</v>
      </c>
      <c r="C21" s="39" t="s">
        <v>244</v>
      </c>
      <c r="D21" s="39" t="s">
        <v>536</v>
      </c>
      <c r="E21" s="15" t="s">
        <v>298</v>
      </c>
      <c r="F21" s="148" t="s">
        <v>299</v>
      </c>
      <c r="G21" s="13" t="s">
        <v>300</v>
      </c>
      <c r="H21" s="15" t="s">
        <v>301</v>
      </c>
      <c r="I21" s="47" t="s">
        <v>302</v>
      </c>
      <c r="J21" s="15" t="s">
        <v>303</v>
      </c>
      <c r="K21" s="15" t="s">
        <v>304</v>
      </c>
      <c r="L21" s="25"/>
      <c r="M21" s="15" t="s">
        <v>305</v>
      </c>
      <c r="N21" s="13" t="s">
        <v>306</v>
      </c>
      <c r="O21" s="47" t="s">
        <v>307</v>
      </c>
      <c r="P21" s="219"/>
      <c r="Q21" s="220"/>
      <c r="R21" s="28">
        <f>(COUNTA(C21:Q21))/12</f>
        <v>1</v>
      </c>
      <c r="S21" s="19"/>
      <c r="U21" s="285"/>
      <c r="V21" s="286"/>
      <c r="W21" s="286"/>
      <c r="X21" s="286"/>
      <c r="Y21" s="286"/>
      <c r="Z21" s="287"/>
    </row>
    <row r="22" spans="1:28" ht="27.95" customHeight="1" thickBot="1">
      <c r="A22" s="42">
        <v>19</v>
      </c>
      <c r="B22" s="12" t="s">
        <v>168</v>
      </c>
      <c r="C22" s="43" t="s">
        <v>547</v>
      </c>
      <c r="D22" s="43" t="s">
        <v>549</v>
      </c>
      <c r="E22" s="144" t="s">
        <v>174</v>
      </c>
      <c r="F22" s="201" t="s">
        <v>525</v>
      </c>
      <c r="G22" s="22" t="s">
        <v>171</v>
      </c>
      <c r="H22" s="14" t="s">
        <v>471</v>
      </c>
      <c r="I22" s="13" t="s">
        <v>172</v>
      </c>
      <c r="J22" s="14" t="s">
        <v>173</v>
      </c>
      <c r="K22" s="211" t="s">
        <v>175</v>
      </c>
      <c r="L22" s="13"/>
      <c r="M22" s="201" t="s">
        <v>530</v>
      </c>
      <c r="N22" s="145" t="s">
        <v>176</v>
      </c>
      <c r="O22" s="145" t="s">
        <v>521</v>
      </c>
      <c r="P22" s="221"/>
      <c r="Q22" s="222"/>
      <c r="R22" s="28">
        <f>(COUNTA(C22:Q22))/12</f>
        <v>1</v>
      </c>
      <c r="S22" s="19"/>
      <c r="U22" s="288"/>
      <c r="V22" s="289"/>
      <c r="W22" s="289"/>
      <c r="X22" s="289"/>
      <c r="Y22" s="289"/>
      <c r="Z22" s="290"/>
    </row>
    <row r="23" spans="1:28" ht="27.95" customHeight="1" thickBot="1">
      <c r="A23" s="57" t="s">
        <v>184</v>
      </c>
      <c r="B23" s="34" t="s">
        <v>185</v>
      </c>
      <c r="C23" s="310"/>
      <c r="D23" s="311"/>
      <c r="E23" s="36"/>
      <c r="F23" s="36" t="s">
        <v>186</v>
      </c>
      <c r="G23" s="36" t="s">
        <v>160</v>
      </c>
      <c r="H23" s="36"/>
      <c r="I23" s="38" t="s">
        <v>134</v>
      </c>
      <c r="J23" s="161" t="s">
        <v>187</v>
      </c>
      <c r="K23" s="58"/>
      <c r="L23" s="38"/>
      <c r="M23" s="58"/>
      <c r="N23" s="36" t="s">
        <v>188</v>
      </c>
      <c r="O23" s="36" t="s">
        <v>189</v>
      </c>
      <c r="P23" s="37"/>
      <c r="Q23" s="36" t="s">
        <v>172</v>
      </c>
      <c r="R23" s="18">
        <f>(COUNTA(C23:Q23))/7</f>
        <v>1</v>
      </c>
      <c r="U23" s="277" t="s">
        <v>183</v>
      </c>
      <c r="V23" s="278"/>
      <c r="W23" s="278"/>
      <c r="X23" s="278"/>
      <c r="Y23" s="278"/>
      <c r="Z23" s="279"/>
      <c r="AA23" s="56"/>
    </row>
    <row r="24" spans="1:28" ht="27.95" customHeight="1" thickBot="1">
      <c r="A24" s="51"/>
      <c r="B24" s="59" t="s">
        <v>190</v>
      </c>
      <c r="C24" s="312"/>
      <c r="D24" s="313"/>
      <c r="E24" s="31" t="s">
        <v>398</v>
      </c>
      <c r="F24" s="31" t="s">
        <v>191</v>
      </c>
      <c r="G24" s="13" t="s">
        <v>192</v>
      </c>
      <c r="H24" s="31" t="s">
        <v>110</v>
      </c>
      <c r="I24" s="30" t="s">
        <v>193</v>
      </c>
      <c r="J24" s="31" t="s">
        <v>112</v>
      </c>
      <c r="K24" s="13" t="s">
        <v>194</v>
      </c>
      <c r="L24" s="14"/>
      <c r="M24" s="45" t="s">
        <v>195</v>
      </c>
      <c r="N24" s="60" t="s">
        <v>196</v>
      </c>
      <c r="O24" s="31" t="s">
        <v>65</v>
      </c>
      <c r="P24" s="31" t="s">
        <v>85</v>
      </c>
      <c r="Q24" s="31" t="s">
        <v>197</v>
      </c>
      <c r="R24" s="18">
        <f>(COUNTA(C24:Q24))/12</f>
        <v>1</v>
      </c>
      <c r="S24" s="19"/>
      <c r="U24" s="301"/>
      <c r="V24" s="302"/>
      <c r="W24" s="302"/>
      <c r="X24" s="302"/>
      <c r="Y24" s="302"/>
      <c r="Z24" s="303"/>
    </row>
    <row r="25" spans="1:28" ht="9.9499999999999993" customHeight="1" thickBot="1">
      <c r="A25" s="64"/>
      <c r="B25" s="65"/>
      <c r="C25" s="66"/>
      <c r="D25" s="67"/>
      <c r="E25" s="68"/>
      <c r="F25" s="68"/>
      <c r="G25" s="68"/>
      <c r="H25" s="68"/>
      <c r="I25" s="68"/>
      <c r="J25" s="69"/>
      <c r="K25" s="68"/>
      <c r="L25" s="68"/>
      <c r="M25" s="70"/>
      <c r="N25" s="71"/>
      <c r="O25" s="72"/>
      <c r="P25" s="25"/>
      <c r="Q25" s="25"/>
      <c r="R25" s="18"/>
      <c r="S25" s="19"/>
      <c r="U25" s="304"/>
      <c r="V25" s="305"/>
      <c r="W25" s="305"/>
      <c r="X25" s="305"/>
      <c r="Y25" s="305"/>
      <c r="Z25" s="306"/>
      <c r="AB25" s="2">
        <v>7</v>
      </c>
    </row>
    <row r="26" spans="1:28" s="62" customFormat="1" ht="140.1" customHeight="1">
      <c r="A26" s="257"/>
      <c r="B26" s="259" t="s">
        <v>198</v>
      </c>
      <c r="C26" s="261"/>
      <c r="D26" s="262"/>
      <c r="E26" s="15" t="s">
        <v>364</v>
      </c>
      <c r="F26" s="15" t="s">
        <v>199</v>
      </c>
      <c r="G26" s="151" t="s">
        <v>551</v>
      </c>
      <c r="H26" s="165" t="s">
        <v>552</v>
      </c>
      <c r="I26" s="15" t="s">
        <v>200</v>
      </c>
      <c r="J26" s="15" t="s">
        <v>293</v>
      </c>
      <c r="K26" s="36" t="s">
        <v>363</v>
      </c>
      <c r="L26" s="38"/>
      <c r="M26" s="15" t="s">
        <v>294</v>
      </c>
      <c r="N26" s="210" t="s">
        <v>519</v>
      </c>
      <c r="O26" s="73" t="s">
        <v>202</v>
      </c>
      <c r="P26" s="36" t="s">
        <v>290</v>
      </c>
      <c r="Q26" s="36" t="s">
        <v>203</v>
      </c>
      <c r="R26" s="18">
        <f>(COUNTA(C26:Q26))/12</f>
        <v>1</v>
      </c>
      <c r="S26" s="2"/>
      <c r="U26" s="304"/>
      <c r="V26" s="305"/>
      <c r="W26" s="305"/>
      <c r="X26" s="305"/>
      <c r="Y26" s="305"/>
      <c r="Z26" s="306"/>
      <c r="AA26" s="63"/>
    </row>
    <row r="27" spans="1:28" s="62" customFormat="1" ht="140.1" customHeight="1">
      <c r="A27" s="258"/>
      <c r="B27" s="260"/>
      <c r="C27" s="263"/>
      <c r="D27" s="264"/>
      <c r="E27" s="30" t="s">
        <v>557</v>
      </c>
      <c r="F27" s="30" t="s">
        <v>532</v>
      </c>
      <c r="G27" s="168" t="s">
        <v>558</v>
      </c>
      <c r="H27" s="30" t="s">
        <v>537</v>
      </c>
      <c r="I27" s="30" t="s">
        <v>332</v>
      </c>
      <c r="J27" s="168" t="s">
        <v>563</v>
      </c>
      <c r="K27" s="30" t="s">
        <v>555</v>
      </c>
      <c r="L27" s="32"/>
      <c r="M27" s="30" t="s">
        <v>499</v>
      </c>
      <c r="N27" s="73" t="s">
        <v>564</v>
      </c>
      <c r="O27" s="30" t="s">
        <v>514</v>
      </c>
      <c r="P27" s="168" t="s">
        <v>556</v>
      </c>
      <c r="Q27" s="30" t="s">
        <v>472</v>
      </c>
      <c r="R27" s="18"/>
      <c r="S27" s="2"/>
      <c r="U27" s="304"/>
      <c r="V27" s="305"/>
      <c r="W27" s="305"/>
      <c r="X27" s="305"/>
      <c r="Y27" s="305"/>
      <c r="Z27" s="306"/>
      <c r="AA27" s="63"/>
    </row>
    <row r="28" spans="1:28" ht="140.1" customHeight="1" thickBot="1">
      <c r="A28" s="51"/>
      <c r="B28" s="52" t="s">
        <v>207</v>
      </c>
      <c r="C28" s="265"/>
      <c r="D28" s="266"/>
      <c r="E28" s="273" t="s">
        <v>149</v>
      </c>
      <c r="F28" s="274"/>
      <c r="G28" s="14" t="s">
        <v>325</v>
      </c>
      <c r="H28" s="31" t="s">
        <v>384</v>
      </c>
      <c r="I28" s="31" t="s">
        <v>383</v>
      </c>
      <c r="J28" s="14" t="s">
        <v>291</v>
      </c>
      <c r="K28" s="31" t="s">
        <v>451</v>
      </c>
      <c r="L28" s="44"/>
      <c r="M28" s="31" t="s">
        <v>210</v>
      </c>
      <c r="N28" s="14" t="s">
        <v>526</v>
      </c>
      <c r="O28" s="192" t="s">
        <v>527</v>
      </c>
      <c r="P28" s="146" t="s">
        <v>522</v>
      </c>
      <c r="Q28" s="75" t="s">
        <v>213</v>
      </c>
      <c r="R28" s="18">
        <f>(COUNTA(G28:Q28))/10</f>
        <v>1</v>
      </c>
      <c r="U28" s="307"/>
      <c r="V28" s="308"/>
      <c r="W28" s="308"/>
      <c r="X28" s="308"/>
      <c r="Y28" s="308"/>
      <c r="Z28" s="309"/>
    </row>
    <row r="29" spans="1:28" ht="27.95" customHeight="1" thickBot="1">
      <c r="A29" s="20"/>
      <c r="B29" s="139" t="s">
        <v>283</v>
      </c>
      <c r="C29" s="275"/>
      <c r="D29" s="276"/>
      <c r="E29" s="26"/>
      <c r="F29" s="26"/>
      <c r="G29" s="141"/>
      <c r="H29" s="26"/>
      <c r="I29" s="26"/>
      <c r="J29" s="141"/>
      <c r="K29" s="26"/>
      <c r="L29" s="141"/>
      <c r="M29" s="26"/>
      <c r="N29" s="141"/>
      <c r="O29" s="26"/>
      <c r="P29" s="141"/>
      <c r="Q29" s="141"/>
      <c r="R29" s="28"/>
      <c r="U29" s="267" t="s">
        <v>205</v>
      </c>
      <c r="V29" s="268"/>
      <c r="W29" s="268"/>
      <c r="X29" s="268"/>
      <c r="Y29" s="268"/>
      <c r="Z29" s="269"/>
      <c r="AB29" s="2" t="s">
        <v>206</v>
      </c>
    </row>
    <row r="30" spans="1:28" ht="27" customHeight="1" thickBot="1">
      <c r="A30" s="138"/>
      <c r="B30" s="67"/>
      <c r="C30" s="140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18"/>
      <c r="U30" s="270"/>
      <c r="V30" s="271"/>
      <c r="W30" s="271"/>
      <c r="X30" s="271"/>
      <c r="Y30" s="271"/>
      <c r="Z30" s="272"/>
    </row>
    <row r="31" spans="1:28" ht="27.75" customHeight="1">
      <c r="A31" s="78"/>
      <c r="B31" s="79"/>
      <c r="C31" s="80"/>
      <c r="D31" s="81" t="s">
        <v>215</v>
      </c>
      <c r="E31" s="82" t="s">
        <v>216</v>
      </c>
      <c r="F31" s="83" t="s">
        <v>5</v>
      </c>
      <c r="G31" s="83" t="s">
        <v>6</v>
      </c>
      <c r="H31" s="83" t="s">
        <v>217</v>
      </c>
      <c r="I31" s="83" t="s">
        <v>8</v>
      </c>
      <c r="J31" s="83" t="s">
        <v>218</v>
      </c>
      <c r="K31" s="83" t="s">
        <v>219</v>
      </c>
      <c r="L31" s="84" t="s">
        <v>220</v>
      </c>
      <c r="M31" s="83" t="s">
        <v>221</v>
      </c>
      <c r="N31" s="83" t="s">
        <v>13</v>
      </c>
      <c r="O31" s="83" t="s">
        <v>14</v>
      </c>
      <c r="P31" s="83" t="s">
        <v>15</v>
      </c>
      <c r="Q31" s="85" t="s">
        <v>16</v>
      </c>
      <c r="R31" s="86"/>
      <c r="S31" s="89"/>
      <c r="U31" s="77"/>
      <c r="V31" s="77"/>
      <c r="W31" s="77"/>
      <c r="X31" s="77"/>
      <c r="Y31" s="77"/>
    </row>
    <row r="32" spans="1:28" ht="39.950000000000003" customHeight="1">
      <c r="D32" s="314" t="s">
        <v>222</v>
      </c>
      <c r="E32" s="13" t="s">
        <v>223</v>
      </c>
      <c r="F32" s="13" t="s">
        <v>341</v>
      </c>
      <c r="G32" s="13" t="s">
        <v>545</v>
      </c>
      <c r="H32" s="13" t="s">
        <v>225</v>
      </c>
      <c r="I32" s="13" t="s">
        <v>346</v>
      </c>
      <c r="J32" s="13" t="s">
        <v>226</v>
      </c>
      <c r="K32" s="13" t="s">
        <v>227</v>
      </c>
      <c r="L32" s="24"/>
      <c r="M32" s="13" t="s">
        <v>342</v>
      </c>
      <c r="N32" s="13"/>
      <c r="O32" s="13" t="s">
        <v>343</v>
      </c>
      <c r="P32" s="13" t="s">
        <v>41</v>
      </c>
      <c r="Q32" s="13" t="s">
        <v>19</v>
      </c>
      <c r="R32" s="86"/>
      <c r="S32" s="91">
        <v>24</v>
      </c>
      <c r="U32" s="77"/>
      <c r="V32" s="77"/>
      <c r="W32" s="77"/>
      <c r="X32" s="77"/>
      <c r="Y32" s="77"/>
    </row>
    <row r="33" spans="1:27" ht="45.75" customHeight="1">
      <c r="D33" s="315"/>
      <c r="E33" s="24"/>
      <c r="F33" s="13" t="s">
        <v>228</v>
      </c>
      <c r="G33" s="24"/>
      <c r="H33" s="13"/>
      <c r="I33" s="24"/>
      <c r="J33" s="13" t="s">
        <v>229</v>
      </c>
      <c r="K33" s="13"/>
      <c r="L33" s="24"/>
      <c r="M33" s="13" t="s">
        <v>230</v>
      </c>
      <c r="N33" s="24" t="s">
        <v>231</v>
      </c>
      <c r="O33" s="13" t="s">
        <v>461</v>
      </c>
      <c r="P33" s="13" t="s">
        <v>231</v>
      </c>
      <c r="Q33" s="13"/>
      <c r="R33" s="90"/>
      <c r="S33" s="91"/>
      <c r="V33" s="77"/>
      <c r="W33" s="77"/>
      <c r="X33" s="77"/>
      <c r="Y33" s="77"/>
    </row>
    <row r="34" spans="1:27" ht="45.75" customHeight="1">
      <c r="D34" s="92" t="s">
        <v>233</v>
      </c>
      <c r="E34" s="24" t="s">
        <v>234</v>
      </c>
      <c r="F34" s="24"/>
      <c r="G34" s="24" t="s">
        <v>235</v>
      </c>
      <c r="H34" s="93"/>
      <c r="I34" s="24" t="s">
        <v>236</v>
      </c>
      <c r="J34" s="24"/>
      <c r="K34" s="24"/>
      <c r="L34" s="24"/>
      <c r="M34" s="24"/>
      <c r="N34" s="93"/>
      <c r="O34" s="24"/>
      <c r="P34" s="24"/>
      <c r="Q34" s="24" t="s">
        <v>237</v>
      </c>
      <c r="R34" s="94"/>
      <c r="S34" s="96">
        <v>4</v>
      </c>
      <c r="V34" s="77"/>
      <c r="W34" s="77"/>
      <c r="X34" s="77"/>
      <c r="Y34" s="77"/>
    </row>
    <row r="35" spans="1:27" ht="39.950000000000003" customHeight="1">
      <c r="D35" s="92" t="s">
        <v>238</v>
      </c>
      <c r="E35" s="13" t="s">
        <v>239</v>
      </c>
      <c r="F35" s="13" t="s">
        <v>515</v>
      </c>
      <c r="G35" s="13" t="s">
        <v>542</v>
      </c>
      <c r="H35" s="13" t="s">
        <v>477</v>
      </c>
      <c r="I35" s="13" t="s">
        <v>242</v>
      </c>
      <c r="J35" s="13"/>
      <c r="K35" s="13" t="s">
        <v>544</v>
      </c>
      <c r="L35" s="24"/>
      <c r="M35" s="13" t="s">
        <v>345</v>
      </c>
      <c r="N35" s="13" t="s">
        <v>243</v>
      </c>
      <c r="O35" s="13" t="s">
        <v>516</v>
      </c>
      <c r="P35" s="215" t="s">
        <v>244</v>
      </c>
      <c r="Q35" s="13" t="s">
        <v>245</v>
      </c>
      <c r="R35" s="94"/>
      <c r="S35" s="19">
        <v>19</v>
      </c>
      <c r="V35" s="77"/>
      <c r="W35" s="77"/>
      <c r="X35" s="77"/>
      <c r="Y35" s="77"/>
    </row>
    <row r="36" spans="1:27" s="62" customFormat="1" ht="42" customHeight="1">
      <c r="A36" s="2"/>
      <c r="B36" s="87"/>
      <c r="C36" s="87"/>
      <c r="D36" s="97" t="s">
        <v>246</v>
      </c>
      <c r="E36" s="13"/>
      <c r="F36" s="13" t="s">
        <v>548</v>
      </c>
      <c r="G36" s="13" t="s">
        <v>247</v>
      </c>
      <c r="H36" s="13" t="s">
        <v>248</v>
      </c>
      <c r="I36" s="13" t="s">
        <v>249</v>
      </c>
      <c r="J36" s="13" t="s">
        <v>504</v>
      </c>
      <c r="K36" s="13" t="s">
        <v>250</v>
      </c>
      <c r="L36" s="98"/>
      <c r="M36" s="13" t="s">
        <v>517</v>
      </c>
      <c r="N36" s="13" t="s">
        <v>505</v>
      </c>
      <c r="O36" s="13" t="s">
        <v>251</v>
      </c>
      <c r="P36" s="13" t="s">
        <v>252</v>
      </c>
      <c r="Q36" s="13" t="s">
        <v>546</v>
      </c>
      <c r="R36" s="99"/>
      <c r="S36" s="96">
        <v>20</v>
      </c>
      <c r="V36" s="77"/>
      <c r="W36" s="77"/>
      <c r="X36" s="77"/>
      <c r="Y36" s="77"/>
      <c r="Z36" s="2"/>
      <c r="AA36" s="63"/>
    </row>
    <row r="37" spans="1:27" ht="42" customHeight="1"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96">
        <f>S32+S34+S35+S36</f>
        <v>67</v>
      </c>
      <c r="V37" s="77"/>
      <c r="W37" s="77"/>
      <c r="X37" s="77"/>
      <c r="Y37" s="77"/>
      <c r="Z37" s="62"/>
    </row>
    <row r="38" spans="1:27" ht="42" customHeight="1">
      <c r="D38" s="100"/>
      <c r="E38" s="101" t="s">
        <v>4</v>
      </c>
      <c r="F38" s="102" t="s">
        <v>5</v>
      </c>
      <c r="G38" s="102" t="s">
        <v>6</v>
      </c>
      <c r="H38" s="103" t="s">
        <v>7</v>
      </c>
      <c r="I38" s="104" t="s">
        <v>255</v>
      </c>
      <c r="J38" s="102" t="s">
        <v>9</v>
      </c>
      <c r="K38" s="102" t="s">
        <v>10</v>
      </c>
      <c r="L38" s="84"/>
      <c r="M38" s="102" t="s">
        <v>12</v>
      </c>
      <c r="N38" s="102" t="s">
        <v>13</v>
      </c>
      <c r="O38" s="104" t="s">
        <v>14</v>
      </c>
      <c r="P38" s="102" t="s">
        <v>15</v>
      </c>
      <c r="Q38" s="102" t="s">
        <v>16</v>
      </c>
      <c r="R38" s="105" t="s">
        <v>259</v>
      </c>
      <c r="S38" s="106" t="s">
        <v>260</v>
      </c>
      <c r="V38" s="77"/>
      <c r="W38" s="77"/>
      <c r="X38" s="77"/>
      <c r="Y38" s="77"/>
    </row>
    <row r="39" spans="1:27" ht="39.950000000000003" customHeight="1">
      <c r="D39" s="107" t="s">
        <v>261</v>
      </c>
      <c r="E39" s="108"/>
      <c r="F39" s="109" t="s">
        <v>523</v>
      </c>
      <c r="G39" s="109" t="s">
        <v>524</v>
      </c>
      <c r="H39" s="109"/>
      <c r="I39" s="73"/>
      <c r="J39" s="109"/>
      <c r="K39" s="73"/>
      <c r="L39" s="16"/>
      <c r="M39" s="109"/>
      <c r="N39" s="109" t="s">
        <v>523</v>
      </c>
      <c r="O39" s="110"/>
      <c r="P39" s="109"/>
      <c r="Q39" s="109"/>
      <c r="R39" s="111"/>
      <c r="S39" s="112"/>
    </row>
    <row r="40" spans="1:27" ht="39.950000000000003" customHeight="1">
      <c r="D40" s="113" t="s">
        <v>264</v>
      </c>
      <c r="E40" s="114"/>
      <c r="F40" s="17"/>
      <c r="G40" s="17"/>
      <c r="H40" s="17"/>
      <c r="I40" s="74" t="s">
        <v>443</v>
      </c>
      <c r="J40" s="17"/>
      <c r="K40" s="17" t="s">
        <v>565</v>
      </c>
      <c r="L40" s="24"/>
      <c r="M40" s="74" t="s">
        <v>444</v>
      </c>
      <c r="N40" s="17"/>
      <c r="O40" s="17" t="s">
        <v>566</v>
      </c>
      <c r="P40" s="17"/>
      <c r="Q40" s="17"/>
      <c r="R40" s="115"/>
      <c r="S40" s="116"/>
      <c r="U40" s="237" t="s">
        <v>263</v>
      </c>
      <c r="V40" s="237"/>
      <c r="W40" s="237"/>
      <c r="X40" s="19"/>
      <c r="Y40" s="19"/>
      <c r="Z40" s="19"/>
    </row>
    <row r="41" spans="1:27" ht="39.950000000000003" customHeight="1">
      <c r="D41" s="107" t="s">
        <v>268</v>
      </c>
      <c r="E41" s="114"/>
      <c r="F41" s="17"/>
      <c r="G41" s="17" t="s">
        <v>269</v>
      </c>
      <c r="H41" s="74" t="s">
        <v>554</v>
      </c>
      <c r="I41" s="74" t="s">
        <v>553</v>
      </c>
      <c r="J41" s="74"/>
      <c r="K41" s="74"/>
      <c r="L41" s="24"/>
      <c r="M41" s="74"/>
      <c r="N41" s="74" t="s">
        <v>272</v>
      </c>
      <c r="O41" s="17"/>
      <c r="P41" s="17"/>
      <c r="Q41" s="74" t="s">
        <v>393</v>
      </c>
      <c r="R41" s="118"/>
      <c r="S41" s="119"/>
      <c r="U41" s="19"/>
      <c r="V41" s="19"/>
      <c r="W41" s="19"/>
      <c r="X41" s="19"/>
      <c r="Y41" s="19"/>
      <c r="Z41" s="19"/>
      <c r="AA41" s="117"/>
    </row>
    <row r="42" spans="1:27" ht="39.950000000000003" customHeight="1">
      <c r="D42" s="113" t="s">
        <v>273</v>
      </c>
      <c r="E42" s="114"/>
      <c r="F42" s="17"/>
      <c r="G42" s="17"/>
      <c r="H42" s="17"/>
      <c r="I42" s="17"/>
      <c r="J42" s="17"/>
      <c r="K42" s="17"/>
      <c r="L42" s="24"/>
      <c r="M42" s="17"/>
      <c r="N42" s="17"/>
      <c r="O42" s="17"/>
      <c r="P42" s="17"/>
      <c r="Q42" s="17" t="s">
        <v>275</v>
      </c>
      <c r="R42" s="115" t="s">
        <v>276</v>
      </c>
      <c r="S42" s="116"/>
      <c r="U42" s="19"/>
      <c r="V42" s="19"/>
      <c r="W42" s="19"/>
      <c r="X42" s="19"/>
      <c r="Y42" s="19"/>
      <c r="Z42" s="19"/>
      <c r="AA42" s="117"/>
    </row>
    <row r="43" spans="1:27" ht="39.950000000000003" customHeight="1">
      <c r="D43" s="120" t="s">
        <v>277</v>
      </c>
      <c r="E43" s="121"/>
      <c r="F43" s="122"/>
      <c r="G43" s="122"/>
      <c r="H43" s="122"/>
      <c r="I43" s="122"/>
      <c r="J43" s="122"/>
      <c r="K43" s="122"/>
      <c r="L43" s="98"/>
      <c r="M43" s="122"/>
      <c r="N43" s="122"/>
      <c r="O43" s="122"/>
      <c r="P43" s="122"/>
      <c r="Q43" s="122"/>
      <c r="R43" s="123"/>
      <c r="S43" s="124"/>
      <c r="U43" s="19"/>
      <c r="V43" s="19"/>
      <c r="W43" s="19"/>
      <c r="X43" s="19"/>
      <c r="Y43" s="19"/>
      <c r="Z43" s="19"/>
      <c r="AA43" s="117"/>
    </row>
    <row r="44" spans="1:27" ht="39.950000000000003" customHeight="1">
      <c r="C44" s="2"/>
      <c r="D44" s="120" t="s">
        <v>278</v>
      </c>
      <c r="E44" s="121"/>
      <c r="F44" s="122"/>
      <c r="G44" s="122" t="s">
        <v>500</v>
      </c>
      <c r="H44" s="122"/>
      <c r="I44" s="122"/>
      <c r="J44" s="122"/>
      <c r="K44" s="122"/>
      <c r="L44" s="98"/>
      <c r="M44" s="122"/>
      <c r="N44" s="122"/>
      <c r="O44" s="122"/>
      <c r="P44" s="122"/>
      <c r="Q44" s="122"/>
      <c r="R44" s="123"/>
      <c r="S44" s="124"/>
      <c r="U44" s="19"/>
      <c r="V44" s="19"/>
      <c r="W44" s="19"/>
      <c r="X44" s="19"/>
      <c r="Y44" s="19"/>
      <c r="Z44" s="19"/>
      <c r="AA44" s="117"/>
    </row>
    <row r="45" spans="1:27" ht="27.95" customHeight="1">
      <c r="R45" s="125"/>
      <c r="U45" s="19"/>
      <c r="V45" s="19"/>
      <c r="W45" s="19"/>
      <c r="X45" s="19"/>
      <c r="Y45" s="19"/>
      <c r="Z45" s="19"/>
      <c r="AA45" s="117"/>
    </row>
    <row r="46" spans="1:27" ht="27.95" customHeight="1">
      <c r="D46" s="126"/>
      <c r="E46" s="127" t="s">
        <v>216</v>
      </c>
      <c r="F46" s="127" t="s">
        <v>5</v>
      </c>
      <c r="G46" s="127" t="s">
        <v>6</v>
      </c>
      <c r="H46" s="127" t="s">
        <v>217</v>
      </c>
      <c r="I46" s="127" t="s">
        <v>8</v>
      </c>
      <c r="J46" s="127" t="s">
        <v>218</v>
      </c>
      <c r="K46" s="127" t="s">
        <v>280</v>
      </c>
      <c r="L46" s="128"/>
      <c r="M46" s="127" t="s">
        <v>221</v>
      </c>
      <c r="N46" s="127" t="s">
        <v>13</v>
      </c>
      <c r="O46" s="127" t="s">
        <v>14</v>
      </c>
      <c r="P46" s="127" t="s">
        <v>15</v>
      </c>
      <c r="Q46" s="127" t="s">
        <v>16</v>
      </c>
      <c r="R46" s="129" t="s">
        <v>281</v>
      </c>
      <c r="AA46" s="117"/>
    </row>
    <row r="47" spans="1:27" ht="27.95" customHeight="1">
      <c r="B47" s="130"/>
      <c r="D47" s="131" t="s">
        <v>282</v>
      </c>
      <c r="E47" s="13"/>
      <c r="F47" s="170" t="s">
        <v>35</v>
      </c>
      <c r="G47" s="13" t="s">
        <v>77</v>
      </c>
      <c r="H47" s="13"/>
      <c r="I47" s="47" t="s">
        <v>418</v>
      </c>
      <c r="J47" s="13" t="s">
        <v>85</v>
      </c>
      <c r="K47" s="13" t="s">
        <v>59</v>
      </c>
      <c r="L47" s="24"/>
      <c r="M47" s="170"/>
      <c r="N47" s="170" t="s">
        <v>457</v>
      </c>
      <c r="O47" s="170"/>
      <c r="P47" s="170"/>
      <c r="Q47" s="170" t="s">
        <v>457</v>
      </c>
      <c r="R47" s="132"/>
    </row>
    <row r="48" spans="1:27" s="93" customFormat="1" ht="27.95" customHeight="1">
      <c r="A48" s="2"/>
      <c r="B48" s="87"/>
      <c r="C48" s="87"/>
      <c r="D48" s="131" t="s">
        <v>387</v>
      </c>
      <c r="E48" s="299"/>
      <c r="F48" s="300"/>
      <c r="G48" s="13"/>
      <c r="H48" s="170"/>
      <c r="I48" s="47" t="s">
        <v>117</v>
      </c>
      <c r="J48" s="171"/>
      <c r="K48" s="170"/>
      <c r="L48" s="44"/>
      <c r="M48" s="14"/>
      <c r="N48" s="174"/>
      <c r="O48" s="14"/>
      <c r="P48" s="95"/>
      <c r="Q48" s="14"/>
      <c r="R48" s="175"/>
      <c r="S48" s="2"/>
      <c r="T48" s="2"/>
      <c r="U48" s="2"/>
      <c r="V48" s="2"/>
      <c r="W48" s="2"/>
      <c r="X48" s="2"/>
      <c r="Y48" s="2"/>
      <c r="Z48" s="2"/>
      <c r="AA48" s="3"/>
    </row>
    <row r="49" spans="1:27" s="93" customFormat="1" ht="27.95" customHeight="1">
      <c r="A49" s="2"/>
      <c r="B49" s="87"/>
      <c r="C49" s="87"/>
      <c r="D49" s="131" t="s">
        <v>324</v>
      </c>
      <c r="E49" s="133"/>
      <c r="F49" s="164" t="s">
        <v>323</v>
      </c>
      <c r="G49" s="133"/>
      <c r="H49" s="133"/>
      <c r="I49" s="134"/>
      <c r="J49" s="134"/>
      <c r="K49" s="133"/>
      <c r="L49" s="135"/>
      <c r="M49" s="133"/>
      <c r="N49" s="133"/>
      <c r="O49" s="133"/>
      <c r="P49" s="133"/>
      <c r="Q49" s="133"/>
      <c r="R49" s="136"/>
      <c r="S49" s="2"/>
      <c r="T49" s="2"/>
      <c r="U49" s="2"/>
      <c r="V49" s="2"/>
      <c r="W49" s="2"/>
      <c r="X49" s="2"/>
      <c r="Y49" s="2"/>
      <c r="Z49" s="2"/>
      <c r="AA49" s="3"/>
    </row>
    <row r="50" spans="1:27" s="93" customFormat="1" ht="39.950000000000003" customHeight="1">
      <c r="A50" s="2"/>
      <c r="B50" s="87"/>
      <c r="C50" s="87"/>
      <c r="D50" s="87"/>
      <c r="E50" s="87"/>
      <c r="F50" s="87"/>
      <c r="G50" s="87"/>
      <c r="H50" s="87"/>
      <c r="I50" s="87"/>
      <c r="J50" s="87"/>
      <c r="K50" s="87"/>
      <c r="M50" s="2"/>
      <c r="N50" s="2"/>
      <c r="O50" s="2"/>
      <c r="P50" s="2"/>
      <c r="Q50" s="2"/>
      <c r="R50" s="137"/>
      <c r="S50" s="2"/>
      <c r="T50" s="2"/>
      <c r="U50" s="2"/>
      <c r="V50" s="2"/>
      <c r="W50" s="2"/>
      <c r="X50" s="2"/>
      <c r="Y50" s="2"/>
      <c r="Z50" s="2"/>
      <c r="AA50" s="3"/>
    </row>
    <row r="51" spans="1:27" s="93" customFormat="1" ht="24" hidden="1" customHeight="1">
      <c r="A51" s="2"/>
      <c r="B51" s="87"/>
      <c r="C51" s="87"/>
      <c r="D51" s="87"/>
      <c r="E51" s="127" t="s">
        <v>216</v>
      </c>
      <c r="F51" s="127" t="s">
        <v>5</v>
      </c>
      <c r="G51" s="127" t="s">
        <v>6</v>
      </c>
      <c r="H51" s="127" t="s">
        <v>217</v>
      </c>
      <c r="I51" s="127" t="s">
        <v>8</v>
      </c>
      <c r="J51" s="127" t="s">
        <v>218</v>
      </c>
      <c r="K51" s="127" t="s">
        <v>280</v>
      </c>
      <c r="L51" s="128"/>
      <c r="M51" s="127" t="s">
        <v>221</v>
      </c>
      <c r="N51" s="127" t="s">
        <v>13</v>
      </c>
      <c r="O51" s="127" t="s">
        <v>14</v>
      </c>
      <c r="P51" s="127" t="s">
        <v>15</v>
      </c>
      <c r="Q51" s="127" t="s">
        <v>16</v>
      </c>
      <c r="R51" s="129" t="s">
        <v>281</v>
      </c>
      <c r="S51" s="2"/>
      <c r="T51" s="2"/>
      <c r="U51" s="2"/>
      <c r="V51" s="2"/>
      <c r="W51" s="2"/>
      <c r="X51" s="2"/>
      <c r="Y51" s="2"/>
      <c r="Z51" s="2"/>
      <c r="AA51" s="3"/>
    </row>
    <row r="52" spans="1:27" s="93" customFormat="1" ht="39.950000000000003" hidden="1" customHeight="1">
      <c r="A52" s="2"/>
      <c r="B52" s="87"/>
      <c r="C52" s="87"/>
      <c r="D52" s="131"/>
      <c r="E52" s="13"/>
      <c r="F52" s="13"/>
      <c r="G52" s="13"/>
      <c r="H52" s="13"/>
      <c r="I52" s="13"/>
      <c r="J52" s="13"/>
      <c r="K52" s="13"/>
      <c r="L52" s="24"/>
      <c r="M52" s="145" t="s">
        <v>110</v>
      </c>
      <c r="N52" s="88"/>
      <c r="O52" s="13"/>
      <c r="P52" s="95"/>
      <c r="Q52" s="13"/>
      <c r="R52" s="115"/>
      <c r="S52" s="2"/>
      <c r="T52" s="2"/>
      <c r="U52" s="2"/>
      <c r="V52" s="2"/>
      <c r="W52" s="2"/>
      <c r="X52" s="2"/>
      <c r="Y52" s="2"/>
      <c r="Z52" s="2"/>
      <c r="AA52" s="3"/>
    </row>
    <row r="53" spans="1:27" s="93" customFormat="1" ht="41.25" hidden="1" customHeight="1" thickBot="1">
      <c r="A53" s="2"/>
      <c r="B53" s="87"/>
      <c r="C53" s="87"/>
      <c r="D53" s="131"/>
      <c r="E53" s="122"/>
      <c r="F53" s="164"/>
      <c r="G53" s="122"/>
      <c r="H53" s="172" t="s">
        <v>371</v>
      </c>
      <c r="I53" s="164" t="s">
        <v>117</v>
      </c>
      <c r="J53" s="122"/>
      <c r="K53" s="144" t="s">
        <v>113</v>
      </c>
      <c r="L53" s="14"/>
      <c r="M53" s="173"/>
      <c r="N53" s="14" t="s">
        <v>130</v>
      </c>
      <c r="O53" s="147" t="s">
        <v>128</v>
      </c>
      <c r="P53" s="144" t="s">
        <v>113</v>
      </c>
      <c r="Q53" s="122"/>
      <c r="R53" s="123"/>
      <c r="S53" s="169" t="s">
        <v>373</v>
      </c>
      <c r="T53" s="2"/>
      <c r="U53" s="2"/>
      <c r="V53" s="2"/>
      <c r="W53" s="2"/>
      <c r="X53" s="2"/>
      <c r="Y53" s="2"/>
      <c r="Z53" s="2"/>
      <c r="AA53" s="3"/>
    </row>
    <row r="54" spans="1:27" s="93" customFormat="1">
      <c r="A54" s="2"/>
      <c r="B54" s="87"/>
      <c r="C54" s="87"/>
      <c r="D54" s="87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137"/>
      <c r="S54" s="2"/>
      <c r="T54" s="2"/>
      <c r="U54" s="2"/>
      <c r="V54" s="2"/>
      <c r="W54" s="2"/>
      <c r="X54" s="2"/>
      <c r="Y54" s="2"/>
      <c r="Z54" s="2"/>
      <c r="AA54" s="3"/>
    </row>
    <row r="66" ht="16.5" customHeight="1"/>
    <row r="68" ht="16.5" customHeight="1"/>
    <row r="70" ht="16.5" customHeight="1"/>
    <row r="72" ht="16.5" customHeight="1"/>
  </sheetData>
  <mergeCells count="29">
    <mergeCell ref="A1:Q1"/>
    <mergeCell ref="A2:Q2"/>
    <mergeCell ref="U2:Z3"/>
    <mergeCell ref="C4:D9"/>
    <mergeCell ref="U4:Z4"/>
    <mergeCell ref="U5:Z8"/>
    <mergeCell ref="U9:Z9"/>
    <mergeCell ref="U10:Z18"/>
    <mergeCell ref="C15:D19"/>
    <mergeCell ref="E18:F18"/>
    <mergeCell ref="E19:F19"/>
    <mergeCell ref="U19:Z19"/>
    <mergeCell ref="C14:D14"/>
    <mergeCell ref="P10:Q13"/>
    <mergeCell ref="A26:A27"/>
    <mergeCell ref="B26:B27"/>
    <mergeCell ref="C26:D28"/>
    <mergeCell ref="E28:F28"/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</mergeCells>
  <phoneticPr fontId="5" type="noConversion"/>
  <conditionalFormatting sqref="O85:O86">
    <cfRule type="uniqueValues" dxfId="2" priority="3"/>
  </conditionalFormatting>
  <conditionalFormatting sqref="M79:M80">
    <cfRule type="uniqueValues" dxfId="1" priority="2"/>
  </conditionalFormatting>
  <conditionalFormatting sqref="N85:N86">
    <cfRule type="uniqueValues" dxfId="0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W55"/>
  <sheetViews>
    <sheetView zoomScale="70" zoomScaleNormal="70" workbookViewId="0">
      <selection activeCell="B19" sqref="B19:Q19"/>
    </sheetView>
  </sheetViews>
  <sheetFormatPr defaultRowHeight="16.5"/>
  <cols>
    <col min="1" max="1" width="4.83203125" style="142" customWidth="1"/>
    <col min="2" max="17" width="14.1640625" style="142" customWidth="1"/>
    <col min="18" max="19" width="4.83203125" style="142" customWidth="1"/>
    <col min="20" max="16384" width="9.33203125" style="142"/>
  </cols>
  <sheetData>
    <row r="1" spans="2:23" ht="17.25" thickBot="1"/>
    <row r="2" spans="2:23" ht="45" customHeight="1" thickBot="1">
      <c r="B2" s="322" t="s">
        <v>561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4"/>
    </row>
    <row r="3" spans="2:23" ht="6.95" customHeight="1" thickBot="1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</row>
    <row r="4" spans="2:23" ht="39.950000000000003" customHeight="1">
      <c r="B4" s="325" t="s">
        <v>285</v>
      </c>
      <c r="C4" s="326"/>
      <c r="D4" s="326"/>
      <c r="E4" s="326"/>
      <c r="F4" s="326"/>
      <c r="G4" s="326"/>
      <c r="H4" s="326"/>
      <c r="I4" s="327"/>
      <c r="J4" s="331" t="s">
        <v>286</v>
      </c>
      <c r="K4" s="332"/>
      <c r="L4" s="332"/>
      <c r="M4" s="332"/>
      <c r="N4" s="332"/>
      <c r="O4" s="332"/>
      <c r="P4" s="332"/>
      <c r="Q4" s="333"/>
    </row>
    <row r="5" spans="2:23" ht="24.95" customHeight="1" thickBot="1">
      <c r="B5" s="328"/>
      <c r="C5" s="329"/>
      <c r="D5" s="329"/>
      <c r="E5" s="329"/>
      <c r="F5" s="329"/>
      <c r="G5" s="329"/>
      <c r="H5" s="329"/>
      <c r="I5" s="330"/>
      <c r="J5" s="334"/>
      <c r="K5" s="335"/>
      <c r="L5" s="335"/>
      <c r="M5" s="335"/>
      <c r="N5" s="335"/>
      <c r="O5" s="335"/>
      <c r="P5" s="335"/>
      <c r="Q5" s="336"/>
    </row>
    <row r="6" spans="2:23" ht="35.1" customHeight="1">
      <c r="B6" s="337" t="s">
        <v>287</v>
      </c>
      <c r="C6" s="338"/>
      <c r="D6" s="338"/>
      <c r="E6" s="338"/>
      <c r="F6" s="338"/>
      <c r="G6" s="338"/>
      <c r="H6" s="338"/>
      <c r="I6" s="339"/>
      <c r="J6" s="340"/>
      <c r="K6" s="341"/>
      <c r="L6" s="341"/>
      <c r="M6" s="341"/>
      <c r="N6" s="341"/>
      <c r="O6" s="341"/>
      <c r="P6" s="341"/>
      <c r="Q6" s="342"/>
    </row>
    <row r="7" spans="2:23" ht="35.1" customHeight="1">
      <c r="B7" s="349"/>
      <c r="C7" s="350"/>
      <c r="D7" s="350"/>
      <c r="E7" s="350"/>
      <c r="F7" s="350"/>
      <c r="G7" s="350"/>
      <c r="H7" s="350"/>
      <c r="I7" s="351"/>
      <c r="J7" s="343"/>
      <c r="K7" s="344"/>
      <c r="L7" s="344"/>
      <c r="M7" s="344"/>
      <c r="N7" s="344"/>
      <c r="O7" s="344"/>
      <c r="P7" s="344"/>
      <c r="Q7" s="345"/>
    </row>
    <row r="8" spans="2:23" ht="35.1" customHeight="1">
      <c r="B8" s="349"/>
      <c r="C8" s="350"/>
      <c r="D8" s="350"/>
      <c r="E8" s="350"/>
      <c r="F8" s="350"/>
      <c r="G8" s="350"/>
      <c r="H8" s="350"/>
      <c r="I8" s="351"/>
      <c r="J8" s="343"/>
      <c r="K8" s="344"/>
      <c r="L8" s="344"/>
      <c r="M8" s="344"/>
      <c r="N8" s="344"/>
      <c r="O8" s="344"/>
      <c r="P8" s="344"/>
      <c r="Q8" s="345"/>
    </row>
    <row r="9" spans="2:23" ht="35.1" customHeight="1">
      <c r="B9" s="349"/>
      <c r="C9" s="350"/>
      <c r="D9" s="350"/>
      <c r="E9" s="350"/>
      <c r="F9" s="350"/>
      <c r="G9" s="350"/>
      <c r="H9" s="350"/>
      <c r="I9" s="351"/>
      <c r="J9" s="343"/>
      <c r="K9" s="344"/>
      <c r="L9" s="344"/>
      <c r="M9" s="344"/>
      <c r="N9" s="344"/>
      <c r="O9" s="344"/>
      <c r="P9" s="344"/>
      <c r="Q9" s="345"/>
    </row>
    <row r="10" spans="2:23" ht="35.1" customHeight="1">
      <c r="B10" s="349"/>
      <c r="C10" s="350"/>
      <c r="D10" s="350"/>
      <c r="E10" s="350"/>
      <c r="F10" s="350"/>
      <c r="G10" s="350"/>
      <c r="H10" s="350"/>
      <c r="I10" s="351"/>
      <c r="J10" s="343"/>
      <c r="K10" s="344"/>
      <c r="L10" s="344"/>
      <c r="M10" s="344"/>
      <c r="N10" s="344"/>
      <c r="O10" s="344"/>
      <c r="P10" s="344"/>
      <c r="Q10" s="345"/>
    </row>
    <row r="11" spans="2:23" ht="35.1" customHeight="1">
      <c r="B11" s="349"/>
      <c r="C11" s="350"/>
      <c r="D11" s="350"/>
      <c r="E11" s="350"/>
      <c r="F11" s="350"/>
      <c r="G11" s="350"/>
      <c r="H11" s="350"/>
      <c r="I11" s="351"/>
      <c r="J11" s="343"/>
      <c r="K11" s="344"/>
      <c r="L11" s="344"/>
      <c r="M11" s="344"/>
      <c r="N11" s="344"/>
      <c r="O11" s="344"/>
      <c r="P11" s="344"/>
      <c r="Q11" s="345"/>
    </row>
    <row r="12" spans="2:23" ht="35.1" customHeight="1">
      <c r="B12" s="349" t="s">
        <v>288</v>
      </c>
      <c r="C12" s="350"/>
      <c r="D12" s="350"/>
      <c r="E12" s="350"/>
      <c r="F12" s="350"/>
      <c r="G12" s="350"/>
      <c r="H12" s="350"/>
      <c r="I12" s="351"/>
      <c r="J12" s="343"/>
      <c r="K12" s="344"/>
      <c r="L12" s="344"/>
      <c r="M12" s="344"/>
      <c r="N12" s="344"/>
      <c r="O12" s="344"/>
      <c r="P12" s="344"/>
      <c r="Q12" s="345"/>
    </row>
    <row r="13" spans="2:23" ht="35.1" customHeight="1">
      <c r="B13" s="349"/>
      <c r="C13" s="352"/>
      <c r="D13" s="352"/>
      <c r="E13" s="352"/>
      <c r="F13" s="352"/>
      <c r="G13" s="352"/>
      <c r="H13" s="352"/>
      <c r="I13" s="353"/>
      <c r="J13" s="343"/>
      <c r="K13" s="344"/>
      <c r="L13" s="344"/>
      <c r="M13" s="344"/>
      <c r="N13" s="344"/>
      <c r="O13" s="344"/>
      <c r="P13" s="344"/>
      <c r="Q13" s="345"/>
    </row>
    <row r="14" spans="2:23" ht="35.1" customHeight="1">
      <c r="B14" s="354"/>
      <c r="C14" s="352"/>
      <c r="D14" s="352"/>
      <c r="E14" s="352"/>
      <c r="F14" s="352"/>
      <c r="G14" s="352"/>
      <c r="H14" s="352"/>
      <c r="I14" s="353"/>
      <c r="J14" s="343"/>
      <c r="K14" s="344"/>
      <c r="L14" s="344"/>
      <c r="M14" s="344"/>
      <c r="N14" s="344"/>
      <c r="O14" s="344"/>
      <c r="P14" s="344"/>
      <c r="Q14" s="345"/>
      <c r="W14" s="142" t="s">
        <v>214</v>
      </c>
    </row>
    <row r="15" spans="2:23" ht="35.1" customHeight="1">
      <c r="B15" s="354"/>
      <c r="C15" s="352"/>
      <c r="D15" s="352"/>
      <c r="E15" s="352"/>
      <c r="F15" s="352"/>
      <c r="G15" s="352"/>
      <c r="H15" s="352"/>
      <c r="I15" s="353"/>
      <c r="J15" s="343"/>
      <c r="K15" s="344"/>
      <c r="L15" s="344"/>
      <c r="M15" s="344"/>
      <c r="N15" s="344"/>
      <c r="O15" s="344"/>
      <c r="P15" s="344"/>
      <c r="Q15" s="345"/>
    </row>
    <row r="16" spans="2:23" ht="35.1" customHeight="1">
      <c r="B16" s="354"/>
      <c r="C16" s="352"/>
      <c r="D16" s="352"/>
      <c r="E16" s="352"/>
      <c r="F16" s="352"/>
      <c r="G16" s="352"/>
      <c r="H16" s="352"/>
      <c r="I16" s="353"/>
      <c r="J16" s="343"/>
      <c r="K16" s="344"/>
      <c r="L16" s="344"/>
      <c r="M16" s="344"/>
      <c r="N16" s="344"/>
      <c r="O16" s="344"/>
      <c r="P16" s="344"/>
      <c r="Q16" s="345"/>
    </row>
    <row r="17" spans="2:17" ht="35.1" customHeight="1">
      <c r="B17" s="354"/>
      <c r="C17" s="352"/>
      <c r="D17" s="352"/>
      <c r="E17" s="352"/>
      <c r="F17" s="352"/>
      <c r="G17" s="352"/>
      <c r="H17" s="352"/>
      <c r="I17" s="353"/>
      <c r="J17" s="343"/>
      <c r="K17" s="344"/>
      <c r="L17" s="344"/>
      <c r="M17" s="344"/>
      <c r="N17" s="344"/>
      <c r="O17" s="344"/>
      <c r="P17" s="344"/>
      <c r="Q17" s="345"/>
    </row>
    <row r="18" spans="2:17" ht="35.1" customHeight="1" thickBot="1">
      <c r="B18" s="355"/>
      <c r="C18" s="356"/>
      <c r="D18" s="356"/>
      <c r="E18" s="356"/>
      <c r="F18" s="356"/>
      <c r="G18" s="356"/>
      <c r="H18" s="356"/>
      <c r="I18" s="357"/>
      <c r="J18" s="346"/>
      <c r="K18" s="347"/>
      <c r="L18" s="347"/>
      <c r="M18" s="347"/>
      <c r="N18" s="347"/>
      <c r="O18" s="347"/>
      <c r="P18" s="347"/>
      <c r="Q18" s="348"/>
    </row>
    <row r="19" spans="2:17" ht="45" customHeight="1" thickBot="1">
      <c r="B19" s="322" t="s">
        <v>562</v>
      </c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4"/>
    </row>
    <row r="20" spans="2:17" ht="24.95" customHeight="1">
      <c r="B20" s="358">
        <v>1</v>
      </c>
      <c r="C20" s="361"/>
      <c r="D20" s="362"/>
      <c r="E20" s="362"/>
      <c r="F20" s="366">
        <v>13</v>
      </c>
      <c r="G20" s="369"/>
      <c r="H20" s="366"/>
      <c r="I20" s="366"/>
      <c r="J20" s="366">
        <v>25</v>
      </c>
      <c r="K20" s="369"/>
      <c r="L20" s="366"/>
      <c r="M20" s="366"/>
      <c r="N20" s="366">
        <v>37</v>
      </c>
      <c r="O20" s="366"/>
      <c r="P20" s="371"/>
      <c r="Q20" s="372"/>
    </row>
    <row r="21" spans="2:17" ht="24.95" customHeight="1">
      <c r="B21" s="359"/>
      <c r="C21" s="363"/>
      <c r="D21" s="364"/>
      <c r="E21" s="364"/>
      <c r="F21" s="367"/>
      <c r="G21" s="370"/>
      <c r="H21" s="367"/>
      <c r="I21" s="367"/>
      <c r="J21" s="367"/>
      <c r="K21" s="370"/>
      <c r="L21" s="367"/>
      <c r="M21" s="367"/>
      <c r="N21" s="367"/>
      <c r="O21" s="367"/>
      <c r="P21" s="373"/>
      <c r="Q21" s="374"/>
    </row>
    <row r="22" spans="2:17" ht="24.95" customHeight="1">
      <c r="B22" s="360"/>
      <c r="C22" s="365"/>
      <c r="D22" s="365"/>
      <c r="E22" s="365"/>
      <c r="F22" s="368"/>
      <c r="G22" s="368"/>
      <c r="H22" s="368"/>
      <c r="I22" s="368"/>
      <c r="J22" s="368"/>
      <c r="K22" s="368"/>
      <c r="L22" s="368"/>
      <c r="M22" s="368"/>
      <c r="N22" s="368"/>
      <c r="O22" s="368"/>
      <c r="P22" s="375"/>
      <c r="Q22" s="376"/>
    </row>
    <row r="23" spans="2:17" ht="24.95" customHeight="1">
      <c r="B23" s="377">
        <v>2</v>
      </c>
      <c r="C23" s="365"/>
      <c r="D23" s="365"/>
      <c r="E23" s="365"/>
      <c r="F23" s="368">
        <v>14</v>
      </c>
      <c r="G23" s="368"/>
      <c r="H23" s="368"/>
      <c r="I23" s="368"/>
      <c r="J23" s="368">
        <v>26</v>
      </c>
      <c r="K23" s="368"/>
      <c r="L23" s="368"/>
      <c r="M23" s="368"/>
      <c r="N23" s="368">
        <v>38</v>
      </c>
      <c r="O23" s="368"/>
      <c r="P23" s="375"/>
      <c r="Q23" s="376"/>
    </row>
    <row r="24" spans="2:17" ht="24.95" customHeight="1">
      <c r="B24" s="377"/>
      <c r="C24" s="365"/>
      <c r="D24" s="365"/>
      <c r="E24" s="365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75"/>
      <c r="Q24" s="376"/>
    </row>
    <row r="25" spans="2:17" ht="24.95" customHeight="1">
      <c r="B25" s="377"/>
      <c r="C25" s="365"/>
      <c r="D25" s="365"/>
      <c r="E25" s="365"/>
      <c r="F25" s="368"/>
      <c r="G25" s="368"/>
      <c r="H25" s="368"/>
      <c r="I25" s="368"/>
      <c r="J25" s="368"/>
      <c r="K25" s="368"/>
      <c r="L25" s="368"/>
      <c r="M25" s="368"/>
      <c r="N25" s="368"/>
      <c r="O25" s="368"/>
      <c r="P25" s="375"/>
      <c r="Q25" s="376"/>
    </row>
    <row r="26" spans="2:17" ht="24.95" customHeight="1">
      <c r="B26" s="377">
        <v>3</v>
      </c>
      <c r="C26" s="365"/>
      <c r="D26" s="365"/>
      <c r="E26" s="365"/>
      <c r="F26" s="368">
        <v>15</v>
      </c>
      <c r="G26" s="368"/>
      <c r="H26" s="368"/>
      <c r="I26" s="368"/>
      <c r="J26" s="368">
        <v>27</v>
      </c>
      <c r="K26" s="368"/>
      <c r="L26" s="368"/>
      <c r="M26" s="368"/>
      <c r="N26" s="368">
        <v>39</v>
      </c>
      <c r="O26" s="368"/>
      <c r="P26" s="375"/>
      <c r="Q26" s="376"/>
    </row>
    <row r="27" spans="2:17" ht="24.95" customHeight="1">
      <c r="B27" s="377"/>
      <c r="C27" s="365"/>
      <c r="D27" s="365"/>
      <c r="E27" s="365"/>
      <c r="F27" s="368"/>
      <c r="G27" s="368"/>
      <c r="H27" s="368"/>
      <c r="I27" s="368"/>
      <c r="J27" s="368"/>
      <c r="K27" s="368"/>
      <c r="L27" s="368"/>
      <c r="M27" s="368"/>
      <c r="N27" s="368"/>
      <c r="O27" s="368"/>
      <c r="P27" s="375"/>
      <c r="Q27" s="376"/>
    </row>
    <row r="28" spans="2:17" ht="24.95" customHeight="1">
      <c r="B28" s="377"/>
      <c r="C28" s="365"/>
      <c r="D28" s="365"/>
      <c r="E28" s="365"/>
      <c r="F28" s="368"/>
      <c r="G28" s="368"/>
      <c r="H28" s="368"/>
      <c r="I28" s="368"/>
      <c r="J28" s="368"/>
      <c r="K28" s="368"/>
      <c r="L28" s="368"/>
      <c r="M28" s="368"/>
      <c r="N28" s="368"/>
      <c r="O28" s="368"/>
      <c r="P28" s="375"/>
      <c r="Q28" s="376"/>
    </row>
    <row r="29" spans="2:17" ht="24.95" customHeight="1">
      <c r="B29" s="377">
        <v>4</v>
      </c>
      <c r="C29" s="365"/>
      <c r="D29" s="365"/>
      <c r="E29" s="365"/>
      <c r="F29" s="368">
        <v>16</v>
      </c>
      <c r="G29" s="368"/>
      <c r="H29" s="368"/>
      <c r="I29" s="368"/>
      <c r="J29" s="368">
        <v>28</v>
      </c>
      <c r="K29" s="368"/>
      <c r="L29" s="368"/>
      <c r="M29" s="368"/>
      <c r="N29" s="368">
        <v>40</v>
      </c>
      <c r="O29" s="368"/>
      <c r="P29" s="375"/>
      <c r="Q29" s="376"/>
    </row>
    <row r="30" spans="2:17" ht="24.95" customHeight="1">
      <c r="B30" s="377"/>
      <c r="C30" s="365"/>
      <c r="D30" s="365"/>
      <c r="E30" s="365"/>
      <c r="F30" s="368"/>
      <c r="G30" s="368"/>
      <c r="H30" s="368"/>
      <c r="I30" s="368"/>
      <c r="J30" s="368"/>
      <c r="K30" s="368"/>
      <c r="L30" s="368"/>
      <c r="M30" s="368"/>
      <c r="N30" s="368"/>
      <c r="O30" s="368"/>
      <c r="P30" s="375"/>
      <c r="Q30" s="376"/>
    </row>
    <row r="31" spans="2:17" ht="24.95" customHeight="1">
      <c r="B31" s="377"/>
      <c r="C31" s="365"/>
      <c r="D31" s="365"/>
      <c r="E31" s="365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75"/>
      <c r="Q31" s="376"/>
    </row>
    <row r="32" spans="2:17" ht="24.95" customHeight="1">
      <c r="B32" s="377">
        <v>5</v>
      </c>
      <c r="C32" s="368"/>
      <c r="D32" s="368"/>
      <c r="E32" s="368"/>
      <c r="F32" s="368">
        <v>17</v>
      </c>
      <c r="G32" s="368"/>
      <c r="H32" s="368"/>
      <c r="I32" s="368"/>
      <c r="J32" s="368">
        <v>29</v>
      </c>
      <c r="K32" s="368"/>
      <c r="L32" s="368"/>
      <c r="M32" s="368"/>
      <c r="N32" s="368">
        <v>41</v>
      </c>
      <c r="O32" s="368"/>
      <c r="P32" s="375"/>
      <c r="Q32" s="376"/>
    </row>
    <row r="33" spans="2:17" ht="24.95" customHeight="1">
      <c r="B33" s="377"/>
      <c r="C33" s="368"/>
      <c r="D33" s="368"/>
      <c r="E33" s="368"/>
      <c r="F33" s="368"/>
      <c r="G33" s="368"/>
      <c r="H33" s="368"/>
      <c r="I33" s="368"/>
      <c r="J33" s="368"/>
      <c r="K33" s="368"/>
      <c r="L33" s="368"/>
      <c r="M33" s="368"/>
      <c r="N33" s="368"/>
      <c r="O33" s="368"/>
      <c r="P33" s="375"/>
      <c r="Q33" s="376"/>
    </row>
    <row r="34" spans="2:17" ht="24.95" customHeight="1">
      <c r="B34" s="377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75"/>
      <c r="Q34" s="376"/>
    </row>
    <row r="35" spans="2:17" ht="24.95" customHeight="1">
      <c r="B35" s="377">
        <v>6</v>
      </c>
      <c r="C35" s="368"/>
      <c r="D35" s="368"/>
      <c r="E35" s="368"/>
      <c r="F35" s="368">
        <v>18</v>
      </c>
      <c r="G35" s="368"/>
      <c r="H35" s="368"/>
      <c r="I35" s="368"/>
      <c r="J35" s="368">
        <v>30</v>
      </c>
      <c r="K35" s="368"/>
      <c r="L35" s="368"/>
      <c r="M35" s="368"/>
      <c r="N35" s="368">
        <v>42</v>
      </c>
      <c r="O35" s="368"/>
      <c r="P35" s="375"/>
      <c r="Q35" s="376"/>
    </row>
    <row r="36" spans="2:17" ht="24.95" customHeight="1">
      <c r="B36" s="377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8"/>
      <c r="P36" s="375"/>
      <c r="Q36" s="376"/>
    </row>
    <row r="37" spans="2:17" ht="24.95" customHeight="1">
      <c r="B37" s="377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75"/>
      <c r="Q37" s="376"/>
    </row>
    <row r="38" spans="2:17" ht="24.95" customHeight="1">
      <c r="B38" s="377">
        <v>7</v>
      </c>
      <c r="C38" s="368"/>
      <c r="D38" s="368"/>
      <c r="E38" s="368"/>
      <c r="F38" s="368">
        <v>19</v>
      </c>
      <c r="G38" s="368"/>
      <c r="H38" s="368"/>
      <c r="I38" s="368"/>
      <c r="J38" s="368">
        <v>31</v>
      </c>
      <c r="K38" s="368"/>
      <c r="L38" s="368"/>
      <c r="M38" s="368"/>
      <c r="N38" s="368">
        <v>43</v>
      </c>
      <c r="O38" s="368"/>
      <c r="P38" s="375"/>
      <c r="Q38" s="376"/>
    </row>
    <row r="39" spans="2:17" ht="24.95" customHeight="1">
      <c r="B39" s="377"/>
      <c r="C39" s="368"/>
      <c r="D39" s="368"/>
      <c r="E39" s="368"/>
      <c r="F39" s="368"/>
      <c r="G39" s="368"/>
      <c r="H39" s="368"/>
      <c r="I39" s="368"/>
      <c r="J39" s="368"/>
      <c r="K39" s="368"/>
      <c r="L39" s="368"/>
      <c r="M39" s="368"/>
      <c r="N39" s="368"/>
      <c r="O39" s="368"/>
      <c r="P39" s="375"/>
      <c r="Q39" s="376"/>
    </row>
    <row r="40" spans="2:17" ht="24.95" customHeight="1">
      <c r="B40" s="377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68"/>
      <c r="P40" s="375"/>
      <c r="Q40" s="376"/>
    </row>
    <row r="41" spans="2:17" ht="24.95" customHeight="1">
      <c r="B41" s="377">
        <v>8</v>
      </c>
      <c r="C41" s="368"/>
      <c r="D41" s="368"/>
      <c r="E41" s="368"/>
      <c r="F41" s="368">
        <v>20</v>
      </c>
      <c r="G41" s="368"/>
      <c r="H41" s="368"/>
      <c r="I41" s="368"/>
      <c r="J41" s="368">
        <v>32</v>
      </c>
      <c r="K41" s="368"/>
      <c r="L41" s="368"/>
      <c r="M41" s="368"/>
      <c r="N41" s="368">
        <v>44</v>
      </c>
      <c r="O41" s="368"/>
      <c r="P41" s="375"/>
      <c r="Q41" s="376"/>
    </row>
    <row r="42" spans="2:17" ht="24.95" customHeight="1">
      <c r="B42" s="377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75"/>
      <c r="Q42" s="376"/>
    </row>
    <row r="43" spans="2:17" ht="24.95" customHeight="1">
      <c r="B43" s="377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75"/>
      <c r="Q43" s="376"/>
    </row>
    <row r="44" spans="2:17" ht="24.95" customHeight="1">
      <c r="B44" s="377">
        <v>9</v>
      </c>
      <c r="C44" s="368"/>
      <c r="D44" s="368"/>
      <c r="E44" s="368"/>
      <c r="F44" s="368">
        <v>21</v>
      </c>
      <c r="G44" s="368"/>
      <c r="H44" s="368"/>
      <c r="I44" s="368"/>
      <c r="J44" s="368">
        <v>33</v>
      </c>
      <c r="K44" s="368"/>
      <c r="L44" s="368"/>
      <c r="M44" s="368"/>
      <c r="N44" s="368">
        <v>45</v>
      </c>
      <c r="O44" s="368"/>
      <c r="P44" s="375"/>
      <c r="Q44" s="376"/>
    </row>
    <row r="45" spans="2:17" ht="24.95" customHeight="1">
      <c r="B45" s="377"/>
      <c r="C45" s="368"/>
      <c r="D45" s="368"/>
      <c r="E45" s="368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75"/>
      <c r="Q45" s="376"/>
    </row>
    <row r="46" spans="2:17" ht="24.95" customHeight="1">
      <c r="B46" s="377"/>
      <c r="C46" s="368"/>
      <c r="D46" s="368"/>
      <c r="E46" s="368"/>
      <c r="F46" s="368"/>
      <c r="G46" s="368"/>
      <c r="H46" s="368"/>
      <c r="I46" s="368"/>
      <c r="J46" s="368"/>
      <c r="K46" s="368"/>
      <c r="L46" s="368"/>
      <c r="M46" s="368"/>
      <c r="N46" s="368"/>
      <c r="O46" s="368"/>
      <c r="P46" s="375"/>
      <c r="Q46" s="376"/>
    </row>
    <row r="47" spans="2:17" ht="24.95" customHeight="1">
      <c r="B47" s="377">
        <v>10</v>
      </c>
      <c r="C47" s="368"/>
      <c r="D47" s="368"/>
      <c r="E47" s="368"/>
      <c r="F47" s="368">
        <v>22</v>
      </c>
      <c r="G47" s="368"/>
      <c r="H47" s="368"/>
      <c r="I47" s="368"/>
      <c r="J47" s="368">
        <v>34</v>
      </c>
      <c r="K47" s="368"/>
      <c r="L47" s="368"/>
      <c r="M47" s="368"/>
      <c r="N47" s="368">
        <v>46</v>
      </c>
      <c r="O47" s="368"/>
      <c r="P47" s="375"/>
      <c r="Q47" s="376"/>
    </row>
    <row r="48" spans="2:17" ht="24.95" customHeight="1">
      <c r="B48" s="377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8"/>
      <c r="P48" s="375"/>
      <c r="Q48" s="376"/>
    </row>
    <row r="49" spans="2:17" ht="24.95" customHeight="1">
      <c r="B49" s="377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8"/>
      <c r="P49" s="375"/>
      <c r="Q49" s="376"/>
    </row>
    <row r="50" spans="2:17" ht="24.95" customHeight="1">
      <c r="B50" s="377">
        <v>11</v>
      </c>
      <c r="C50" s="368"/>
      <c r="D50" s="368"/>
      <c r="E50" s="368"/>
      <c r="F50" s="368">
        <v>23</v>
      </c>
      <c r="G50" s="368"/>
      <c r="H50" s="368"/>
      <c r="I50" s="368"/>
      <c r="J50" s="368">
        <v>35</v>
      </c>
      <c r="K50" s="368"/>
      <c r="L50" s="368"/>
      <c r="M50" s="368"/>
      <c r="N50" s="368">
        <v>47</v>
      </c>
      <c r="O50" s="368"/>
      <c r="P50" s="375"/>
      <c r="Q50" s="376"/>
    </row>
    <row r="51" spans="2:17" ht="24.95" customHeight="1">
      <c r="B51" s="377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75"/>
      <c r="Q51" s="376"/>
    </row>
    <row r="52" spans="2:17" ht="24.95" customHeight="1">
      <c r="B52" s="377"/>
      <c r="C52" s="368"/>
      <c r="D52" s="368"/>
      <c r="E52" s="368"/>
      <c r="F52" s="368"/>
      <c r="G52" s="368"/>
      <c r="H52" s="368"/>
      <c r="I52" s="368"/>
      <c r="J52" s="368"/>
      <c r="K52" s="368"/>
      <c r="L52" s="368"/>
      <c r="M52" s="368"/>
      <c r="N52" s="368"/>
      <c r="O52" s="368"/>
      <c r="P52" s="375"/>
      <c r="Q52" s="376"/>
    </row>
    <row r="53" spans="2:17" ht="24.95" customHeight="1">
      <c r="B53" s="377">
        <v>12</v>
      </c>
      <c r="C53" s="368"/>
      <c r="D53" s="368"/>
      <c r="E53" s="368"/>
      <c r="F53" s="368">
        <v>24</v>
      </c>
      <c r="G53" s="368"/>
      <c r="H53" s="368"/>
      <c r="I53" s="368"/>
      <c r="J53" s="378">
        <v>36</v>
      </c>
      <c r="K53" s="368"/>
      <c r="L53" s="368"/>
      <c r="M53" s="368"/>
      <c r="N53" s="368">
        <v>48</v>
      </c>
      <c r="O53" s="368"/>
      <c r="P53" s="375"/>
      <c r="Q53" s="376"/>
    </row>
    <row r="54" spans="2:17" ht="24.95" customHeight="1">
      <c r="B54" s="384"/>
      <c r="C54" s="378"/>
      <c r="D54" s="378"/>
      <c r="E54" s="378"/>
      <c r="F54" s="378"/>
      <c r="G54" s="378"/>
      <c r="H54" s="378"/>
      <c r="I54" s="378"/>
      <c r="J54" s="386"/>
      <c r="K54" s="378"/>
      <c r="L54" s="378"/>
      <c r="M54" s="378"/>
      <c r="N54" s="378"/>
      <c r="O54" s="378"/>
      <c r="P54" s="380"/>
      <c r="Q54" s="381"/>
    </row>
    <row r="55" spans="2:17" ht="24.95" customHeight="1" thickBot="1">
      <c r="B55" s="385"/>
      <c r="C55" s="379"/>
      <c r="D55" s="379"/>
      <c r="E55" s="379"/>
      <c r="F55" s="379"/>
      <c r="G55" s="379"/>
      <c r="H55" s="379"/>
      <c r="I55" s="379"/>
      <c r="J55" s="387"/>
      <c r="K55" s="379"/>
      <c r="L55" s="379"/>
      <c r="M55" s="379"/>
      <c r="N55" s="379"/>
      <c r="O55" s="379"/>
      <c r="P55" s="382"/>
      <c r="Q55" s="383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8"/>
    <mergeCell ref="B7:I11"/>
    <mergeCell ref="B12:I12"/>
    <mergeCell ref="B13:I18"/>
    <mergeCell ref="B19:Q19"/>
  </mergeCells>
  <phoneticPr fontId="5" type="noConversion"/>
  <printOptions horizontalCentered="1" verticalCentered="1"/>
  <pageMargins left="0" right="0" top="0" bottom="0" header="0" footer="0"/>
  <pageSetup paperSize="9" scale="3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원본</vt:lpstr>
      <vt:lpstr>12.01</vt:lpstr>
      <vt:lpstr>12.02</vt:lpstr>
      <vt:lpstr>12.03</vt:lpstr>
      <vt:lpstr>12.04</vt:lpstr>
      <vt:lpstr>12.05</vt:lpstr>
      <vt:lpstr>12.08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dcterms:created xsi:type="dcterms:W3CDTF">2025-11-27T23:17:10Z</dcterms:created>
  <dcterms:modified xsi:type="dcterms:W3CDTF">2025-12-05T06:33:22Z</dcterms:modified>
</cp:coreProperties>
</file>