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xr:revisionPtr revIDLastSave="0" documentId="13_ncr:1_{514021A7-7F7B-4F0E-94E7-D03BC37F424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5층 12월 원본" sheetId="1" r:id="rId1"/>
    <sheet name="12.1" sheetId="5" r:id="rId2"/>
    <sheet name="12.2" sheetId="7" r:id="rId3"/>
    <sheet name="12.3" sheetId="9" r:id="rId4"/>
    <sheet name="12.4" sheetId="11" r:id="rId5"/>
    <sheet name="12.5" sheetId="13" r:id="rId6"/>
    <sheet name="12.8" sheetId="17" r:id="rId7"/>
    <sheet name="HOLD지 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17" l="1"/>
  <c r="R26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4" i="13"/>
  <c r="R5" i="13"/>
  <c r="R6" i="13"/>
  <c r="R7" i="13"/>
  <c r="R8" i="13"/>
  <c r="R9" i="13"/>
  <c r="R10" i="13"/>
  <c r="R11" i="13"/>
  <c r="R12" i="13"/>
  <c r="R13" i="13"/>
  <c r="R14" i="13"/>
  <c r="R15" i="13"/>
  <c r="R18" i="13"/>
  <c r="R19" i="13"/>
  <c r="R21" i="13"/>
  <c r="R22" i="13"/>
  <c r="R23" i="13"/>
  <c r="R24" i="13"/>
  <c r="R26" i="13"/>
  <c r="R28" i="13"/>
  <c r="R3" i="17" l="1"/>
  <c r="R3" i="13"/>
  <c r="Q37" i="11"/>
  <c r="P37" i="11"/>
  <c r="O37" i="11"/>
  <c r="N37" i="11"/>
  <c r="M37" i="11"/>
  <c r="K37" i="11"/>
  <c r="J37" i="11"/>
  <c r="I37" i="11"/>
  <c r="H37" i="11"/>
  <c r="G37" i="11"/>
  <c r="F37" i="11"/>
  <c r="E37" i="11"/>
  <c r="R28" i="11"/>
  <c r="R26" i="11"/>
  <c r="R24" i="11"/>
  <c r="R23" i="11"/>
  <c r="R22" i="11"/>
  <c r="R21" i="11"/>
  <c r="R19" i="11"/>
  <c r="R18" i="11"/>
  <c r="R15" i="11"/>
  <c r="R14" i="11"/>
  <c r="R13" i="11"/>
  <c r="R12" i="11"/>
  <c r="R11" i="11"/>
  <c r="R10" i="11"/>
  <c r="R9" i="11"/>
  <c r="R8" i="11"/>
  <c r="R7" i="11"/>
  <c r="R6" i="11"/>
  <c r="R5" i="11"/>
  <c r="R4" i="11"/>
  <c r="R11" i="1"/>
  <c r="Q37" i="9"/>
  <c r="P37" i="9"/>
  <c r="O37" i="9"/>
  <c r="N37" i="9"/>
  <c r="M37" i="9"/>
  <c r="K37" i="9"/>
  <c r="J37" i="9"/>
  <c r="I37" i="9"/>
  <c r="H37" i="9"/>
  <c r="G37" i="9"/>
  <c r="F37" i="9"/>
  <c r="E37" i="9"/>
  <c r="R28" i="9"/>
  <c r="R26" i="9"/>
  <c r="R24" i="9"/>
  <c r="R23" i="9"/>
  <c r="R22" i="9"/>
  <c r="R21" i="9"/>
  <c r="R20" i="9"/>
  <c r="R19" i="9"/>
  <c r="R18" i="9"/>
  <c r="R17" i="9"/>
  <c r="R15" i="9"/>
  <c r="R14" i="9"/>
  <c r="R13" i="9"/>
  <c r="R12" i="9"/>
  <c r="R10" i="9"/>
  <c r="R9" i="9"/>
  <c r="R8" i="9"/>
  <c r="R7" i="9"/>
  <c r="R6" i="9"/>
  <c r="R5" i="9"/>
  <c r="R3" i="9" s="1"/>
  <c r="R4" i="9"/>
  <c r="R16" i="1"/>
  <c r="R3" i="11" l="1"/>
  <c r="Q37" i="7"/>
  <c r="P37" i="7"/>
  <c r="O37" i="7"/>
  <c r="N37" i="7"/>
  <c r="M37" i="7"/>
  <c r="K37" i="7"/>
  <c r="J37" i="7"/>
  <c r="I37" i="7"/>
  <c r="H37" i="7"/>
  <c r="G37" i="7"/>
  <c r="F37" i="7"/>
  <c r="E37" i="7"/>
  <c r="R28" i="7"/>
  <c r="R26" i="7"/>
  <c r="R24" i="7"/>
  <c r="R23" i="7"/>
  <c r="R22" i="7"/>
  <c r="R21" i="7"/>
  <c r="R19" i="7"/>
  <c r="R18" i="7"/>
  <c r="R17" i="7"/>
  <c r="R15" i="7"/>
  <c r="R14" i="7"/>
  <c r="R13" i="7"/>
  <c r="R12" i="7"/>
  <c r="R10" i="7"/>
  <c r="R9" i="7"/>
  <c r="R8" i="7"/>
  <c r="R7" i="7"/>
  <c r="R6" i="7"/>
  <c r="R5" i="7"/>
  <c r="R4" i="7"/>
  <c r="R3" i="7" s="1"/>
  <c r="Q37" i="5" l="1"/>
  <c r="P37" i="5"/>
  <c r="O37" i="5"/>
  <c r="N37" i="5"/>
  <c r="M37" i="5"/>
  <c r="K37" i="5"/>
  <c r="J37" i="5"/>
  <c r="I37" i="5"/>
  <c r="H37" i="5"/>
  <c r="G37" i="5"/>
  <c r="F37" i="5"/>
  <c r="E37" i="5"/>
  <c r="R28" i="5"/>
  <c r="R26" i="5"/>
  <c r="R24" i="5"/>
  <c r="R23" i="5"/>
  <c r="R22" i="5"/>
  <c r="R21" i="5"/>
  <c r="R19" i="5"/>
  <c r="R18" i="5"/>
  <c r="R17" i="5"/>
  <c r="R15" i="5"/>
  <c r="R14" i="5"/>
  <c r="R13" i="5"/>
  <c r="R12" i="5"/>
  <c r="R11" i="5"/>
  <c r="R10" i="5"/>
  <c r="R9" i="5"/>
  <c r="R8" i="5"/>
  <c r="R7" i="5"/>
  <c r="R6" i="5"/>
  <c r="R5" i="5"/>
  <c r="R3" i="5" s="1"/>
  <c r="R4" i="5"/>
  <c r="R28" i="1" l="1"/>
  <c r="R26" i="1"/>
  <c r="R24" i="1"/>
  <c r="R23" i="1"/>
  <c r="R22" i="1"/>
  <c r="R21" i="1"/>
  <c r="R20" i="1"/>
  <c r="R19" i="1"/>
  <c r="R18" i="1"/>
  <c r="R17" i="1"/>
  <c r="R15" i="1"/>
  <c r="R14" i="1"/>
  <c r="R13" i="1"/>
  <c r="R12" i="1"/>
  <c r="R10" i="1"/>
  <c r="R9" i="1"/>
  <c r="R8" i="1"/>
  <c r="R7" i="1"/>
  <c r="R6" i="1"/>
  <c r="R5" i="1"/>
  <c r="R4" i="1"/>
  <c r="R3" i="1" l="1"/>
</calcChain>
</file>

<file path=xl/sharedStrings.xml><?xml version="1.0" encoding="utf-8"?>
<sst xmlns="http://schemas.openxmlformats.org/spreadsheetml/2006/main" count="2824" uniqueCount="1057">
  <si>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</si>
  <si>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</si>
  <si>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</si>
  <si>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</si>
  <si>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</si>
  <si>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</si>
  <si>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</si>
  <si>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</si>
  <si>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</si>
  <si>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</si>
  <si>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</si>
  <si>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</si>
  <si>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</si>
  <si>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</si>
  <si>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</si>
  <si>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</si>
  <si>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</si>
  <si>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</si>
  <si>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</si>
  <si>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</si>
  <si>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</si>
  <si>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</si>
  <si>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RG정태두</t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</si>
  <si>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</si>
  <si>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</si>
  <si>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</si>
  <si>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</si>
  <si>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</si>
  <si>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</si>
  <si>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</si>
  <si>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</si>
  <si>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임지현</t>
  </si>
  <si>
    <t>N연현숙2</t>
    <phoneticPr fontId="3" type="noConversion"/>
  </si>
  <si>
    <t>N7최지선3</t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</si>
  <si>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</si>
  <si>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</si>
  <si>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</si>
  <si>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RN정현숙4</t>
  </si>
  <si>
    <t>RN이팔원</t>
    <phoneticPr fontId="3" type="noConversion"/>
  </si>
  <si>
    <t>RM김명배3</t>
  </si>
  <si>
    <t>RM김석군</t>
    <phoneticPr fontId="3" type="noConversion"/>
  </si>
  <si>
    <t>RN우영희2</t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</si>
  <si>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</si>
  <si>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</si>
  <si>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</si>
  <si>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</si>
  <si>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</si>
  <si>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</si>
  <si>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RM김석군</t>
    <phoneticPr fontId="3" type="noConversion"/>
  </si>
  <si>
    <t>N7박성구D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</si>
  <si>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</si>
  <si>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</si>
  <si>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</si>
  <si>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</si>
  <si>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RM김재환2</t>
    <phoneticPr fontId="3" type="noConversion"/>
  </si>
  <si>
    <t>RM이병희3</t>
  </si>
  <si>
    <t>RG최상근3</t>
    <phoneticPr fontId="3" type="noConversion"/>
  </si>
  <si>
    <t>RN윤소희3</t>
    <phoneticPr fontId="3" type="noConversion"/>
  </si>
  <si>
    <t>RG최상근3</t>
    <phoneticPr fontId="3" type="noConversion"/>
  </si>
  <si>
    <t>RN강용수</t>
    <phoneticPr fontId="3" type="noConversion"/>
  </si>
  <si>
    <t>N신연애</t>
    <phoneticPr fontId="3" type="noConversion"/>
  </si>
  <si>
    <t>RN홍선화</t>
    <phoneticPr fontId="3" type="noConversion"/>
  </si>
  <si>
    <t>RG정태두</t>
    <phoneticPr fontId="3" type="noConversion"/>
  </si>
  <si>
    <t>서원빈</t>
    <phoneticPr fontId="3" type="noConversion"/>
  </si>
  <si>
    <t>RN김석군</t>
    <phoneticPr fontId="3" type="noConversion"/>
  </si>
  <si>
    <t>N전혜옥</t>
    <phoneticPr fontId="3" type="noConversion"/>
  </si>
  <si>
    <t>N지복례</t>
    <phoneticPr fontId="13" type="noConversion"/>
  </si>
  <si>
    <t>N서승달</t>
    <phoneticPr fontId="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</si>
  <si>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</si>
  <si>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</si>
  <si>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</si>
  <si>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RM우영희2</t>
  </si>
  <si>
    <t>RM임낙규</t>
    <phoneticPr fontId="3" type="noConversion"/>
  </si>
  <si>
    <t>RM정현숙4</t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</si>
  <si>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</si>
  <si>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</si>
  <si>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</si>
  <si>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RN이병희3</t>
  </si>
  <si>
    <t>RM서극원</t>
    <phoneticPr fontId="3" type="noConversion"/>
  </si>
  <si>
    <t>RN권영순6</t>
    <phoneticPr fontId="3" type="noConversion"/>
  </si>
  <si>
    <t>N김시철</t>
    <phoneticPr fontId="3" type="noConversion"/>
  </si>
  <si>
    <t>RM김성자10</t>
    <phoneticPr fontId="3" type="noConversion"/>
  </si>
  <si>
    <t>RM한경애4</t>
    <phoneticPr fontId="3" type="noConversion"/>
  </si>
  <si>
    <t>RN임낙규</t>
    <phoneticPr fontId="3" type="noConversion"/>
  </si>
  <si>
    <t>RM강용수</t>
    <phoneticPr fontId="3" type="noConversion"/>
  </si>
  <si>
    <t>N김정규2</t>
  </si>
  <si>
    <t>임수민</t>
    <phoneticPr fontId="3" type="noConversion"/>
  </si>
  <si>
    <t>N7김진옥7A</t>
  </si>
  <si>
    <t>RN김재환2</t>
    <phoneticPr fontId="3" type="noConversion"/>
  </si>
  <si>
    <t>RM김명배3</t>
    <phoneticPr fontId="3" type="noConversion"/>
  </si>
  <si>
    <t>RM이진봉</t>
    <phoneticPr fontId="3" type="noConversion"/>
  </si>
  <si>
    <t>N7지복례D</t>
    <phoneticPr fontId="3" type="noConversion"/>
  </si>
  <si>
    <t>RM이난주</t>
    <phoneticPr fontId="3" type="noConversion"/>
  </si>
  <si>
    <t>RM권영순6</t>
  </si>
  <si>
    <t>N송갑헌</t>
    <phoneticPr fontId="13" type="noConversion"/>
  </si>
  <si>
    <t>유태현</t>
    <phoneticPr fontId="3" type="noConversion"/>
  </si>
  <si>
    <t>RM윤소희3</t>
    <phoneticPr fontId="3" type="noConversion"/>
  </si>
  <si>
    <t>RM김기연5</t>
    <phoneticPr fontId="3" type="noConversion"/>
  </si>
  <si>
    <t>N김종운3</t>
    <phoneticPr fontId="3" type="noConversion"/>
  </si>
  <si>
    <t>N송갑헌</t>
    <phoneticPr fontId="3" type="noConversion"/>
  </si>
  <si>
    <t>N지복례</t>
    <phoneticPr fontId="13" type="noConversion"/>
  </si>
  <si>
    <t>RM정현숙4</t>
    <phoneticPr fontId="3" type="noConversion"/>
  </si>
  <si>
    <t>RG최상근3</t>
    <phoneticPr fontId="3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</si>
  <si>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</si>
  <si>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</si>
  <si>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</si>
  <si>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</si>
  <si>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</si>
  <si>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</si>
  <si>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</si>
  <si>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</si>
  <si>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</si>
  <si>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N김진옥7</t>
    <phoneticPr fontId="3" type="noConversion"/>
  </si>
  <si>
    <t>RM한경애4</t>
    <phoneticPr fontId="3" type="noConversion"/>
  </si>
  <si>
    <t>RN이난주</t>
    <phoneticPr fontId="13" type="noConversion"/>
  </si>
  <si>
    <t>N서재학</t>
    <phoneticPr fontId="3" type="noConversion"/>
  </si>
  <si>
    <t>N우학송</t>
    <phoneticPr fontId="3" type="noConversion"/>
  </si>
  <si>
    <t>N신기순2</t>
    <phoneticPr fontId="3" type="noConversion"/>
  </si>
  <si>
    <t>N김진옥7</t>
    <phoneticPr fontId="3" type="noConversion"/>
  </si>
  <si>
    <t>N임종범</t>
    <phoneticPr fontId="3" type="noConversion"/>
  </si>
  <si>
    <t>RN김기연5</t>
    <phoneticPr fontId="3" type="noConversion"/>
  </si>
  <si>
    <t>N송옥경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</si>
  <si>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</si>
  <si>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</si>
  <si>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</si>
  <si>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</si>
  <si>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</si>
  <si>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RA홍선화</t>
  </si>
  <si>
    <t>CA서재학</t>
    <phoneticPr fontId="3" type="noConversion"/>
  </si>
  <si>
    <t>C김을언
C김정규2</t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</si>
  <si>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</si>
  <si>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</si>
  <si>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</si>
  <si>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</si>
  <si>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</si>
  <si>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</si>
  <si>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장효원</t>
    <phoneticPr fontId="3" type="noConversion"/>
  </si>
  <si>
    <t>RA권오운</t>
    <phoneticPr fontId="3" type="noConversion"/>
  </si>
  <si>
    <t>RA임낙규</t>
    <phoneticPr fontId="3" type="noConversion"/>
  </si>
  <si>
    <t>RS이팔원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</si>
  <si>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</si>
  <si>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</si>
  <si>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</si>
  <si>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</si>
  <si>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</si>
  <si>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</si>
  <si>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</si>
  <si>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</si>
  <si>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</si>
  <si>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이경미</t>
    <phoneticPr fontId="3" type="noConversion"/>
  </si>
  <si>
    <t>RA서극원</t>
    <phoneticPr fontId="3" type="noConversion"/>
  </si>
  <si>
    <t>RD이진봉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</si>
  <si>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</si>
  <si>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</si>
  <si>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</si>
  <si>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RA한경애4</t>
    <phoneticPr fontId="3" type="noConversion"/>
  </si>
  <si>
    <t>H7윤소희A</t>
    <phoneticPr fontId="3" type="noConversion"/>
  </si>
  <si>
    <t>RA김재환2</t>
    <phoneticPr fontId="3" type="noConversion"/>
  </si>
  <si>
    <t>장세희</t>
    <phoneticPr fontId="3" type="noConversion"/>
  </si>
  <si>
    <t>CA박성구</t>
    <phoneticPr fontId="3" type="noConversion"/>
  </si>
  <si>
    <t>RD김재환2</t>
    <phoneticPr fontId="3" type="noConversion"/>
  </si>
  <si>
    <t>RA강용수</t>
    <phoneticPr fontId="3" type="noConversion"/>
  </si>
  <si>
    <t>D김종운3V</t>
    <phoneticPr fontId="3" type="noConversion"/>
  </si>
  <si>
    <t>RA이팔원</t>
    <phoneticPr fontId="3" type="noConversion"/>
  </si>
  <si>
    <t>RS정경철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</si>
  <si>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</si>
  <si>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</si>
  <si>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</si>
  <si>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</si>
  <si>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</si>
  <si>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</si>
  <si>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</si>
  <si>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</si>
  <si>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</si>
  <si>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</si>
  <si>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</si>
  <si>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</si>
  <si>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CA김정규2</t>
  </si>
  <si>
    <t>RA김기연5</t>
    <phoneticPr fontId="3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</si>
  <si>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</si>
  <si>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</si>
  <si>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</si>
  <si>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CA신기순2</t>
  </si>
  <si>
    <t>RA우영희2</t>
  </si>
  <si>
    <t>CA전혜옥</t>
    <phoneticPr fontId="3" type="noConversion"/>
  </si>
  <si>
    <t>CA신연애</t>
    <phoneticPr fontId="3" type="noConversion"/>
  </si>
  <si>
    <t>CA서승달</t>
    <phoneticPr fontId="3" type="noConversion"/>
  </si>
  <si>
    <t>RA전동순</t>
    <phoneticPr fontId="3" type="noConversion"/>
  </si>
  <si>
    <t>RA이병희3</t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</si>
  <si>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</si>
  <si>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</si>
  <si>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</si>
  <si>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O7우학송A</t>
    <phoneticPr fontId="3" type="noConversion"/>
  </si>
  <si>
    <t>RD윤소희3</t>
    <phoneticPr fontId="3" type="noConversion"/>
  </si>
  <si>
    <t>RD김명배3</t>
    <phoneticPr fontId="3" type="noConversion"/>
  </si>
  <si>
    <t>RA윤소희3</t>
    <phoneticPr fontId="3" type="noConversion"/>
  </si>
  <si>
    <t>RS김석군</t>
    <phoneticPr fontId="3" type="noConversion"/>
  </si>
  <si>
    <t>D김시철V</t>
    <phoneticPr fontId="3" type="noConversion"/>
  </si>
  <si>
    <t>RA정경철</t>
    <phoneticPr fontId="3" type="noConversion"/>
  </si>
  <si>
    <t>CA임헌수2</t>
    <phoneticPr fontId="3" type="noConversion"/>
  </si>
  <si>
    <t>H서재학</t>
    <phoneticPr fontId="3" type="noConversion"/>
  </si>
  <si>
    <t>* 퇴원 및 HOLD</t>
    <phoneticPr fontId="21" type="noConversion"/>
  </si>
  <si>
    <t>김영빈</t>
    <phoneticPr fontId="3" type="noConversion"/>
  </si>
  <si>
    <t>RS이난주</t>
    <phoneticPr fontId="3" type="noConversion"/>
  </si>
  <si>
    <t>CA우학송</t>
    <phoneticPr fontId="3" type="noConversion"/>
  </si>
  <si>
    <t>RA김성자10</t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</si>
  <si>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</si>
  <si>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</si>
  <si>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</si>
  <si>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RA최상근3</t>
    <phoneticPr fontId="3" type="noConversion"/>
  </si>
  <si>
    <t>최예은</t>
    <phoneticPr fontId="3" type="noConversion"/>
  </si>
  <si>
    <t>C김진옥7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</si>
  <si>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</si>
  <si>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</si>
  <si>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</si>
  <si>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</si>
  <si>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</si>
  <si>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</si>
  <si>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RA정현숙4</t>
  </si>
  <si>
    <t>계장</t>
    <phoneticPr fontId="3" type="noConversion"/>
  </si>
  <si>
    <t>강인화</t>
    <phoneticPr fontId="3" type="noConversion"/>
  </si>
  <si>
    <t>RA김석군</t>
    <phoneticPr fontId="3" type="noConversion"/>
  </si>
  <si>
    <t>CA배성범</t>
    <phoneticPr fontId="3" type="noConversion"/>
  </si>
  <si>
    <t>CA조정자</t>
    <phoneticPr fontId="3" type="noConversion"/>
  </si>
  <si>
    <t>RA이팔원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</si>
  <si>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</si>
  <si>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</si>
  <si>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</si>
  <si>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RA김석군</t>
    <phoneticPr fontId="3" type="noConversion"/>
  </si>
  <si>
    <t>CA최지선3</t>
  </si>
  <si>
    <t>RS우영희2</t>
  </si>
  <si>
    <t>CA연현숙2</t>
    <phoneticPr fontId="3" type="noConversion"/>
  </si>
  <si>
    <t>RD전동순</t>
    <phoneticPr fontId="3" type="noConversion"/>
  </si>
  <si>
    <t>* 당일시간변경</t>
    <phoneticPr fontId="3" type="noConversion"/>
  </si>
  <si>
    <t>박수진</t>
    <phoneticPr fontId="3" type="noConversion"/>
  </si>
  <si>
    <t>M김을언C
C이문찬2CPM</t>
    <phoneticPr fontId="3" type="noConversion"/>
  </si>
  <si>
    <t>M김을언S
M송옥경C
M연현숙2C
M김종운3Tt</t>
    <phoneticPr fontId="3" type="noConversion"/>
  </si>
  <si>
    <t>M배성범S
M신연애C
M조정자C
M임종범C</t>
    <phoneticPr fontId="3" type="noConversion"/>
  </si>
  <si>
    <t>M우학송S
M김정규2C</t>
  </si>
  <si>
    <t>M우학송C
M임헌수2S</t>
    <phoneticPr fontId="3" type="noConversion"/>
  </si>
  <si>
    <t xml:space="preserve">
MM이팔원C
MM우영희2M</t>
    <phoneticPr fontId="3" type="noConversion"/>
  </si>
  <si>
    <t>이나예</t>
    <phoneticPr fontId="3" type="noConversion"/>
  </si>
  <si>
    <t>단축근무</t>
    <phoneticPr fontId="3" type="noConversion"/>
  </si>
  <si>
    <t>F조정자
F김시철
F권용길</t>
    <phoneticPr fontId="3" type="noConversion"/>
  </si>
  <si>
    <t>F임헌수2
F양병후
F우학송
F임종범
F김정규2</t>
  </si>
  <si>
    <t>F서승달</t>
    <phoneticPr fontId="3" type="noConversion"/>
  </si>
  <si>
    <r>
      <t>F황종길</t>
    </r>
    <r>
      <rPr>
        <sz val="10"/>
        <rFont val="돋움"/>
        <family val="3"/>
        <charset val="129"/>
      </rPr>
      <t xml:space="preserve">
F김을언
F김진옥7
F김정규2</t>
    </r>
    <phoneticPr fontId="3" type="noConversion"/>
  </si>
  <si>
    <t>임수민
(무급휴직)</t>
    <phoneticPr fontId="3" type="noConversion"/>
  </si>
  <si>
    <t>추가</t>
    <phoneticPr fontId="3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</si>
  <si>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</si>
  <si>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</si>
  <si>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</si>
  <si>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</si>
  <si>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</si>
  <si>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</si>
  <si>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</si>
  <si>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</si>
  <si>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N배성범</t>
    <phoneticPr fontId="3" type="noConversion"/>
  </si>
  <si>
    <t>N김진옥7</t>
    <phoneticPr fontId="3" type="noConversion"/>
  </si>
  <si>
    <t>N신연애</t>
    <phoneticPr fontId="3" type="noConversion"/>
  </si>
  <si>
    <t>N양병후
N권용길</t>
    <phoneticPr fontId="3" type="noConversion"/>
  </si>
  <si>
    <t>N임헌수2
N황종길</t>
    <phoneticPr fontId="3" type="noConversion"/>
  </si>
  <si>
    <t>N서재학</t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</si>
  <si>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</si>
  <si>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</si>
  <si>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</si>
  <si>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D박은용</t>
    <phoneticPr fontId="13" type="noConversion"/>
  </si>
  <si>
    <t>D유혜영4</t>
    <phoneticPr fontId="3" type="noConversion"/>
  </si>
  <si>
    <t>C</t>
    <phoneticPr fontId="3" type="noConversion"/>
  </si>
  <si>
    <t xml:space="preserve"> C서재학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</si>
  <si>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</si>
  <si>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</si>
  <si>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</si>
  <si>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</si>
  <si>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</si>
  <si>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</si>
  <si>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</si>
  <si>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>수중재활 스케줄</t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</si>
  <si>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</si>
  <si>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</si>
  <si>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</si>
  <si>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16:25~
16:55</t>
  </si>
  <si>
    <t>17:00~
17:30</t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</si>
  <si>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</si>
  <si>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</si>
  <si>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</si>
  <si>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</si>
  <si>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</si>
  <si>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RTMS</t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</si>
  <si>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</si>
  <si>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</si>
  <si>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</si>
  <si>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1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</si>
  <si>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</si>
  <si>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</si>
  <si>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</si>
  <si>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</si>
  <si>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</si>
  <si>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스마트보드</t>
  </si>
  <si>
    <t>R-TMS &amp; WALKBOT &amp; MORNING WALK &amp; R-BOT 시간표</t>
    <phoneticPr fontId="3" type="noConversion"/>
  </si>
  <si>
    <t>모닝워크</t>
    <phoneticPr fontId="3" type="noConversion"/>
  </si>
  <si>
    <t>W한경애4A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</si>
  <si>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</si>
  <si>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</si>
  <si>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</si>
  <si>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W전동순B</t>
    <phoneticPr fontId="21" type="noConversion"/>
  </si>
  <si>
    <t>W김택중A</t>
    <phoneticPr fontId="3" type="noConversion"/>
  </si>
  <si>
    <t>알봇</t>
    <phoneticPr fontId="3" type="noConversion"/>
  </si>
  <si>
    <t>W권오운D</t>
    <phoneticPr fontId="3" type="noConversion"/>
  </si>
  <si>
    <t>통증</t>
  </si>
  <si>
    <t>*전혜옥</t>
    <phoneticPr fontId="3" type="noConversion"/>
  </si>
  <si>
    <t>*이문찬2</t>
    <phoneticPr fontId="3" type="noConversion"/>
  </si>
  <si>
    <t>ESWT5한경애4(목)</t>
    <phoneticPr fontId="3" type="noConversion"/>
  </si>
  <si>
    <t>시간표 변경사항</t>
    <phoneticPr fontId="3" type="noConversion"/>
  </si>
  <si>
    <t>당일 변경사항</t>
    <phoneticPr fontId="3" type="noConversion"/>
  </si>
  <si>
    <t>5층 재활센터 시간표     2025. 12.  ()</t>
    <phoneticPr fontId="3" type="noConversion"/>
  </si>
  <si>
    <t>M조정자C
M김시철C
M박은용C
M신기순2S
M박성구C</t>
    <phoneticPr fontId="3" type="noConversion"/>
  </si>
  <si>
    <t>RN김인순3</t>
    <phoneticPr fontId="3" type="noConversion"/>
  </si>
  <si>
    <t>RS김인순3</t>
    <phoneticPr fontId="3" type="noConversion"/>
  </si>
  <si>
    <t>RA김인순3</t>
    <phoneticPr fontId="3" type="noConversion"/>
  </si>
  <si>
    <t>RM김인순3</t>
    <phoneticPr fontId="3" type="noConversion"/>
  </si>
  <si>
    <t>MM김명배3Tt
MM이병희3
MM이진봉S
MM김인순3Tt</t>
    <phoneticPr fontId="3" type="noConversion"/>
  </si>
  <si>
    <t>RM이난주</t>
    <phoneticPr fontId="3" type="noConversion"/>
  </si>
  <si>
    <t>MM이진봉T</t>
  </si>
  <si>
    <t>N유혜영4</t>
  </si>
  <si>
    <t>MM이팔원C</t>
  </si>
  <si>
    <t>MM한경애4C</t>
  </si>
  <si>
    <t>MM전동순C</t>
  </si>
  <si>
    <t>정상환
(연차)</t>
    <phoneticPr fontId="3" type="noConversion"/>
  </si>
  <si>
    <t>F지복례
F김택중</t>
    <phoneticPr fontId="3" type="noConversion"/>
  </si>
  <si>
    <t>F배성범
F신기순2
F김종운3
F박은용</t>
    <phoneticPr fontId="3" type="noConversion"/>
  </si>
  <si>
    <t>D김택중(B)
D박은용</t>
    <phoneticPr fontId="3" type="noConversion"/>
  </si>
  <si>
    <t>이경미
(공가)</t>
    <phoneticPr fontId="3" type="noConversion"/>
  </si>
  <si>
    <t>MM김석군C</t>
  </si>
  <si>
    <t>MM정경철C</t>
  </si>
  <si>
    <t>MM임낙규C</t>
  </si>
  <si>
    <t>5층 재활센터 시간표     2025. 12. 01  (월)</t>
    <phoneticPr fontId="3" type="noConversion"/>
  </si>
  <si>
    <t>7:30~
8:00</t>
    <phoneticPr fontId="3" type="noConversion"/>
  </si>
  <si>
    <t>8:00~
8:30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</si>
  <si>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</si>
  <si>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</si>
  <si>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</si>
  <si>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</si>
  <si>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</si>
  <si>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</si>
  <si>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</si>
  <si>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</si>
  <si>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</si>
  <si>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</si>
  <si>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</si>
  <si>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</si>
  <si>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</si>
  <si>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</si>
  <si>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N연현숙2</t>
    <phoneticPr fontId="3" type="noConversion"/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</si>
  <si>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</si>
  <si>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</si>
  <si>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</si>
  <si>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N7유혜영4</t>
    <phoneticPr fontId="3" type="noConversion"/>
  </si>
  <si>
    <t>RA최상근3</t>
    <phoneticPr fontId="21" type="noConversion"/>
  </si>
  <si>
    <t>RM김석군</t>
    <phoneticPr fontId="21" type="noConversion"/>
  </si>
  <si>
    <t>김채린</t>
    <phoneticPr fontId="3" type="noConversion"/>
  </si>
  <si>
    <t>N김종운3</t>
    <phoneticPr fontId="21" type="noConversion"/>
  </si>
  <si>
    <t>N황종길</t>
    <phoneticPr fontId="3" type="noConversion"/>
  </si>
  <si>
    <t>N박은용</t>
    <phoneticPr fontId="3" type="noConversion"/>
  </si>
  <si>
    <t>N조정자</t>
    <phoneticPr fontId="3" type="noConversion"/>
  </si>
  <si>
    <t>RN정경철</t>
    <phoneticPr fontId="3" type="noConversion"/>
  </si>
  <si>
    <t>RM김석군</t>
    <phoneticPr fontId="3" type="noConversion"/>
  </si>
  <si>
    <t>N7박성구D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</si>
  <si>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</si>
  <si>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</si>
  <si>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</si>
  <si>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</si>
  <si>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RM윤소희3</t>
    <phoneticPr fontId="21" type="noConversion"/>
  </si>
  <si>
    <t>RG최상근3</t>
    <phoneticPr fontId="3" type="noConversion"/>
  </si>
  <si>
    <t>RN윤소희3</t>
    <phoneticPr fontId="3" type="noConversion"/>
  </si>
  <si>
    <t>RN강용수</t>
    <phoneticPr fontId="3" type="noConversion"/>
  </si>
  <si>
    <t>RM정경철</t>
    <phoneticPr fontId="3" type="noConversion"/>
  </si>
  <si>
    <t>RN홍선화</t>
    <phoneticPr fontId="3" type="noConversion"/>
  </si>
  <si>
    <t>서원빈</t>
    <phoneticPr fontId="3" type="noConversion"/>
  </si>
  <si>
    <t>RN김석군</t>
    <phoneticPr fontId="3" type="noConversion"/>
  </si>
  <si>
    <t>N지복례</t>
    <phoneticPr fontId="21" type="noConversion"/>
  </si>
  <si>
    <t>N전혜옥</t>
    <phoneticPr fontId="3" type="noConversion"/>
  </si>
  <si>
    <t>N지복례</t>
    <phoneticPr fontId="1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</si>
  <si>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</si>
  <si>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</si>
  <si>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</si>
  <si>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RM임낙규</t>
    <phoneticPr fontId="3" type="noConversion"/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</si>
  <si>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</si>
  <si>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</si>
  <si>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</si>
  <si>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</si>
  <si>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</si>
  <si>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</si>
  <si>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</si>
  <si>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임수민</t>
    <phoneticPr fontId="3" type="noConversion"/>
  </si>
  <si>
    <t>N김을언</t>
    <phoneticPr fontId="21" type="noConversion"/>
  </si>
  <si>
    <t>RM전동순</t>
    <phoneticPr fontId="3" type="noConversion"/>
  </si>
  <si>
    <t>RM이진봉</t>
    <phoneticPr fontId="3" type="noConversion"/>
  </si>
  <si>
    <t>RM서극원</t>
    <phoneticPr fontId="3" type="noConversion"/>
  </si>
  <si>
    <t>RG최옥자(3)</t>
    <phoneticPr fontId="3" type="noConversion"/>
  </si>
  <si>
    <t>N7지복례D</t>
    <phoneticPr fontId="3" type="noConversion"/>
  </si>
  <si>
    <t>N송갑헌</t>
    <phoneticPr fontId="13" type="noConversion"/>
  </si>
  <si>
    <t>유태현
(연차)</t>
    <phoneticPr fontId="3" type="noConversion"/>
  </si>
  <si>
    <t>RM윤소희3</t>
    <phoneticPr fontId="3" type="noConversion"/>
  </si>
  <si>
    <t>RM정현숙4</t>
    <phoneticPr fontId="3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</si>
  <si>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</si>
  <si>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</si>
  <si>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</si>
  <si>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</si>
  <si>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</si>
  <si>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</si>
  <si>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</si>
  <si>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</si>
  <si>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</si>
  <si>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RN이난주</t>
    <phoneticPr fontId="13" type="noConversion"/>
  </si>
  <si>
    <t>N송갑헌</t>
    <phoneticPr fontId="21" type="noConversion"/>
  </si>
  <si>
    <t>N우학송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</si>
  <si>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</si>
  <si>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</si>
  <si>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</si>
  <si>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</si>
  <si>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</si>
  <si>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</si>
  <si>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</si>
  <si>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</si>
  <si>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</si>
  <si>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</si>
  <si>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</si>
  <si>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</si>
  <si>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</si>
  <si>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</si>
  <si>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</si>
  <si>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</si>
  <si>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</si>
  <si>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</si>
  <si>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</si>
  <si>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</si>
  <si>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r>
      <rPr>
        <b/>
        <sz val="10"/>
        <color rgb="FF00B050"/>
        <rFont val="돋움"/>
        <family val="3"/>
        <charset val="129"/>
      </rPr>
      <t>RS강용수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RA김인순3</t>
    </r>
    <phoneticPr fontId="3" type="noConversion"/>
  </si>
  <si>
    <t>6CA김진옥7</t>
    <phoneticPr fontId="3" type="noConversion"/>
  </si>
  <si>
    <t>RA한경애4</t>
    <phoneticPr fontId="3" type="noConversion"/>
  </si>
  <si>
    <t>CA박은용</t>
    <phoneticPr fontId="21" type="noConversion"/>
  </si>
  <si>
    <t>장세희</t>
    <phoneticPr fontId="3" type="noConversion"/>
  </si>
  <si>
    <t>CA박성구</t>
    <phoneticPr fontId="3" type="noConversion"/>
  </si>
  <si>
    <t>O7우학송A</t>
    <phoneticPr fontId="21" type="noConversion"/>
  </si>
  <si>
    <t>RA강용수</t>
    <phoneticPr fontId="3" type="noConversion"/>
  </si>
  <si>
    <t>D김종운3V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</si>
  <si>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</si>
  <si>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</si>
  <si>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</si>
  <si>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</si>
  <si>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</si>
  <si>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</si>
  <si>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</si>
  <si>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</si>
  <si>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</si>
  <si>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</si>
  <si>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</si>
  <si>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RA김인순3</t>
    <phoneticPr fontId="3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</si>
  <si>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</si>
  <si>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</si>
  <si>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</si>
  <si>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</si>
  <si>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</si>
  <si>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C서승달</t>
    <phoneticPr fontId="3" type="noConversion"/>
  </si>
  <si>
    <t>CA서승달</t>
    <phoneticPr fontId="3" type="noConversion"/>
  </si>
  <si>
    <t>D김시철V</t>
    <phoneticPr fontId="21" type="noConversion"/>
  </si>
  <si>
    <t>C송옥경
C지복례</t>
    <phoneticPr fontId="3" type="noConversion"/>
  </si>
  <si>
    <t>RD김명배3</t>
    <phoneticPr fontId="21" type="noConversion"/>
  </si>
  <si>
    <t>RD윤소희3
RA전동순
RA홍선화</t>
    <phoneticPr fontId="3" type="noConversion"/>
  </si>
  <si>
    <t>RA정경철</t>
    <phoneticPr fontId="3" type="noConversion"/>
  </si>
  <si>
    <t>RS김석군</t>
    <phoneticPr fontId="21" type="noConversion"/>
  </si>
  <si>
    <t>* 퇴원 및 HOLD</t>
    <phoneticPr fontId="21" type="noConversion"/>
  </si>
  <si>
    <t>D유혜영4</t>
    <phoneticPr fontId="3" type="noConversion"/>
  </si>
  <si>
    <t>RS이난주</t>
    <phoneticPr fontId="3" type="noConversion"/>
  </si>
  <si>
    <t>CA우학송</t>
    <phoneticPr fontId="3" type="noConversion"/>
  </si>
  <si>
    <t>RA임낙규</t>
    <phoneticPr fontId="3" type="noConversion"/>
  </si>
  <si>
    <t>C우학송
C신기순2</t>
    <phoneticPr fontId="3" type="noConversion"/>
  </si>
  <si>
    <t>CA양병후</t>
    <phoneticPr fontId="3" type="noConversion"/>
  </si>
  <si>
    <t>H7윤소희A</t>
    <phoneticPr fontId="21" type="noConversion"/>
  </si>
  <si>
    <t>심옥자님, 정선숙님 퇴원
김재환님 : all hold</t>
    <phoneticPr fontId="3" type="noConversion"/>
  </si>
  <si>
    <t>최예은</t>
    <phoneticPr fontId="3" type="noConversion"/>
  </si>
  <si>
    <t>C김시철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</si>
  <si>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</si>
  <si>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</si>
  <si>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</si>
  <si>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</si>
  <si>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</si>
  <si>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</si>
  <si>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계장</t>
    <phoneticPr fontId="3" type="noConversion"/>
  </si>
  <si>
    <t>강인화</t>
    <phoneticPr fontId="3" type="noConversion"/>
  </si>
  <si>
    <t>RS김인순3</t>
    <phoneticPr fontId="3" type="noConversion"/>
  </si>
  <si>
    <t>CA배성범</t>
    <phoneticPr fontId="3" type="noConversion"/>
  </si>
  <si>
    <t>CA조정자</t>
    <phoneticPr fontId="3" type="noConversion"/>
  </si>
  <si>
    <t>김윤종</t>
    <phoneticPr fontId="3" type="noConversion"/>
  </si>
  <si>
    <t>H7김진옥7A</t>
    <phoneticPr fontId="3" type="noConversion"/>
  </si>
  <si>
    <t>CA연현숙2</t>
    <phoneticPr fontId="3" type="noConversion"/>
  </si>
  <si>
    <t>CA임헌수2</t>
    <phoneticPr fontId="21" type="noConversion"/>
  </si>
  <si>
    <t>* 당일시간변경</t>
    <phoneticPr fontId="3" type="noConversion"/>
  </si>
  <si>
    <t>박수진</t>
    <phoneticPr fontId="3" type="noConversion"/>
  </si>
  <si>
    <r>
      <t>M박성구S
M지복례C</t>
    </r>
    <r>
      <rPr>
        <sz val="10"/>
        <rFont val="돋움"/>
        <family val="3"/>
        <charset val="129"/>
      </rPr>
      <t xml:space="preserve">
M김시철T
C최종성2CPM</t>
    </r>
    <phoneticPr fontId="3" type="noConversion"/>
  </si>
  <si>
    <r>
      <t>M최지선3T
M양병후C
M황종길C
M임헌수2M</t>
    </r>
    <r>
      <rPr>
        <sz val="10"/>
        <rFont val="돋움"/>
        <family val="3"/>
        <charset val="129"/>
      </rPr>
      <t xml:space="preserve">
M신기순2S</t>
    </r>
    <phoneticPr fontId="3" type="noConversion"/>
  </si>
  <si>
    <t>M김진옥7C
M전혜옥S
M구본창C
M김택중C
M박은용C
M권용길S
M지복례T</t>
    <phoneticPr fontId="3" type="noConversion"/>
  </si>
  <si>
    <r>
      <t>M김진옥7S
M양병후C</t>
    </r>
    <r>
      <rPr>
        <sz val="10"/>
        <rFont val="돋움"/>
        <family val="3"/>
        <charset val="129"/>
      </rPr>
      <t xml:space="preserve">
M황종길C</t>
    </r>
    <phoneticPr fontId="3" type="noConversion"/>
  </si>
  <si>
    <t>M조정자C
M김시철C
M박은용C
M신기순2S
M박성구C</t>
    <phoneticPr fontId="3" type="noConversion"/>
  </si>
  <si>
    <t>M전혜옥S
M송옥경C
M임종범C
M권용길C
M김택중S
M배성범T</t>
    <phoneticPr fontId="3" type="noConversion"/>
  </si>
  <si>
    <t>M최지선3C
Tt김을언Tt
M신연애S
M임헌수2S
M김정규2
M연현숙2C</t>
    <phoneticPr fontId="3" type="noConversion"/>
  </si>
  <si>
    <t>M우학송C</t>
    <phoneticPr fontId="3" type="noConversion"/>
  </si>
  <si>
    <t xml:space="preserve"> MM김성자10C
MM김기연5C
MM최상근3CPM</t>
    <phoneticPr fontId="3" type="noConversion"/>
  </si>
  <si>
    <r>
      <t xml:space="preserve">MM한경애4C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MM윤소희3T</t>
    </r>
    <phoneticPr fontId="3" type="noConversion"/>
  </si>
  <si>
    <r>
      <t xml:space="preserve">MM김명배3Tt
MM이병희3
</t>
    </r>
    <r>
      <rPr>
        <u/>
        <sz val="10"/>
        <rFont val="돋움"/>
        <family val="3"/>
        <charset val="129"/>
      </rPr>
      <t>MM이진봉S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</si>
  <si>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t>MM정현숙4S
MM강용수C
MM권오운Tt</t>
    <phoneticPr fontId="3" type="noConversion"/>
  </si>
  <si>
    <r>
      <rPr>
        <b/>
        <sz val="10"/>
        <color rgb="FFFF0000"/>
        <rFont val="돋움"/>
        <family val="3"/>
        <charset val="129"/>
      </rPr>
      <t>MM임낙규C</t>
    </r>
    <r>
      <rPr>
        <sz val="10"/>
        <rFont val="돋움"/>
        <family val="3"/>
        <charset val="129"/>
      </rPr>
      <t xml:space="preserve">
MM홍선화C</t>
    </r>
    <phoneticPr fontId="3" type="noConversion"/>
  </si>
  <si>
    <t>MM이난주T
MM권영순6C
MM이병희3M
MM정태두Tt
MM유정순3C
MM서극원S</t>
    <phoneticPr fontId="3" type="noConversion"/>
  </si>
  <si>
    <t xml:space="preserve">
MM이팔원C
MM우영희2M</t>
    <phoneticPr fontId="3" type="noConversion"/>
  </si>
  <si>
    <r>
      <t xml:space="preserve">MM이난주C
MM홍선화C
</t>
    </r>
    <r>
      <rPr>
        <u/>
        <sz val="10"/>
        <rFont val="돋움"/>
        <family val="3"/>
        <charset val="129"/>
      </rPr>
      <t>MM이진봉T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</si>
  <si>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t xml:space="preserve">MM임낙규T
</t>
    </r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MM권오운Tt</t>
    </r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</si>
  <si>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MM정태두Tt
</t>
    </r>
    <r>
      <rPr>
        <sz val="10"/>
        <color rgb="FFFF0000"/>
        <rFont val="돋움"/>
        <family val="3"/>
        <charset val="129"/>
      </rPr>
      <t>MM정경철C</t>
    </r>
    <r>
      <rPr>
        <sz val="10"/>
        <rFont val="돋움"/>
        <family val="3"/>
        <charset val="129"/>
      </rPr>
      <t xml:space="preserve">
MM우영희2Tt</t>
    </r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</si>
  <si>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</si>
  <si>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t>MM정현숙4C
MM김성자10C
MM권영순6C
MM정경철
MM강용수T</t>
    <phoneticPr fontId="3" type="noConversion"/>
  </si>
  <si>
    <t>단축근무</t>
    <phoneticPr fontId="3" type="noConversion"/>
  </si>
  <si>
    <t>F김택중</t>
    <phoneticPr fontId="3" type="noConversion"/>
  </si>
  <si>
    <t>F배성범
F신기순2
F김종운3
F박은용</t>
    <phoneticPr fontId="3" type="noConversion"/>
  </si>
  <si>
    <t>F조정자
F김시철
F권용길</t>
    <phoneticPr fontId="3" type="noConversion"/>
  </si>
  <si>
    <t>F신기순2
F송옥경
F연현숙2</t>
    <phoneticPr fontId="3" type="noConversion"/>
  </si>
  <si>
    <t>F신연애
F유혜영4</t>
    <phoneticPr fontId="3" type="noConversion"/>
  </si>
  <si>
    <t>F지복례
F서승달</t>
    <phoneticPr fontId="3" type="noConversion"/>
  </si>
  <si>
    <t>F최지선3
F박성구</t>
    <phoneticPr fontId="3" type="noConversion"/>
  </si>
  <si>
    <t>임수민
(무급휴직)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</si>
  <si>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</si>
  <si>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</si>
  <si>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N조정자</t>
    <phoneticPr fontId="3" type="noConversion"/>
  </si>
  <si>
    <t>N김진옥7</t>
    <phoneticPr fontId="3" type="noConversion"/>
  </si>
  <si>
    <t>N신연애</t>
    <phoneticPr fontId="3" type="noConversion"/>
  </si>
  <si>
    <t>N양병후
N권용길</t>
    <phoneticPr fontId="3" type="noConversion"/>
  </si>
  <si>
    <t>N임헌수2
N황종길</t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</si>
  <si>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</si>
  <si>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</si>
  <si>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</si>
  <si>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</si>
  <si>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D김택중(B)
D박은용</t>
    <phoneticPr fontId="3" type="noConversion"/>
  </si>
  <si>
    <t>D박은용</t>
    <phoneticPr fontId="3" type="noConversion"/>
  </si>
  <si>
    <t>C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</si>
  <si>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</si>
  <si>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</si>
  <si>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</si>
  <si>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</si>
  <si>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</si>
  <si>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</si>
  <si>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</si>
  <si>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</si>
  <si>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</si>
  <si>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</si>
  <si>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</si>
  <si>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</si>
  <si>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</si>
  <si>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</si>
  <si>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</si>
  <si>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</si>
  <si>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</si>
  <si>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</si>
  <si>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</si>
  <si>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</si>
  <si>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</si>
  <si>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</si>
  <si>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</si>
  <si>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</si>
  <si>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</si>
  <si>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W김택중A</t>
    <phoneticPr fontId="3" type="noConversion"/>
  </si>
  <si>
    <t>알봇</t>
    <phoneticPr fontId="3" type="noConversion"/>
  </si>
  <si>
    <t>*전혜옥</t>
    <phoneticPr fontId="3" type="noConversion"/>
  </si>
  <si>
    <t>*이문찬2</t>
    <phoneticPr fontId="3" type="noConversion"/>
  </si>
  <si>
    <t>김인순3님 : 재입원 RN2, RM4, MM4, RS2, RA4
김종운3님 : 재입원</t>
    <phoneticPr fontId="3" type="noConversion"/>
  </si>
  <si>
    <t>김진옥7님, 지복례님 도수치료 담당 변경
이난주님 RA2 → RM2 변경 (정상환T →임수민T)
권영순6님 6층 → 5층 스케줄 변경 (임수민T)
우영희2님 6층 → 5층 스케줄 변경 (서원빈T)
홍선화님 소아 → 5층 스케줄 변경 (장해민T)
김명배3님, 이진봉님, 서극원님 : 소아 → 5층 스케줄 변경(임수민T)
김재환2님 6층 → 5층 스케줄 변경</t>
    <phoneticPr fontId="3" type="noConversion"/>
  </si>
  <si>
    <t>김인순3님 RA 10:15 → 11:25 / 소아 손종원
임헌수2님 CA 15:15 ↔ M 15:50 / 김윤종
김석군님 RM 14:40 → 15:50 / 임지현T
지복례님 N 13:30 ↔ FES 09:05 / 서원빈T
김종운3님 N 10:50 → 08:30 / 김채린T
송갑헌님 N 12:00 → 09:40 / 장수빈T
박은용님 CA 13:30 → 15:15 / 소아 손솔T
전동순님 RA 08:30 → 09:40 /소아 김지우T 
김석군님 RS 11:25 → 14:40 /소아 최인영T 
홍선화님 RA 12:00 → 09:40 /소아 최인영T 
김명배3님 RD 10:15 → 09:05 / 소아 손솔T
황종길님 09:40 언어추가치료 (평가예정)
유태현T 대체 : 6층,소아
이경미T 대체 : 6층,소아
정상환T 대체 : 6층,소아</t>
    <phoneticPr fontId="21" type="noConversion"/>
  </si>
  <si>
    <t>N김명복</t>
    <phoneticPr fontId="3" type="noConversion"/>
  </si>
  <si>
    <t>C서승달
C김명복</t>
    <phoneticPr fontId="3" type="noConversion"/>
  </si>
  <si>
    <t>CA김명복</t>
    <phoneticPr fontId="3" type="noConversion"/>
  </si>
  <si>
    <t>전산화인지
김명복</t>
    <phoneticPr fontId="3" type="noConversion"/>
  </si>
  <si>
    <t>F신연애
F유혜영4
F김명복</t>
    <phoneticPr fontId="3" type="noConversion"/>
  </si>
  <si>
    <t>F최지선3
F박성구
F김명복</t>
    <phoneticPr fontId="3" type="noConversion"/>
  </si>
  <si>
    <t>M최지선3C
Tt김을언Tt
M신연애S
M김정규2
M연현숙2C
M김명복S</t>
    <phoneticPr fontId="3" type="noConversion"/>
  </si>
  <si>
    <t>M박성구S
M지복례C
M김시철T
M김명복C
C최종성2CPM</t>
    <phoneticPr fontId="3" type="noConversion"/>
  </si>
  <si>
    <t>RN유정순3</t>
    <phoneticPr fontId="3" type="noConversion"/>
  </si>
  <si>
    <t>N7유혜영4</t>
    <phoneticPr fontId="3" type="noConversion"/>
  </si>
  <si>
    <t>RM유정순</t>
    <phoneticPr fontId="3" type="noConversion"/>
  </si>
  <si>
    <t>MM정현숙4C
MM김성자10C
MM권영순6C
MM유정순C
MM강용수T</t>
    <phoneticPr fontId="3" type="noConversion"/>
  </si>
  <si>
    <t>RG배영자</t>
    <phoneticPr fontId="3" type="noConversion"/>
  </si>
  <si>
    <t>RA배영자</t>
    <phoneticPr fontId="3" type="noConversion"/>
  </si>
  <si>
    <t>MM정현숙4S
MM김재환2C
MM배영자Tt
MM강용수C
MM권오운Tt</t>
    <phoneticPr fontId="3" type="noConversion"/>
  </si>
  <si>
    <t>F황종길
F김을언
F김진옥7
F김정규2</t>
    <phoneticPr fontId="3" type="noConversion"/>
  </si>
  <si>
    <t>MM한경애4C
MM정경철C
MM우영희2Tt</t>
    <phoneticPr fontId="3" type="noConversion"/>
  </si>
  <si>
    <t>재활센터 시간표     2023. 10. 31 (화)</t>
    <phoneticPr fontId="3" type="noConversion"/>
  </si>
  <si>
    <t>5층 재활센터 시간표     2025. 12. 02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</si>
  <si>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</si>
  <si>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</si>
  <si>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</si>
  <si>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</si>
  <si>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</si>
  <si>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</si>
  <si>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</si>
  <si>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</si>
  <si>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</si>
  <si>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</si>
  <si>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</si>
  <si>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</si>
  <si>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RM이팔원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</si>
  <si>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</si>
  <si>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</si>
  <si>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</si>
  <si>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</si>
  <si>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</si>
  <si>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</si>
  <si>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</si>
  <si>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</si>
  <si>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N연현숙2</t>
    <phoneticPr fontId="3" type="noConversion"/>
  </si>
  <si>
    <t>N양병후</t>
    <phoneticPr fontId="3" type="noConversion"/>
  </si>
  <si>
    <t>N배성범</t>
    <phoneticPr fontId="3" type="noConversion"/>
  </si>
  <si>
    <t>RM이병희3</t>
    <phoneticPr fontId="3" type="noConversion"/>
  </si>
  <si>
    <t>RM이진봉</t>
    <phoneticPr fontId="3" type="noConversion"/>
  </si>
  <si>
    <t>N송갑헌</t>
    <phoneticPr fontId="3" type="noConversion"/>
  </si>
  <si>
    <t>RN이팔원</t>
    <phoneticPr fontId="3" type="noConversion"/>
  </si>
  <si>
    <t>RM김석군</t>
    <phoneticPr fontId="3" type="noConversion"/>
  </si>
  <si>
    <t>N김명복</t>
    <phoneticPr fontId="3" type="noConversion"/>
  </si>
  <si>
    <t>김채린</t>
    <phoneticPr fontId="3" type="noConversion"/>
  </si>
  <si>
    <t>N황종길</t>
    <phoneticPr fontId="3" type="noConversion"/>
  </si>
  <si>
    <t>N최지선3</t>
    <phoneticPr fontId="3" type="noConversion"/>
  </si>
  <si>
    <t>N박은용</t>
    <phoneticPr fontId="3" type="noConversion"/>
  </si>
  <si>
    <t>N조정자</t>
    <phoneticPr fontId="3" type="noConversion"/>
  </si>
  <si>
    <t>RG배영자</t>
    <phoneticPr fontId="3" type="noConversion"/>
  </si>
  <si>
    <t>N7박성구D</t>
    <phoneticPr fontId="3" type="noConversion"/>
  </si>
  <si>
    <t>RA정경철</t>
    <phoneticPr fontId="21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</si>
  <si>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</si>
  <si>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</si>
  <si>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</si>
  <si>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최예원</t>
    <phoneticPr fontId="3" type="noConversion"/>
  </si>
  <si>
    <t>RM김재환2</t>
    <phoneticPr fontId="3" type="noConversion"/>
  </si>
  <si>
    <t>RG최상근3</t>
    <phoneticPr fontId="3" type="noConversion"/>
  </si>
  <si>
    <t>RN윤소희3</t>
    <phoneticPr fontId="3" type="noConversion"/>
  </si>
  <si>
    <t>N김종운3</t>
    <phoneticPr fontId="3" type="noConversion"/>
  </si>
  <si>
    <t>RG최상근3</t>
    <phoneticPr fontId="3" type="noConversion"/>
  </si>
  <si>
    <t>RN강용수</t>
    <phoneticPr fontId="3" type="noConversion"/>
  </si>
  <si>
    <t>RN정경철</t>
    <phoneticPr fontId="3" type="noConversion"/>
  </si>
  <si>
    <t>N신연애</t>
    <phoneticPr fontId="3" type="noConversion"/>
  </si>
  <si>
    <t>RN홍선화</t>
    <phoneticPr fontId="3" type="noConversion"/>
  </si>
  <si>
    <t>RG정태두</t>
    <phoneticPr fontId="3" type="noConversion"/>
  </si>
  <si>
    <t>서원빈</t>
    <phoneticPr fontId="3" type="noConversion"/>
  </si>
  <si>
    <t>RN김석군</t>
    <phoneticPr fontId="3" type="noConversion"/>
  </si>
  <si>
    <t>RM유정순</t>
    <phoneticPr fontId="3" type="noConversion"/>
  </si>
  <si>
    <t>N지복례</t>
    <phoneticPr fontId="13" type="noConversion"/>
  </si>
  <si>
    <t>N서승달</t>
    <phoneticPr fontId="3" type="noConversion"/>
  </si>
  <si>
    <t>N우학송</t>
    <phoneticPr fontId="13" type="noConversion"/>
  </si>
  <si>
    <t>N신기순2</t>
    <phoneticPr fontId="3" type="noConversion"/>
  </si>
  <si>
    <t>RM김명배3</t>
    <phoneticPr fontId="3" type="noConversion"/>
  </si>
  <si>
    <t>RM임낙규</t>
    <phoneticPr fontId="3" type="noConversion"/>
  </si>
  <si>
    <t>RA김재환2</t>
    <phoneticPr fontId="21" type="noConversion"/>
  </si>
  <si>
    <t>RN이진봉</t>
    <phoneticPr fontId="3" type="noConversion"/>
  </si>
  <si>
    <t>* 변경사항</t>
    <phoneticPr fontId="3" type="noConversion"/>
  </si>
  <si>
    <t>박민경</t>
    <phoneticPr fontId="3" type="noConversion"/>
  </si>
  <si>
    <t>RM서극원</t>
    <phoneticPr fontId="3" type="noConversion"/>
  </si>
  <si>
    <t>RM김기연5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</si>
  <si>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</si>
  <si>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</si>
  <si>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</si>
  <si>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</si>
  <si>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</si>
  <si>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</si>
  <si>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임수민</t>
    <phoneticPr fontId="3" type="noConversion"/>
  </si>
  <si>
    <t>RM윤소희3</t>
    <phoneticPr fontId="21" type="noConversion"/>
  </si>
  <si>
    <t>N지복례</t>
  </si>
  <si>
    <t>RN김재환2</t>
    <phoneticPr fontId="3" type="noConversion"/>
  </si>
  <si>
    <t>RM전동순</t>
    <phoneticPr fontId="3" type="noConversion"/>
  </si>
  <si>
    <t>N7유혜영4</t>
    <phoneticPr fontId="3" type="noConversion"/>
  </si>
  <si>
    <t>N7지복례D</t>
    <phoneticPr fontId="3" type="noConversion"/>
  </si>
  <si>
    <t>N송갑헌</t>
    <phoneticPr fontId="13" type="noConversion"/>
  </si>
  <si>
    <t>유태현
(연차)</t>
    <phoneticPr fontId="3" type="noConversion"/>
  </si>
  <si>
    <t>RA우영희2
RM김기연5</t>
    <phoneticPr fontId="21" type="noConversion"/>
  </si>
  <si>
    <t>RM이병희3</t>
    <phoneticPr fontId="21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</si>
  <si>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</si>
  <si>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</si>
  <si>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</si>
  <si>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</si>
  <si>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RA서극원</t>
    <phoneticPr fontId="21" type="noConversion"/>
  </si>
  <si>
    <t>RN김성자10</t>
    <phoneticPr fontId="3" type="noConversion"/>
  </si>
  <si>
    <t>RN한경애4</t>
    <phoneticPr fontId="3" type="noConversion"/>
  </si>
  <si>
    <t>RM권영순6</t>
    <phoneticPr fontId="3" type="noConversion"/>
  </si>
  <si>
    <t>장수빈</t>
    <phoneticPr fontId="3" type="noConversion"/>
  </si>
  <si>
    <t>RM한경애4</t>
    <phoneticPr fontId="3" type="noConversion"/>
  </si>
  <si>
    <t>RN이난주</t>
    <phoneticPr fontId="13" type="noConversion"/>
  </si>
  <si>
    <t>N황춘자</t>
    <phoneticPr fontId="21" type="noConversion"/>
  </si>
  <si>
    <t>N우학송</t>
    <phoneticPr fontId="3" type="noConversion"/>
  </si>
  <si>
    <t>N김진옥7</t>
    <phoneticPr fontId="3" type="noConversion"/>
  </si>
  <si>
    <t>RN김기연5</t>
    <phoneticPr fontId="3" type="noConversion"/>
  </si>
  <si>
    <t>RG정태두</t>
    <phoneticPr fontId="3" type="noConversion"/>
  </si>
  <si>
    <t>장해민</t>
    <phoneticPr fontId="3" type="noConversion"/>
  </si>
  <si>
    <t>CA지복례</t>
    <phoneticPr fontId="13" type="noConversion"/>
  </si>
  <si>
    <t>RA최상근3</t>
    <phoneticPr fontId="3" type="noConversion"/>
  </si>
  <si>
    <t>H7임낙규D</t>
    <phoneticPr fontId="3" type="noConversion"/>
  </si>
  <si>
    <t>RA배영자</t>
    <phoneticPr fontId="3" type="noConversion"/>
  </si>
  <si>
    <t>C김을언</t>
    <phoneticPr fontId="3" type="noConversion"/>
  </si>
  <si>
    <t>RD이병희3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</si>
  <si>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</si>
  <si>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</si>
  <si>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</si>
  <si>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RA정태두</t>
    <phoneticPr fontId="3" type="noConversion"/>
  </si>
  <si>
    <t>RA서극원</t>
    <phoneticPr fontId="3" type="noConversion"/>
  </si>
  <si>
    <t>장효원</t>
    <phoneticPr fontId="3" type="noConversion"/>
  </si>
  <si>
    <t>RA권오운</t>
    <phoneticPr fontId="3" type="noConversion"/>
  </si>
  <si>
    <t>RA임낙규</t>
    <phoneticPr fontId="3" type="noConversion"/>
  </si>
  <si>
    <t>RS이팔원</t>
    <phoneticPr fontId="3" type="noConversion"/>
  </si>
  <si>
    <t>O7구본창D</t>
    <phoneticPr fontId="3" type="noConversion"/>
  </si>
  <si>
    <t>CA송옥경</t>
    <phoneticPr fontId="3" type="noConversion"/>
  </si>
  <si>
    <t>CA송갑헌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</si>
  <si>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</si>
  <si>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</si>
  <si>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</si>
  <si>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</si>
  <si>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</si>
  <si>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</si>
  <si>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이경미
(공가)</t>
    <phoneticPr fontId="3" type="noConversion"/>
  </si>
  <si>
    <t>RA서극원
RD이진봉</t>
    <phoneticPr fontId="3" type="noConversion"/>
  </si>
  <si>
    <t>RS강용수</t>
    <phoneticPr fontId="3" type="noConversion"/>
  </si>
  <si>
    <t>RA한경애4</t>
    <phoneticPr fontId="3" type="noConversion"/>
  </si>
  <si>
    <t>RA정경철</t>
    <phoneticPr fontId="3" type="noConversion"/>
  </si>
  <si>
    <t>장세희</t>
    <phoneticPr fontId="3" type="noConversion"/>
  </si>
  <si>
    <t>CA박성구</t>
    <phoneticPr fontId="3" type="noConversion"/>
  </si>
  <si>
    <t>RD김재환2</t>
    <phoneticPr fontId="3" type="noConversion"/>
  </si>
  <si>
    <t>RA강용수</t>
    <phoneticPr fontId="3" type="noConversion"/>
  </si>
  <si>
    <t>D김종운3V</t>
    <phoneticPr fontId="3" type="noConversion"/>
  </si>
  <si>
    <t>RA이팔원</t>
    <phoneticPr fontId="3" type="noConversion"/>
  </si>
  <si>
    <t>RS정경철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</si>
  <si>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</si>
  <si>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</si>
  <si>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</si>
  <si>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</si>
  <si>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</si>
  <si>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</si>
  <si>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</si>
  <si>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</si>
  <si>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</si>
  <si>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RA정태두</t>
    <phoneticPr fontId="3" type="noConversion"/>
  </si>
  <si>
    <t>RS권영순6</t>
    <phoneticPr fontId="3" type="noConversion"/>
  </si>
  <si>
    <t>RA홍선화</t>
    <phoneticPr fontId="3" type="noConversion"/>
  </si>
  <si>
    <t>RD전동순</t>
    <phoneticPr fontId="3" type="noConversion"/>
  </si>
  <si>
    <t>RA김기연5</t>
    <phoneticPr fontId="3" type="noConversion"/>
  </si>
  <si>
    <t>D김시철V</t>
    <phoneticPr fontId="21" type="noConversion"/>
  </si>
  <si>
    <t>C임종범
C송갑헌</t>
    <phoneticPr fontId="3" type="noConversion"/>
  </si>
  <si>
    <t>김희수</t>
    <phoneticPr fontId="3" type="noConversion"/>
  </si>
  <si>
    <t>RS임낙규</t>
    <phoneticPr fontId="3" type="noConversion"/>
  </si>
  <si>
    <t>CA임헌수2</t>
    <phoneticPr fontId="21" type="noConversion"/>
  </si>
  <si>
    <t>CA신연애</t>
    <phoneticPr fontId="3" type="noConversion"/>
  </si>
  <si>
    <t>C서승달
C김명복</t>
    <phoneticPr fontId="3" type="noConversion"/>
  </si>
  <si>
    <t>CA서승달</t>
    <phoneticPr fontId="3" type="noConversion"/>
  </si>
  <si>
    <t>전산화인지
김명복</t>
    <phoneticPr fontId="3" type="noConversion"/>
  </si>
  <si>
    <t>RA전동순</t>
    <phoneticPr fontId="3" type="noConversion"/>
  </si>
  <si>
    <t>C송옥경
C지복례</t>
    <phoneticPr fontId="3" type="noConversion"/>
  </si>
  <si>
    <t>CA김택중</t>
    <phoneticPr fontId="3" type="noConversion"/>
  </si>
  <si>
    <t>정상환
(연차)</t>
    <phoneticPr fontId="3" type="noConversion"/>
  </si>
  <si>
    <t>RD윤소희3</t>
    <phoneticPr fontId="21" type="noConversion"/>
  </si>
  <si>
    <t>RS김석군</t>
    <phoneticPr fontId="3" type="noConversion"/>
  </si>
  <si>
    <t>RA홍선화
RD김명배3</t>
    <phoneticPr fontId="3" type="noConversion"/>
  </si>
  <si>
    <t>RD김재환2
RA전동순</t>
    <phoneticPr fontId="3" type="noConversion"/>
  </si>
  <si>
    <t>* 퇴원 및 HOLD</t>
    <phoneticPr fontId="21" type="noConversion"/>
  </si>
  <si>
    <t>김영빈</t>
    <phoneticPr fontId="3" type="noConversion"/>
  </si>
  <si>
    <t>D유혜영4</t>
    <phoneticPr fontId="3" type="noConversion"/>
  </si>
  <si>
    <t>RS이난주</t>
    <phoneticPr fontId="3" type="noConversion"/>
  </si>
  <si>
    <t>CA김명복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</si>
  <si>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</si>
  <si>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</si>
  <si>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</si>
  <si>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</si>
  <si>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RA최상근3</t>
    <phoneticPr fontId="3" type="noConversion"/>
  </si>
  <si>
    <t>김정규님 : N,C,M.F
정현숙4님 : ALL HOLD
김인순3님 : ALL HOLD</t>
    <phoneticPr fontId="3" type="noConversion"/>
  </si>
  <si>
    <t>최예은</t>
    <phoneticPr fontId="3" type="noConversion"/>
  </si>
  <si>
    <t>C김시철</t>
    <phoneticPr fontId="3" type="noConversion"/>
  </si>
  <si>
    <t>CA황종길</t>
    <phoneticPr fontId="3" type="noConversion"/>
  </si>
  <si>
    <t>CA김시철</t>
    <phoneticPr fontId="3" type="noConversion"/>
  </si>
  <si>
    <t>RA이진봉</t>
    <phoneticPr fontId="3" type="noConversion"/>
  </si>
  <si>
    <t>RA윤소희3</t>
    <phoneticPr fontId="21" type="noConversion"/>
  </si>
  <si>
    <t>H김을언</t>
    <phoneticPr fontId="3" type="noConversion"/>
  </si>
  <si>
    <t>RS서극원</t>
    <phoneticPr fontId="3" type="noConversion"/>
  </si>
  <si>
    <t>CA박은용</t>
    <phoneticPr fontId="21" type="noConversion"/>
  </si>
  <si>
    <t>계장</t>
    <phoneticPr fontId="3" type="noConversion"/>
  </si>
  <si>
    <t>강인화</t>
    <phoneticPr fontId="3" type="noConversion"/>
  </si>
  <si>
    <t>CA김진옥7</t>
    <phoneticPr fontId="21" type="noConversion"/>
  </si>
  <si>
    <t>RA김석군</t>
    <phoneticPr fontId="3" type="noConversion"/>
  </si>
  <si>
    <t>CA배성범</t>
    <phoneticPr fontId="3" type="noConversion"/>
  </si>
  <si>
    <t>CA조정자</t>
    <phoneticPr fontId="3" type="noConversion"/>
  </si>
  <si>
    <t>김윤종</t>
    <phoneticPr fontId="3" type="noConversion"/>
  </si>
  <si>
    <t>H7김진옥7A</t>
    <phoneticPr fontId="3" type="noConversion"/>
  </si>
  <si>
    <t>RA김성자10</t>
    <phoneticPr fontId="3" type="noConversion"/>
  </si>
  <si>
    <t>RA유정순3</t>
    <phoneticPr fontId="3" type="noConversion"/>
  </si>
  <si>
    <t>CA연현숙2</t>
    <phoneticPr fontId="3" type="noConversion"/>
  </si>
  <si>
    <t>RD전동순</t>
    <phoneticPr fontId="3" type="noConversion"/>
  </si>
  <si>
    <t>MM배영자Tt</t>
    <phoneticPr fontId="3" type="noConversion"/>
  </si>
  <si>
    <t>RA김재환2</t>
    <phoneticPr fontId="3" type="noConversion"/>
  </si>
  <si>
    <t>* 당일시간변경</t>
    <phoneticPr fontId="3" type="noConversion"/>
  </si>
  <si>
    <t>박수진</t>
    <phoneticPr fontId="3" type="noConversion"/>
  </si>
  <si>
    <t>M김을언C
C이문찬2CPM</t>
    <phoneticPr fontId="3" type="noConversion"/>
  </si>
  <si>
    <t>M김을언S
M송옥경C
M연현숙2C
M김종운3Tt</t>
    <phoneticPr fontId="3" type="noConversion"/>
  </si>
  <si>
    <t>M박성구S
M지복례C
M김시철T
M김명복C
C최종성2CPM</t>
    <phoneticPr fontId="3" type="noConversion"/>
  </si>
  <si>
    <t>M최지선3T
M양병후C
M황종길C
M신기순2S</t>
    <phoneticPr fontId="3" type="noConversion"/>
  </si>
  <si>
    <t>M김진옥7C
M구본창C
M김택중C
M권용길S
M박은용C
M지복례T</t>
    <phoneticPr fontId="3" type="noConversion"/>
  </si>
  <si>
    <t>M배성범S
M신연애C
M조정자C
M임종범C</t>
    <phoneticPr fontId="3" type="noConversion"/>
  </si>
  <si>
    <t>M우학송S</t>
    <phoneticPr fontId="3" type="noConversion"/>
  </si>
  <si>
    <r>
      <t xml:space="preserve">M김진옥7S
M박은용C
M양병후C
</t>
    </r>
    <r>
      <rPr>
        <sz val="10"/>
        <color theme="0" tint="-0.249977111117893"/>
        <rFont val="돋움"/>
        <family val="3"/>
        <charset val="129"/>
      </rPr>
      <t>M서재학C</t>
    </r>
    <r>
      <rPr>
        <sz val="10"/>
        <rFont val="돋움"/>
        <family val="3"/>
        <charset val="129"/>
      </rPr>
      <t xml:space="preserve">
M황종길C</t>
    </r>
    <phoneticPr fontId="3" type="noConversion"/>
  </si>
  <si>
    <t>M조정자C
M김시철C
M신기순2S
M박성구C</t>
    <phoneticPr fontId="3" type="noConversion"/>
  </si>
  <si>
    <t>M송옥경C
M임종범C
M권용길C
M김택중S
M배성범T</t>
    <phoneticPr fontId="3" type="noConversion"/>
  </si>
  <si>
    <t>M최지선3C
Tt김을언Tt
M신연애S
M김정규2
M연현숙2C
M김명복S
M임헌수2M</t>
    <phoneticPr fontId="3" type="noConversion"/>
  </si>
  <si>
    <t>M우학송C
M임헌수2S</t>
    <phoneticPr fontId="3" type="noConversion"/>
  </si>
  <si>
    <t xml:space="preserve"> MM김성자10C
MM김기연5C
MM최상근3CPM</t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</si>
  <si>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MM정경철C
MM윤소희3T</t>
    </r>
    <phoneticPr fontId="3" type="noConversion"/>
  </si>
  <si>
    <t>MM김명배3Tt
MM이병희3
MM이진봉S</t>
    <phoneticPr fontId="3" type="noConversion"/>
  </si>
  <si>
    <t>MM김재환2C
MM배영자Tt
MM강용수C
MM권오운Tt</t>
    <phoneticPr fontId="3" type="noConversion"/>
  </si>
  <si>
    <t>MM임낙규C
MM홍선화C</t>
    <phoneticPr fontId="3" type="noConversion"/>
  </si>
  <si>
    <t>MM이난주T
MM권영순6C
MM이병희3M
MM정태두Tt
MM유정순3C
MM서극원S</t>
    <phoneticPr fontId="3" type="noConversion"/>
  </si>
  <si>
    <r>
      <t xml:space="preserve">
MM이팔원C
</t>
    </r>
    <r>
      <rPr>
        <sz val="10"/>
        <color rgb="FFFF0000"/>
        <rFont val="돋움"/>
        <family val="3"/>
        <charset val="129"/>
      </rPr>
      <t>MM우영희2M(소)</t>
    </r>
    <phoneticPr fontId="3" type="noConversion"/>
  </si>
  <si>
    <r>
      <t xml:space="preserve">MM이난주C
MM홍선화C
MM김재환2S
</t>
    </r>
    <r>
      <rPr>
        <u/>
        <sz val="10"/>
        <rFont val="돋움"/>
        <family val="3"/>
        <charset val="129"/>
      </rPr>
      <t>MM이진봉T</t>
    </r>
    <phoneticPr fontId="3" type="noConversion"/>
  </si>
  <si>
    <r>
      <t xml:space="preserve">MM임낙규T
MM김석군C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</t>
    </r>
    <r>
      <rPr>
        <sz val="10"/>
        <color rgb="FFFF0000"/>
        <rFont val="돋움"/>
        <family val="3"/>
        <charset val="129"/>
      </rPr>
      <t>MM배영자Tt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MM권오운Tt(소)</t>
    </r>
    <phoneticPr fontId="3" type="noConversion"/>
  </si>
  <si>
    <r>
      <t xml:space="preserve">MM한경애4C
</t>
    </r>
    <r>
      <rPr>
        <sz val="10"/>
        <color rgb="FFFF0000"/>
        <rFont val="돋움"/>
        <family val="3"/>
        <charset val="129"/>
      </rPr>
      <t>MM정경철C</t>
    </r>
    <r>
      <rPr>
        <sz val="10"/>
        <rFont val="돋움"/>
        <family val="3"/>
        <charset val="129"/>
      </rPr>
      <t xml:space="preserve">
MM우영희2Tt</t>
    </r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</si>
  <si>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MM서극원C</t>
    </r>
    <phoneticPr fontId="3" type="noConversion"/>
  </si>
  <si>
    <t>MM김성자10C
MM권영순6C
MM유정순C
MM강용수T</t>
    <phoneticPr fontId="3" type="noConversion"/>
  </si>
  <si>
    <t>이나예</t>
    <phoneticPr fontId="3" type="noConversion"/>
  </si>
  <si>
    <t>단축근무</t>
    <phoneticPr fontId="3" type="noConversion"/>
  </si>
  <si>
    <t>F김택중</t>
    <phoneticPr fontId="3" type="noConversion"/>
  </si>
  <si>
    <t>F배성범
F신기순2
F김종운3
F박은용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</si>
  <si>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</si>
  <si>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</si>
  <si>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F연현숙2</t>
    <phoneticPr fontId="3" type="noConversion"/>
  </si>
  <si>
    <t>F신연애
F유혜영4
F김명복</t>
    <phoneticPr fontId="3" type="noConversion"/>
  </si>
  <si>
    <t>F지복례
F서승달</t>
    <phoneticPr fontId="3" type="noConversion"/>
  </si>
  <si>
    <t>F황종길
F김을언
F김진옥7
F김정규2</t>
    <phoneticPr fontId="3" type="noConversion"/>
  </si>
  <si>
    <t>F최지선3
F박성구
F김명복</t>
    <phoneticPr fontId="3" type="noConversion"/>
  </si>
  <si>
    <t>임수민
(무급휴직)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</si>
  <si>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</si>
  <si>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</si>
  <si>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</si>
  <si>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N조정자</t>
    <phoneticPr fontId="3" type="noConversion"/>
  </si>
  <si>
    <t>N신연애</t>
    <phoneticPr fontId="3" type="noConversion"/>
  </si>
  <si>
    <t>N양병후
N권용길</t>
    <phoneticPr fontId="3" type="noConversion"/>
  </si>
  <si>
    <t>N임헌수2
N황종길</t>
    <phoneticPr fontId="3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</si>
  <si>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3" type="noConversion"/>
  </si>
  <si>
    <t>CA</t>
    <phoneticPr fontId="3" type="noConversion"/>
  </si>
  <si>
    <t>D</t>
    <phoneticPr fontId="3" type="noConversion"/>
  </si>
  <si>
    <t>D김택중(B)
D박은용</t>
    <phoneticPr fontId="3" type="noConversion"/>
  </si>
  <si>
    <t>D박은용</t>
    <phoneticPr fontId="13" type="noConversion"/>
  </si>
  <si>
    <t>C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</si>
  <si>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</si>
  <si>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</si>
  <si>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</si>
  <si>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</si>
  <si>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</si>
  <si>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</si>
  <si>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C연현숙2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</si>
  <si>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</si>
  <si>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</si>
  <si>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</si>
  <si>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</si>
  <si>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</si>
  <si>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1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</si>
  <si>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</si>
  <si>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</si>
  <si>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</si>
  <si>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</si>
  <si>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</si>
  <si>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1" type="noConversion"/>
  </si>
  <si>
    <t>호흡치료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</si>
  <si>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</si>
  <si>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</si>
  <si>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</si>
  <si>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</si>
  <si>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</si>
  <si>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</si>
  <si>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W한경애4A</t>
    <phoneticPr fontId="3" type="noConversion"/>
  </si>
  <si>
    <t>워크봇</t>
    <phoneticPr fontId="3" type="noConversion"/>
  </si>
  <si>
    <t>이팔원</t>
    <phoneticPr fontId="3" type="noConversion"/>
  </si>
  <si>
    <t>W권용길B</t>
    <phoneticPr fontId="3" type="noConversion"/>
  </si>
  <si>
    <t>W전동순B</t>
    <phoneticPr fontId="21" type="noConversion"/>
  </si>
  <si>
    <t>W김택중A</t>
    <phoneticPr fontId="3" type="noConversion"/>
  </si>
  <si>
    <t>알봇</t>
    <phoneticPr fontId="3" type="noConversion"/>
  </si>
  <si>
    <t>W권오운D</t>
    <phoneticPr fontId="3" type="noConversion"/>
  </si>
  <si>
    <t>*전혜옥</t>
    <phoneticPr fontId="3" type="noConversion"/>
  </si>
  <si>
    <t>*이문찬2</t>
    <phoneticPr fontId="3" type="noConversion"/>
  </si>
  <si>
    <t>ESWT5한경애4(목)</t>
    <phoneticPr fontId="3" type="noConversion"/>
  </si>
  <si>
    <t>서극원님 RA 08:30 → 10:15 / 강지영T
김진옥7님 CA 12:00 → 09:05 / 강인화T
김시철님 DV 13:30 → 14:40 / 이은지4T
임헌수2님 CA 15:15 ↔ M 10:15 / 김희수T
지복례님 N 13:30 ↔ FES 09:05 / 임수민T
박은용님 CA 13:30 ↔ M 14:05 / 최예은T
우영희2님 RA 09:05 → 10:50
김기연5님 RM 10:15 → 10:50
이진봉님 RD 09:05 → 10:50
김명배3님 RD 10:15 → 12:00
전동순님 RA 08:30 → 14:40
유태현T, 이경미T, 정상환T 대체 : 소아</t>
    <phoneticPr fontId="21" type="noConversion"/>
  </si>
  <si>
    <t xml:space="preserve">전동순님 : W 삭제, 스케줄 다시
유정순님 : 시간변경
우영희2님, 이진봉님, 유혜영4님(N7) 치료사 변경 스케줄 다시
정경철ㅇ님 : RN2 RA2 변경, W시간 변경,
</t>
    <phoneticPr fontId="3" type="noConversion"/>
  </si>
  <si>
    <t>김명복님 : RG4, RA4, MM4, TH4
배영자님 : N2, M2, F2, C2,A 전산화</t>
    <phoneticPr fontId="3" type="noConversion"/>
  </si>
  <si>
    <t>RA권오운</t>
    <phoneticPr fontId="21" type="noConversion"/>
  </si>
  <si>
    <t>M최지선3T
M양병후C
M황종길C
M임헌수2M
M서재학C
M신기순2S</t>
    <phoneticPr fontId="3" type="noConversion"/>
  </si>
  <si>
    <t>M김진옥7S
M양병후C
M서재학C
M황종길C</t>
    <phoneticPr fontId="3" type="noConversion"/>
  </si>
  <si>
    <t>F신기순2
F송옥경
F서재학
F연현숙2</t>
    <phoneticPr fontId="3" type="noConversion"/>
  </si>
  <si>
    <t>MM정현숙4S
MM김재환2C
MM강용수C
MM권오운Tt</t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</si>
  <si>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MM정경철C
MM우영희2Tt</t>
    </r>
    <phoneticPr fontId="3" type="noConversion"/>
  </si>
  <si>
    <t>5층 재활센터 시간표     2025. 12. 3  (수)</t>
    <phoneticPr fontId="3" type="noConversion"/>
  </si>
  <si>
    <t>유혜영4님 : 오후 HOLD CA, N</t>
    <phoneticPr fontId="3" type="noConversion"/>
  </si>
  <si>
    <t>MM임낙규C
MM배영자Tt
MM홍선화C</t>
    <phoneticPr fontId="3" type="noConversion"/>
  </si>
  <si>
    <r>
      <t xml:space="preserve">MM이난주C
MM홍선화C
MM김재환2S
</t>
    </r>
    <r>
      <rPr>
        <u/>
        <sz val="10"/>
        <rFont val="돋움"/>
        <family val="3"/>
        <charset val="129"/>
      </rPr>
      <t>MM이진봉T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</si>
  <si>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t xml:space="preserve">MM임낙규T
</t>
    </r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3" type="noConversion"/>
  </si>
  <si>
    <t>MM김석군C</t>
    <phoneticPr fontId="3" type="noConversion"/>
  </si>
  <si>
    <r>
      <t xml:space="preserve">MM임낙규T
MM김석군C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3" type="noConversion"/>
  </si>
  <si>
    <t>RD이팔원</t>
    <phoneticPr fontId="3" type="noConversion"/>
  </si>
  <si>
    <t>RN서극원</t>
    <phoneticPr fontId="3" type="noConversion"/>
  </si>
  <si>
    <t>RN김재환2</t>
    <phoneticPr fontId="21" type="noConversion"/>
  </si>
  <si>
    <r>
      <rPr>
        <b/>
        <sz val="10"/>
        <color rgb="FF00B050"/>
        <rFont val="돋움"/>
        <family val="3"/>
        <charset val="129"/>
      </rPr>
      <t>RA권오운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CA김진옥7</t>
    </r>
    <phoneticPr fontId="3" type="noConversion"/>
  </si>
  <si>
    <r>
      <rPr>
        <b/>
        <sz val="10"/>
        <color rgb="FF00B050"/>
        <rFont val="돋움"/>
        <family val="3"/>
        <charset val="129"/>
      </rPr>
      <t>RS강용수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CA박은용</t>
    </r>
    <phoneticPr fontId="3" type="noConversion"/>
  </si>
  <si>
    <r>
      <rPr>
        <b/>
        <sz val="10"/>
        <color rgb="FF00B050"/>
        <rFont val="돋움"/>
        <family val="3"/>
        <charset val="129"/>
      </rPr>
      <t>RD김재환2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D김시철V</t>
    </r>
    <phoneticPr fontId="3" type="noConversion"/>
  </si>
  <si>
    <t>CA임헌수2
RS한경애4</t>
    <phoneticPr fontId="3" type="noConversion"/>
  </si>
  <si>
    <t>서재학님 H 15:50 → 15:15 / 장효원T
김시철님 DV 13:30 → 14:40
김진옥7님 CA 12:00 → 09:40
박은용님 CA 13:30 → 11:25
지복례님 N 13:30 → 09:40 / 임수민T
송갑헌님 N 12:00 → 13:30
유태현T 대체 : 6층,소아
이경미T 대체 : 소아
정상환T 대체 : 6층, 소아</t>
    <phoneticPr fontId="21" type="noConversion"/>
  </si>
  <si>
    <t>MM이난주T
MM이병희3M
MM정태두Tt
MM유정순3C
MM서극원S</t>
    <phoneticPr fontId="3" type="noConversion"/>
  </si>
  <si>
    <t>MM정현숙4C
MM김성자10C
MM유정순C
MM강용수T</t>
    <phoneticPr fontId="3" type="noConversion"/>
  </si>
  <si>
    <t>C배성범</t>
    <phoneticPr fontId="3" type="noConversion"/>
  </si>
  <si>
    <t>C신연애
C권용길</t>
    <phoneticPr fontId="3" type="noConversion"/>
  </si>
  <si>
    <t>RM정태두</t>
    <phoneticPr fontId="3" type="noConversion"/>
  </si>
  <si>
    <t>N김약산</t>
    <phoneticPr fontId="3" type="noConversion"/>
  </si>
  <si>
    <t>CA김약산</t>
    <phoneticPr fontId="3" type="noConversion"/>
  </si>
  <si>
    <t>C김약산</t>
    <phoneticPr fontId="3" type="noConversion"/>
  </si>
  <si>
    <t>M우학송S
M김정규2C
M김약산</t>
    <phoneticPr fontId="3" type="noConversion"/>
  </si>
  <si>
    <t>F서승달
F김약산</t>
    <phoneticPr fontId="3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</si>
  <si>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MM서극원S</t>
    </r>
    <phoneticPr fontId="3" type="noConversion"/>
  </si>
  <si>
    <t>M배성범S
M신연애C
M조정자C
M임종범C
M연현숙2C</t>
    <phoneticPr fontId="3" type="noConversion"/>
  </si>
  <si>
    <t>F신기순2
F송옥경
F서재학</t>
    <phoneticPr fontId="3" type="noConversion"/>
  </si>
  <si>
    <t>F황종길
F김을언
F김진옥7
F김정규2
F연현숙2</t>
    <phoneticPr fontId="3" type="noConversion"/>
  </si>
  <si>
    <t>C우학송</t>
    <phoneticPr fontId="3" type="noConversion"/>
  </si>
  <si>
    <t>M최지선3T
M양병후C
M황종길C
M임헌수2M
M서재학C</t>
    <phoneticPr fontId="3" type="noConversion"/>
  </si>
  <si>
    <t>M조정자C
M김시철C
M박은용C
M박성구C</t>
    <phoneticPr fontId="3" type="noConversion"/>
  </si>
  <si>
    <t>F서재학</t>
    <phoneticPr fontId="3" type="noConversion"/>
  </si>
  <si>
    <t>장세희
(연차)</t>
    <phoneticPr fontId="3" type="noConversion"/>
  </si>
  <si>
    <t>MM김기연5C
MM최상근3CPM</t>
    <phoneticPr fontId="3" type="noConversion"/>
  </si>
  <si>
    <t>MM김명배3Tt
MM이병희3
 MM김성자10C
MM이진봉S
MM김인순3Tt</t>
    <phoneticPr fontId="3" type="noConversion"/>
  </si>
  <si>
    <t>F배성범
F신기순2
F김종운3
F박은용
F김약산</t>
    <phoneticPr fontId="3" type="noConversion"/>
  </si>
  <si>
    <t>RA이병희3</t>
    <phoneticPr fontId="3" type="noConversion"/>
  </si>
  <si>
    <t>서극원님 : RM2 → RN2 변경
김재환2님 : RA2 → RM2 변경
권용길님 : 치료시간, 담당 변경
정태두님 : RA2 → RM2 변경
연현숙님 : 치료시간변경
김성자10님 : 치료시간변경
이병희3님 : RM2 → RS2변경</t>
    <phoneticPr fontId="3" type="noConversion"/>
  </si>
  <si>
    <t>5층 재활센터 시간표     2025. 12. 04 (목)</t>
    <phoneticPr fontId="3" type="noConversion"/>
  </si>
  <si>
    <t>F배성범
F김종운3
F박은용
F김약산</t>
    <phoneticPr fontId="3" type="noConversion"/>
  </si>
  <si>
    <t>권영순6님 : 퇴원
신기순2님 : ALL HOLD 외진
송옥경님 : ALL HOLD 외진
권오운님 : RS2, RA2</t>
    <phoneticPr fontId="3" type="noConversion"/>
  </si>
  <si>
    <t>RM우영희2</t>
    <phoneticPr fontId="3" type="noConversion"/>
  </si>
  <si>
    <r>
      <t xml:space="preserve">C김약산
</t>
    </r>
    <r>
      <rPr>
        <sz val="10"/>
        <color rgb="FF00B050"/>
        <rFont val="돋움"/>
        <family val="3"/>
        <charset val="129"/>
      </rPr>
      <t>C지복례</t>
    </r>
    <phoneticPr fontId="3" type="noConversion"/>
  </si>
  <si>
    <t>M우학송S
M김정규2C
M김약산C</t>
    <phoneticPr fontId="3" type="noConversion"/>
  </si>
  <si>
    <t>김약산님 : N2, M2, F2 / C2A
김성래님 : 도수, 통증, COM</t>
    <phoneticPr fontId="3" type="noConversion"/>
  </si>
  <si>
    <t>통합계획관리</t>
    <phoneticPr fontId="3" type="noConversion"/>
  </si>
  <si>
    <t>RD김재환2</t>
    <phoneticPr fontId="21" type="noConversion"/>
  </si>
  <si>
    <t>RA서극원</t>
  </si>
  <si>
    <t>RS유정순3</t>
  </si>
  <si>
    <t>RA권오운</t>
  </si>
  <si>
    <t>RA김인순3
RA김재환2</t>
  </si>
  <si>
    <t>RA정경철</t>
  </si>
  <si>
    <t>RA강용수</t>
  </si>
  <si>
    <t>RA최상근3</t>
  </si>
  <si>
    <t>RA유정순3</t>
  </si>
  <si>
    <t>CA김을언
RA김명배3</t>
  </si>
  <si>
    <t>H서재학</t>
    <phoneticPr fontId="21" type="noConversion"/>
  </si>
  <si>
    <t>D김시철V</t>
  </si>
  <si>
    <t>통합계획관리</t>
    <phoneticPr fontId="21" type="noConversion"/>
  </si>
  <si>
    <t>CA박성구</t>
    <phoneticPr fontId="21" type="noConversion"/>
  </si>
  <si>
    <t>지복례님 : C 15:50 → 14:40 시간변경 / 대체 / 김윤종T
김진옥7님 CA 12:00 → 09:05
김인순3님 RA 10:15 → 15:15
권오운님 RA 09:40 → 14:40
김시철님 DV 13:30 → 15:50
김명배3님 RA 15:50 → 14:40
이경미T 대체 : 6층,소아
장세희T 대체 : 6층,소아
정상환T 대체 : 소아</t>
    <phoneticPr fontId="3" type="noConversion"/>
  </si>
  <si>
    <t>M김을언S
M연현숙2C
M김종운3Tt</t>
    <phoneticPr fontId="3" type="noConversion"/>
  </si>
  <si>
    <t>M김진옥7C
M전혜옥S
M구본창C
M김택중C
M권용길S
M박은용C
M지복례T
C김성래CPM</t>
    <phoneticPr fontId="3" type="noConversion"/>
  </si>
  <si>
    <t>M전혜옥S
M임종범C
M권용길C
M김택중S
M배성범T</t>
    <phoneticPr fontId="3" type="noConversion"/>
  </si>
  <si>
    <t>M최지선3C
Tt김을언Tt
M신연애S
M김정규2
M김명복C
M김약산S</t>
    <phoneticPr fontId="3" type="noConversion"/>
  </si>
  <si>
    <t>M최지선3C
Tt김을언Tt
M신연애S
M김정규2
M김명복C
M김약산C</t>
    <phoneticPr fontId="3" type="noConversion"/>
  </si>
  <si>
    <t>O7연현숙2D</t>
    <phoneticPr fontId="3" type="noConversion"/>
  </si>
  <si>
    <t>MM김성자10C
MM유정순3C
MM강용수T</t>
    <phoneticPr fontId="3" type="noConversion"/>
  </si>
  <si>
    <t>M김을언S
M송옥경C
M연현숙2C
M김종운3Tt
C박금임2CPM</t>
    <phoneticPr fontId="3" type="noConversion"/>
  </si>
  <si>
    <r>
      <t xml:space="preserve">MM김석군C
MM윤소희3S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3" type="noConversion"/>
  </si>
  <si>
    <t>M김진옥7C
M구본창C
M김택중C
M권용길S
M박은용C
M지복례T
C김성래3CPM</t>
    <phoneticPr fontId="3" type="noConversion"/>
  </si>
  <si>
    <t>MM한경애4C
MM정경철C</t>
    <phoneticPr fontId="3" type="noConversion"/>
  </si>
  <si>
    <t>MM홍선화C
MM우영희2Tt</t>
    <phoneticPr fontId="3" type="noConversion"/>
  </si>
  <si>
    <t>M김을언S
M송옥경C
M연현숙2C
M김종운3Tt
C박금임3CPM</t>
    <phoneticPr fontId="3" type="noConversion"/>
  </si>
  <si>
    <t>12:00~
12:30</t>
  </si>
  <si>
    <t>언어</t>
  </si>
  <si>
    <t>로봇 /
 RG2-R</t>
  </si>
  <si>
    <t>2층 도수</t>
  </si>
  <si>
    <t>전산화인지</t>
  </si>
  <si>
    <t>8:30~
9:00</t>
    <phoneticPr fontId="3" type="noConversion"/>
  </si>
  <si>
    <t>전혜옥</t>
    <phoneticPr fontId="3" type="noConversion"/>
  </si>
  <si>
    <t>이문찬</t>
    <phoneticPr fontId="3" type="noConversion"/>
  </si>
  <si>
    <t>W한경애4A</t>
  </si>
  <si>
    <t>김명복</t>
    <phoneticPr fontId="3" type="noConversion"/>
  </si>
  <si>
    <t>호흡</t>
    <phoneticPr fontId="3" type="noConversion"/>
  </si>
  <si>
    <t>김을언</t>
    <phoneticPr fontId="3" type="noConversion"/>
  </si>
  <si>
    <t>W이팔원A
H7김진옥7A</t>
    <phoneticPr fontId="3" type="noConversion"/>
  </si>
  <si>
    <t>W권용길B
 H7임낙규D</t>
    <phoneticPr fontId="3" type="noConversion"/>
  </si>
  <si>
    <t>H7윤소희A</t>
  </si>
  <si>
    <t>수중</t>
    <phoneticPr fontId="3" type="noConversion"/>
  </si>
  <si>
    <t>P박은용D</t>
    <phoneticPr fontId="3" type="noConversion"/>
  </si>
  <si>
    <t>17:00~
17:30</t>
    <phoneticPr fontId="3" type="noConversion"/>
  </si>
  <si>
    <t>M7박금임2</t>
    <phoneticPr fontId="3" type="noConversion"/>
  </si>
  <si>
    <t>박재춘님 : 통증X2 , COM</t>
    <phoneticPr fontId="3" type="noConversion"/>
  </si>
  <si>
    <t>배영자님 : RA2→RG2변경
연현숙2님 : O7(D)추가
박금임2님 : 6층 → 5층 전실 M7X2, 통증, COM
우학송님 : 통증 추가</t>
    <phoneticPr fontId="3" type="noConversion"/>
  </si>
  <si>
    <t>5층 재활센터 시간표     2025. 12. 05  (금)</t>
    <phoneticPr fontId="3" type="noConversion"/>
  </si>
  <si>
    <t>정현숙4님 : 퇴원
임헌수2님 : CA, M, F
임낙규님 : ALL HOLD</t>
    <phoneticPr fontId="3" type="noConversion"/>
  </si>
  <si>
    <r>
      <t xml:space="preserve">W권용길B
</t>
    </r>
    <r>
      <rPr>
        <sz val="10"/>
        <color theme="0" tint="-0.34998626667073579"/>
        <rFont val="돋움"/>
        <family val="3"/>
        <charset val="129"/>
      </rPr>
      <t xml:space="preserve"> H7임낙규D</t>
    </r>
    <phoneticPr fontId="3" type="noConversion"/>
  </si>
  <si>
    <t>N연현숙2
N박은용</t>
    <phoneticPr fontId="3" type="noConversion"/>
  </si>
  <si>
    <t>F최지선3
F박성구
F김명복
F연현숙2</t>
    <phoneticPr fontId="3" type="noConversion"/>
  </si>
  <si>
    <t>이병희3님 : VFSS / 14:05 → 13:30 시간변경 / 박민경T
우영희님 : VFSS / 15:15 → 10:50 시간변경 / 박수진T
권오운님 RA 15:50 → 15:15
연현숙2님 O7 14:40 ↔ FES 14:05
김시철님 DV 13:30 → 11:25
박은용님 CA 13:30 → 11:25
김을언님 CA 14:40 → 10:50
김명배3님 RD 10:15 → 09:05
이경미T 대체 : 소아,6층
장세희T 대체 : 소아,6층
정상환T 대체 : 소아</t>
    <phoneticPr fontId="3" type="noConversion"/>
  </si>
  <si>
    <t>O7연현숙2D</t>
    <phoneticPr fontId="21" type="noConversion"/>
  </si>
  <si>
    <t>CA김을언</t>
    <phoneticPr fontId="21" type="noConversion"/>
  </si>
  <si>
    <t>RA윤희3</t>
  </si>
  <si>
    <t>RD김명배3</t>
  </si>
  <si>
    <t>D김종운3V</t>
    <phoneticPr fontId="21" type="noConversion"/>
  </si>
  <si>
    <t>CA박성구</t>
  </si>
  <si>
    <t>RA윤소희3</t>
  </si>
  <si>
    <t>RA김재환2</t>
  </si>
  <si>
    <t>RA한경애4</t>
  </si>
  <si>
    <t>RA김인순3</t>
  </si>
  <si>
    <t>RA강용수</t>
    <phoneticPr fontId="21" type="noConversion"/>
  </si>
  <si>
    <t>RS정경철</t>
    <phoneticPr fontId="21" type="noConversion"/>
  </si>
  <si>
    <t>M배성범S
M신연애C
M조정자C
M임종범C
M연현숙2C
C박재춘CPM</t>
    <phoneticPr fontId="3" type="noConversion"/>
  </si>
  <si>
    <t>M김을언C</t>
    <phoneticPr fontId="3" type="noConversion"/>
  </si>
  <si>
    <t>MM이난주C
MM홍선화C
MM김재환2S
MM김인순3Tt</t>
    <phoneticPr fontId="3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</si>
  <si>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MM윤소희3T</t>
    </r>
    <phoneticPr fontId="3" type="noConversion"/>
  </si>
  <si>
    <t>MM한경애4C
MM우영희2Tt</t>
    <phoneticPr fontId="3" type="noConversion"/>
  </si>
  <si>
    <t>F신기순2
F서재학</t>
    <phoneticPr fontId="3" type="noConversion"/>
  </si>
  <si>
    <t>F조정자
F김시철
F권용길
F송옥경</t>
    <phoneticPr fontId="3" type="noConversion"/>
  </si>
  <si>
    <t>12.8 (금) 스케줄 변경사항</t>
    <phoneticPr fontId="3" type="noConversion"/>
  </si>
  <si>
    <t>12.8 (금) HOLD</t>
    <phoneticPr fontId="3" type="noConversion"/>
  </si>
  <si>
    <r>
      <rPr>
        <sz val="10"/>
        <color rgb="FF00B050"/>
        <rFont val="돋움"/>
        <family val="3"/>
        <charset val="129"/>
      </rPr>
      <t>C송옥경</t>
    </r>
    <r>
      <rPr>
        <sz val="10"/>
        <rFont val="돋움"/>
        <family val="3"/>
        <charset val="129"/>
      </rPr>
      <t xml:space="preserve">
C지복례</t>
    </r>
    <phoneticPr fontId="3" type="noConversion"/>
  </si>
  <si>
    <t>이진봉님, 정경철님 퇴원
송옥경님 가퇴원</t>
    <phoneticPr fontId="3" type="noConversion"/>
  </si>
  <si>
    <t>M김진옥7C
M구본창C
M김택중C
M권용길S
M전혜옥
M박은용C
M지복례T
C김성래3CPM</t>
    <phoneticPr fontId="3" type="noConversion"/>
  </si>
  <si>
    <r>
      <rPr>
        <sz val="10"/>
        <color rgb="FF00B050"/>
        <rFont val="돋움"/>
        <family val="3"/>
        <charset val="129"/>
      </rPr>
      <t>M송옥경C</t>
    </r>
    <r>
      <rPr>
        <sz val="10"/>
        <rFont val="돋움"/>
        <family val="3"/>
        <charset val="129"/>
      </rPr>
      <t xml:space="preserve">
M임종범C
M권용길C
M김택중S
M전혜옥C
M배성범T</t>
    </r>
    <phoneticPr fontId="3" type="noConversion"/>
  </si>
  <si>
    <t>이경미
(연차)</t>
    <phoneticPr fontId="3" type="noConversion"/>
  </si>
  <si>
    <t>김희수
(연차)</t>
    <phoneticPr fontId="3" type="noConversion"/>
  </si>
  <si>
    <t>강인화
(연차)</t>
    <phoneticPr fontId="3" type="noConversion"/>
  </si>
  <si>
    <t>RN송풍원</t>
    <phoneticPr fontId="3" type="noConversion"/>
  </si>
  <si>
    <t>RA송풍원</t>
    <phoneticPr fontId="3" type="noConversion"/>
  </si>
  <si>
    <t>MM김성자10C
MM유정순3C
MM송풍원C
MM강용수T</t>
    <phoneticPr fontId="3" type="noConversion"/>
  </si>
  <si>
    <t>RM송풍원</t>
    <phoneticPr fontId="3" type="noConversion"/>
  </si>
  <si>
    <t>5층 재활센터 시간표     2025. 12. 8 (월)</t>
    <phoneticPr fontId="3" type="noConversion"/>
  </si>
  <si>
    <t xml:space="preserve">
C지복례</t>
    <phoneticPr fontId="3" type="noConversion"/>
  </si>
  <si>
    <t>M임종범C
M권용길C
M김택중S
M전혜옥C
M배성범T</t>
    <phoneticPr fontId="3" type="noConversion"/>
  </si>
  <si>
    <t>N최지선3
N유혜영4</t>
    <phoneticPr fontId="3" type="noConversion"/>
  </si>
  <si>
    <t>MM한경애4C
MM김석군S
MM전동순C
MM윤소희3T</t>
    <phoneticPr fontId="3" type="noConversion"/>
  </si>
  <si>
    <t>MM임낙규T
MM김석군C
MM윤소희3S
MM이팔원C
MM정태두Tt
MM배영자Tt
MM권오운Tt</t>
    <phoneticPr fontId="3" type="noConversion"/>
  </si>
  <si>
    <t>MM김기연5C
MM전동순C
MM김명배3Tt
MM최상근3CPM
MM서극원S</t>
    <phoneticPr fontId="3" type="noConversion"/>
  </si>
  <si>
    <t>MM이병희3</t>
    <phoneticPr fontId="3" type="noConversion"/>
  </si>
  <si>
    <r>
      <t xml:space="preserve">
MM이팔원C
</t>
    </r>
    <r>
      <rPr>
        <u/>
        <sz val="10"/>
        <rFont val="돋움"/>
        <family val="3"/>
        <charset val="129"/>
      </rPr>
      <t>MM우영희2M</t>
    </r>
    <phoneticPr fontId="3" type="noConversion"/>
  </si>
  <si>
    <t>MM우영희2</t>
    <phoneticPr fontId="3" type="noConversion"/>
  </si>
  <si>
    <r>
      <rPr>
        <u/>
        <sz val="10"/>
        <rFont val="돋움"/>
        <family val="3"/>
        <charset val="129"/>
      </rPr>
      <t>N임헌수2</t>
    </r>
    <r>
      <rPr>
        <sz val="10"/>
        <rFont val="돋움"/>
        <family val="3"/>
        <charset val="129"/>
      </rPr>
      <t xml:space="preserve">
N황종길</t>
    </r>
    <phoneticPr fontId="3" type="noConversion"/>
  </si>
  <si>
    <t>MM임낙규</t>
    <phoneticPr fontId="3" type="noConversion"/>
  </si>
  <si>
    <r>
      <rPr>
        <u/>
        <sz val="10"/>
        <rFont val="돋움"/>
        <family val="3"/>
        <charset val="129"/>
      </rPr>
      <t>MM임낙규C</t>
    </r>
    <r>
      <rPr>
        <sz val="10"/>
        <rFont val="돋움"/>
        <family val="3"/>
        <charset val="129"/>
      </rPr>
      <t xml:space="preserve">
MM홍선화C</t>
    </r>
    <phoneticPr fontId="3" type="noConversion"/>
  </si>
  <si>
    <t>MM김재환2</t>
    <phoneticPr fontId="3" type="noConversion"/>
  </si>
  <si>
    <r>
      <t xml:space="preserve">MM이난주C
MM홍선화C
</t>
    </r>
    <r>
      <rPr>
        <u/>
        <sz val="10"/>
        <rFont val="돋움"/>
        <family val="3"/>
        <charset val="129"/>
      </rPr>
      <t>MM김재환2S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</si>
  <si>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r>
      <rPr>
        <u/>
        <sz val="10"/>
        <rFont val="돋움"/>
        <family val="3"/>
        <charset val="129"/>
      </rPr>
      <t>MM김명배3Tt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MM이병희3Tt</t>
    </r>
    <r>
      <rPr>
        <sz val="10"/>
        <rFont val="돋움"/>
        <family val="3"/>
        <charset val="129"/>
      </rPr>
      <t xml:space="preserve">
 MM김성자10C
MM송풍원C
MM김인순3Tt</t>
    </r>
    <phoneticPr fontId="3" type="noConversion"/>
  </si>
  <si>
    <t>MM김명배3</t>
    <phoneticPr fontId="3" type="noConversion"/>
  </si>
  <si>
    <t>MM권오운</t>
    <phoneticPr fontId="3" type="noConversion"/>
  </si>
  <si>
    <t>C김종운3</t>
    <phoneticPr fontId="3" type="noConversion"/>
  </si>
  <si>
    <t>N박은용
N김종운3</t>
    <phoneticPr fontId="3" type="noConversion"/>
  </si>
  <si>
    <t>MM김명배3Tt
MM이병희3
 MM김성자10C
MM송풍원M
MM김인순3Tt</t>
    <phoneticPr fontId="3" type="noConversion"/>
  </si>
  <si>
    <t>MM김성자10C
MM유정순3C
MM송풍원Tt
MM강용수T</t>
    <phoneticPr fontId="3" type="noConversion"/>
  </si>
  <si>
    <t xml:space="preserve">* 전혜옥 : 재입원 N,M2,통증 // CA
* 송풍원 : RN2,RM4,MM4,W(B) // RD4,RA2 </t>
    <phoneticPr fontId="3" type="noConversion"/>
  </si>
  <si>
    <t>RD송풍원</t>
    <phoneticPr fontId="3" type="noConversion"/>
  </si>
  <si>
    <t xml:space="preserve">* 송옥경님 : FES12:00 -&gt; 10:15 시간표다시
* 이팔원님 : W삭제 시간표다시 
* 이난주님 : RM2-&gt;RA2변경 
* 황종길 : L(자보) 추가  
* 강용수님 : RS2-&gt;RL2변경 시간표다시 </t>
    <phoneticPr fontId="3" type="noConversion"/>
  </si>
  <si>
    <t xml:space="preserve">* 전혜옥 : 재입원 N,M2,통증 // CA
* 송풍원 : RN2,RM4,MM4 // RD4,RA2 </t>
    <phoneticPr fontId="3" type="noConversion"/>
  </si>
  <si>
    <t xml:space="preserve">
MM우영희2M</t>
    <phoneticPr fontId="3" type="noConversion"/>
  </si>
  <si>
    <t>MM임낙규C
MM홍선화C
MM이팔원C</t>
    <phoneticPr fontId="3" type="noConversion"/>
  </si>
  <si>
    <t>* 이팔원님 : MM2 12:00-&gt;10:50, RM2 10:15-&gt;12:00 변경</t>
    <phoneticPr fontId="3" type="noConversion"/>
  </si>
  <si>
    <t>* 이팔원님 : MM2 12:00-&gt;10:50, RM2 10:15-&gt;12:00 변경(엑스바디시간변경)</t>
    <phoneticPr fontId="3" type="noConversion"/>
  </si>
  <si>
    <t>김채린
(공가)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</si>
</sst>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u/>
      <sz val="10"/>
      <name val="돋움"/>
      <family val="3"/>
      <charset val="129"/>
    </font>
    <font>
      <b/>
      <sz val="10"/>
      <name val="굴림"/>
      <family val="3"/>
      <charset val="129"/>
    </font>
    <font>
      <sz val="8"/>
      <name val="돋움"/>
      <family val="2"/>
      <charset val="129"/>
    </font>
    <font>
      <sz val="8.5"/>
      <color rgb="FF000000"/>
      <name val="굴림"/>
      <family val="3"/>
      <charset val="129"/>
    </font>
    <font>
      <sz val="10"/>
      <color rgb="FF00B05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0" tint="-0.249977111117893"/>
      <name val="돋움"/>
      <family val="3"/>
      <charset val="129"/>
    </font>
    <font>
      <sz val="10"/>
      <color theme="0"/>
      <name val="돋움"/>
      <family val="3"/>
      <charset val="129"/>
    </font>
    <font>
      <b/>
      <sz val="8.5"/>
      <name val="돋움"/>
      <family val="3"/>
      <charset val="129"/>
    </font>
    <font>
      <sz val="10"/>
      <color rgb="FF000000"/>
      <name val="굴림"/>
      <family val="3"/>
      <charset val="129"/>
    </font>
    <font>
      <sz val="8.5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color rgb="FF0070C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10"/>
      <color rgb="FF0070C0"/>
      <name val="굴림"/>
      <family val="3"/>
      <charset val="129"/>
    </font>
    <font>
      <sz val="10"/>
      <color rgb="FFC0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rgb="FFC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rgb="FF00B05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theme="0" tint="-0.34998626667073579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41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9" fontId="8" fillId="0" borderId="0" xfId="4" applyFont="1" applyFill="1" applyBorder="1" applyAlignment="1" applyProtection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/>
    </xf>
    <xf numFmtId="0" fontId="20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0" fontId="24" fillId="0" borderId="0" xfId="1" applyFont="1">
      <alignment vertical="center"/>
    </xf>
    <xf numFmtId="0" fontId="6" fillId="0" borderId="3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26" fillId="6" borderId="29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9" fillId="7" borderId="37" xfId="1" applyFont="1" applyFill="1" applyBorder="1" applyAlignment="1">
      <alignment horizontal="center" vertical="center" wrapText="1"/>
    </xf>
    <xf numFmtId="0" fontId="9" fillId="7" borderId="39" xfId="3" applyFont="1" applyFill="1" applyBorder="1" applyAlignment="1">
      <alignment horizontal="center" vertical="center" wrapText="1"/>
    </xf>
    <xf numFmtId="0" fontId="9" fillId="7" borderId="23" xfId="3" applyFont="1" applyFill="1" applyBorder="1" applyAlignment="1">
      <alignment horizontal="center" vertical="center" wrapText="1"/>
    </xf>
    <xf numFmtId="0" fontId="11" fillId="7" borderId="39" xfId="1" applyFont="1" applyFill="1" applyBorder="1" applyAlignment="1">
      <alignment horizontal="center" vertical="center" wrapText="1"/>
    </xf>
    <xf numFmtId="0" fontId="11" fillId="7" borderId="37" xfId="1" applyFont="1" applyFill="1" applyBorder="1" applyAlignment="1">
      <alignment horizontal="center" vertical="center" wrapText="1"/>
    </xf>
    <xf numFmtId="0" fontId="11" fillId="7" borderId="23" xfId="1" applyFont="1" applyFill="1" applyBorder="1" applyAlignment="1">
      <alignment horizontal="center" vertical="center" wrapText="1"/>
    </xf>
    <xf numFmtId="0" fontId="11" fillId="7" borderId="37" xfId="1" applyFont="1" applyFill="1" applyBorder="1" applyAlignment="1">
      <alignment horizontal="center" vertical="center"/>
    </xf>
    <xf numFmtId="0" fontId="26" fillId="7" borderId="37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9" fillId="2" borderId="40" xfId="1" applyFont="1" applyFill="1" applyBorder="1" applyAlignment="1">
      <alignment horizontal="center" vertical="center" wrapText="1"/>
    </xf>
    <xf numFmtId="0" fontId="29" fillId="2" borderId="41" xfId="1" applyFont="1" applyFill="1" applyBorder="1" applyAlignment="1">
      <alignment horizontal="center" vertical="center" wrapText="1"/>
    </xf>
    <xf numFmtId="0" fontId="29" fillId="2" borderId="41" xfId="1" applyFont="1" applyFill="1" applyBorder="1" applyAlignment="1">
      <alignment horizontal="center" vertical="center"/>
    </xf>
    <xf numFmtId="0" fontId="29" fillId="2" borderId="42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1" fillId="0" borderId="43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1" fillId="0" borderId="36" xfId="1" applyFont="1" applyBorder="1">
      <alignment vertical="center"/>
    </xf>
    <xf numFmtId="0" fontId="25" fillId="0" borderId="2" xfId="1" applyFont="1" applyBorder="1" applyAlignment="1">
      <alignment horizontal="center" vertical="center" wrapText="1"/>
    </xf>
    <xf numFmtId="0" fontId="11" fillId="0" borderId="44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11" fillId="0" borderId="45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2" xfId="1" applyFont="1" applyBorder="1">
      <alignment vertical="center"/>
    </xf>
    <xf numFmtId="0" fontId="11" fillId="0" borderId="44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 wrapText="1"/>
    </xf>
    <xf numFmtId="0" fontId="11" fillId="0" borderId="48" xfId="1" applyFont="1" applyBorder="1">
      <alignment vertical="center"/>
    </xf>
    <xf numFmtId="0" fontId="11" fillId="0" borderId="50" xfId="1" applyFont="1" applyBorder="1" applyAlignment="1">
      <alignment horizontal="center" vertical="center" wrapText="1"/>
    </xf>
    <xf numFmtId="0" fontId="11" fillId="0" borderId="5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1" fillId="0" borderId="0" xfId="1" applyFont="1">
      <alignment vertical="center"/>
    </xf>
    <xf numFmtId="0" fontId="30" fillId="0" borderId="0" xfId="1" applyFont="1">
      <alignment vertical="center"/>
    </xf>
    <xf numFmtId="0" fontId="6" fillId="2" borderId="53" xfId="3" applyFont="1" applyFill="1" applyBorder="1" applyAlignment="1">
      <alignment horizontal="left" vertical="center" wrapText="1"/>
    </xf>
    <xf numFmtId="0" fontId="22" fillId="2" borderId="2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center" vertical="center" wrapText="1"/>
    </xf>
    <xf numFmtId="0" fontId="12" fillId="8" borderId="3" xfId="3" applyFont="1" applyFill="1" applyBorder="1" applyAlignment="1">
      <alignment horizontal="center" vertical="center" wrapText="1"/>
    </xf>
    <xf numFmtId="0" fontId="12" fillId="8" borderId="21" xfId="3" applyFont="1" applyFill="1" applyBorder="1" applyAlignment="1">
      <alignment horizontal="center" vertical="center" wrapText="1"/>
    </xf>
    <xf numFmtId="0" fontId="32" fillId="8" borderId="5" xfId="3" applyFont="1" applyFill="1" applyBorder="1" applyAlignment="1">
      <alignment horizontal="center" vertical="center" wrapText="1"/>
    </xf>
    <xf numFmtId="0" fontId="33" fillId="8" borderId="10" xfId="3" applyFont="1" applyFill="1" applyBorder="1" applyAlignment="1">
      <alignment horizontal="center" vertical="center" wrapText="1"/>
    </xf>
    <xf numFmtId="0" fontId="37" fillId="0" borderId="21" xfId="3" applyFont="1" applyBorder="1" applyAlignment="1">
      <alignment horizontal="center" vertical="center" wrapText="1"/>
    </xf>
    <xf numFmtId="0" fontId="9" fillId="0" borderId="21" xfId="3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 wrapText="1"/>
    </xf>
    <xf numFmtId="0" fontId="37" fillId="8" borderId="21" xfId="3" applyFont="1" applyFill="1" applyBorder="1" applyAlignment="1">
      <alignment horizontal="center" vertical="center" wrapText="1"/>
    </xf>
    <xf numFmtId="0" fontId="37" fillId="0" borderId="2" xfId="3" applyFont="1" applyBorder="1" applyAlignment="1">
      <alignment horizontal="center" vertical="center" wrapText="1"/>
    </xf>
    <xf numFmtId="0" fontId="36" fillId="0" borderId="2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36" fillId="0" borderId="21" xfId="3" applyFont="1" applyBorder="1" applyAlignment="1">
      <alignment horizontal="center" vertical="center" wrapText="1"/>
    </xf>
    <xf numFmtId="0" fontId="36" fillId="8" borderId="2" xfId="3" applyFont="1" applyFill="1" applyBorder="1" applyAlignment="1">
      <alignment horizontal="center" vertical="center" wrapText="1"/>
    </xf>
    <xf numFmtId="0" fontId="37" fillId="8" borderId="2" xfId="3" applyFont="1" applyFill="1" applyBorder="1" applyAlignment="1">
      <alignment horizontal="center" vertical="center" wrapText="1"/>
    </xf>
    <xf numFmtId="0" fontId="38" fillId="8" borderId="2" xfId="3" applyFont="1" applyFill="1" applyBorder="1" applyAlignment="1">
      <alignment horizontal="center" vertical="center" wrapText="1"/>
    </xf>
    <xf numFmtId="0" fontId="38" fillId="8" borderId="21" xfId="3" applyFont="1" applyFill="1" applyBorder="1" applyAlignment="1">
      <alignment horizontal="center" vertical="center" wrapText="1"/>
    </xf>
    <xf numFmtId="0" fontId="36" fillId="8" borderId="21" xfId="3" applyFont="1" applyFill="1" applyBorder="1" applyAlignment="1">
      <alignment horizontal="center" vertical="center" wrapText="1"/>
    </xf>
    <xf numFmtId="0" fontId="36" fillId="0" borderId="25" xfId="3" applyFont="1" applyBorder="1" applyAlignment="1">
      <alignment horizontal="center" vertical="center" wrapText="1"/>
    </xf>
    <xf numFmtId="0" fontId="36" fillId="8" borderId="9" xfId="3" applyFont="1" applyFill="1" applyBorder="1" applyAlignment="1">
      <alignment horizontal="center" vertical="center" wrapText="1"/>
    </xf>
    <xf numFmtId="0" fontId="36" fillId="0" borderId="17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11" fillId="0" borderId="25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41" fillId="0" borderId="2" xfId="3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47" fillId="0" borderId="0" xfId="1" applyFont="1" applyAlignment="1">
      <alignment horizontal="center" vertical="center" wrapText="1"/>
    </xf>
    <xf numFmtId="0" fontId="23" fillId="4" borderId="2" xfId="3" applyFont="1" applyFill="1" applyBorder="1" applyAlignment="1">
      <alignment horizontal="center" vertical="center" wrapText="1"/>
    </xf>
    <xf numFmtId="0" fontId="5" fillId="0" borderId="0" xfId="11" applyFont="1" applyAlignment="1">
      <alignment horizontal="center" vertical="center"/>
    </xf>
    <xf numFmtId="0" fontId="1" fillId="0" borderId="0" xfId="11" applyAlignment="1">
      <alignment horizontal="center" vertical="center"/>
    </xf>
    <xf numFmtId="0" fontId="1" fillId="0" borderId="0" xfId="11">
      <alignment vertical="center"/>
    </xf>
    <xf numFmtId="0" fontId="6" fillId="2" borderId="2" xfId="11" applyFont="1" applyFill="1" applyBorder="1" applyAlignment="1">
      <alignment horizontal="center" vertical="center"/>
    </xf>
    <xf numFmtId="0" fontId="6" fillId="2" borderId="2" xfId="11" applyFont="1" applyFill="1" applyBorder="1" applyAlignment="1">
      <alignment horizontal="left" vertical="center" wrapText="1"/>
    </xf>
    <xf numFmtId="0" fontId="6" fillId="2" borderId="2" xfId="11" applyFont="1" applyFill="1" applyBorder="1" applyAlignment="1">
      <alignment horizontal="center" vertical="center" wrapText="1"/>
    </xf>
    <xf numFmtId="0" fontId="7" fillId="2" borderId="2" xfId="11" applyFont="1" applyFill="1" applyBorder="1" applyAlignment="1">
      <alignment horizontal="center" vertical="center"/>
    </xf>
    <xf numFmtId="176" fontId="8" fillId="0" borderId="0" xfId="11" applyNumberFormat="1" applyFont="1" applyAlignment="1">
      <alignment horizontal="center" vertical="center" wrapText="1"/>
    </xf>
    <xf numFmtId="0" fontId="6" fillId="0" borderId="2" xfId="11" applyFont="1" applyBorder="1" applyAlignment="1">
      <alignment horizontal="center" vertical="center"/>
    </xf>
    <xf numFmtId="0" fontId="9" fillId="0" borderId="2" xfId="11" applyFont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 wrapText="1"/>
    </xf>
    <xf numFmtId="0" fontId="12" fillId="0" borderId="5" xfId="11" applyFont="1" applyBorder="1" applyAlignment="1">
      <alignment horizontal="center" vertical="center"/>
    </xf>
    <xf numFmtId="0" fontId="9" fillId="0" borderId="9" xfId="11" applyFont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2" fillId="0" borderId="2" xfId="11" applyFont="1" applyBorder="1" applyAlignment="1">
      <alignment horizontal="center" vertical="center"/>
    </xf>
    <xf numFmtId="0" fontId="23" fillId="0" borderId="2" xfId="11" applyFont="1" applyBorder="1" applyAlignment="1">
      <alignment horizontal="center" vertical="center" wrapText="1"/>
    </xf>
    <xf numFmtId="0" fontId="11" fillId="9" borderId="2" xfId="11" applyFont="1" applyFill="1" applyBorder="1" applyAlignment="1">
      <alignment horizontal="center" vertical="center" wrapText="1"/>
    </xf>
    <xf numFmtId="0" fontId="23" fillId="9" borderId="2" xfId="3" applyFont="1" applyFill="1" applyBorder="1" applyAlignment="1">
      <alignment horizontal="center" vertical="center" wrapText="1"/>
    </xf>
    <xf numFmtId="0" fontId="11" fillId="0" borderId="9" xfId="11" applyFont="1" applyBorder="1" applyAlignment="1">
      <alignment horizontal="center" vertical="center" wrapText="1"/>
    </xf>
    <xf numFmtId="0" fontId="11" fillId="3" borderId="2" xfId="11" applyFont="1" applyFill="1" applyBorder="1" applyAlignment="1">
      <alignment horizontal="center" vertical="center" wrapText="1"/>
    </xf>
    <xf numFmtId="0" fontId="11" fillId="0" borderId="17" xfId="11" applyFont="1" applyBorder="1" applyAlignment="1">
      <alignment horizontal="center" vertical="center" wrapText="1"/>
    </xf>
    <xf numFmtId="0" fontId="4" fillId="0" borderId="2" xfId="11" applyFont="1" applyBorder="1" applyAlignment="1">
      <alignment horizontal="center" vertical="center" wrapText="1"/>
    </xf>
    <xf numFmtId="0" fontId="23" fillId="9" borderId="2" xfId="11" applyFont="1" applyFill="1" applyBorder="1" applyAlignment="1">
      <alignment horizontal="center" vertical="center" wrapText="1"/>
    </xf>
    <xf numFmtId="0" fontId="11" fillId="0" borderId="17" xfId="11" applyFont="1" applyBorder="1" applyAlignment="1">
      <alignment horizontal="center" vertical="center"/>
    </xf>
    <xf numFmtId="0" fontId="12" fillId="3" borderId="2" xfId="11" applyFont="1" applyFill="1" applyBorder="1" applyAlignment="1">
      <alignment horizontal="center" vertical="center"/>
    </xf>
    <xf numFmtId="0" fontId="12" fillId="0" borderId="21" xfId="11" applyFont="1" applyBorder="1" applyAlignment="1">
      <alignment horizontal="center" vertical="center"/>
    </xf>
    <xf numFmtId="0" fontId="11" fillId="3" borderId="2" xfId="13" applyFont="1" applyFill="1" applyBorder="1" applyAlignment="1">
      <alignment horizontal="center" vertical="center"/>
    </xf>
    <xf numFmtId="0" fontId="11" fillId="3" borderId="17" xfId="13" applyFont="1" applyFill="1" applyBorder="1" applyAlignment="1">
      <alignment horizontal="center" vertical="center" wrapText="1"/>
    </xf>
    <xf numFmtId="0" fontId="18" fillId="3" borderId="2" xfId="13" applyFont="1" applyFill="1" applyBorder="1" applyAlignment="1">
      <alignment horizontal="center" vertical="center"/>
    </xf>
    <xf numFmtId="0" fontId="11" fillId="0" borderId="25" xfId="11" applyFont="1" applyBorder="1" applyAlignment="1">
      <alignment horizontal="center" vertical="center" wrapText="1"/>
    </xf>
    <xf numFmtId="0" fontId="4" fillId="4" borderId="9" xfId="11" applyFont="1" applyFill="1" applyBorder="1" applyAlignment="1">
      <alignment horizontal="center" vertical="center" wrapText="1"/>
    </xf>
    <xf numFmtId="0" fontId="51" fillId="4" borderId="2" xfId="3" applyFont="1" applyFill="1" applyBorder="1" applyAlignment="1">
      <alignment horizontal="center" vertical="center" wrapText="1"/>
    </xf>
    <xf numFmtId="0" fontId="23" fillId="4" borderId="2" xfId="11" applyFont="1" applyFill="1" applyBorder="1" applyAlignment="1">
      <alignment horizontal="center" vertical="center" wrapText="1"/>
    </xf>
    <xf numFmtId="0" fontId="12" fillId="4" borderId="2" xfId="11" applyFont="1" applyFill="1" applyBorder="1" applyAlignment="1">
      <alignment horizontal="center" vertical="center" wrapText="1"/>
    </xf>
    <xf numFmtId="0" fontId="12" fillId="4" borderId="9" xfId="11" applyFont="1" applyFill="1" applyBorder="1" applyAlignment="1">
      <alignment horizontal="center" vertical="center" wrapText="1"/>
    </xf>
    <xf numFmtId="0" fontId="23" fillId="4" borderId="9" xfId="11" applyFont="1" applyFill="1" applyBorder="1" applyAlignment="1">
      <alignment horizontal="center" vertical="center" wrapText="1"/>
    </xf>
    <xf numFmtId="0" fontId="51" fillId="4" borderId="9" xfId="11" applyFont="1" applyFill="1" applyBorder="1" applyAlignment="1">
      <alignment horizontal="center" vertical="center" wrapText="1"/>
    </xf>
    <xf numFmtId="0" fontId="19" fillId="0" borderId="21" xfId="14" applyFont="1" applyBorder="1" applyAlignment="1">
      <alignment horizontal="center" vertical="center" wrapText="1"/>
    </xf>
    <xf numFmtId="0" fontId="19" fillId="0" borderId="2" xfId="14" applyFont="1" applyBorder="1" applyAlignment="1">
      <alignment horizontal="center" vertical="center" wrapText="1"/>
    </xf>
    <xf numFmtId="0" fontId="19" fillId="0" borderId="28" xfId="14" applyFont="1" applyBorder="1" applyAlignment="1">
      <alignment horizontal="center" vertical="center" wrapText="1"/>
    </xf>
    <xf numFmtId="0" fontId="11" fillId="0" borderId="29" xfId="11" applyFont="1" applyBorder="1" applyAlignment="1">
      <alignment horizontal="center" vertical="center" wrapText="1"/>
    </xf>
    <xf numFmtId="0" fontId="6" fillId="0" borderId="32" xfId="11" applyFont="1" applyBorder="1" applyAlignment="1">
      <alignment horizontal="center" vertical="center"/>
    </xf>
    <xf numFmtId="0" fontId="20" fillId="0" borderId="32" xfId="11" applyFont="1" applyBorder="1" applyAlignment="1">
      <alignment horizontal="center" vertical="center" wrapText="1"/>
    </xf>
    <xf numFmtId="0" fontId="11" fillId="0" borderId="32" xfId="11" applyFont="1" applyBorder="1" applyAlignment="1">
      <alignment horizontal="center" vertical="center" wrapText="1"/>
    </xf>
    <xf numFmtId="0" fontId="12" fillId="3" borderId="21" xfId="11" applyFont="1" applyFill="1" applyBorder="1" applyAlignment="1">
      <alignment horizontal="center" vertical="center"/>
    </xf>
    <xf numFmtId="0" fontId="50" fillId="0" borderId="2" xfId="11" applyFont="1" applyBorder="1" applyAlignment="1">
      <alignment horizontal="center" vertical="center" wrapText="1"/>
    </xf>
    <xf numFmtId="0" fontId="12" fillId="0" borderId="32" xfId="11" applyFont="1" applyBorder="1" applyAlignment="1">
      <alignment horizontal="center" vertical="center" wrapText="1"/>
    </xf>
    <xf numFmtId="0" fontId="12" fillId="0" borderId="1" xfId="11" applyFont="1" applyBorder="1" applyAlignment="1">
      <alignment horizontal="center" vertical="center"/>
    </xf>
    <xf numFmtId="0" fontId="6" fillId="0" borderId="9" xfId="11" applyFont="1" applyBorder="1" applyAlignment="1">
      <alignment horizontal="center" vertical="center"/>
    </xf>
    <xf numFmtId="0" fontId="20" fillId="0" borderId="2" xfId="11" applyFont="1" applyBorder="1" applyAlignment="1">
      <alignment horizontal="center" vertical="center" wrapText="1"/>
    </xf>
    <xf numFmtId="0" fontId="20" fillId="4" borderId="2" xfId="11" applyFont="1" applyFill="1" applyBorder="1" applyAlignment="1">
      <alignment horizontal="center" vertical="center" wrapText="1"/>
    </xf>
    <xf numFmtId="0" fontId="12" fillId="4" borderId="2" xfId="3" applyFont="1" applyFill="1" applyBorder="1" applyAlignment="1">
      <alignment horizontal="center" vertical="center" wrapText="1"/>
    </xf>
    <xf numFmtId="0" fontId="11" fillId="4" borderId="2" xfId="11" applyFont="1" applyFill="1" applyBorder="1" applyAlignment="1">
      <alignment horizontal="center" vertical="center" wrapText="1"/>
    </xf>
    <xf numFmtId="0" fontId="9" fillId="0" borderId="17" xfId="11" applyFont="1" applyBorder="1" applyAlignment="1">
      <alignment horizontal="center" vertical="center" wrapText="1"/>
    </xf>
    <xf numFmtId="0" fontId="11" fillId="5" borderId="2" xfId="11" applyFont="1" applyFill="1" applyBorder="1" applyAlignment="1">
      <alignment horizontal="center" vertical="center" wrapText="1"/>
    </xf>
    <xf numFmtId="0" fontId="11" fillId="0" borderId="9" xfId="11" applyFont="1" applyBorder="1" applyAlignment="1">
      <alignment horizontal="center" vertical="center"/>
    </xf>
    <xf numFmtId="0" fontId="4" fillId="4" borderId="2" xfId="11" applyFont="1" applyFill="1" applyBorder="1" applyAlignment="1">
      <alignment horizontal="center" vertical="center" wrapText="1"/>
    </xf>
    <xf numFmtId="0" fontId="51" fillId="4" borderId="2" xfId="11" applyFont="1" applyFill="1" applyBorder="1" applyAlignment="1">
      <alignment horizontal="center" vertical="center" wrapText="1"/>
    </xf>
    <xf numFmtId="0" fontId="12" fillId="4" borderId="2" xfId="11" applyFont="1" applyFill="1" applyBorder="1" applyAlignment="1">
      <alignment horizontal="center" vertical="center"/>
    </xf>
    <xf numFmtId="0" fontId="19" fillId="0" borderId="2" xfId="15" applyFont="1" applyBorder="1" applyAlignment="1">
      <alignment horizontal="center" vertical="center" wrapText="1"/>
    </xf>
    <xf numFmtId="0" fontId="19" fillId="0" borderId="2" xfId="11" applyFont="1" applyBorder="1" applyAlignment="1">
      <alignment horizontal="center" vertical="center"/>
    </xf>
    <xf numFmtId="0" fontId="6" fillId="0" borderId="35" xfId="11" applyFont="1" applyBorder="1" applyAlignment="1">
      <alignment horizontal="center" vertical="center"/>
    </xf>
    <xf numFmtId="0" fontId="9" fillId="0" borderId="29" xfId="11" applyFont="1" applyBorder="1" applyAlignment="1">
      <alignment horizontal="center" vertical="center" wrapText="1"/>
    </xf>
    <xf numFmtId="0" fontId="19" fillId="0" borderId="29" xfId="11" applyFont="1" applyBorder="1" applyAlignment="1">
      <alignment horizontal="center" vertical="center" wrapText="1"/>
    </xf>
    <xf numFmtId="0" fontId="19" fillId="0" borderId="29" xfId="15" applyFont="1" applyBorder="1" applyAlignment="1">
      <alignment horizontal="center" vertical="center" wrapText="1"/>
    </xf>
    <xf numFmtId="0" fontId="11" fillId="0" borderId="29" xfId="11" applyFont="1" applyBorder="1" applyAlignment="1">
      <alignment horizontal="center" vertical="center"/>
    </xf>
    <xf numFmtId="0" fontId="22" fillId="0" borderId="9" xfId="11" applyFont="1" applyBorder="1" applyAlignment="1">
      <alignment horizontal="center" vertical="center"/>
    </xf>
    <xf numFmtId="0" fontId="20" fillId="0" borderId="26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/>
    </xf>
    <xf numFmtId="0" fontId="23" fillId="0" borderId="9" xfId="11" applyFont="1" applyBorder="1" applyAlignment="1">
      <alignment horizontal="center" vertical="center" wrapText="1"/>
    </xf>
    <xf numFmtId="0" fontId="6" fillId="0" borderId="29" xfId="11" applyFont="1" applyBorder="1" applyAlignment="1">
      <alignment horizontal="center" vertical="center"/>
    </xf>
    <xf numFmtId="0" fontId="11" fillId="0" borderId="36" xfId="11" applyFont="1" applyBorder="1" applyAlignment="1">
      <alignment horizontal="center" vertical="center"/>
    </xf>
    <xf numFmtId="0" fontId="49" fillId="0" borderId="29" xfId="11" applyFont="1" applyBorder="1" applyAlignment="1">
      <alignment horizontal="center" vertical="center" wrapText="1"/>
    </xf>
    <xf numFmtId="0" fontId="24" fillId="0" borderId="0" xfId="11" applyFont="1">
      <alignment vertical="center"/>
    </xf>
    <xf numFmtId="0" fontId="6" fillId="0" borderId="37" xfId="11" applyFont="1" applyBorder="1" applyAlignment="1">
      <alignment horizontal="center" vertical="center"/>
    </xf>
    <xf numFmtId="0" fontId="9" fillId="0" borderId="5" xfId="11" applyFont="1" applyBorder="1" applyAlignment="1">
      <alignment horizontal="center" vertical="center" wrapText="1"/>
    </xf>
    <xf numFmtId="0" fontId="20" fillId="0" borderId="10" xfId="11" applyFont="1" applyBorder="1" applyAlignment="1">
      <alignment horizontal="center" vertical="center" wrapText="1"/>
    </xf>
    <xf numFmtId="0" fontId="20" fillId="0" borderId="11" xfId="11" applyFont="1" applyBorder="1" applyAlignment="1">
      <alignment horizontal="center" vertical="center" wrapText="1"/>
    </xf>
    <xf numFmtId="0" fontId="11" fillId="0" borderId="37" xfId="11" applyFont="1" applyBorder="1" applyAlignment="1">
      <alignment horizontal="center" vertical="center" wrapText="1"/>
    </xf>
    <xf numFmtId="0" fontId="11" fillId="0" borderId="37" xfId="11" applyFont="1" applyBorder="1" applyAlignment="1">
      <alignment horizontal="center" vertical="center"/>
    </xf>
    <xf numFmtId="0" fontId="11" fillId="0" borderId="5" xfId="11" applyFont="1" applyBorder="1" applyAlignment="1">
      <alignment horizontal="center" vertical="center"/>
    </xf>
    <xf numFmtId="0" fontId="23" fillId="0" borderId="5" xfId="11" applyFont="1" applyBorder="1" applyAlignment="1">
      <alignment horizontal="center" vertical="center" wrapText="1"/>
    </xf>
    <xf numFmtId="0" fontId="11" fillId="0" borderId="5" xfId="11" applyFont="1" applyBorder="1" applyAlignment="1">
      <alignment horizontal="center" vertical="center" wrapText="1"/>
    </xf>
    <xf numFmtId="0" fontId="7" fillId="0" borderId="1" xfId="11" applyFont="1" applyBorder="1" applyAlignment="1">
      <alignment horizontal="center" vertical="center"/>
    </xf>
    <xf numFmtId="0" fontId="11" fillId="3" borderId="32" xfId="11" applyFont="1" applyFill="1" applyBorder="1" applyAlignment="1">
      <alignment horizontal="center" vertical="center" wrapText="1"/>
    </xf>
    <xf numFmtId="0" fontId="11" fillId="0" borderId="1" xfId="11" applyFont="1" applyBorder="1" applyAlignment="1">
      <alignment horizontal="center" vertical="center" wrapText="1"/>
    </xf>
    <xf numFmtId="0" fontId="11" fillId="0" borderId="32" xfId="11" applyFont="1" applyBorder="1" applyAlignment="1">
      <alignment horizontal="center" vertical="center"/>
    </xf>
    <xf numFmtId="0" fontId="11" fillId="9" borderId="32" xfId="11" applyFont="1" applyFill="1" applyBorder="1" applyAlignment="1">
      <alignment horizontal="center" vertical="center" wrapText="1"/>
    </xf>
    <xf numFmtId="0" fontId="7" fillId="0" borderId="2" xfId="11" applyFont="1" applyBorder="1" applyAlignment="1">
      <alignment horizontal="center" vertical="center"/>
    </xf>
    <xf numFmtId="0" fontId="7" fillId="0" borderId="29" xfId="11" applyFont="1" applyBorder="1" applyAlignment="1">
      <alignment horizontal="center" vertical="center"/>
    </xf>
    <xf numFmtId="0" fontId="26" fillId="6" borderId="29" xfId="11" applyFont="1" applyFill="1" applyBorder="1" applyAlignment="1">
      <alignment horizontal="center" vertical="center" wrapText="1"/>
    </xf>
    <xf numFmtId="0" fontId="11" fillId="3" borderId="29" xfId="11" applyFont="1" applyFill="1" applyBorder="1" applyAlignment="1">
      <alignment horizontal="center" vertical="center" wrapText="1"/>
    </xf>
    <xf numFmtId="0" fontId="11" fillId="9" borderId="29" xfId="11" applyFont="1" applyFill="1" applyBorder="1" applyAlignment="1">
      <alignment horizontal="center" vertical="center" wrapText="1"/>
    </xf>
    <xf numFmtId="0" fontId="7" fillId="0" borderId="23" xfId="11" applyFont="1" applyBorder="1" applyAlignment="1">
      <alignment horizontal="center" vertical="center"/>
    </xf>
    <xf numFmtId="0" fontId="9" fillId="7" borderId="37" xfId="11" applyFont="1" applyFill="1" applyBorder="1" applyAlignment="1">
      <alignment horizontal="center" vertical="center" wrapText="1"/>
    </xf>
    <xf numFmtId="0" fontId="11" fillId="7" borderId="39" xfId="11" applyFont="1" applyFill="1" applyBorder="1" applyAlignment="1">
      <alignment horizontal="center" vertical="center" wrapText="1"/>
    </xf>
    <xf numFmtId="0" fontId="11" fillId="7" borderId="37" xfId="11" applyFont="1" applyFill="1" applyBorder="1" applyAlignment="1">
      <alignment horizontal="center" vertical="center" wrapText="1"/>
    </xf>
    <xf numFmtId="0" fontId="11" fillId="7" borderId="23" xfId="11" applyFont="1" applyFill="1" applyBorder="1" applyAlignment="1">
      <alignment horizontal="center" vertical="center" wrapText="1"/>
    </xf>
    <xf numFmtId="0" fontId="11" fillId="7" borderId="37" xfId="11" applyFont="1" applyFill="1" applyBorder="1" applyAlignment="1">
      <alignment horizontal="center" vertical="center"/>
    </xf>
    <xf numFmtId="0" fontId="26" fillId="7" borderId="37" xfId="11" applyFont="1" applyFill="1" applyBorder="1" applyAlignment="1">
      <alignment horizontal="center" vertical="center" wrapText="1"/>
    </xf>
    <xf numFmtId="0" fontId="27" fillId="0" borderId="0" xfId="11" applyFont="1" applyAlignment="1">
      <alignment horizontal="center" vertical="center" wrapText="1"/>
    </xf>
    <xf numFmtId="0" fontId="28" fillId="0" borderId="0" xfId="11" applyFont="1" applyAlignment="1">
      <alignment horizontal="center" vertical="center"/>
    </xf>
    <xf numFmtId="0" fontId="20" fillId="0" borderId="0" xfId="11" applyFont="1" applyAlignment="1">
      <alignment horizontal="center" vertical="center" wrapText="1"/>
    </xf>
    <xf numFmtId="0" fontId="29" fillId="2" borderId="40" xfId="11" applyFont="1" applyFill="1" applyBorder="1" applyAlignment="1">
      <alignment horizontal="center" vertical="center" wrapText="1"/>
    </xf>
    <xf numFmtId="0" fontId="29" fillId="2" borderId="41" xfId="11" applyFont="1" applyFill="1" applyBorder="1" applyAlignment="1">
      <alignment horizontal="center" vertical="center" wrapText="1"/>
    </xf>
    <xf numFmtId="0" fontId="29" fillId="2" borderId="41" xfId="11" applyFont="1" applyFill="1" applyBorder="1" applyAlignment="1">
      <alignment horizontal="center" vertical="center"/>
    </xf>
    <xf numFmtId="0" fontId="29" fillId="2" borderId="42" xfId="11" applyFont="1" applyFill="1" applyBorder="1" applyAlignment="1">
      <alignment horizontal="center" vertical="center" wrapText="1"/>
    </xf>
    <xf numFmtId="0" fontId="1" fillId="0" borderId="0" xfId="11" applyAlignment="1">
      <alignment vertical="center" wrapText="1"/>
    </xf>
    <xf numFmtId="0" fontId="11" fillId="0" borderId="43" xfId="11" applyFont="1" applyBorder="1" applyAlignment="1">
      <alignment horizontal="center" vertical="center" wrapText="1"/>
    </xf>
    <xf numFmtId="0" fontId="11" fillId="0" borderId="36" xfId="11" applyFont="1" applyBorder="1">
      <alignment vertical="center"/>
    </xf>
    <xf numFmtId="0" fontId="25" fillId="0" borderId="2" xfId="11" applyFont="1" applyBorder="1" applyAlignment="1">
      <alignment horizontal="center" vertical="center" wrapText="1"/>
    </xf>
    <xf numFmtId="0" fontId="11" fillId="0" borderId="44" xfId="11" applyFont="1" applyBorder="1" applyAlignment="1">
      <alignment horizontal="center" vertical="center" wrapText="1"/>
    </xf>
    <xf numFmtId="0" fontId="24" fillId="0" borderId="0" xfId="11" applyFont="1" applyAlignment="1">
      <alignment horizontal="center" vertical="center"/>
    </xf>
    <xf numFmtId="0" fontId="11" fillId="0" borderId="45" xfId="11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/>
    </xf>
    <xf numFmtId="0" fontId="11" fillId="0" borderId="46" xfId="11" applyFont="1" applyBorder="1" applyAlignment="1">
      <alignment horizontal="center" vertical="center"/>
    </xf>
    <xf numFmtId="0" fontId="11" fillId="0" borderId="2" xfId="11" applyFont="1" applyBorder="1">
      <alignment vertical="center"/>
    </xf>
    <xf numFmtId="0" fontId="11" fillId="0" borderId="44" xfId="11" applyFont="1" applyBorder="1" applyAlignment="1">
      <alignment horizontal="center" vertical="center"/>
    </xf>
    <xf numFmtId="0" fontId="11" fillId="0" borderId="47" xfId="11" applyFont="1" applyBorder="1" applyAlignment="1">
      <alignment horizontal="center" vertical="center" wrapText="1"/>
    </xf>
    <xf numFmtId="0" fontId="19" fillId="0" borderId="48" xfId="11" applyFont="1" applyBorder="1" applyAlignment="1">
      <alignment horizontal="center" vertical="center" wrapText="1"/>
    </xf>
    <xf numFmtId="0" fontId="25" fillId="0" borderId="48" xfId="11" applyFont="1" applyBorder="1" applyAlignment="1">
      <alignment horizontal="center" vertical="center" wrapText="1"/>
    </xf>
    <xf numFmtId="0" fontId="11" fillId="0" borderId="48" xfId="11" applyFont="1" applyBorder="1" applyAlignment="1">
      <alignment horizontal="center" vertical="center" wrapText="1"/>
    </xf>
    <xf numFmtId="0" fontId="11" fillId="0" borderId="49" xfId="11" applyFont="1" applyBorder="1" applyAlignment="1">
      <alignment horizontal="center" vertical="center" wrapText="1"/>
    </xf>
    <xf numFmtId="0" fontId="11" fillId="0" borderId="48" xfId="11" applyFont="1" applyBorder="1">
      <alignment vertical="center"/>
    </xf>
    <xf numFmtId="0" fontId="11" fillId="0" borderId="50" xfId="11" applyFont="1" applyBorder="1" applyAlignment="1">
      <alignment horizontal="center" vertical="center" wrapText="1"/>
    </xf>
    <xf numFmtId="0" fontId="11" fillId="0" borderId="51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0" fontId="25" fillId="0" borderId="0" xfId="11" applyFont="1" applyAlignment="1">
      <alignment horizontal="center" vertical="center" wrapText="1"/>
    </xf>
    <xf numFmtId="0" fontId="19" fillId="0" borderId="0" xfId="11" applyFont="1" applyAlignment="1">
      <alignment horizontal="center" vertical="center" wrapText="1"/>
    </xf>
    <xf numFmtId="0" fontId="11" fillId="0" borderId="0" xfId="11" applyFont="1">
      <alignment vertical="center"/>
    </xf>
    <xf numFmtId="0" fontId="30" fillId="0" borderId="0" xfId="11" applyFont="1">
      <alignment vertical="center"/>
    </xf>
    <xf numFmtId="0" fontId="1" fillId="0" borderId="0" xfId="13">
      <alignment vertical="center"/>
    </xf>
    <xf numFmtId="0" fontId="1" fillId="0" borderId="0" xfId="13" applyAlignment="1">
      <alignment horizontal="center" vertical="center"/>
    </xf>
    <xf numFmtId="0" fontId="0" fillId="0" borderId="0" xfId="13" applyFont="1" applyAlignment="1">
      <alignment horizontal="center" vertical="center" wrapText="1"/>
    </xf>
    <xf numFmtId="0" fontId="1" fillId="0" borderId="0" xfId="13" applyAlignment="1">
      <alignment vertical="center" wrapText="1"/>
    </xf>
    <xf numFmtId="0" fontId="30" fillId="0" borderId="0" xfId="13" applyFont="1" applyAlignment="1">
      <alignment horizontal="center" vertical="center"/>
    </xf>
    <xf numFmtId="0" fontId="30" fillId="0" borderId="0" xfId="13" applyFont="1">
      <alignment vertical="center"/>
    </xf>
    <xf numFmtId="0" fontId="31" fillId="0" borderId="0" xfId="13" applyFont="1" applyAlignment="1">
      <alignment horizontal="center" vertical="center"/>
    </xf>
    <xf numFmtId="0" fontId="5" fillId="0" borderId="0" xfId="13" applyFont="1" applyAlignment="1">
      <alignment horizontal="center" vertical="center"/>
    </xf>
    <xf numFmtId="0" fontId="32" fillId="8" borderId="21" xfId="13" applyFont="1" applyFill="1" applyBorder="1" applyAlignment="1">
      <alignment horizontal="center" vertical="center" wrapText="1"/>
    </xf>
    <xf numFmtId="0" fontId="12" fillId="8" borderId="21" xfId="13" applyFont="1" applyFill="1" applyBorder="1" applyAlignment="1">
      <alignment horizontal="center" vertical="center" wrapText="1"/>
    </xf>
    <xf numFmtId="0" fontId="11" fillId="8" borderId="21" xfId="16" applyFont="1" applyFill="1" applyBorder="1" applyAlignment="1">
      <alignment horizontal="center" vertical="center" wrapText="1"/>
    </xf>
    <xf numFmtId="0" fontId="12" fillId="8" borderId="3" xfId="13" applyFont="1" applyFill="1" applyBorder="1" applyAlignment="1">
      <alignment horizontal="center" vertical="center" wrapText="1"/>
    </xf>
    <xf numFmtId="0" fontId="1" fillId="0" borderId="21" xfId="16" applyBorder="1">
      <alignment vertical="center"/>
    </xf>
    <xf numFmtId="0" fontId="11" fillId="8" borderId="21" xfId="16" applyFont="1" applyFill="1" applyBorder="1" applyAlignment="1">
      <alignment horizontal="center" vertical="center"/>
    </xf>
    <xf numFmtId="0" fontId="12" fillId="8" borderId="21" xfId="16" applyFont="1" applyFill="1" applyBorder="1" applyAlignment="1">
      <alignment horizontal="center" vertical="center"/>
    </xf>
    <xf numFmtId="0" fontId="33" fillId="0" borderId="3" xfId="16" applyFont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5" fillId="0" borderId="21" xfId="11" applyFont="1" applyBorder="1" applyAlignment="1">
      <alignment horizontal="center" vertical="center" wrapText="1"/>
    </xf>
    <xf numFmtId="0" fontId="36" fillId="0" borderId="21" xfId="11" applyFont="1" applyBorder="1" applyAlignment="1">
      <alignment horizontal="center" vertical="center"/>
    </xf>
    <xf numFmtId="0" fontId="28" fillId="0" borderId="2" xfId="11" applyFont="1" applyBorder="1" applyAlignment="1">
      <alignment horizontal="center" vertical="center" wrapText="1"/>
    </xf>
    <xf numFmtId="0" fontId="38" fillId="0" borderId="2" xfId="11" applyFont="1" applyBorder="1" applyAlignment="1">
      <alignment horizontal="center" vertical="center" wrapText="1"/>
    </xf>
    <xf numFmtId="0" fontId="4" fillId="0" borderId="21" xfId="11" applyFont="1" applyBorder="1" applyAlignment="1">
      <alignment horizontal="center" vertical="center" wrapText="1"/>
    </xf>
    <xf numFmtId="0" fontId="37" fillId="0" borderId="21" xfId="11" applyFont="1" applyBorder="1" applyAlignment="1">
      <alignment horizontal="center" vertical="center" wrapText="1"/>
    </xf>
    <xf numFmtId="0" fontId="37" fillId="0" borderId="2" xfId="11" applyFont="1" applyBorder="1" applyAlignment="1">
      <alignment horizontal="center" vertical="center" wrapText="1"/>
    </xf>
    <xf numFmtId="0" fontId="28" fillId="0" borderId="21" xfId="11" applyFont="1" applyBorder="1" applyAlignment="1">
      <alignment horizontal="center" vertical="center" wrapText="1"/>
    </xf>
    <xf numFmtId="0" fontId="37" fillId="0" borderId="21" xfId="11" applyFont="1" applyBorder="1" applyAlignment="1">
      <alignment horizontal="center" vertical="center"/>
    </xf>
    <xf numFmtId="0" fontId="37" fillId="0" borderId="2" xfId="11" applyFont="1" applyBorder="1" applyAlignment="1">
      <alignment horizontal="center" vertical="center"/>
    </xf>
    <xf numFmtId="0" fontId="35" fillId="0" borderId="2" xfId="11" applyFont="1" applyBorder="1" applyAlignment="1">
      <alignment horizontal="center" vertical="center" wrapText="1"/>
    </xf>
    <xf numFmtId="0" fontId="28" fillId="0" borderId="2" xfId="11" applyFont="1" applyBorder="1" applyAlignment="1">
      <alignment horizontal="center" vertical="center"/>
    </xf>
    <xf numFmtId="0" fontId="36" fillId="0" borderId="2" xfId="11" applyFont="1" applyBorder="1" applyAlignment="1">
      <alignment horizontal="center" vertical="center"/>
    </xf>
    <xf numFmtId="0" fontId="1" fillId="0" borderId="36" xfId="11" applyBorder="1">
      <alignment vertical="center"/>
    </xf>
    <xf numFmtId="0" fontId="38" fillId="0" borderId="2" xfId="11" applyFont="1" applyBorder="1" applyAlignment="1">
      <alignment horizontal="center" vertical="center"/>
    </xf>
    <xf numFmtId="0" fontId="39" fillId="0" borderId="2" xfId="11" applyFont="1" applyBorder="1" applyAlignment="1">
      <alignment horizontal="center" vertical="center" wrapText="1"/>
    </xf>
    <xf numFmtId="0" fontId="40" fillId="0" borderId="21" xfId="11" applyFont="1" applyBorder="1" applyAlignment="1">
      <alignment horizontal="center" vertical="center" wrapText="1"/>
    </xf>
    <xf numFmtId="0" fontId="28" fillId="0" borderId="21" xfId="11" applyFont="1" applyBorder="1" applyAlignment="1">
      <alignment horizontal="center" vertical="center"/>
    </xf>
    <xf numFmtId="0" fontId="36" fillId="0" borderId="21" xfId="11" applyFont="1" applyBorder="1" applyAlignment="1">
      <alignment horizontal="center" vertical="center" wrapText="1"/>
    </xf>
    <xf numFmtId="0" fontId="38" fillId="0" borderId="21" xfId="11" applyFont="1" applyBorder="1" applyAlignment="1">
      <alignment horizontal="center" vertical="center" wrapText="1"/>
    </xf>
    <xf numFmtId="0" fontId="36" fillId="8" borderId="2" xfId="11" applyFont="1" applyFill="1" applyBorder="1" applyAlignment="1">
      <alignment horizontal="center" vertical="center" wrapText="1"/>
    </xf>
    <xf numFmtId="0" fontId="1" fillId="0" borderId="27" xfId="11" applyBorder="1" applyAlignment="1">
      <alignment vertical="center" wrapText="1"/>
    </xf>
    <xf numFmtId="0" fontId="5" fillId="0" borderId="46" xfId="11" applyFont="1" applyBorder="1" applyAlignment="1">
      <alignment horizontal="center" vertical="center"/>
    </xf>
    <xf numFmtId="0" fontId="5" fillId="0" borderId="2" xfId="11" applyFont="1" applyBorder="1" applyAlignment="1">
      <alignment horizontal="center" vertical="center"/>
    </xf>
    <xf numFmtId="0" fontId="1" fillId="0" borderId="21" xfId="11" applyBorder="1" applyAlignment="1">
      <alignment horizontal="center" vertical="center"/>
    </xf>
    <xf numFmtId="0" fontId="1" fillId="0" borderId="3" xfId="11" applyBorder="1" applyAlignment="1">
      <alignment horizontal="center" vertical="center"/>
    </xf>
    <xf numFmtId="0" fontId="5" fillId="0" borderId="9" xfId="11" applyFont="1" applyBorder="1" applyAlignment="1">
      <alignment horizontal="center" vertical="center"/>
    </xf>
    <xf numFmtId="0" fontId="5" fillId="0" borderId="0" xfId="18" applyFont="1" applyAlignment="1">
      <alignment horizontal="center" vertical="center"/>
    </xf>
    <xf numFmtId="0" fontId="1" fillId="0" borderId="0" xfId="18" applyAlignment="1">
      <alignment horizontal="center" vertical="center"/>
    </xf>
    <xf numFmtId="0" fontId="1" fillId="0" borderId="0" xfId="18">
      <alignment vertical="center"/>
    </xf>
    <xf numFmtId="0" fontId="6" fillId="2" borderId="2" xfId="18" applyFont="1" applyFill="1" applyBorder="1" applyAlignment="1">
      <alignment horizontal="center" vertical="center"/>
    </xf>
    <xf numFmtId="0" fontId="6" fillId="2" borderId="2" xfId="18" applyFont="1" applyFill="1" applyBorder="1" applyAlignment="1">
      <alignment horizontal="left" vertical="center" wrapText="1"/>
    </xf>
    <xf numFmtId="0" fontId="6" fillId="2" borderId="2" xfId="18" applyFont="1" applyFill="1" applyBorder="1" applyAlignment="1">
      <alignment horizontal="center" vertical="center" wrapText="1"/>
    </xf>
    <xf numFmtId="0" fontId="7" fillId="2" borderId="2" xfId="18" applyFont="1" applyFill="1" applyBorder="1" applyAlignment="1">
      <alignment horizontal="center" vertical="center"/>
    </xf>
    <xf numFmtId="176" fontId="8" fillId="0" borderId="0" xfId="18" applyNumberFormat="1" applyFont="1" applyAlignment="1">
      <alignment horizontal="center" vertical="center" wrapText="1"/>
    </xf>
    <xf numFmtId="0" fontId="6" fillId="0" borderId="2" xfId="18" applyFont="1" applyBorder="1" applyAlignment="1">
      <alignment horizontal="center" vertical="center"/>
    </xf>
    <xf numFmtId="0" fontId="9" fillId="0" borderId="2" xfId="18" applyFont="1" applyBorder="1" applyAlignment="1">
      <alignment horizontal="center" vertical="center" wrapText="1"/>
    </xf>
    <xf numFmtId="0" fontId="11" fillId="0" borderId="2" xfId="18" applyFont="1" applyBorder="1" applyAlignment="1">
      <alignment horizontal="center" vertical="center" wrapText="1"/>
    </xf>
    <xf numFmtId="0" fontId="12" fillId="0" borderId="5" xfId="18" applyFont="1" applyBorder="1" applyAlignment="1">
      <alignment horizontal="center" vertical="center"/>
    </xf>
    <xf numFmtId="0" fontId="9" fillId="0" borderId="9" xfId="18" applyFont="1" applyBorder="1" applyAlignment="1">
      <alignment horizontal="center" vertical="center" wrapText="1"/>
    </xf>
    <xf numFmtId="0" fontId="23" fillId="0" borderId="9" xfId="18" applyFont="1" applyBorder="1" applyAlignment="1">
      <alignment horizontal="center" vertical="center" wrapText="1"/>
    </xf>
    <xf numFmtId="0" fontId="12" fillId="0" borderId="2" xfId="18" applyFont="1" applyBorder="1" applyAlignment="1">
      <alignment horizontal="center" vertical="center"/>
    </xf>
    <xf numFmtId="0" fontId="11" fillId="3" borderId="2" xfId="18" applyFont="1" applyFill="1" applyBorder="1" applyAlignment="1">
      <alignment horizontal="center" vertical="center" wrapText="1"/>
    </xf>
    <xf numFmtId="0" fontId="11" fillId="3" borderId="9" xfId="18" applyFont="1" applyFill="1" applyBorder="1" applyAlignment="1">
      <alignment horizontal="center" vertical="center" wrapText="1"/>
    </xf>
    <xf numFmtId="0" fontId="23" fillId="0" borderId="2" xfId="18" applyFont="1" applyBorder="1" applyAlignment="1">
      <alignment horizontal="center" vertical="center"/>
    </xf>
    <xf numFmtId="0" fontId="11" fillId="0" borderId="9" xfId="18" applyFont="1" applyBorder="1" applyAlignment="1">
      <alignment horizontal="center" vertical="center" wrapText="1"/>
    </xf>
    <xf numFmtId="0" fontId="23" fillId="0" borderId="2" xfId="18" applyFont="1" applyBorder="1" applyAlignment="1">
      <alignment horizontal="center" vertical="center" wrapText="1"/>
    </xf>
    <xf numFmtId="0" fontId="11" fillId="0" borderId="17" xfId="18" applyFont="1" applyBorder="1" applyAlignment="1">
      <alignment horizontal="center" vertical="center" wrapText="1"/>
    </xf>
    <xf numFmtId="0" fontId="4" fillId="0" borderId="2" xfId="18" applyFont="1" applyBorder="1" applyAlignment="1">
      <alignment horizontal="center" vertical="center" wrapText="1"/>
    </xf>
    <xf numFmtId="0" fontId="23" fillId="0" borderId="2" xfId="3" applyFont="1" applyBorder="1" applyAlignment="1">
      <alignment horizontal="center" vertical="center" wrapText="1"/>
    </xf>
    <xf numFmtId="0" fontId="11" fillId="0" borderId="17" xfId="18" applyFont="1" applyBorder="1" applyAlignment="1">
      <alignment horizontal="center" vertical="center"/>
    </xf>
    <xf numFmtId="0" fontId="11" fillId="0" borderId="2" xfId="18" applyFont="1" applyBorder="1" applyAlignment="1">
      <alignment horizontal="center" vertical="center"/>
    </xf>
    <xf numFmtId="0" fontId="12" fillId="0" borderId="21" xfId="18" applyFont="1" applyBorder="1" applyAlignment="1">
      <alignment horizontal="center" vertical="center"/>
    </xf>
    <xf numFmtId="0" fontId="23" fillId="9" borderId="2" xfId="18" applyFont="1" applyFill="1" applyBorder="1" applyAlignment="1">
      <alignment horizontal="center" vertical="center" wrapText="1"/>
    </xf>
    <xf numFmtId="0" fontId="11" fillId="0" borderId="2" xfId="20" applyFont="1" applyBorder="1" applyAlignment="1">
      <alignment horizontal="center" vertical="center"/>
    </xf>
    <xf numFmtId="0" fontId="11" fillId="0" borderId="17" xfId="20" applyFont="1" applyBorder="1" applyAlignment="1">
      <alignment horizontal="center" vertical="center" wrapText="1"/>
    </xf>
    <xf numFmtId="0" fontId="18" fillId="0" borderId="2" xfId="20" applyFont="1" applyBorder="1" applyAlignment="1">
      <alignment horizontal="center" vertical="center"/>
    </xf>
    <xf numFmtId="0" fontId="11" fillId="0" borderId="25" xfId="18" applyFont="1" applyBorder="1" applyAlignment="1">
      <alignment horizontal="center" vertical="center" wrapText="1"/>
    </xf>
    <xf numFmtId="0" fontId="4" fillId="4" borderId="9" xfId="18" applyFont="1" applyFill="1" applyBorder="1" applyAlignment="1">
      <alignment horizontal="center" vertical="center" wrapText="1"/>
    </xf>
    <xf numFmtId="0" fontId="23" fillId="4" borderId="2" xfId="18" applyFont="1" applyFill="1" applyBorder="1" applyAlignment="1">
      <alignment horizontal="center" vertical="center" wrapText="1"/>
    </xf>
    <xf numFmtId="0" fontId="12" fillId="4" borderId="2" xfId="18" applyFont="1" applyFill="1" applyBorder="1" applyAlignment="1">
      <alignment horizontal="center" vertical="center" wrapText="1"/>
    </xf>
    <xf numFmtId="0" fontId="51" fillId="4" borderId="9" xfId="18" applyFont="1" applyFill="1" applyBorder="1" applyAlignment="1">
      <alignment horizontal="center" vertical="center" wrapText="1"/>
    </xf>
    <xf numFmtId="0" fontId="51" fillId="4" borderId="2" xfId="18" applyFont="1" applyFill="1" applyBorder="1" applyAlignment="1">
      <alignment horizontal="center" vertical="center" wrapText="1"/>
    </xf>
    <xf numFmtId="0" fontId="12" fillId="4" borderId="9" xfId="18" applyFont="1" applyFill="1" applyBorder="1" applyAlignment="1">
      <alignment horizontal="center" vertical="center" wrapText="1"/>
    </xf>
    <xf numFmtId="0" fontId="19" fillId="0" borderId="21" xfId="21" applyFont="1" applyBorder="1" applyAlignment="1">
      <alignment horizontal="center" vertical="center" wrapText="1"/>
    </xf>
    <xf numFmtId="0" fontId="19" fillId="0" borderId="2" xfId="21" applyFont="1" applyBorder="1" applyAlignment="1">
      <alignment horizontal="center" vertical="center" wrapText="1"/>
    </xf>
    <xf numFmtId="0" fontId="23" fillId="9" borderId="9" xfId="3" applyFont="1" applyFill="1" applyBorder="1" applyAlignment="1">
      <alignment horizontal="center" vertical="center" wrapText="1"/>
    </xf>
    <xf numFmtId="0" fontId="19" fillId="0" borderId="28" xfId="21" applyFont="1" applyBorder="1" applyAlignment="1">
      <alignment horizontal="center" vertical="center" wrapText="1"/>
    </xf>
    <xf numFmtId="0" fontId="11" fillId="0" borderId="29" xfId="18" applyFont="1" applyBorder="1" applyAlignment="1">
      <alignment horizontal="center" vertical="center" wrapText="1"/>
    </xf>
    <xf numFmtId="0" fontId="23" fillId="0" borderId="17" xfId="18" applyFont="1" applyBorder="1" applyAlignment="1">
      <alignment horizontal="center" vertical="center"/>
    </xf>
    <xf numFmtId="0" fontId="6" fillId="0" borderId="32" xfId="18" applyFont="1" applyBorder="1" applyAlignment="1">
      <alignment horizontal="center" vertical="center"/>
    </xf>
    <xf numFmtId="0" fontId="20" fillId="0" borderId="32" xfId="18" applyFont="1" applyBorder="1" applyAlignment="1">
      <alignment horizontal="center" vertical="center" wrapText="1"/>
    </xf>
    <xf numFmtId="0" fontId="11" fillId="0" borderId="32" xfId="18" applyFont="1" applyBorder="1" applyAlignment="1">
      <alignment horizontal="center" vertical="center" wrapText="1"/>
    </xf>
    <xf numFmtId="0" fontId="12" fillId="0" borderId="32" xfId="18" applyFont="1" applyBorder="1" applyAlignment="1">
      <alignment horizontal="center" vertical="center" wrapText="1"/>
    </xf>
    <xf numFmtId="0" fontId="12" fillId="0" borderId="1" xfId="18" applyFont="1" applyBorder="1" applyAlignment="1">
      <alignment horizontal="center" vertical="center"/>
    </xf>
    <xf numFmtId="0" fontId="6" fillId="0" borderId="9" xfId="18" applyFont="1" applyBorder="1" applyAlignment="1">
      <alignment horizontal="center" vertical="center"/>
    </xf>
    <xf numFmtId="0" fontId="20" fillId="0" borderId="2" xfId="18" applyFont="1" applyBorder="1" applyAlignment="1">
      <alignment horizontal="center" vertical="center" wrapText="1"/>
    </xf>
    <xf numFmtId="0" fontId="20" fillId="4" borderId="2" xfId="18" applyFont="1" applyFill="1" applyBorder="1" applyAlignment="1">
      <alignment horizontal="center" vertical="center" wrapText="1"/>
    </xf>
    <xf numFmtId="0" fontId="9" fillId="0" borderId="17" xfId="18" applyFont="1" applyBorder="1" applyAlignment="1">
      <alignment horizontal="center" vertical="center" wrapText="1"/>
    </xf>
    <xf numFmtId="0" fontId="11" fillId="5" borderId="2" xfId="18" applyFont="1" applyFill="1" applyBorder="1" applyAlignment="1">
      <alignment horizontal="center" vertical="center" wrapText="1"/>
    </xf>
    <xf numFmtId="0" fontId="11" fillId="0" borderId="9" xfId="18" applyFont="1" applyBorder="1" applyAlignment="1">
      <alignment horizontal="center" vertical="center"/>
    </xf>
    <xf numFmtId="0" fontId="23" fillId="9" borderId="2" xfId="18" applyFont="1" applyFill="1" applyBorder="1" applyAlignment="1">
      <alignment horizontal="center" vertical="center"/>
    </xf>
    <xf numFmtId="0" fontId="4" fillId="4" borderId="2" xfId="18" applyFont="1" applyFill="1" applyBorder="1" applyAlignment="1">
      <alignment horizontal="center" vertical="center" wrapText="1"/>
    </xf>
    <xf numFmtId="0" fontId="12" fillId="4" borderId="2" xfId="18" applyFont="1" applyFill="1" applyBorder="1" applyAlignment="1">
      <alignment horizontal="center" vertical="center"/>
    </xf>
    <xf numFmtId="0" fontId="19" fillId="0" borderId="2" xfId="22" applyFont="1" applyBorder="1" applyAlignment="1">
      <alignment horizontal="center" vertical="center" wrapText="1"/>
    </xf>
    <xf numFmtId="0" fontId="19" fillId="0" borderId="2" xfId="23" applyFont="1" applyBorder="1" applyAlignment="1">
      <alignment horizontal="center" vertical="center"/>
    </xf>
    <xf numFmtId="0" fontId="6" fillId="0" borderId="35" xfId="18" applyFont="1" applyBorder="1" applyAlignment="1">
      <alignment horizontal="center" vertical="center"/>
    </xf>
    <xf numFmtId="0" fontId="9" fillId="0" borderId="29" xfId="18" applyFont="1" applyBorder="1" applyAlignment="1">
      <alignment horizontal="center" vertical="center" wrapText="1"/>
    </xf>
    <xf numFmtId="0" fontId="19" fillId="0" borderId="29" xfId="23" applyFont="1" applyBorder="1" applyAlignment="1">
      <alignment horizontal="center" vertical="center" wrapText="1"/>
    </xf>
    <xf numFmtId="0" fontId="19" fillId="0" borderId="29" xfId="22" applyFont="1" applyBorder="1" applyAlignment="1">
      <alignment horizontal="center" vertical="center" wrapText="1"/>
    </xf>
    <xf numFmtId="0" fontId="23" fillId="0" borderId="29" xfId="18" applyFont="1" applyBorder="1" applyAlignment="1">
      <alignment horizontal="center" vertical="center"/>
    </xf>
    <xf numFmtId="0" fontId="11" fillId="0" borderId="29" xfId="18" applyFont="1" applyBorder="1" applyAlignment="1">
      <alignment horizontal="center" vertical="center"/>
    </xf>
    <xf numFmtId="0" fontId="23" fillId="9" borderId="29" xfId="18" applyFont="1" applyFill="1" applyBorder="1" applyAlignment="1">
      <alignment horizontal="center" vertical="center"/>
    </xf>
    <xf numFmtId="0" fontId="22" fillId="0" borderId="9" xfId="18" applyFont="1" applyBorder="1" applyAlignment="1">
      <alignment horizontal="center" vertical="center"/>
    </xf>
    <xf numFmtId="0" fontId="20" fillId="0" borderId="26" xfId="18" applyFont="1" applyBorder="1" applyAlignment="1">
      <alignment horizontal="center" vertical="center" wrapText="1"/>
    </xf>
    <xf numFmtId="0" fontId="23" fillId="9" borderId="9" xfId="18" applyFont="1" applyFill="1" applyBorder="1" applyAlignment="1">
      <alignment horizontal="center" vertical="center"/>
    </xf>
    <xf numFmtId="0" fontId="23" fillId="0" borderId="9" xfId="18" applyFont="1" applyBorder="1" applyAlignment="1">
      <alignment horizontal="center" vertical="center"/>
    </xf>
    <xf numFmtId="0" fontId="11" fillId="0" borderId="0" xfId="18" applyFont="1" applyAlignment="1">
      <alignment horizontal="center" vertical="center"/>
    </xf>
    <xf numFmtId="0" fontId="6" fillId="0" borderId="29" xfId="18" applyFont="1" applyBorder="1" applyAlignment="1">
      <alignment horizontal="center" vertical="center"/>
    </xf>
    <xf numFmtId="0" fontId="11" fillId="0" borderId="36" xfId="18" applyFont="1" applyBorder="1" applyAlignment="1">
      <alignment horizontal="center" vertical="center"/>
    </xf>
    <xf numFmtId="0" fontId="49" fillId="0" borderId="29" xfId="18" applyFont="1" applyBorder="1" applyAlignment="1">
      <alignment horizontal="center" vertical="center" wrapText="1"/>
    </xf>
    <xf numFmtId="0" fontId="24" fillId="0" borderId="0" xfId="18" applyFont="1">
      <alignment vertical="center"/>
    </xf>
    <xf numFmtId="0" fontId="6" fillId="0" borderId="37" xfId="18" applyFont="1" applyBorder="1" applyAlignment="1">
      <alignment horizontal="center" vertical="center"/>
    </xf>
    <xf numFmtId="0" fontId="9" fillId="0" borderId="5" xfId="18" applyFont="1" applyBorder="1" applyAlignment="1">
      <alignment horizontal="center" vertical="center" wrapText="1"/>
    </xf>
    <xf numFmtId="0" fontId="20" fillId="0" borderId="10" xfId="18" applyFont="1" applyBorder="1" applyAlignment="1">
      <alignment horizontal="center" vertical="center" wrapText="1"/>
    </xf>
    <xf numFmtId="0" fontId="20" fillId="0" borderId="11" xfId="18" applyFont="1" applyBorder="1" applyAlignment="1">
      <alignment horizontal="center" vertical="center" wrapText="1"/>
    </xf>
    <xf numFmtId="0" fontId="11" fillId="0" borderId="37" xfId="18" applyFont="1" applyBorder="1" applyAlignment="1">
      <alignment horizontal="center" vertical="center" wrapText="1"/>
    </xf>
    <xf numFmtId="0" fontId="11" fillId="0" borderId="37" xfId="18" applyFont="1" applyBorder="1" applyAlignment="1">
      <alignment horizontal="center" vertical="center"/>
    </xf>
    <xf numFmtId="0" fontId="11" fillId="0" borderId="5" xfId="18" applyFont="1" applyBorder="1" applyAlignment="1">
      <alignment horizontal="center" vertical="center"/>
    </xf>
    <xf numFmtId="0" fontId="23" fillId="0" borderId="5" xfId="18" applyFont="1" applyBorder="1" applyAlignment="1">
      <alignment horizontal="center" vertical="center" wrapText="1"/>
    </xf>
    <xf numFmtId="0" fontId="11" fillId="0" borderId="5" xfId="18" applyFont="1" applyBorder="1" applyAlignment="1">
      <alignment horizontal="center" vertical="center" wrapText="1"/>
    </xf>
    <xf numFmtId="0" fontId="7" fillId="0" borderId="1" xfId="18" applyFont="1" applyBorder="1" applyAlignment="1">
      <alignment horizontal="center" vertical="center"/>
    </xf>
    <xf numFmtId="0" fontId="11" fillId="3" borderId="32" xfId="18" applyFont="1" applyFill="1" applyBorder="1" applyAlignment="1">
      <alignment horizontal="center" vertical="center" wrapText="1"/>
    </xf>
    <xf numFmtId="0" fontId="11" fillId="0" borderId="1" xfId="18" applyFont="1" applyBorder="1" applyAlignment="1">
      <alignment horizontal="center" vertical="center" wrapText="1"/>
    </xf>
    <xf numFmtId="0" fontId="11" fillId="0" borderId="32" xfId="18" applyFont="1" applyBorder="1" applyAlignment="1">
      <alignment horizontal="center" vertical="center"/>
    </xf>
    <xf numFmtId="0" fontId="11" fillId="9" borderId="32" xfId="18" applyFont="1" applyFill="1" applyBorder="1" applyAlignment="1">
      <alignment horizontal="center" vertical="center" wrapText="1"/>
    </xf>
    <xf numFmtId="0" fontId="7" fillId="0" borderId="2" xfId="18" applyFont="1" applyBorder="1" applyAlignment="1">
      <alignment horizontal="center" vertical="center"/>
    </xf>
    <xf numFmtId="0" fontId="7" fillId="0" borderId="29" xfId="18" applyFont="1" applyBorder="1" applyAlignment="1">
      <alignment horizontal="center" vertical="center"/>
    </xf>
    <xf numFmtId="0" fontId="26" fillId="6" borderId="29" xfId="18" applyFont="1" applyFill="1" applyBorder="1" applyAlignment="1">
      <alignment horizontal="center" vertical="center" wrapText="1"/>
    </xf>
    <xf numFmtId="0" fontId="11" fillId="3" borderId="29" xfId="18" applyFont="1" applyFill="1" applyBorder="1" applyAlignment="1">
      <alignment horizontal="center" vertical="center" wrapText="1"/>
    </xf>
    <xf numFmtId="0" fontId="11" fillId="9" borderId="29" xfId="18" applyFont="1" applyFill="1" applyBorder="1" applyAlignment="1">
      <alignment horizontal="center" vertical="center" wrapText="1"/>
    </xf>
    <xf numFmtId="0" fontId="7" fillId="0" borderId="23" xfId="18" applyFont="1" applyBorder="1" applyAlignment="1">
      <alignment horizontal="center" vertical="center"/>
    </xf>
    <xf numFmtId="0" fontId="9" fillId="7" borderId="37" xfId="18" applyFont="1" applyFill="1" applyBorder="1" applyAlignment="1">
      <alignment horizontal="center" vertical="center" wrapText="1"/>
    </xf>
    <xf numFmtId="0" fontId="11" fillId="7" borderId="39" xfId="18" applyFont="1" applyFill="1" applyBorder="1" applyAlignment="1">
      <alignment horizontal="center" vertical="center" wrapText="1"/>
    </xf>
    <xf numFmtId="0" fontId="11" fillId="7" borderId="37" xfId="18" applyFont="1" applyFill="1" applyBorder="1" applyAlignment="1">
      <alignment horizontal="center" vertical="center" wrapText="1"/>
    </xf>
    <xf numFmtId="0" fontId="11" fillId="7" borderId="23" xfId="18" applyFont="1" applyFill="1" applyBorder="1" applyAlignment="1">
      <alignment horizontal="center" vertical="center" wrapText="1"/>
    </xf>
    <xf numFmtId="0" fontId="11" fillId="7" borderId="37" xfId="18" applyFont="1" applyFill="1" applyBorder="1" applyAlignment="1">
      <alignment horizontal="center" vertical="center"/>
    </xf>
    <xf numFmtId="0" fontId="26" fillId="7" borderId="37" xfId="18" applyFont="1" applyFill="1" applyBorder="1" applyAlignment="1">
      <alignment horizontal="center" vertical="center" wrapText="1"/>
    </xf>
    <xf numFmtId="0" fontId="27" fillId="0" borderId="0" xfId="18" applyFont="1" applyAlignment="1">
      <alignment horizontal="center" vertical="center" wrapText="1"/>
    </xf>
    <xf numFmtId="0" fontId="28" fillId="0" borderId="0" xfId="18" applyFont="1" applyAlignment="1">
      <alignment horizontal="center" vertical="center"/>
    </xf>
    <xf numFmtId="0" fontId="20" fillId="0" borderId="0" xfId="18" applyFont="1" applyAlignment="1">
      <alignment horizontal="center" vertical="center" wrapText="1"/>
    </xf>
    <xf numFmtId="0" fontId="29" fillId="2" borderId="40" xfId="18" applyFont="1" applyFill="1" applyBorder="1" applyAlignment="1">
      <alignment horizontal="center" vertical="center" wrapText="1"/>
    </xf>
    <xf numFmtId="0" fontId="29" fillId="2" borderId="41" xfId="18" applyFont="1" applyFill="1" applyBorder="1" applyAlignment="1">
      <alignment horizontal="center" vertical="center" wrapText="1"/>
    </xf>
    <xf numFmtId="0" fontId="29" fillId="2" borderId="41" xfId="18" applyFont="1" applyFill="1" applyBorder="1" applyAlignment="1">
      <alignment horizontal="center" vertical="center"/>
    </xf>
    <xf numFmtId="0" fontId="29" fillId="2" borderId="42" xfId="18" applyFont="1" applyFill="1" applyBorder="1" applyAlignment="1">
      <alignment horizontal="center" vertical="center" wrapText="1"/>
    </xf>
    <xf numFmtId="0" fontId="1" fillId="0" borderId="0" xfId="18" applyAlignment="1">
      <alignment vertical="center" wrapText="1"/>
    </xf>
    <xf numFmtId="0" fontId="11" fillId="0" borderId="43" xfId="18" applyFont="1" applyBorder="1" applyAlignment="1">
      <alignment horizontal="center" vertical="center" wrapText="1"/>
    </xf>
    <xf numFmtId="0" fontId="11" fillId="0" borderId="36" xfId="18" applyFont="1" applyBorder="1">
      <alignment vertical="center"/>
    </xf>
    <xf numFmtId="0" fontId="25" fillId="0" borderId="2" xfId="18" applyFont="1" applyBorder="1" applyAlignment="1">
      <alignment horizontal="center" vertical="center" wrapText="1"/>
    </xf>
    <xf numFmtId="0" fontId="11" fillId="0" borderId="44" xfId="18" applyFont="1" applyBorder="1" applyAlignment="1">
      <alignment horizontal="center" vertical="center" wrapText="1"/>
    </xf>
    <xf numFmtId="0" fontId="24" fillId="0" borderId="0" xfId="18" applyFont="1" applyAlignment="1">
      <alignment horizontal="center" vertical="center"/>
    </xf>
    <xf numFmtId="0" fontId="11" fillId="0" borderId="45" xfId="18" applyFont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/>
    </xf>
    <xf numFmtId="0" fontId="11" fillId="0" borderId="46" xfId="18" applyFont="1" applyBorder="1" applyAlignment="1">
      <alignment horizontal="center" vertical="center"/>
    </xf>
    <xf numFmtId="0" fontId="11" fillId="0" borderId="2" xfId="18" applyFont="1" applyBorder="1">
      <alignment vertical="center"/>
    </xf>
    <xf numFmtId="0" fontId="19" fillId="0" borderId="2" xfId="18" applyFont="1" applyBorder="1" applyAlignment="1">
      <alignment horizontal="center" vertical="center" wrapText="1"/>
    </xf>
    <xf numFmtId="0" fontId="11" fillId="0" borderId="44" xfId="18" applyFont="1" applyBorder="1" applyAlignment="1">
      <alignment horizontal="center" vertical="center"/>
    </xf>
    <xf numFmtId="0" fontId="11" fillId="0" borderId="47" xfId="18" applyFont="1" applyBorder="1" applyAlignment="1">
      <alignment horizontal="center" vertical="center" wrapText="1"/>
    </xf>
    <xf numFmtId="0" fontId="11" fillId="0" borderId="48" xfId="18" applyFont="1" applyBorder="1" applyAlignment="1">
      <alignment horizontal="center" vertical="center" wrapText="1"/>
    </xf>
    <xf numFmtId="0" fontId="25" fillId="0" borderId="48" xfId="18" applyFont="1" applyBorder="1" applyAlignment="1">
      <alignment horizontal="center" vertical="center" wrapText="1"/>
    </xf>
    <xf numFmtId="0" fontId="11" fillId="0" borderId="49" xfId="18" applyFont="1" applyBorder="1" applyAlignment="1">
      <alignment horizontal="center" vertical="center" wrapText="1"/>
    </xf>
    <xf numFmtId="0" fontId="11" fillId="0" borderId="48" xfId="18" applyFont="1" applyBorder="1">
      <alignment vertical="center"/>
    </xf>
    <xf numFmtId="0" fontId="11" fillId="0" borderId="50" xfId="18" applyFont="1" applyBorder="1" applyAlignment="1">
      <alignment horizontal="center" vertical="center" wrapText="1"/>
    </xf>
    <xf numFmtId="0" fontId="11" fillId="0" borderId="51" xfId="18" applyFont="1" applyBorder="1" applyAlignment="1">
      <alignment horizontal="center" vertical="center" wrapText="1"/>
    </xf>
    <xf numFmtId="0" fontId="11" fillId="0" borderId="0" xfId="18" applyFont="1" applyAlignment="1">
      <alignment horizontal="center" vertical="center" wrapText="1"/>
    </xf>
    <xf numFmtId="0" fontId="25" fillId="0" borderId="0" xfId="18" applyFont="1" applyAlignment="1">
      <alignment horizontal="center" vertical="center" wrapText="1"/>
    </xf>
    <xf numFmtId="0" fontId="19" fillId="0" borderId="0" xfId="18" applyFont="1" applyAlignment="1">
      <alignment horizontal="center" vertical="center" wrapText="1"/>
    </xf>
    <xf numFmtId="0" fontId="11" fillId="0" borderId="0" xfId="18" applyFont="1">
      <alignment vertical="center"/>
    </xf>
    <xf numFmtId="0" fontId="30" fillId="0" borderId="0" xfId="18" applyFont="1">
      <alignment vertical="center"/>
    </xf>
    <xf numFmtId="0" fontId="1" fillId="0" borderId="0" xfId="20">
      <alignment vertical="center"/>
    </xf>
    <xf numFmtId="0" fontId="1" fillId="0" borderId="0" xfId="20" applyAlignment="1">
      <alignment horizontal="center" vertical="center"/>
    </xf>
    <xf numFmtId="0" fontId="0" fillId="0" borderId="0" xfId="20" applyFont="1" applyAlignment="1">
      <alignment horizontal="center" vertical="center" wrapText="1"/>
    </xf>
    <xf numFmtId="0" fontId="1" fillId="0" borderId="0" xfId="20" applyAlignment="1">
      <alignment vertical="center" wrapText="1"/>
    </xf>
    <xf numFmtId="0" fontId="30" fillId="0" borderId="0" xfId="20" applyFont="1" applyAlignment="1">
      <alignment horizontal="center" vertical="center"/>
    </xf>
    <xf numFmtId="0" fontId="30" fillId="0" borderId="0" xfId="20" applyFont="1">
      <alignment vertical="center"/>
    </xf>
    <xf numFmtId="0" fontId="31" fillId="0" borderId="0" xfId="20" applyFont="1" applyAlignment="1">
      <alignment horizontal="center" vertical="center"/>
    </xf>
    <xf numFmtId="0" fontId="5" fillId="0" borderId="0" xfId="20" applyFont="1" applyAlignment="1">
      <alignment horizontal="center" vertical="center"/>
    </xf>
    <xf numFmtId="0" fontId="32" fillId="8" borderId="21" xfId="20" applyFont="1" applyFill="1" applyBorder="1" applyAlignment="1">
      <alignment horizontal="center" vertical="center" wrapText="1"/>
    </xf>
    <xf numFmtId="0" fontId="12" fillId="8" borderId="21" xfId="20" applyFont="1" applyFill="1" applyBorder="1" applyAlignment="1">
      <alignment horizontal="center" vertical="center" wrapText="1"/>
    </xf>
    <xf numFmtId="0" fontId="11" fillId="8" borderId="21" xfId="24" applyFont="1" applyFill="1" applyBorder="1" applyAlignment="1">
      <alignment horizontal="center" vertical="center" wrapText="1"/>
    </xf>
    <xf numFmtId="0" fontId="12" fillId="8" borderId="3" xfId="20" applyFont="1" applyFill="1" applyBorder="1" applyAlignment="1">
      <alignment horizontal="center" vertical="center" wrapText="1"/>
    </xf>
    <xf numFmtId="0" fontId="1" fillId="0" borderId="21" xfId="24" applyBorder="1">
      <alignment vertical="center"/>
    </xf>
    <xf numFmtId="0" fontId="11" fillId="8" borderId="21" xfId="24" applyFont="1" applyFill="1" applyBorder="1" applyAlignment="1">
      <alignment horizontal="center" vertical="center"/>
    </xf>
    <xf numFmtId="0" fontId="12" fillId="8" borderId="21" xfId="24" applyFont="1" applyFill="1" applyBorder="1" applyAlignment="1">
      <alignment horizontal="center" vertical="center"/>
    </xf>
    <xf numFmtId="0" fontId="33" fillId="0" borderId="3" xfId="24" applyFont="1" applyBorder="1" applyAlignment="1">
      <alignment horizontal="center" vertical="center"/>
    </xf>
    <xf numFmtId="0" fontId="33" fillId="0" borderId="4" xfId="24" applyFont="1" applyBorder="1" applyAlignment="1">
      <alignment horizontal="center" vertical="center"/>
    </xf>
    <xf numFmtId="0" fontId="35" fillId="0" borderId="21" xfId="18" applyFont="1" applyBorder="1" applyAlignment="1">
      <alignment horizontal="center" vertical="center" wrapText="1"/>
    </xf>
    <xf numFmtId="0" fontId="36" fillId="0" borderId="21" xfId="18" applyFont="1" applyBorder="1" applyAlignment="1">
      <alignment horizontal="center" vertical="center"/>
    </xf>
    <xf numFmtId="0" fontId="28" fillId="0" borderId="2" xfId="18" applyFont="1" applyBorder="1" applyAlignment="1">
      <alignment horizontal="center" vertical="center" wrapText="1"/>
    </xf>
    <xf numFmtId="0" fontId="38" fillId="0" borderId="2" xfId="18" applyFont="1" applyBorder="1" applyAlignment="1">
      <alignment horizontal="center" vertical="center" wrapText="1"/>
    </xf>
    <xf numFmtId="0" fontId="4" fillId="0" borderId="21" xfId="18" applyFont="1" applyBorder="1" applyAlignment="1">
      <alignment horizontal="center" vertical="center" wrapText="1"/>
    </xf>
    <xf numFmtId="0" fontId="37" fillId="0" borderId="21" xfId="18" applyFont="1" applyBorder="1" applyAlignment="1">
      <alignment horizontal="center" vertical="center" wrapText="1"/>
    </xf>
    <xf numFmtId="0" fontId="37" fillId="0" borderId="2" xfId="18" applyFont="1" applyBorder="1" applyAlignment="1">
      <alignment horizontal="center" vertical="center" wrapText="1"/>
    </xf>
    <xf numFmtId="0" fontId="28" fillId="0" borderId="21" xfId="18" applyFont="1" applyBorder="1" applyAlignment="1">
      <alignment horizontal="center" vertical="center" wrapText="1"/>
    </xf>
    <xf numFmtId="0" fontId="37" fillId="0" borderId="21" xfId="18" applyFont="1" applyBorder="1" applyAlignment="1">
      <alignment horizontal="center" vertical="center"/>
    </xf>
    <xf numFmtId="0" fontId="37" fillId="0" borderId="2" xfId="18" applyFont="1" applyBorder="1" applyAlignment="1">
      <alignment horizontal="center" vertical="center"/>
    </xf>
    <xf numFmtId="0" fontId="35" fillId="0" borderId="2" xfId="18" applyFont="1" applyBorder="1" applyAlignment="1">
      <alignment horizontal="center" vertical="center" wrapText="1"/>
    </xf>
    <xf numFmtId="0" fontId="28" fillId="0" borderId="2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1" fillId="0" borderId="36" xfId="18" applyBorder="1">
      <alignment vertical="center"/>
    </xf>
    <xf numFmtId="0" fontId="38" fillId="0" borderId="2" xfId="18" applyFont="1" applyBorder="1" applyAlignment="1">
      <alignment horizontal="center" vertical="center"/>
    </xf>
    <xf numFmtId="0" fontId="39" fillId="0" borderId="2" xfId="18" applyFont="1" applyBorder="1" applyAlignment="1">
      <alignment horizontal="center" vertical="center" wrapText="1"/>
    </xf>
    <xf numFmtId="0" fontId="40" fillId="0" borderId="21" xfId="18" applyFont="1" applyBorder="1" applyAlignment="1">
      <alignment horizontal="center" vertical="center" wrapText="1"/>
    </xf>
    <xf numFmtId="0" fontId="28" fillId="0" borderId="21" xfId="18" applyFont="1" applyBorder="1" applyAlignment="1">
      <alignment horizontal="center" vertical="center"/>
    </xf>
    <xf numFmtId="0" fontId="36" fillId="0" borderId="21" xfId="18" applyFont="1" applyBorder="1" applyAlignment="1">
      <alignment horizontal="center" vertical="center" wrapText="1"/>
    </xf>
    <xf numFmtId="0" fontId="38" fillId="0" borderId="21" xfId="18" applyFont="1" applyBorder="1" applyAlignment="1">
      <alignment horizontal="center" vertical="center" wrapText="1"/>
    </xf>
    <xf numFmtId="0" fontId="36" fillId="8" borderId="2" xfId="18" applyFont="1" applyFill="1" applyBorder="1" applyAlignment="1">
      <alignment horizontal="center" vertical="center" wrapText="1"/>
    </xf>
    <xf numFmtId="0" fontId="1" fillId="0" borderId="27" xfId="18" applyBorder="1" applyAlignment="1">
      <alignment vertical="center" wrapText="1"/>
    </xf>
    <xf numFmtId="0" fontId="5" fillId="0" borderId="46" xfId="18" applyFont="1" applyBorder="1" applyAlignment="1">
      <alignment horizontal="center" vertical="center"/>
    </xf>
    <xf numFmtId="0" fontId="5" fillId="0" borderId="2" xfId="18" applyFont="1" applyBorder="1" applyAlignment="1">
      <alignment horizontal="center" vertical="center"/>
    </xf>
    <xf numFmtId="0" fontId="1" fillId="0" borderId="21" xfId="18" applyBorder="1" applyAlignment="1">
      <alignment horizontal="center" vertical="center"/>
    </xf>
    <xf numFmtId="0" fontId="1" fillId="0" borderId="3" xfId="18" applyBorder="1" applyAlignment="1">
      <alignment horizontal="center" vertical="center"/>
    </xf>
    <xf numFmtId="0" fontId="5" fillId="0" borderId="9" xfId="18" applyFont="1" applyBorder="1" applyAlignment="1">
      <alignment horizontal="center" vertical="center"/>
    </xf>
    <xf numFmtId="0" fontId="5" fillId="0" borderId="0" xfId="26" applyFont="1" applyAlignment="1">
      <alignment horizontal="center" vertical="center"/>
    </xf>
    <xf numFmtId="0" fontId="1" fillId="0" borderId="0" xfId="26" applyAlignment="1">
      <alignment horizontal="center" vertical="center"/>
    </xf>
    <xf numFmtId="0" fontId="1" fillId="0" borderId="0" xfId="26">
      <alignment vertical="center"/>
    </xf>
    <xf numFmtId="0" fontId="6" fillId="2" borderId="2" xfId="26" applyFont="1" applyFill="1" applyBorder="1" applyAlignment="1">
      <alignment horizontal="center" vertical="center"/>
    </xf>
    <xf numFmtId="0" fontId="6" fillId="2" borderId="2" xfId="26" applyFont="1" applyFill="1" applyBorder="1" applyAlignment="1">
      <alignment horizontal="left" vertical="center" wrapText="1"/>
    </xf>
    <xf numFmtId="0" fontId="6" fillId="2" borderId="2" xfId="26" applyFont="1" applyFill="1" applyBorder="1" applyAlignment="1">
      <alignment horizontal="center" vertical="center" wrapText="1"/>
    </xf>
    <xf numFmtId="0" fontId="7" fillId="2" borderId="2" xfId="26" applyFont="1" applyFill="1" applyBorder="1" applyAlignment="1">
      <alignment horizontal="center" vertical="center"/>
    </xf>
    <xf numFmtId="176" fontId="8" fillId="0" borderId="0" xfId="26" applyNumberFormat="1" applyFont="1" applyAlignment="1">
      <alignment horizontal="center" vertical="center" wrapText="1"/>
    </xf>
    <xf numFmtId="0" fontId="6" fillId="0" borderId="2" xfId="26" applyFont="1" applyBorder="1" applyAlignment="1">
      <alignment horizontal="center" vertical="center"/>
    </xf>
    <xf numFmtId="0" fontId="9" fillId="0" borderId="2" xfId="26" applyFont="1" applyBorder="1" applyAlignment="1">
      <alignment horizontal="center" vertical="center" wrapText="1"/>
    </xf>
    <xf numFmtId="0" fontId="11" fillId="0" borderId="2" xfId="26" applyFont="1" applyBorder="1" applyAlignment="1">
      <alignment horizontal="center" vertical="center" wrapText="1"/>
    </xf>
    <xf numFmtId="0" fontId="12" fillId="0" borderId="5" xfId="26" applyFont="1" applyBorder="1" applyAlignment="1">
      <alignment horizontal="center" vertical="center"/>
    </xf>
    <xf numFmtId="0" fontId="9" fillId="0" borderId="9" xfId="26" applyFont="1" applyBorder="1" applyAlignment="1">
      <alignment horizontal="center" vertical="center" wrapText="1"/>
    </xf>
    <xf numFmtId="0" fontId="11" fillId="0" borderId="2" xfId="26" applyFont="1" applyBorder="1" applyAlignment="1">
      <alignment horizontal="center" vertical="center"/>
    </xf>
    <xf numFmtId="0" fontId="12" fillId="0" borderId="2" xfId="26" applyFont="1" applyBorder="1" applyAlignment="1">
      <alignment horizontal="center" vertical="center"/>
    </xf>
    <xf numFmtId="0" fontId="11" fillId="0" borderId="9" xfId="26" applyFont="1" applyBorder="1" applyAlignment="1">
      <alignment horizontal="center" vertical="center" wrapText="1"/>
    </xf>
    <xf numFmtId="0" fontId="23" fillId="0" borderId="2" xfId="26" applyFont="1" applyBorder="1" applyAlignment="1">
      <alignment horizontal="center" vertical="center" wrapText="1"/>
    </xf>
    <xf numFmtId="0" fontId="11" fillId="0" borderId="17" xfId="26" applyFont="1" applyBorder="1" applyAlignment="1">
      <alignment horizontal="center" vertical="center" wrapText="1"/>
    </xf>
    <xf numFmtId="0" fontId="4" fillId="0" borderId="2" xfId="26" applyFont="1" applyBorder="1" applyAlignment="1">
      <alignment horizontal="center" vertical="center" wrapText="1"/>
    </xf>
    <xf numFmtId="0" fontId="11" fillId="0" borderId="17" xfId="26" applyFont="1" applyBorder="1" applyAlignment="1">
      <alignment horizontal="center" vertical="center"/>
    </xf>
    <xf numFmtId="0" fontId="12" fillId="0" borderId="21" xfId="26" applyFont="1" applyBorder="1" applyAlignment="1">
      <alignment horizontal="center" vertical="center"/>
    </xf>
    <xf numFmtId="0" fontId="11" fillId="0" borderId="2" xfId="28" applyFont="1" applyBorder="1" applyAlignment="1">
      <alignment horizontal="center" vertical="center"/>
    </xf>
    <xf numFmtId="0" fontId="11" fillId="0" borderId="17" xfId="28" applyFont="1" applyBorder="1" applyAlignment="1">
      <alignment horizontal="center" vertical="center" wrapText="1"/>
    </xf>
    <xf numFmtId="0" fontId="18" fillId="0" borderId="2" xfId="28" applyFont="1" applyBorder="1" applyAlignment="1">
      <alignment horizontal="center" vertical="center"/>
    </xf>
    <xf numFmtId="0" fontId="11" fillId="0" borderId="25" xfId="26" applyFont="1" applyBorder="1" applyAlignment="1">
      <alignment horizontal="center" vertical="center" wrapText="1"/>
    </xf>
    <xf numFmtId="0" fontId="4" fillId="4" borderId="9" xfId="26" applyFont="1" applyFill="1" applyBorder="1" applyAlignment="1">
      <alignment horizontal="center" vertical="center" wrapText="1"/>
    </xf>
    <xf numFmtId="0" fontId="51" fillId="4" borderId="2" xfId="26" applyFont="1" applyFill="1" applyBorder="1" applyAlignment="1">
      <alignment horizontal="center" vertical="center" wrapText="1"/>
    </xf>
    <xf numFmtId="0" fontId="12" fillId="4" borderId="2" xfId="26" applyFont="1" applyFill="1" applyBorder="1" applyAlignment="1">
      <alignment horizontal="center" vertical="center" wrapText="1"/>
    </xf>
    <xf numFmtId="0" fontId="12" fillId="4" borderId="9" xfId="26" applyFont="1" applyFill="1" applyBorder="1" applyAlignment="1">
      <alignment horizontal="center" vertical="center" wrapText="1"/>
    </xf>
    <xf numFmtId="0" fontId="51" fillId="4" borderId="9" xfId="26" applyFont="1" applyFill="1" applyBorder="1" applyAlignment="1">
      <alignment horizontal="center" vertical="center" wrapText="1"/>
    </xf>
    <xf numFmtId="0" fontId="23" fillId="4" borderId="2" xfId="26" applyFont="1" applyFill="1" applyBorder="1" applyAlignment="1">
      <alignment horizontal="center" vertical="center" wrapText="1"/>
    </xf>
    <xf numFmtId="0" fontId="19" fillId="0" borderId="21" xfId="29" applyFont="1" applyBorder="1" applyAlignment="1">
      <alignment horizontal="center" vertical="center" wrapText="1"/>
    </xf>
    <xf numFmtId="0" fontId="19" fillId="0" borderId="2" xfId="29" applyFont="1" applyBorder="1" applyAlignment="1">
      <alignment horizontal="center" vertical="center" wrapText="1"/>
    </xf>
    <xf numFmtId="0" fontId="19" fillId="0" borderId="28" xfId="29" applyFont="1" applyBorder="1" applyAlignment="1">
      <alignment horizontal="center" vertical="center" wrapText="1"/>
    </xf>
    <xf numFmtId="0" fontId="11" fillId="0" borderId="29" xfId="26" applyFont="1" applyBorder="1" applyAlignment="1">
      <alignment horizontal="center" vertical="center" wrapText="1"/>
    </xf>
    <xf numFmtId="0" fontId="6" fillId="0" borderId="32" xfId="26" applyFont="1" applyBorder="1" applyAlignment="1">
      <alignment horizontal="center" vertical="center"/>
    </xf>
    <xf numFmtId="0" fontId="20" fillId="0" borderId="32" xfId="26" applyFont="1" applyBorder="1" applyAlignment="1">
      <alignment horizontal="center" vertical="center" wrapText="1"/>
    </xf>
    <xf numFmtId="0" fontId="11" fillId="0" borderId="32" xfId="26" applyFont="1" applyBorder="1" applyAlignment="1">
      <alignment horizontal="center" vertical="center" wrapText="1"/>
    </xf>
    <xf numFmtId="0" fontId="12" fillId="0" borderId="32" xfId="26" applyFont="1" applyBorder="1" applyAlignment="1">
      <alignment horizontal="center" vertical="center" wrapText="1"/>
    </xf>
    <xf numFmtId="0" fontId="12" fillId="0" borderId="1" xfId="26" applyFont="1" applyBorder="1" applyAlignment="1">
      <alignment horizontal="center" vertical="center"/>
    </xf>
    <xf numFmtId="0" fontId="6" fillId="0" borderId="9" xfId="26" applyFont="1" applyBorder="1" applyAlignment="1">
      <alignment horizontal="center" vertical="center"/>
    </xf>
    <xf numFmtId="0" fontId="20" fillId="0" borderId="2" xfId="26" applyFont="1" applyBorder="1" applyAlignment="1">
      <alignment horizontal="center" vertical="center" wrapText="1"/>
    </xf>
    <xf numFmtId="0" fontId="20" fillId="0" borderId="10" xfId="26" applyFont="1" applyBorder="1" applyAlignment="1">
      <alignment horizontal="center" vertical="center" wrapText="1"/>
    </xf>
    <xf numFmtId="0" fontId="20" fillId="0" borderId="11" xfId="26" applyFont="1" applyBorder="1" applyAlignment="1">
      <alignment horizontal="center" vertical="center" wrapText="1"/>
    </xf>
    <xf numFmtId="0" fontId="23" fillId="9" borderId="2" xfId="26" applyFont="1" applyFill="1" applyBorder="1" applyAlignment="1">
      <alignment horizontal="center" vertical="center" wrapText="1"/>
    </xf>
    <xf numFmtId="0" fontId="20" fillId="4" borderId="2" xfId="26" applyFont="1" applyFill="1" applyBorder="1" applyAlignment="1">
      <alignment horizontal="center" vertical="center" wrapText="1"/>
    </xf>
    <xf numFmtId="0" fontId="9" fillId="0" borderId="17" xfId="26" applyFont="1" applyBorder="1" applyAlignment="1">
      <alignment horizontal="center" vertical="center" wrapText="1"/>
    </xf>
    <xf numFmtId="0" fontId="11" fillId="5" borderId="2" xfId="26" applyFont="1" applyFill="1" applyBorder="1" applyAlignment="1">
      <alignment horizontal="center" vertical="center" wrapText="1"/>
    </xf>
    <xf numFmtId="0" fontId="11" fillId="0" borderId="9" xfId="26" applyFont="1" applyBorder="1" applyAlignment="1">
      <alignment horizontal="center" vertical="center"/>
    </xf>
    <xf numFmtId="0" fontId="4" fillId="4" borderId="2" xfId="26" applyFont="1" applyFill="1" applyBorder="1" applyAlignment="1">
      <alignment horizontal="center" vertical="center" wrapText="1"/>
    </xf>
    <xf numFmtId="0" fontId="20" fillId="0" borderId="26" xfId="26" applyFont="1" applyBorder="1" applyAlignment="1">
      <alignment horizontal="center" vertical="center" wrapText="1"/>
    </xf>
    <xf numFmtId="0" fontId="51" fillId="4" borderId="2" xfId="26" applyFont="1" applyFill="1" applyBorder="1" applyAlignment="1">
      <alignment horizontal="center" vertical="center"/>
    </xf>
    <xf numFmtId="0" fontId="19" fillId="0" borderId="2" xfId="30" applyFont="1" applyBorder="1" applyAlignment="1">
      <alignment horizontal="center" vertical="center" wrapText="1"/>
    </xf>
    <xf numFmtId="0" fontId="19" fillId="0" borderId="2" xfId="31" applyFont="1" applyBorder="1" applyAlignment="1">
      <alignment horizontal="center" vertical="center"/>
    </xf>
    <xf numFmtId="0" fontId="6" fillId="0" borderId="35" xfId="26" applyFont="1" applyBorder="1" applyAlignment="1">
      <alignment horizontal="center" vertical="center"/>
    </xf>
    <xf numFmtId="0" fontId="9" fillId="0" borderId="29" xfId="26" applyFont="1" applyBorder="1" applyAlignment="1">
      <alignment horizontal="center" vertical="center" wrapText="1"/>
    </xf>
    <xf numFmtId="0" fontId="19" fillId="0" borderId="29" xfId="31" applyFont="1" applyBorder="1" applyAlignment="1">
      <alignment horizontal="center" vertical="center" wrapText="1"/>
    </xf>
    <xf numFmtId="0" fontId="19" fillId="0" borderId="29" xfId="30" applyFont="1" applyBorder="1" applyAlignment="1">
      <alignment horizontal="center" vertical="center" wrapText="1"/>
    </xf>
    <xf numFmtId="0" fontId="11" fillId="0" borderId="29" xfId="26" applyFont="1" applyBorder="1" applyAlignment="1">
      <alignment horizontal="center" vertical="center"/>
    </xf>
    <xf numFmtId="0" fontId="22" fillId="0" borderId="9" xfId="26" applyFont="1" applyBorder="1" applyAlignment="1">
      <alignment horizontal="center" vertical="center"/>
    </xf>
    <xf numFmtId="0" fontId="11" fillId="0" borderId="0" xfId="26" applyFont="1" applyAlignment="1">
      <alignment horizontal="center" vertical="center"/>
    </xf>
    <xf numFmtId="0" fontId="23" fillId="0" borderId="9" xfId="26" applyFont="1" applyBorder="1" applyAlignment="1">
      <alignment horizontal="center" vertical="center" wrapText="1"/>
    </xf>
    <xf numFmtId="0" fontId="6" fillId="0" borderId="29" xfId="26" applyFont="1" applyBorder="1" applyAlignment="1">
      <alignment horizontal="center" vertical="center"/>
    </xf>
    <xf numFmtId="0" fontId="11" fillId="0" borderId="36" xfId="26" applyFont="1" applyBorder="1" applyAlignment="1">
      <alignment horizontal="center" vertical="center"/>
    </xf>
    <xf numFmtId="0" fontId="49" fillId="0" borderId="29" xfId="26" applyFont="1" applyBorder="1" applyAlignment="1">
      <alignment horizontal="center" vertical="center" wrapText="1"/>
    </xf>
    <xf numFmtId="0" fontId="24" fillId="0" borderId="0" xfId="26" applyFont="1">
      <alignment vertical="center"/>
    </xf>
    <xf numFmtId="0" fontId="6" fillId="0" borderId="37" xfId="26" applyFont="1" applyBorder="1" applyAlignment="1">
      <alignment horizontal="center" vertical="center"/>
    </xf>
    <xf numFmtId="0" fontId="9" fillId="0" borderId="5" xfId="26" applyFont="1" applyBorder="1" applyAlignment="1">
      <alignment horizontal="center" vertical="center" wrapText="1"/>
    </xf>
    <xf numFmtId="0" fontId="11" fillId="0" borderId="37" xfId="26" applyFont="1" applyBorder="1" applyAlignment="1">
      <alignment horizontal="center" vertical="center" wrapText="1"/>
    </xf>
    <xf numFmtId="0" fontId="11" fillId="0" borderId="37" xfId="26" applyFont="1" applyBorder="1" applyAlignment="1">
      <alignment horizontal="center" vertical="center"/>
    </xf>
    <xf numFmtId="0" fontId="11" fillId="0" borderId="5" xfId="26" applyFont="1" applyBorder="1" applyAlignment="1">
      <alignment horizontal="center" vertical="center"/>
    </xf>
    <xf numFmtId="0" fontId="23" fillId="0" borderId="5" xfId="26" applyFont="1" applyBorder="1" applyAlignment="1">
      <alignment horizontal="center" vertical="center" wrapText="1"/>
    </xf>
    <xf numFmtId="0" fontId="11" fillId="0" borderId="5" xfId="26" applyFont="1" applyBorder="1" applyAlignment="1">
      <alignment horizontal="center" vertical="center" wrapText="1"/>
    </xf>
    <xf numFmtId="0" fontId="7" fillId="0" borderId="1" xfId="26" applyFont="1" applyBorder="1" applyAlignment="1">
      <alignment horizontal="center" vertical="center"/>
    </xf>
    <xf numFmtId="0" fontId="11" fillId="0" borderId="1" xfId="26" applyFont="1" applyBorder="1" applyAlignment="1">
      <alignment horizontal="center" vertical="center" wrapText="1"/>
    </xf>
    <xf numFmtId="0" fontId="11" fillId="0" borderId="32" xfId="26" applyFont="1" applyBorder="1" applyAlignment="1">
      <alignment horizontal="center" vertical="center"/>
    </xf>
    <xf numFmtId="0" fontId="7" fillId="0" borderId="2" xfId="26" applyFont="1" applyBorder="1" applyAlignment="1">
      <alignment horizontal="center" vertical="center"/>
    </xf>
    <xf numFmtId="0" fontId="7" fillId="0" borderId="29" xfId="26" applyFont="1" applyBorder="1" applyAlignment="1">
      <alignment horizontal="center" vertical="center"/>
    </xf>
    <xf numFmtId="0" fontId="26" fillId="6" borderId="29" xfId="26" applyFont="1" applyFill="1" applyBorder="1" applyAlignment="1">
      <alignment horizontal="center" vertical="center" wrapText="1"/>
    </xf>
    <xf numFmtId="0" fontId="7" fillId="0" borderId="23" xfId="26" applyFont="1" applyBorder="1" applyAlignment="1">
      <alignment horizontal="center" vertical="center"/>
    </xf>
    <xf numFmtId="0" fontId="9" fillId="7" borderId="37" xfId="26" applyFont="1" applyFill="1" applyBorder="1" applyAlignment="1">
      <alignment horizontal="center" vertical="center" wrapText="1"/>
    </xf>
    <xf numFmtId="0" fontId="11" fillId="7" borderId="39" xfId="26" applyFont="1" applyFill="1" applyBorder="1" applyAlignment="1">
      <alignment horizontal="center" vertical="center" wrapText="1"/>
    </xf>
    <xf numFmtId="0" fontId="11" fillId="7" borderId="37" xfId="26" applyFont="1" applyFill="1" applyBorder="1" applyAlignment="1">
      <alignment horizontal="center" vertical="center" wrapText="1"/>
    </xf>
    <xf numFmtId="0" fontId="11" fillId="7" borderId="23" xfId="26" applyFont="1" applyFill="1" applyBorder="1" applyAlignment="1">
      <alignment horizontal="center" vertical="center" wrapText="1"/>
    </xf>
    <xf numFmtId="0" fontId="11" fillId="7" borderId="37" xfId="26" applyFont="1" applyFill="1" applyBorder="1" applyAlignment="1">
      <alignment horizontal="center" vertical="center"/>
    </xf>
    <xf numFmtId="0" fontId="26" fillId="7" borderId="37" xfId="26" applyFont="1" applyFill="1" applyBorder="1" applyAlignment="1">
      <alignment horizontal="center" vertical="center" wrapText="1"/>
    </xf>
    <xf numFmtId="0" fontId="27" fillId="0" borderId="0" xfId="26" applyFont="1" applyAlignment="1">
      <alignment horizontal="center" vertical="center" wrapText="1"/>
    </xf>
    <xf numFmtId="0" fontId="28" fillId="0" borderId="0" xfId="26" applyFont="1" applyAlignment="1">
      <alignment horizontal="center" vertical="center"/>
    </xf>
    <xf numFmtId="0" fontId="20" fillId="0" borderId="0" xfId="26" applyFont="1" applyAlignment="1">
      <alignment horizontal="center" vertical="center" wrapText="1"/>
    </xf>
    <xf numFmtId="0" fontId="29" fillId="2" borderId="40" xfId="26" applyFont="1" applyFill="1" applyBorder="1" applyAlignment="1">
      <alignment horizontal="center" vertical="center" wrapText="1"/>
    </xf>
    <xf numFmtId="0" fontId="29" fillId="2" borderId="41" xfId="26" applyFont="1" applyFill="1" applyBorder="1" applyAlignment="1">
      <alignment horizontal="center" vertical="center" wrapText="1"/>
    </xf>
    <xf numFmtId="0" fontId="29" fillId="2" borderId="41" xfId="26" applyFont="1" applyFill="1" applyBorder="1" applyAlignment="1">
      <alignment horizontal="center" vertical="center"/>
    </xf>
    <xf numFmtId="0" fontId="29" fillId="2" borderId="42" xfId="26" applyFont="1" applyFill="1" applyBorder="1" applyAlignment="1">
      <alignment horizontal="center" vertical="center" wrapText="1"/>
    </xf>
    <xf numFmtId="0" fontId="1" fillId="0" borderId="0" xfId="26" applyAlignment="1">
      <alignment vertical="center" wrapText="1"/>
    </xf>
    <xf numFmtId="0" fontId="11" fillId="0" borderId="43" xfId="26" applyFont="1" applyBorder="1" applyAlignment="1">
      <alignment horizontal="center" vertical="center" wrapText="1"/>
    </xf>
    <xf numFmtId="0" fontId="11" fillId="0" borderId="36" xfId="26" applyFont="1" applyBorder="1">
      <alignment vertical="center"/>
    </xf>
    <xf numFmtId="0" fontId="11" fillId="0" borderId="44" xfId="26" applyFont="1" applyBorder="1" applyAlignment="1">
      <alignment horizontal="center" vertical="center" wrapText="1"/>
    </xf>
    <xf numFmtId="0" fontId="24" fillId="0" borderId="0" xfId="26" applyFont="1" applyAlignment="1">
      <alignment horizontal="center" vertical="center"/>
    </xf>
    <xf numFmtId="0" fontId="11" fillId="0" borderId="45" xfId="26" applyFont="1" applyBorder="1" applyAlignment="1">
      <alignment horizontal="center" vertical="center" wrapText="1"/>
    </xf>
    <xf numFmtId="0" fontId="11" fillId="0" borderId="3" xfId="26" applyFont="1" applyBorder="1" applyAlignment="1">
      <alignment horizontal="center" vertical="center"/>
    </xf>
    <xf numFmtId="0" fontId="11" fillId="0" borderId="46" xfId="26" applyFont="1" applyBorder="1" applyAlignment="1">
      <alignment horizontal="center" vertical="center"/>
    </xf>
    <xf numFmtId="0" fontId="11" fillId="0" borderId="2" xfId="26" applyFont="1" applyBorder="1">
      <alignment vertical="center"/>
    </xf>
    <xf numFmtId="0" fontId="25" fillId="0" borderId="2" xfId="26" applyFont="1" applyBorder="1" applyAlignment="1">
      <alignment horizontal="center" vertical="center" wrapText="1"/>
    </xf>
    <xf numFmtId="0" fontId="19" fillId="0" borderId="25" xfId="26" applyFont="1" applyBorder="1" applyAlignment="1">
      <alignment horizontal="center" vertical="center" wrapText="1"/>
    </xf>
    <xf numFmtId="0" fontId="11" fillId="0" borderId="44" xfId="26" applyFont="1" applyBorder="1" applyAlignment="1">
      <alignment horizontal="center" vertical="center"/>
    </xf>
    <xf numFmtId="0" fontId="11" fillId="0" borderId="47" xfId="26" applyFont="1" applyBorder="1" applyAlignment="1">
      <alignment horizontal="center" vertical="center" wrapText="1"/>
    </xf>
    <xf numFmtId="0" fontId="11" fillId="0" borderId="48" xfId="26" applyFont="1" applyBorder="1" applyAlignment="1">
      <alignment horizontal="center" vertical="center" wrapText="1"/>
    </xf>
    <xf numFmtId="0" fontId="11" fillId="0" borderId="49" xfId="26" applyFont="1" applyBorder="1" applyAlignment="1">
      <alignment horizontal="center" vertical="center" wrapText="1"/>
    </xf>
    <xf numFmtId="0" fontId="11" fillId="0" borderId="48" xfId="26" applyFont="1" applyBorder="1">
      <alignment vertical="center"/>
    </xf>
    <xf numFmtId="0" fontId="11" fillId="0" borderId="50" xfId="26" applyFont="1" applyBorder="1" applyAlignment="1">
      <alignment horizontal="center" vertical="center" wrapText="1"/>
    </xf>
    <xf numFmtId="0" fontId="11" fillId="0" borderId="51" xfId="26" applyFont="1" applyBorder="1" applyAlignment="1">
      <alignment horizontal="center" vertical="center" wrapText="1"/>
    </xf>
    <xf numFmtId="0" fontId="11" fillId="0" borderId="0" xfId="26" applyFont="1" applyAlignment="1">
      <alignment horizontal="center" vertical="center" wrapText="1"/>
    </xf>
    <xf numFmtId="0" fontId="25" fillId="0" borderId="0" xfId="26" applyFont="1" applyAlignment="1">
      <alignment horizontal="center" vertical="center" wrapText="1"/>
    </xf>
    <xf numFmtId="0" fontId="19" fillId="0" borderId="0" xfId="26" applyFont="1" applyAlignment="1">
      <alignment horizontal="center" vertical="center" wrapText="1"/>
    </xf>
    <xf numFmtId="0" fontId="11" fillId="0" borderId="0" xfId="26" applyFont="1">
      <alignment vertical="center"/>
    </xf>
    <xf numFmtId="0" fontId="1" fillId="0" borderId="0" xfId="28">
      <alignment vertical="center"/>
    </xf>
    <xf numFmtId="0" fontId="30" fillId="0" borderId="0" xfId="26" applyFont="1">
      <alignment vertical="center"/>
    </xf>
    <xf numFmtId="0" fontId="1" fillId="0" borderId="0" xfId="28" applyAlignment="1">
      <alignment horizontal="center" vertical="center"/>
    </xf>
    <xf numFmtId="0" fontId="0" fillId="0" borderId="0" xfId="28" applyFont="1" applyAlignment="1">
      <alignment horizontal="center" vertical="center" wrapText="1"/>
    </xf>
    <xf numFmtId="0" fontId="1" fillId="0" borderId="0" xfId="28" applyAlignment="1">
      <alignment vertical="center" wrapText="1"/>
    </xf>
    <xf numFmtId="0" fontId="30" fillId="0" borderId="0" xfId="28" applyFont="1" applyAlignment="1">
      <alignment horizontal="center" vertical="center"/>
    </xf>
    <xf numFmtId="0" fontId="30" fillId="0" borderId="0" xfId="28" applyFont="1">
      <alignment vertical="center"/>
    </xf>
    <xf numFmtId="0" fontId="31" fillId="0" borderId="0" xfId="28" applyFont="1" applyAlignment="1">
      <alignment horizontal="center" vertical="center"/>
    </xf>
    <xf numFmtId="0" fontId="5" fillId="0" borderId="0" xfId="28" applyFont="1" applyAlignment="1">
      <alignment horizontal="center" vertical="center"/>
    </xf>
    <xf numFmtId="0" fontId="32" fillId="8" borderId="21" xfId="28" applyFont="1" applyFill="1" applyBorder="1" applyAlignment="1">
      <alignment horizontal="center" vertical="center" wrapText="1"/>
    </xf>
    <xf numFmtId="0" fontId="12" fillId="8" borderId="21" xfId="28" applyFont="1" applyFill="1" applyBorder="1" applyAlignment="1">
      <alignment horizontal="center" vertical="center" wrapText="1"/>
    </xf>
    <xf numFmtId="0" fontId="11" fillId="8" borderId="21" xfId="32" applyFont="1" applyFill="1" applyBorder="1" applyAlignment="1">
      <alignment horizontal="center" vertical="center" wrapText="1"/>
    </xf>
    <xf numFmtId="0" fontId="12" fillId="8" borderId="3" xfId="28" applyFont="1" applyFill="1" applyBorder="1" applyAlignment="1">
      <alignment horizontal="center" vertical="center" wrapText="1"/>
    </xf>
    <xf numFmtId="0" fontId="1" fillId="0" borderId="21" xfId="32" applyBorder="1">
      <alignment vertical="center"/>
    </xf>
    <xf numFmtId="0" fontId="11" fillId="8" borderId="21" xfId="32" applyFont="1" applyFill="1" applyBorder="1" applyAlignment="1">
      <alignment horizontal="center" vertical="center"/>
    </xf>
    <xf numFmtId="0" fontId="12" fillId="8" borderId="21" xfId="32" applyFont="1" applyFill="1" applyBorder="1" applyAlignment="1">
      <alignment horizontal="center" vertical="center"/>
    </xf>
    <xf numFmtId="0" fontId="33" fillId="0" borderId="3" xfId="32" applyFont="1" applyBorder="1" applyAlignment="1">
      <alignment horizontal="center" vertical="center"/>
    </xf>
    <xf numFmtId="0" fontId="33" fillId="0" borderId="4" xfId="32" applyFont="1" applyBorder="1" applyAlignment="1">
      <alignment horizontal="center" vertical="center"/>
    </xf>
    <xf numFmtId="0" fontId="35" fillId="0" borderId="21" xfId="26" applyFont="1" applyBorder="1" applyAlignment="1">
      <alignment horizontal="center" vertical="center" wrapText="1"/>
    </xf>
    <xf numFmtId="0" fontId="36" fillId="0" borderId="21" xfId="26" applyFont="1" applyBorder="1" applyAlignment="1">
      <alignment horizontal="center" vertical="center"/>
    </xf>
    <xf numFmtId="0" fontId="28" fillId="0" borderId="2" xfId="26" applyFont="1" applyBorder="1" applyAlignment="1">
      <alignment horizontal="center" vertical="center" wrapText="1"/>
    </xf>
    <xf numFmtId="0" fontId="38" fillId="0" borderId="2" xfId="26" applyFont="1" applyBorder="1" applyAlignment="1">
      <alignment horizontal="center" vertical="center" wrapText="1"/>
    </xf>
    <xf numFmtId="0" fontId="4" fillId="0" borderId="21" xfId="26" applyFont="1" applyBorder="1" applyAlignment="1">
      <alignment horizontal="center" vertical="center" wrapText="1"/>
    </xf>
    <xf numFmtId="0" fontId="37" fillId="0" borderId="21" xfId="26" applyFont="1" applyBorder="1" applyAlignment="1">
      <alignment horizontal="center" vertical="center" wrapText="1"/>
    </xf>
    <xf numFmtId="0" fontId="37" fillId="0" borderId="2" xfId="26" applyFont="1" applyBorder="1" applyAlignment="1">
      <alignment horizontal="center" vertical="center" wrapText="1"/>
    </xf>
    <xf numFmtId="0" fontId="28" fillId="0" borderId="21" xfId="26" applyFont="1" applyBorder="1" applyAlignment="1">
      <alignment horizontal="center" vertical="center" wrapText="1"/>
    </xf>
    <xf numFmtId="0" fontId="37" fillId="0" borderId="21" xfId="26" applyFont="1" applyBorder="1" applyAlignment="1">
      <alignment horizontal="center" vertical="center"/>
    </xf>
    <xf numFmtId="0" fontId="37" fillId="0" borderId="2" xfId="26" applyFont="1" applyBorder="1" applyAlignment="1">
      <alignment horizontal="center" vertical="center"/>
    </xf>
    <xf numFmtId="0" fontId="35" fillId="0" borderId="2" xfId="26" applyFont="1" applyBorder="1" applyAlignment="1">
      <alignment horizontal="center" vertical="center" wrapText="1"/>
    </xf>
    <xf numFmtId="0" fontId="28" fillId="0" borderId="2" xfId="26" applyFont="1" applyBorder="1" applyAlignment="1">
      <alignment horizontal="center" vertical="center"/>
    </xf>
    <xf numFmtId="0" fontId="36" fillId="0" borderId="2" xfId="26" applyFont="1" applyBorder="1" applyAlignment="1">
      <alignment horizontal="center" vertical="center"/>
    </xf>
    <xf numFmtId="0" fontId="1" fillId="0" borderId="36" xfId="26" applyBorder="1">
      <alignment vertical="center"/>
    </xf>
    <xf numFmtId="0" fontId="38" fillId="0" borderId="2" xfId="26" applyFont="1" applyBorder="1" applyAlignment="1">
      <alignment horizontal="center" vertical="center"/>
    </xf>
    <xf numFmtId="0" fontId="39" fillId="0" borderId="2" xfId="26" applyFont="1" applyBorder="1" applyAlignment="1">
      <alignment horizontal="center" vertical="center" wrapText="1"/>
    </xf>
    <xf numFmtId="0" fontId="40" fillId="0" borderId="21" xfId="26" applyFont="1" applyBorder="1" applyAlignment="1">
      <alignment horizontal="center" vertical="center" wrapText="1"/>
    </xf>
    <xf numFmtId="0" fontId="28" fillId="0" borderId="21" xfId="26" applyFont="1" applyBorder="1" applyAlignment="1">
      <alignment horizontal="center" vertical="center"/>
    </xf>
    <xf numFmtId="0" fontId="36" fillId="0" borderId="21" xfId="26" applyFont="1" applyBorder="1" applyAlignment="1">
      <alignment horizontal="center" vertical="center" wrapText="1"/>
    </xf>
    <xf numFmtId="0" fontId="38" fillId="0" borderId="21" xfId="26" applyFont="1" applyBorder="1" applyAlignment="1">
      <alignment horizontal="center" vertical="center" wrapText="1"/>
    </xf>
    <xf numFmtId="0" fontId="36" fillId="8" borderId="2" xfId="26" applyFont="1" applyFill="1" applyBorder="1" applyAlignment="1">
      <alignment horizontal="center" vertical="center" wrapText="1"/>
    </xf>
    <xf numFmtId="0" fontId="1" fillId="0" borderId="27" xfId="26" applyBorder="1" applyAlignment="1">
      <alignment vertical="center" wrapText="1"/>
    </xf>
    <xf numFmtId="0" fontId="5" fillId="0" borderId="46" xfId="26" applyFont="1" applyBorder="1" applyAlignment="1">
      <alignment horizontal="center" vertical="center"/>
    </xf>
    <xf numFmtId="0" fontId="5" fillId="0" borderId="2" xfId="26" applyFont="1" applyBorder="1" applyAlignment="1">
      <alignment horizontal="center" vertical="center"/>
    </xf>
    <xf numFmtId="0" fontId="1" fillId="0" borderId="21" xfId="26" applyBorder="1" applyAlignment="1">
      <alignment horizontal="center" vertical="center"/>
    </xf>
    <xf numFmtId="0" fontId="1" fillId="0" borderId="3" xfId="26" applyBorder="1" applyAlignment="1">
      <alignment horizontal="center" vertical="center"/>
    </xf>
    <xf numFmtId="0" fontId="5" fillId="0" borderId="9" xfId="26" applyFont="1" applyBorder="1" applyAlignment="1">
      <alignment horizontal="center" vertical="center"/>
    </xf>
    <xf numFmtId="0" fontId="5" fillId="0" borderId="0" xfId="34" applyFont="1" applyAlignment="1">
      <alignment horizontal="center" vertical="center"/>
    </xf>
    <xf numFmtId="0" fontId="1" fillId="0" borderId="0" xfId="34" applyAlignment="1">
      <alignment horizontal="center" vertical="center"/>
    </xf>
    <xf numFmtId="0" fontId="1" fillId="0" borderId="0" xfId="34">
      <alignment vertical="center"/>
    </xf>
    <xf numFmtId="0" fontId="6" fillId="2" borderId="2" xfId="34" applyFont="1" applyFill="1" applyBorder="1" applyAlignment="1">
      <alignment horizontal="center" vertical="center"/>
    </xf>
    <xf numFmtId="0" fontId="6" fillId="2" borderId="2" xfId="34" applyFont="1" applyFill="1" applyBorder="1" applyAlignment="1">
      <alignment horizontal="left" vertical="center" wrapText="1"/>
    </xf>
    <xf numFmtId="0" fontId="6" fillId="2" borderId="2" xfId="34" applyFont="1" applyFill="1" applyBorder="1" applyAlignment="1">
      <alignment horizontal="center" vertical="center" wrapText="1"/>
    </xf>
    <xf numFmtId="0" fontId="7" fillId="2" borderId="2" xfId="34" applyFont="1" applyFill="1" applyBorder="1" applyAlignment="1">
      <alignment horizontal="center" vertical="center"/>
    </xf>
    <xf numFmtId="176" fontId="8" fillId="0" borderId="0" xfId="34" applyNumberFormat="1" applyFont="1" applyAlignment="1">
      <alignment horizontal="center" vertical="center" wrapText="1"/>
    </xf>
    <xf numFmtId="0" fontId="6" fillId="0" borderId="2" xfId="34" applyFont="1" applyBorder="1" applyAlignment="1">
      <alignment horizontal="center" vertical="center"/>
    </xf>
    <xf numFmtId="0" fontId="9" fillId="0" borderId="2" xfId="34" applyFont="1" applyBorder="1" applyAlignment="1">
      <alignment horizontal="center" vertical="center" wrapText="1"/>
    </xf>
    <xf numFmtId="0" fontId="11" fillId="0" borderId="2" xfId="34" applyFont="1" applyBorder="1" applyAlignment="1">
      <alignment horizontal="center" vertical="center" wrapText="1"/>
    </xf>
    <xf numFmtId="0" fontId="12" fillId="0" borderId="5" xfId="34" applyFont="1" applyBorder="1" applyAlignment="1">
      <alignment horizontal="center" vertical="center"/>
    </xf>
    <xf numFmtId="0" fontId="11" fillId="3" borderId="2" xfId="34" applyFont="1" applyFill="1" applyBorder="1" applyAlignment="1">
      <alignment horizontal="center" vertical="center" wrapText="1"/>
    </xf>
    <xf numFmtId="0" fontId="9" fillId="0" borderId="9" xfId="34" applyFont="1" applyBorder="1" applyAlignment="1">
      <alignment horizontal="center" vertical="center" wrapText="1"/>
    </xf>
    <xf numFmtId="0" fontId="11" fillId="0" borderId="2" xfId="34" applyFont="1" applyBorder="1" applyAlignment="1">
      <alignment horizontal="center" vertical="center"/>
    </xf>
    <xf numFmtId="0" fontId="12" fillId="0" borderId="2" xfId="34" applyFont="1" applyBorder="1" applyAlignment="1">
      <alignment horizontal="center" vertical="center"/>
    </xf>
    <xf numFmtId="0" fontId="11" fillId="0" borderId="9" xfId="34" applyFont="1" applyBorder="1" applyAlignment="1">
      <alignment horizontal="center" vertical="center" wrapText="1"/>
    </xf>
    <xf numFmtId="0" fontId="12" fillId="0" borderId="2" xfId="34" applyFont="1" applyBorder="1" applyAlignment="1">
      <alignment horizontal="center" vertical="center" wrapText="1"/>
    </xf>
    <xf numFmtId="0" fontId="11" fillId="0" borderId="17" xfId="34" applyFont="1" applyBorder="1" applyAlignment="1">
      <alignment horizontal="center" vertical="center" wrapText="1"/>
    </xf>
    <xf numFmtId="0" fontId="4" fillId="0" borderId="2" xfId="34" applyFont="1" applyBorder="1" applyAlignment="1">
      <alignment horizontal="center" vertical="center" wrapText="1"/>
    </xf>
    <xf numFmtId="0" fontId="11" fillId="0" borderId="17" xfId="34" applyFont="1" applyBorder="1" applyAlignment="1">
      <alignment horizontal="center" vertical="center"/>
    </xf>
    <xf numFmtId="0" fontId="23" fillId="0" borderId="2" xfId="34" applyFont="1" applyBorder="1" applyAlignment="1">
      <alignment horizontal="center" vertical="center" wrapText="1"/>
    </xf>
    <xf numFmtId="0" fontId="12" fillId="0" borderId="21" xfId="34" applyFont="1" applyBorder="1" applyAlignment="1">
      <alignment horizontal="center" vertical="center"/>
    </xf>
    <xf numFmtId="0" fontId="11" fillId="0" borderId="2" xfId="36" applyFont="1" applyBorder="1" applyAlignment="1">
      <alignment horizontal="center" vertical="center"/>
    </xf>
    <xf numFmtId="0" fontId="11" fillId="0" borderId="17" xfId="36" applyFont="1" applyBorder="1" applyAlignment="1">
      <alignment horizontal="center" vertical="center" wrapText="1"/>
    </xf>
    <xf numFmtId="0" fontId="18" fillId="0" borderId="2" xfId="36" applyFont="1" applyBorder="1" applyAlignment="1">
      <alignment horizontal="center" vertical="center"/>
    </xf>
    <xf numFmtId="0" fontId="11" fillId="0" borderId="25" xfId="34" applyFont="1" applyBorder="1" applyAlignment="1">
      <alignment horizontal="center" vertical="center" wrapText="1"/>
    </xf>
    <xf numFmtId="0" fontId="4" fillId="0" borderId="9" xfId="34" applyFont="1" applyBorder="1" applyAlignment="1">
      <alignment horizontal="center" vertical="center" wrapText="1"/>
    </xf>
    <xf numFmtId="0" fontId="19" fillId="0" borderId="21" xfId="37" applyFont="1" applyBorder="1" applyAlignment="1">
      <alignment horizontal="center" vertical="center" wrapText="1"/>
    </xf>
    <xf numFmtId="0" fontId="19" fillId="0" borderId="2" xfId="37" applyFont="1" applyBorder="1" applyAlignment="1">
      <alignment horizontal="center" vertical="center" wrapText="1"/>
    </xf>
    <xf numFmtId="0" fontId="23" fillId="0" borderId="9" xfId="3" applyFont="1" applyBorder="1" applyAlignment="1">
      <alignment horizontal="center" vertical="center" wrapText="1"/>
    </xf>
    <xf numFmtId="0" fontId="19" fillId="0" borderId="28" xfId="37" applyFont="1" applyBorder="1" applyAlignment="1">
      <alignment horizontal="center" vertical="center" wrapText="1"/>
    </xf>
    <xf numFmtId="0" fontId="11" fillId="0" borderId="29" xfId="34" applyFont="1" applyBorder="1" applyAlignment="1">
      <alignment horizontal="center" vertical="center" wrapText="1"/>
    </xf>
    <xf numFmtId="0" fontId="23" fillId="0" borderId="29" xfId="34" applyFont="1" applyBorder="1" applyAlignment="1">
      <alignment horizontal="center" vertical="center" wrapText="1"/>
    </xf>
    <xf numFmtId="0" fontId="6" fillId="0" borderId="32" xfId="34" applyFont="1" applyBorder="1" applyAlignment="1">
      <alignment horizontal="center" vertical="center"/>
    </xf>
    <xf numFmtId="0" fontId="20" fillId="0" borderId="32" xfId="34" applyFont="1" applyBorder="1" applyAlignment="1">
      <alignment horizontal="center" vertical="center" wrapText="1"/>
    </xf>
    <xf numFmtId="0" fontId="11" fillId="0" borderId="32" xfId="34" applyFont="1" applyBorder="1" applyAlignment="1">
      <alignment horizontal="center" vertical="center" wrapText="1"/>
    </xf>
    <xf numFmtId="0" fontId="12" fillId="0" borderId="32" xfId="34" applyFont="1" applyBorder="1" applyAlignment="1">
      <alignment horizontal="center" vertical="center" wrapText="1"/>
    </xf>
    <xf numFmtId="0" fontId="12" fillId="0" borderId="1" xfId="34" applyFont="1" applyBorder="1" applyAlignment="1">
      <alignment horizontal="center" vertical="center"/>
    </xf>
    <xf numFmtId="0" fontId="6" fillId="0" borderId="9" xfId="34" applyFont="1" applyBorder="1" applyAlignment="1">
      <alignment horizontal="center" vertical="center"/>
    </xf>
    <xf numFmtId="0" fontId="20" fillId="0" borderId="2" xfId="34" applyFont="1" applyBorder="1" applyAlignment="1">
      <alignment horizontal="center" vertical="center" wrapText="1"/>
    </xf>
    <xf numFmtId="0" fontId="20" fillId="0" borderId="10" xfId="34" applyFont="1" applyBorder="1" applyAlignment="1">
      <alignment horizontal="center" vertical="center" wrapText="1"/>
    </xf>
    <xf numFmtId="0" fontId="20" fillId="0" borderId="11" xfId="34" applyFont="1" applyBorder="1" applyAlignment="1">
      <alignment horizontal="center" vertical="center" wrapText="1"/>
    </xf>
    <xf numFmtId="0" fontId="20" fillId="4" borderId="2" xfId="34" applyFont="1" applyFill="1" applyBorder="1" applyAlignment="1">
      <alignment horizontal="center" vertical="center" wrapText="1"/>
    </xf>
    <xf numFmtId="0" fontId="12" fillId="4" borderId="2" xfId="34" applyFont="1" applyFill="1" applyBorder="1" applyAlignment="1">
      <alignment horizontal="center" vertical="center" wrapText="1"/>
    </xf>
    <xf numFmtId="0" fontId="51" fillId="4" borderId="2" xfId="34" applyFont="1" applyFill="1" applyBorder="1" applyAlignment="1">
      <alignment horizontal="center" vertical="center" wrapText="1"/>
    </xf>
    <xf numFmtId="0" fontId="23" fillId="4" borderId="2" xfId="34" applyFont="1" applyFill="1" applyBorder="1" applyAlignment="1">
      <alignment horizontal="center" vertical="center" wrapText="1"/>
    </xf>
    <xf numFmtId="0" fontId="12" fillId="4" borderId="9" xfId="34" applyFont="1" applyFill="1" applyBorder="1" applyAlignment="1">
      <alignment horizontal="center" vertical="center" wrapText="1"/>
    </xf>
    <xf numFmtId="0" fontId="9" fillId="4" borderId="17" xfId="34" applyFont="1" applyFill="1" applyBorder="1" applyAlignment="1">
      <alignment horizontal="center" vertical="center" wrapText="1"/>
    </xf>
    <xf numFmtId="0" fontId="51" fillId="4" borderId="9" xfId="34" applyFont="1" applyFill="1" applyBorder="1" applyAlignment="1">
      <alignment horizontal="center" vertical="center" wrapText="1"/>
    </xf>
    <xf numFmtId="0" fontId="51" fillId="4" borderId="5" xfId="34" applyFont="1" applyFill="1" applyBorder="1" applyAlignment="1">
      <alignment horizontal="center" vertical="center"/>
    </xf>
    <xf numFmtId="0" fontId="23" fillId="4" borderId="9" xfId="34" applyFont="1" applyFill="1" applyBorder="1" applyAlignment="1">
      <alignment horizontal="center" vertical="center"/>
    </xf>
    <xf numFmtId="0" fontId="12" fillId="4" borderId="9" xfId="3" applyFont="1" applyFill="1" applyBorder="1" applyAlignment="1">
      <alignment horizontal="center" vertical="center" wrapText="1"/>
    </xf>
    <xf numFmtId="0" fontId="51" fillId="4" borderId="2" xfId="34" applyFont="1" applyFill="1" applyBorder="1" applyAlignment="1">
      <alignment horizontal="center" vertical="center"/>
    </xf>
    <xf numFmtId="0" fontId="11" fillId="3" borderId="9" xfId="34" applyFont="1" applyFill="1" applyBorder="1" applyAlignment="1">
      <alignment horizontal="center" vertical="center" wrapText="1"/>
    </xf>
    <xf numFmtId="0" fontId="4" fillId="4" borderId="2" xfId="34" applyFont="1" applyFill="1" applyBorder="1" applyAlignment="1">
      <alignment horizontal="center" vertical="center" wrapText="1"/>
    </xf>
    <xf numFmtId="0" fontId="20" fillId="0" borderId="26" xfId="34" applyFont="1" applyBorder="1" applyAlignment="1">
      <alignment horizontal="center" vertical="center" wrapText="1"/>
    </xf>
    <xf numFmtId="0" fontId="19" fillId="0" borderId="2" xfId="38" applyFont="1" applyBorder="1" applyAlignment="1">
      <alignment horizontal="center" vertical="center" wrapText="1"/>
    </xf>
    <xf numFmtId="0" fontId="19" fillId="0" borderId="2" xfId="39" applyFont="1" applyBorder="1" applyAlignment="1">
      <alignment horizontal="center" vertical="center"/>
    </xf>
    <xf numFmtId="0" fontId="6" fillId="0" borderId="35" xfId="34" applyFont="1" applyBorder="1" applyAlignment="1">
      <alignment horizontal="center" vertical="center"/>
    </xf>
    <xf numFmtId="0" fontId="9" fillId="0" borderId="29" xfId="34" applyFont="1" applyBorder="1" applyAlignment="1">
      <alignment horizontal="center" vertical="center" wrapText="1"/>
    </xf>
    <xf numFmtId="0" fontId="19" fillId="0" borderId="29" xfId="39" applyFont="1" applyBorder="1" applyAlignment="1">
      <alignment horizontal="center" vertical="center" wrapText="1"/>
    </xf>
    <xf numFmtId="0" fontId="19" fillId="0" borderId="29" xfId="38" applyFont="1" applyBorder="1" applyAlignment="1">
      <alignment horizontal="center" vertical="center" wrapText="1"/>
    </xf>
    <xf numFmtId="0" fontId="11" fillId="0" borderId="29" xfId="34" applyFont="1" applyBorder="1" applyAlignment="1">
      <alignment horizontal="center" vertical="center"/>
    </xf>
    <xf numFmtId="0" fontId="12" fillId="0" borderId="29" xfId="34" applyFont="1" applyBorder="1" applyAlignment="1">
      <alignment horizontal="center" vertical="center" wrapText="1"/>
    </xf>
    <xf numFmtId="0" fontId="22" fillId="0" borderId="9" xfId="34" applyFont="1" applyBorder="1" applyAlignment="1">
      <alignment horizontal="center" vertical="center"/>
    </xf>
    <xf numFmtId="0" fontId="11" fillId="0" borderId="9" xfId="34" applyFont="1" applyBorder="1" applyAlignment="1">
      <alignment horizontal="center" vertical="center"/>
    </xf>
    <xf numFmtId="0" fontId="11" fillId="0" borderId="0" xfId="34" applyFont="1" applyAlignment="1">
      <alignment horizontal="center" vertical="center"/>
    </xf>
    <xf numFmtId="0" fontId="23" fillId="0" borderId="9" xfId="34" applyFont="1" applyBorder="1" applyAlignment="1">
      <alignment horizontal="center" vertical="center" wrapText="1"/>
    </xf>
    <xf numFmtId="0" fontId="6" fillId="0" borderId="29" xfId="34" applyFont="1" applyBorder="1" applyAlignment="1">
      <alignment horizontal="center" vertical="center"/>
    </xf>
    <xf numFmtId="0" fontId="11" fillId="0" borderId="36" xfId="34" applyFont="1" applyBorder="1" applyAlignment="1">
      <alignment horizontal="center" vertical="center"/>
    </xf>
    <xf numFmtId="0" fontId="11" fillId="3" borderId="29" xfId="34" applyFont="1" applyFill="1" applyBorder="1" applyAlignment="1">
      <alignment horizontal="center" vertical="center" wrapText="1"/>
    </xf>
    <xf numFmtId="0" fontId="24" fillId="0" borderId="0" xfId="34" applyFont="1">
      <alignment vertical="center"/>
    </xf>
    <xf numFmtId="0" fontId="6" fillId="0" borderId="37" xfId="34" applyFont="1" applyBorder="1" applyAlignment="1">
      <alignment horizontal="center" vertical="center"/>
    </xf>
    <xf numFmtId="0" fontId="9" fillId="0" borderId="5" xfId="34" applyFont="1" applyBorder="1" applyAlignment="1">
      <alignment horizontal="center" vertical="center" wrapText="1"/>
    </xf>
    <xf numFmtId="0" fontId="11" fillId="0" borderId="37" xfId="34" applyFont="1" applyBorder="1" applyAlignment="1">
      <alignment horizontal="center" vertical="center" wrapText="1"/>
    </xf>
    <xf numFmtId="0" fontId="11" fillId="0" borderId="37" xfId="34" applyFont="1" applyBorder="1" applyAlignment="1">
      <alignment horizontal="center" vertical="center"/>
    </xf>
    <xf numFmtId="0" fontId="11" fillId="0" borderId="5" xfId="34" applyFont="1" applyBorder="1" applyAlignment="1">
      <alignment horizontal="center" vertical="center"/>
    </xf>
    <xf numFmtId="0" fontId="23" fillId="0" borderId="5" xfId="34" applyFont="1" applyBorder="1" applyAlignment="1">
      <alignment horizontal="center" vertical="center" wrapText="1"/>
    </xf>
    <xf numFmtId="0" fontId="11" fillId="0" borderId="5" xfId="34" applyFont="1" applyBorder="1" applyAlignment="1">
      <alignment horizontal="center" vertical="center" wrapText="1"/>
    </xf>
    <xf numFmtId="0" fontId="7" fillId="0" borderId="1" xfId="34" applyFont="1" applyBorder="1" applyAlignment="1">
      <alignment horizontal="center" vertical="center"/>
    </xf>
    <xf numFmtId="0" fontId="11" fillId="3" borderId="32" xfId="34" applyFont="1" applyFill="1" applyBorder="1" applyAlignment="1">
      <alignment horizontal="center" vertical="center" wrapText="1"/>
    </xf>
    <xf numFmtId="0" fontId="11" fillId="3" borderId="1" xfId="34" applyFont="1" applyFill="1" applyBorder="1" applyAlignment="1">
      <alignment horizontal="center" vertical="center" wrapText="1"/>
    </xf>
    <xf numFmtId="0" fontId="11" fillId="0" borderId="32" xfId="34" applyFont="1" applyBorder="1" applyAlignment="1">
      <alignment horizontal="center" vertical="center"/>
    </xf>
    <xf numFmtId="0" fontId="7" fillId="0" borderId="2" xfId="34" applyFont="1" applyBorder="1" applyAlignment="1">
      <alignment horizontal="center" vertical="center"/>
    </xf>
    <xf numFmtId="0" fontId="7" fillId="0" borderId="29" xfId="34" applyFont="1" applyBorder="1" applyAlignment="1">
      <alignment horizontal="center" vertical="center"/>
    </xf>
    <xf numFmtId="0" fontId="26" fillId="6" borderId="29" xfId="34" applyFont="1" applyFill="1" applyBorder="1" applyAlignment="1">
      <alignment horizontal="center" vertical="center" wrapText="1"/>
    </xf>
    <xf numFmtId="0" fontId="7" fillId="0" borderId="23" xfId="34" applyFont="1" applyBorder="1" applyAlignment="1">
      <alignment horizontal="center" vertical="center"/>
    </xf>
    <xf numFmtId="0" fontId="9" fillId="7" borderId="37" xfId="34" applyFont="1" applyFill="1" applyBorder="1" applyAlignment="1">
      <alignment horizontal="center" vertical="center" wrapText="1"/>
    </xf>
    <xf numFmtId="0" fontId="11" fillId="7" borderId="39" xfId="34" applyFont="1" applyFill="1" applyBorder="1" applyAlignment="1">
      <alignment horizontal="center" vertical="center" wrapText="1"/>
    </xf>
    <xf numFmtId="0" fontId="11" fillId="7" borderId="37" xfId="34" applyFont="1" applyFill="1" applyBorder="1" applyAlignment="1">
      <alignment horizontal="center" vertical="center" wrapText="1"/>
    </xf>
    <xf numFmtId="0" fontId="11" fillId="7" borderId="23" xfId="34" applyFont="1" applyFill="1" applyBorder="1" applyAlignment="1">
      <alignment horizontal="center" vertical="center" wrapText="1"/>
    </xf>
    <xf numFmtId="0" fontId="11" fillId="7" borderId="37" xfId="34" applyFont="1" applyFill="1" applyBorder="1" applyAlignment="1">
      <alignment horizontal="center" vertical="center"/>
    </xf>
    <xf numFmtId="0" fontId="26" fillId="7" borderId="37" xfId="34" applyFont="1" applyFill="1" applyBorder="1" applyAlignment="1">
      <alignment horizontal="center" vertical="center" wrapText="1"/>
    </xf>
    <xf numFmtId="0" fontId="27" fillId="0" borderId="0" xfId="34" applyFont="1" applyAlignment="1">
      <alignment horizontal="center" vertical="center" wrapText="1"/>
    </xf>
    <xf numFmtId="0" fontId="28" fillId="0" borderId="0" xfId="34" applyFont="1" applyAlignment="1">
      <alignment horizontal="center" vertical="center"/>
    </xf>
    <xf numFmtId="0" fontId="20" fillId="0" borderId="0" xfId="34" applyFont="1" applyAlignment="1">
      <alignment horizontal="center" vertical="center" wrapText="1"/>
    </xf>
    <xf numFmtId="0" fontId="29" fillId="2" borderId="40" xfId="34" applyFont="1" applyFill="1" applyBorder="1" applyAlignment="1">
      <alignment horizontal="center" vertical="center" wrapText="1"/>
    </xf>
    <xf numFmtId="0" fontId="29" fillId="2" borderId="41" xfId="34" applyFont="1" applyFill="1" applyBorder="1" applyAlignment="1">
      <alignment horizontal="center" vertical="center" wrapText="1"/>
    </xf>
    <xf numFmtId="0" fontId="29" fillId="2" borderId="41" xfId="34" applyFont="1" applyFill="1" applyBorder="1" applyAlignment="1">
      <alignment horizontal="center" vertical="center"/>
    </xf>
    <xf numFmtId="0" fontId="29" fillId="2" borderId="42" xfId="34" applyFont="1" applyFill="1" applyBorder="1" applyAlignment="1">
      <alignment horizontal="center" vertical="center" wrapText="1"/>
    </xf>
    <xf numFmtId="0" fontId="1" fillId="0" borderId="0" xfId="34" applyAlignment="1">
      <alignment vertical="center" wrapText="1"/>
    </xf>
    <xf numFmtId="0" fontId="11" fillId="0" borderId="43" xfId="34" applyFont="1" applyBorder="1" applyAlignment="1">
      <alignment horizontal="center" vertical="center" wrapText="1"/>
    </xf>
    <xf numFmtId="0" fontId="11" fillId="0" borderId="36" xfId="34" applyFont="1" applyBorder="1">
      <alignment vertical="center"/>
    </xf>
    <xf numFmtId="0" fontId="25" fillId="0" borderId="2" xfId="34" applyFont="1" applyBorder="1" applyAlignment="1">
      <alignment horizontal="center" vertical="center" wrapText="1"/>
    </xf>
    <xf numFmtId="0" fontId="11" fillId="0" borderId="44" xfId="34" applyFont="1" applyBorder="1" applyAlignment="1">
      <alignment horizontal="center" vertical="center" wrapText="1"/>
    </xf>
    <xf numFmtId="0" fontId="24" fillId="0" borderId="0" xfId="34" applyFont="1" applyAlignment="1">
      <alignment horizontal="center" vertical="center"/>
    </xf>
    <xf numFmtId="0" fontId="11" fillId="0" borderId="45" xfId="34" applyFont="1" applyBorder="1" applyAlignment="1">
      <alignment horizontal="center" vertical="center" wrapText="1"/>
    </xf>
    <xf numFmtId="0" fontId="11" fillId="0" borderId="3" xfId="34" applyFont="1" applyBorder="1" applyAlignment="1">
      <alignment horizontal="center" vertical="center"/>
    </xf>
    <xf numFmtId="0" fontId="11" fillId="0" borderId="46" xfId="34" applyFont="1" applyBorder="1" applyAlignment="1">
      <alignment horizontal="center" vertical="center"/>
    </xf>
    <xf numFmtId="0" fontId="11" fillId="0" borderId="2" xfId="34" applyFont="1" applyBorder="1">
      <alignment vertical="center"/>
    </xf>
    <xf numFmtId="0" fontId="19" fillId="0" borderId="2" xfId="34" applyFont="1" applyBorder="1" applyAlignment="1">
      <alignment horizontal="center" vertical="center" wrapText="1"/>
    </xf>
    <xf numFmtId="0" fontId="11" fillId="0" borderId="44" xfId="34" applyFont="1" applyBorder="1" applyAlignment="1">
      <alignment horizontal="center" vertical="center"/>
    </xf>
    <xf numFmtId="0" fontId="11" fillId="0" borderId="47" xfId="34" applyFont="1" applyBorder="1" applyAlignment="1">
      <alignment horizontal="center" vertical="center" wrapText="1"/>
    </xf>
    <xf numFmtId="0" fontId="11" fillId="0" borderId="48" xfId="34" applyFont="1" applyBorder="1" applyAlignment="1">
      <alignment horizontal="center" vertical="center" wrapText="1"/>
    </xf>
    <xf numFmtId="0" fontId="25" fillId="0" borderId="48" xfId="34" applyFont="1" applyBorder="1" applyAlignment="1">
      <alignment horizontal="center" vertical="center" wrapText="1"/>
    </xf>
    <xf numFmtId="0" fontId="11" fillId="0" borderId="49" xfId="34" applyFont="1" applyBorder="1" applyAlignment="1">
      <alignment horizontal="center" vertical="center" wrapText="1"/>
    </xf>
    <xf numFmtId="0" fontId="11" fillId="0" borderId="48" xfId="34" applyFont="1" applyBorder="1">
      <alignment vertical="center"/>
    </xf>
    <xf numFmtId="0" fontId="11" fillId="0" borderId="50" xfId="34" applyFont="1" applyBorder="1" applyAlignment="1">
      <alignment horizontal="center" vertical="center" wrapText="1"/>
    </xf>
    <xf numFmtId="0" fontId="11" fillId="0" borderId="51" xfId="34" applyFont="1" applyBorder="1" applyAlignment="1">
      <alignment horizontal="center" vertical="center" wrapText="1"/>
    </xf>
    <xf numFmtId="0" fontId="11" fillId="0" borderId="0" xfId="34" applyFont="1" applyAlignment="1">
      <alignment horizontal="center" vertical="center" wrapText="1"/>
    </xf>
    <xf numFmtId="0" fontId="25" fillId="0" borderId="0" xfId="34" applyFont="1" applyAlignment="1">
      <alignment horizontal="center" vertical="center" wrapText="1"/>
    </xf>
    <xf numFmtId="0" fontId="19" fillId="0" borderId="0" xfId="34" applyFont="1" applyAlignment="1">
      <alignment horizontal="center" vertical="center" wrapText="1"/>
    </xf>
    <xf numFmtId="0" fontId="11" fillId="0" borderId="0" xfId="34" applyFont="1">
      <alignment vertical="center"/>
    </xf>
    <xf numFmtId="0" fontId="1" fillId="0" borderId="0" xfId="36">
      <alignment vertical="center"/>
    </xf>
    <xf numFmtId="0" fontId="30" fillId="0" borderId="0" xfId="34" applyFont="1">
      <alignment vertical="center"/>
    </xf>
    <xf numFmtId="0" fontId="1" fillId="0" borderId="0" xfId="36" applyAlignment="1">
      <alignment horizontal="center" vertical="center"/>
    </xf>
    <xf numFmtId="0" fontId="0" fillId="0" borderId="0" xfId="36" applyFont="1" applyAlignment="1">
      <alignment horizontal="center" vertical="center" wrapText="1"/>
    </xf>
    <xf numFmtId="0" fontId="1" fillId="0" borderId="0" xfId="36" applyAlignment="1">
      <alignment vertical="center" wrapText="1"/>
    </xf>
    <xf numFmtId="0" fontId="30" fillId="0" borderId="0" xfId="36" applyFont="1" applyAlignment="1">
      <alignment horizontal="center" vertical="center"/>
    </xf>
    <xf numFmtId="0" fontId="30" fillId="0" borderId="0" xfId="36" applyFont="1">
      <alignment vertical="center"/>
    </xf>
    <xf numFmtId="0" fontId="31" fillId="0" borderId="0" xfId="36" applyFont="1" applyAlignment="1">
      <alignment horizontal="center" vertical="center"/>
    </xf>
    <xf numFmtId="0" fontId="5" fillId="0" borderId="0" xfId="36" applyFont="1" applyAlignment="1">
      <alignment horizontal="center" vertical="center"/>
    </xf>
    <xf numFmtId="0" fontId="32" fillId="8" borderId="21" xfId="36" applyFont="1" applyFill="1" applyBorder="1" applyAlignment="1">
      <alignment horizontal="center" vertical="center" wrapText="1"/>
    </xf>
    <xf numFmtId="0" fontId="12" fillId="8" borderId="21" xfId="36" applyFont="1" applyFill="1" applyBorder="1" applyAlignment="1">
      <alignment horizontal="center" vertical="center" wrapText="1"/>
    </xf>
    <xf numFmtId="0" fontId="11" fillId="8" borderId="21" xfId="40" applyFont="1" applyFill="1" applyBorder="1" applyAlignment="1">
      <alignment horizontal="center" vertical="center" wrapText="1"/>
    </xf>
    <xf numFmtId="0" fontId="12" fillId="8" borderId="3" xfId="36" applyFont="1" applyFill="1" applyBorder="1" applyAlignment="1">
      <alignment horizontal="center" vertical="center" wrapText="1"/>
    </xf>
    <xf numFmtId="0" fontId="1" fillId="0" borderId="21" xfId="40" applyBorder="1">
      <alignment vertical="center"/>
    </xf>
    <xf numFmtId="0" fontId="11" fillId="8" borderId="21" xfId="40" applyFont="1" applyFill="1" applyBorder="1" applyAlignment="1">
      <alignment horizontal="center" vertical="center"/>
    </xf>
    <xf numFmtId="0" fontId="12" fillId="8" borderId="21" xfId="40" applyFont="1" applyFill="1" applyBorder="1" applyAlignment="1">
      <alignment horizontal="center" vertical="center"/>
    </xf>
    <xf numFmtId="0" fontId="33" fillId="0" borderId="3" xfId="40" applyFont="1" applyBorder="1" applyAlignment="1">
      <alignment horizontal="center" vertical="center"/>
    </xf>
    <xf numFmtId="0" fontId="33" fillId="0" borderId="4" xfId="40" applyFont="1" applyBorder="1" applyAlignment="1">
      <alignment horizontal="center" vertical="center"/>
    </xf>
    <xf numFmtId="0" fontId="35" fillId="0" borderId="21" xfId="34" applyFont="1" applyBorder="1" applyAlignment="1">
      <alignment horizontal="center" vertical="center" wrapText="1"/>
    </xf>
    <xf numFmtId="0" fontId="36" fillId="0" borderId="21" xfId="34" applyFont="1" applyBorder="1" applyAlignment="1">
      <alignment horizontal="center" vertical="center"/>
    </xf>
    <xf numFmtId="0" fontId="28" fillId="0" borderId="2" xfId="34" applyFont="1" applyBorder="1" applyAlignment="1">
      <alignment horizontal="center" vertical="center" wrapText="1"/>
    </xf>
    <xf numFmtId="0" fontId="38" fillId="0" borderId="2" xfId="34" applyFont="1" applyBorder="1" applyAlignment="1">
      <alignment horizontal="center" vertical="center" wrapText="1"/>
    </xf>
    <xf numFmtId="0" fontId="4" fillId="0" borderId="21" xfId="34" applyFont="1" applyBorder="1" applyAlignment="1">
      <alignment horizontal="center" vertical="center" wrapText="1"/>
    </xf>
    <xf numFmtId="0" fontId="37" fillId="0" borderId="21" xfId="34" applyFont="1" applyBorder="1" applyAlignment="1">
      <alignment horizontal="center" vertical="center" wrapText="1"/>
    </xf>
    <xf numFmtId="0" fontId="37" fillId="0" borderId="2" xfId="34" applyFont="1" applyBorder="1" applyAlignment="1">
      <alignment horizontal="center" vertical="center" wrapText="1"/>
    </xf>
    <xf numFmtId="0" fontId="28" fillId="0" borderId="21" xfId="34" applyFont="1" applyBorder="1" applyAlignment="1">
      <alignment horizontal="center" vertical="center" wrapText="1"/>
    </xf>
    <xf numFmtId="0" fontId="37" fillId="0" borderId="21" xfId="34" applyFont="1" applyBorder="1" applyAlignment="1">
      <alignment horizontal="center" vertical="center"/>
    </xf>
    <xf numFmtId="0" fontId="37" fillId="0" borderId="2" xfId="34" applyFont="1" applyBorder="1" applyAlignment="1">
      <alignment horizontal="center" vertical="center"/>
    </xf>
    <xf numFmtId="0" fontId="35" fillId="0" borderId="2" xfId="34" applyFont="1" applyBorder="1" applyAlignment="1">
      <alignment horizontal="center" vertical="center" wrapText="1"/>
    </xf>
    <xf numFmtId="0" fontId="28" fillId="0" borderId="2" xfId="34" applyFont="1" applyBorder="1" applyAlignment="1">
      <alignment horizontal="center" vertical="center"/>
    </xf>
    <xf numFmtId="0" fontId="36" fillId="0" borderId="2" xfId="34" applyFont="1" applyBorder="1" applyAlignment="1">
      <alignment horizontal="center" vertical="center"/>
    </xf>
    <xf numFmtId="0" fontId="1" fillId="0" borderId="36" xfId="34" applyBorder="1">
      <alignment vertical="center"/>
    </xf>
    <xf numFmtId="0" fontId="38" fillId="0" borderId="2" xfId="34" applyFont="1" applyBorder="1" applyAlignment="1">
      <alignment horizontal="center" vertical="center"/>
    </xf>
    <xf numFmtId="0" fontId="39" fillId="0" borderId="2" xfId="34" applyFont="1" applyBorder="1" applyAlignment="1">
      <alignment horizontal="center" vertical="center" wrapText="1"/>
    </xf>
    <xf numFmtId="0" fontId="40" fillId="0" borderId="21" xfId="34" applyFont="1" applyBorder="1" applyAlignment="1">
      <alignment horizontal="center" vertical="center" wrapText="1"/>
    </xf>
    <xf numFmtId="0" fontId="28" fillId="0" borderId="21" xfId="34" applyFont="1" applyBorder="1" applyAlignment="1">
      <alignment horizontal="center" vertical="center"/>
    </xf>
    <xf numFmtId="0" fontId="36" fillId="0" borderId="21" xfId="34" applyFont="1" applyBorder="1" applyAlignment="1">
      <alignment horizontal="center" vertical="center" wrapText="1"/>
    </xf>
    <xf numFmtId="0" fontId="38" fillId="0" borderId="21" xfId="34" applyFont="1" applyBorder="1" applyAlignment="1">
      <alignment horizontal="center" vertical="center" wrapText="1"/>
    </xf>
    <xf numFmtId="0" fontId="36" fillId="8" borderId="2" xfId="34" applyFont="1" applyFill="1" applyBorder="1" applyAlignment="1">
      <alignment horizontal="center" vertical="center" wrapText="1"/>
    </xf>
    <xf numFmtId="0" fontId="1" fillId="0" borderId="27" xfId="34" applyBorder="1" applyAlignment="1">
      <alignment vertical="center" wrapText="1"/>
    </xf>
    <xf numFmtId="0" fontId="5" fillId="0" borderId="46" xfId="34" applyFont="1" applyBorder="1" applyAlignment="1">
      <alignment horizontal="center" vertical="center"/>
    </xf>
    <xf numFmtId="0" fontId="5" fillId="0" borderId="2" xfId="34" applyFont="1" applyBorder="1" applyAlignment="1">
      <alignment horizontal="center" vertical="center"/>
    </xf>
    <xf numFmtId="0" fontId="1" fillId="0" borderId="21" xfId="34" applyBorder="1" applyAlignment="1">
      <alignment horizontal="center" vertical="center"/>
    </xf>
    <xf numFmtId="0" fontId="1" fillId="0" borderId="3" xfId="34" applyBorder="1" applyAlignment="1">
      <alignment horizontal="center" vertical="center"/>
    </xf>
    <xf numFmtId="0" fontId="5" fillId="0" borderId="9" xfId="34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 wrapText="1"/>
    </xf>
    <xf numFmtId="0" fontId="18" fillId="0" borderId="2" xfId="6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10" borderId="29" xfId="1" applyFont="1" applyFill="1" applyBorder="1" applyAlignment="1">
      <alignment horizontal="center" vertical="center"/>
    </xf>
    <xf numFmtId="0" fontId="11" fillId="10" borderId="9" xfId="1" applyFont="1" applyFill="1" applyBorder="1" applyAlignment="1">
      <alignment horizontal="center" vertical="center"/>
    </xf>
    <xf numFmtId="0" fontId="11" fillId="10" borderId="2" xfId="1" applyFont="1" applyFill="1" applyBorder="1" applyAlignment="1">
      <alignment horizontal="center" vertical="center" wrapText="1"/>
    </xf>
    <xf numFmtId="0" fontId="11" fillId="10" borderId="2" xfId="1" applyFont="1" applyFill="1" applyBorder="1" applyAlignment="1">
      <alignment horizontal="center" vertical="center"/>
    </xf>
    <xf numFmtId="0" fontId="11" fillId="3" borderId="32" xfId="1" applyFont="1" applyFill="1" applyBorder="1" applyAlignment="1">
      <alignment horizontal="center" vertical="center" wrapText="1"/>
    </xf>
    <xf numFmtId="0" fontId="12" fillId="8" borderId="2" xfId="3" applyFont="1" applyFill="1" applyBorder="1" applyAlignment="1">
      <alignment horizontal="center" vertical="center" wrapText="1"/>
    </xf>
    <xf numFmtId="0" fontId="8" fillId="2" borderId="53" xfId="3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1" fillId="8" borderId="2" xfId="9" applyFont="1" applyFill="1" applyBorder="1" applyAlignment="1">
      <alignment horizontal="center" vertical="center"/>
    </xf>
    <xf numFmtId="0" fontId="12" fillId="0" borderId="2" xfId="1" applyFont="1" applyBorder="1">
      <alignment vertical="center"/>
    </xf>
    <xf numFmtId="0" fontId="12" fillId="8" borderId="2" xfId="9" applyFont="1" applyFill="1" applyBorder="1" applyAlignment="1">
      <alignment horizontal="center" vertical="center"/>
    </xf>
    <xf numFmtId="0" fontId="1" fillId="0" borderId="0" xfId="42">
      <alignment vertical="center"/>
    </xf>
    <xf numFmtId="0" fontId="1" fillId="0" borderId="0" xfId="42" applyAlignment="1">
      <alignment horizontal="center" vertical="center"/>
    </xf>
    <xf numFmtId="0" fontId="5" fillId="0" borderId="0" xfId="42" applyFont="1" applyAlignment="1">
      <alignment horizontal="center" vertical="center"/>
    </xf>
    <xf numFmtId="0" fontId="30" fillId="0" borderId="0" xfId="42" applyFont="1">
      <alignment vertical="center"/>
    </xf>
    <xf numFmtId="0" fontId="1" fillId="0" borderId="0" xfId="42" applyAlignment="1">
      <alignment vertical="center" wrapText="1"/>
    </xf>
    <xf numFmtId="0" fontId="12" fillId="0" borderId="2" xfId="42" applyFont="1" applyBorder="1" applyAlignment="1">
      <alignment horizontal="center" vertical="center"/>
    </xf>
    <xf numFmtId="0" fontId="12" fillId="0" borderId="2" xfId="42" applyFont="1" applyBorder="1">
      <alignment vertical="center"/>
    </xf>
    <xf numFmtId="0" fontId="12" fillId="8" borderId="2" xfId="43" applyFont="1" applyFill="1" applyBorder="1" applyAlignment="1">
      <alignment horizontal="center" vertical="center"/>
    </xf>
    <xf numFmtId="0" fontId="11" fillId="0" borderId="2" xfId="42" applyFont="1" applyBorder="1">
      <alignment vertical="center"/>
    </xf>
    <xf numFmtId="0" fontId="11" fillId="8" borderId="2" xfId="43" applyFont="1" applyFill="1" applyBorder="1" applyAlignment="1">
      <alignment horizontal="center" vertical="center"/>
    </xf>
    <xf numFmtId="0" fontId="12" fillId="0" borderId="2" xfId="42" applyFont="1" applyBorder="1" applyAlignment="1">
      <alignment horizontal="center" vertical="center" wrapText="1"/>
    </xf>
    <xf numFmtId="0" fontId="11" fillId="0" borderId="2" xfId="42" applyFont="1" applyBorder="1" applyAlignment="1">
      <alignment horizontal="center" vertical="center" wrapText="1"/>
    </xf>
    <xf numFmtId="0" fontId="53" fillId="0" borderId="2" xfId="42" applyFont="1" applyBorder="1" applyAlignment="1">
      <alignment horizontal="center" vertical="center"/>
    </xf>
    <xf numFmtId="0" fontId="11" fillId="2" borderId="2" xfId="42" applyFont="1" applyFill="1" applyBorder="1" applyAlignment="1">
      <alignment horizontal="center" vertical="center" wrapText="1"/>
    </xf>
    <xf numFmtId="0" fontId="12" fillId="2" borderId="2" xfId="42" applyFont="1" applyFill="1" applyBorder="1" applyAlignment="1">
      <alignment horizontal="center" vertical="center" wrapText="1"/>
    </xf>
    <xf numFmtId="0" fontId="11" fillId="0" borderId="0" xfId="42" applyFont="1" applyAlignment="1">
      <alignment horizontal="center" vertical="center" wrapText="1"/>
    </xf>
    <xf numFmtId="0" fontId="11" fillId="0" borderId="0" xfId="42" applyFont="1">
      <alignment vertical="center"/>
    </xf>
    <xf numFmtId="0" fontId="19" fillId="0" borderId="0" xfId="42" applyFont="1" applyAlignment="1">
      <alignment horizontal="center" vertical="center" wrapText="1"/>
    </xf>
    <xf numFmtId="0" fontId="25" fillId="0" borderId="0" xfId="42" applyFont="1" applyAlignment="1">
      <alignment horizontal="center" vertical="center" wrapText="1"/>
    </xf>
    <xf numFmtId="0" fontId="11" fillId="0" borderId="51" xfId="42" applyFont="1" applyBorder="1" applyAlignment="1">
      <alignment horizontal="center" vertical="center" wrapText="1"/>
    </xf>
    <xf numFmtId="0" fontId="11" fillId="0" borderId="48" xfId="42" applyFont="1" applyBorder="1" applyAlignment="1">
      <alignment horizontal="center" vertical="center" wrapText="1"/>
    </xf>
    <xf numFmtId="0" fontId="11" fillId="0" borderId="50" xfId="42" applyFont="1" applyBorder="1" applyAlignment="1">
      <alignment horizontal="center" vertical="center" wrapText="1"/>
    </xf>
    <xf numFmtId="0" fontId="11" fillId="0" borderId="48" xfId="42" applyFont="1" applyBorder="1">
      <alignment vertical="center"/>
    </xf>
    <xf numFmtId="0" fontId="11" fillId="0" borderId="49" xfId="42" applyFont="1" applyBorder="1" applyAlignment="1">
      <alignment horizontal="center" vertical="center" wrapText="1"/>
    </xf>
    <xf numFmtId="0" fontId="11" fillId="0" borderId="47" xfId="42" applyFont="1" applyBorder="1" applyAlignment="1">
      <alignment horizontal="center" vertical="center" wrapText="1"/>
    </xf>
    <xf numFmtId="0" fontId="11" fillId="0" borderId="44" xfId="42" applyFont="1" applyBorder="1" applyAlignment="1">
      <alignment horizontal="center" vertical="center"/>
    </xf>
    <xf numFmtId="0" fontId="11" fillId="0" borderId="25" xfId="42" applyFont="1" applyBorder="1" applyAlignment="1">
      <alignment horizontal="center" vertical="center" wrapText="1"/>
    </xf>
    <xf numFmtId="0" fontId="19" fillId="0" borderId="2" xfId="42" applyFont="1" applyBorder="1" applyAlignment="1">
      <alignment horizontal="center" vertical="center" wrapText="1"/>
    </xf>
    <xf numFmtId="0" fontId="11" fillId="0" borderId="2" xfId="42" applyFont="1" applyBorder="1" applyAlignment="1">
      <alignment horizontal="center" vertical="center"/>
    </xf>
    <xf numFmtId="0" fontId="11" fillId="0" borderId="36" xfId="42" applyFont="1" applyBorder="1">
      <alignment vertical="center"/>
    </xf>
    <xf numFmtId="0" fontId="11" fillId="0" borderId="45" xfId="42" applyFont="1" applyBorder="1" applyAlignment="1">
      <alignment horizontal="center" vertical="center" wrapText="1"/>
    </xf>
    <xf numFmtId="0" fontId="24" fillId="0" borderId="0" xfId="42" applyFont="1">
      <alignment vertical="center"/>
    </xf>
    <xf numFmtId="0" fontId="11" fillId="0" borderId="44" xfId="42" applyFont="1" applyBorder="1" applyAlignment="1">
      <alignment horizontal="center" vertical="center" wrapText="1"/>
    </xf>
    <xf numFmtId="0" fontId="25" fillId="0" borderId="2" xfId="42" applyFont="1" applyBorder="1" applyAlignment="1">
      <alignment horizontal="center" vertical="center" wrapText="1"/>
    </xf>
    <xf numFmtId="0" fontId="11" fillId="0" borderId="46" xfId="42" applyFont="1" applyBorder="1" applyAlignment="1">
      <alignment horizontal="center" vertical="center"/>
    </xf>
    <xf numFmtId="0" fontId="11" fillId="0" borderId="3" xfId="42" applyFont="1" applyBorder="1" applyAlignment="1">
      <alignment horizontal="center" vertical="center"/>
    </xf>
    <xf numFmtId="0" fontId="24" fillId="0" borderId="0" xfId="42" applyFont="1" applyAlignment="1">
      <alignment horizontal="center" vertical="center"/>
    </xf>
    <xf numFmtId="0" fontId="11" fillId="0" borderId="17" xfId="42" applyFont="1" applyBorder="1" applyAlignment="1">
      <alignment horizontal="center" vertical="center" wrapText="1"/>
    </xf>
    <xf numFmtId="0" fontId="11" fillId="0" borderId="43" xfId="42" applyFont="1" applyBorder="1" applyAlignment="1">
      <alignment horizontal="center" vertical="center" wrapText="1"/>
    </xf>
    <xf numFmtId="0" fontId="29" fillId="2" borderId="42" xfId="42" applyFont="1" applyFill="1" applyBorder="1" applyAlignment="1">
      <alignment horizontal="center" vertical="center" wrapText="1"/>
    </xf>
    <xf numFmtId="0" fontId="29" fillId="2" borderId="41" xfId="42" applyFont="1" applyFill="1" applyBorder="1" applyAlignment="1">
      <alignment horizontal="center" vertical="center" wrapText="1"/>
    </xf>
    <xf numFmtId="0" fontId="29" fillId="2" borderId="41" xfId="42" applyFont="1" applyFill="1" applyBorder="1" applyAlignment="1">
      <alignment horizontal="center" vertical="center"/>
    </xf>
    <xf numFmtId="0" fontId="29" fillId="2" borderId="40" xfId="42" applyFont="1" applyFill="1" applyBorder="1" applyAlignment="1">
      <alignment horizontal="center" vertical="center" wrapText="1"/>
    </xf>
    <xf numFmtId="0" fontId="20" fillId="0" borderId="0" xfId="42" applyFont="1" applyAlignment="1">
      <alignment horizontal="center" vertical="center" wrapText="1"/>
    </xf>
    <xf numFmtId="0" fontId="28" fillId="0" borderId="0" xfId="42" applyFont="1" applyAlignment="1">
      <alignment horizontal="center" vertical="center"/>
    </xf>
    <xf numFmtId="0" fontId="27" fillId="0" borderId="0" xfId="42" applyFont="1" applyAlignment="1">
      <alignment horizontal="center" vertical="center" wrapText="1"/>
    </xf>
    <xf numFmtId="0" fontId="26" fillId="7" borderId="37" xfId="42" applyFont="1" applyFill="1" applyBorder="1" applyAlignment="1">
      <alignment horizontal="center" vertical="center" wrapText="1"/>
    </xf>
    <xf numFmtId="0" fontId="11" fillId="7" borderId="37" xfId="42" applyFont="1" applyFill="1" applyBorder="1" applyAlignment="1">
      <alignment horizontal="center" vertical="center" wrapText="1"/>
    </xf>
    <xf numFmtId="0" fontId="11" fillId="7" borderId="23" xfId="42" applyFont="1" applyFill="1" applyBorder="1" applyAlignment="1">
      <alignment horizontal="center" vertical="center" wrapText="1"/>
    </xf>
    <xf numFmtId="0" fontId="11" fillId="7" borderId="37" xfId="42" applyFont="1" applyFill="1" applyBorder="1" applyAlignment="1">
      <alignment horizontal="center" vertical="center"/>
    </xf>
    <xf numFmtId="0" fontId="11" fillId="7" borderId="39" xfId="42" applyFont="1" applyFill="1" applyBorder="1" applyAlignment="1">
      <alignment horizontal="center" vertical="center" wrapText="1"/>
    </xf>
    <xf numFmtId="0" fontId="9" fillId="7" borderId="37" xfId="42" applyFont="1" applyFill="1" applyBorder="1" applyAlignment="1">
      <alignment horizontal="center" vertical="center" wrapText="1"/>
    </xf>
    <xf numFmtId="0" fontId="7" fillId="0" borderId="23" xfId="42" applyFont="1" applyBorder="1" applyAlignment="1">
      <alignment horizontal="center" vertical="center"/>
    </xf>
    <xf numFmtId="0" fontId="11" fillId="9" borderId="29" xfId="42" applyFont="1" applyFill="1" applyBorder="1" applyAlignment="1">
      <alignment horizontal="center" vertical="center" wrapText="1"/>
    </xf>
    <xf numFmtId="0" fontId="11" fillId="0" borderId="29" xfId="42" applyFont="1" applyBorder="1" applyAlignment="1">
      <alignment horizontal="center" vertical="center" wrapText="1"/>
    </xf>
    <xf numFmtId="0" fontId="11" fillId="0" borderId="29" xfId="42" applyFont="1" applyBorder="1" applyAlignment="1">
      <alignment horizontal="center" vertical="center"/>
    </xf>
    <xf numFmtId="0" fontId="26" fillId="6" borderId="29" xfId="42" applyFont="1" applyFill="1" applyBorder="1" applyAlignment="1">
      <alignment horizontal="center" vertical="center" wrapText="1"/>
    </xf>
    <xf numFmtId="0" fontId="9" fillId="0" borderId="29" xfId="42" applyFont="1" applyBorder="1" applyAlignment="1">
      <alignment horizontal="center" vertical="center" wrapText="1"/>
    </xf>
    <xf numFmtId="0" fontId="7" fillId="0" borderId="29" xfId="42" applyFont="1" applyBorder="1" applyAlignment="1">
      <alignment horizontal="center" vertical="center"/>
    </xf>
    <xf numFmtId="0" fontId="11" fillId="9" borderId="2" xfId="42" applyFont="1" applyFill="1" applyBorder="1" applyAlignment="1">
      <alignment horizontal="center" vertical="center" wrapText="1"/>
    </xf>
    <xf numFmtId="0" fontId="7" fillId="0" borderId="2" xfId="42" applyFont="1" applyBorder="1" applyAlignment="1">
      <alignment horizontal="center" vertical="center"/>
    </xf>
    <xf numFmtId="0" fontId="11" fillId="0" borderId="32" xfId="42" applyFont="1" applyBorder="1" applyAlignment="1">
      <alignment horizontal="center" vertical="center" wrapText="1"/>
    </xf>
    <xf numFmtId="0" fontId="11" fillId="0" borderId="32" xfId="42" applyFont="1" applyBorder="1" applyAlignment="1">
      <alignment horizontal="center" vertical="center"/>
    </xf>
    <xf numFmtId="0" fontId="11" fillId="0" borderId="1" xfId="42" applyFont="1" applyBorder="1" applyAlignment="1">
      <alignment horizontal="center" vertical="center" wrapText="1"/>
    </xf>
    <xf numFmtId="0" fontId="11" fillId="3" borderId="32" xfId="42" applyFont="1" applyFill="1" applyBorder="1" applyAlignment="1">
      <alignment horizontal="center" vertical="center" wrapText="1"/>
    </xf>
    <xf numFmtId="0" fontId="7" fillId="0" borderId="1" xfId="42" applyFont="1" applyBorder="1" applyAlignment="1">
      <alignment horizontal="center" vertical="center"/>
    </xf>
    <xf numFmtId="0" fontId="11" fillId="0" borderId="37" xfId="42" applyFont="1" applyBorder="1" applyAlignment="1">
      <alignment horizontal="center" vertical="center" wrapText="1"/>
    </xf>
    <xf numFmtId="0" fontId="11" fillId="0" borderId="5" xfId="42" applyFont="1" applyBorder="1" applyAlignment="1">
      <alignment horizontal="center" vertical="center" wrapText="1"/>
    </xf>
    <xf numFmtId="0" fontId="11" fillId="0" borderId="37" xfId="42" applyFont="1" applyBorder="1" applyAlignment="1">
      <alignment horizontal="center" vertical="center"/>
    </xf>
    <xf numFmtId="0" fontId="23" fillId="0" borderId="5" xfId="42" applyFont="1" applyBorder="1" applyAlignment="1">
      <alignment horizontal="center" vertical="center" wrapText="1"/>
    </xf>
    <xf numFmtId="0" fontId="11" fillId="0" borderId="5" xfId="42" applyFont="1" applyBorder="1" applyAlignment="1">
      <alignment horizontal="center" vertical="center"/>
    </xf>
    <xf numFmtId="0" fontId="20" fillId="0" borderId="11" xfId="42" applyFont="1" applyBorder="1" applyAlignment="1">
      <alignment horizontal="center" vertical="center" wrapText="1"/>
    </xf>
    <xf numFmtId="0" fontId="20" fillId="0" borderId="10" xfId="42" applyFont="1" applyBorder="1" applyAlignment="1">
      <alignment horizontal="center" vertical="center" wrapText="1"/>
    </xf>
    <xf numFmtId="0" fontId="9" fillId="0" borderId="5" xfId="42" applyFont="1" applyBorder="1" applyAlignment="1">
      <alignment horizontal="center" vertical="center" wrapText="1"/>
    </xf>
    <xf numFmtId="0" fontId="6" fillId="0" borderId="37" xfId="42" applyFont="1" applyBorder="1" applyAlignment="1">
      <alignment horizontal="center" vertical="center"/>
    </xf>
    <xf numFmtId="0" fontId="11" fillId="0" borderId="9" xfId="42" applyFont="1" applyBorder="1" applyAlignment="1">
      <alignment horizontal="center" vertical="center" wrapText="1"/>
    </xf>
    <xf numFmtId="0" fontId="11" fillId="0" borderId="36" xfId="42" applyFont="1" applyBorder="1" applyAlignment="1">
      <alignment horizontal="center" vertical="center"/>
    </xf>
    <xf numFmtId="0" fontId="6" fillId="0" borderId="29" xfId="42" applyFont="1" applyBorder="1" applyAlignment="1">
      <alignment horizontal="center" vertical="center"/>
    </xf>
    <xf numFmtId="0" fontId="23" fillId="0" borderId="9" xfId="42" applyFont="1" applyBorder="1" applyAlignment="1">
      <alignment horizontal="center" vertical="center" wrapText="1"/>
    </xf>
    <xf numFmtId="0" fontId="11" fillId="0" borderId="0" xfId="42" applyFont="1" applyAlignment="1">
      <alignment horizontal="center" vertical="center"/>
    </xf>
    <xf numFmtId="0" fontId="23" fillId="9" borderId="9" xfId="42" applyFont="1" applyFill="1" applyBorder="1" applyAlignment="1">
      <alignment horizontal="center" vertical="center"/>
    </xf>
    <xf numFmtId="0" fontId="20" fillId="0" borderId="26" xfId="42" applyFont="1" applyBorder="1" applyAlignment="1">
      <alignment horizontal="center" vertical="center" wrapText="1"/>
    </xf>
    <xf numFmtId="0" fontId="22" fillId="0" borderId="9" xfId="42" applyFont="1" applyBorder="1" applyAlignment="1">
      <alignment horizontal="center" vertical="center"/>
    </xf>
    <xf numFmtId="0" fontId="23" fillId="0" borderId="29" xfId="42" applyFont="1" applyBorder="1" applyAlignment="1">
      <alignment horizontal="center" vertical="center" wrapText="1"/>
    </xf>
    <xf numFmtId="0" fontId="23" fillId="9" borderId="29" xfId="42" applyFont="1" applyFill="1" applyBorder="1" applyAlignment="1">
      <alignment horizontal="center" vertical="center"/>
    </xf>
    <xf numFmtId="0" fontId="23" fillId="9" borderId="29" xfId="42" applyFont="1" applyFill="1" applyBorder="1" applyAlignment="1">
      <alignment horizontal="center" vertical="center" wrapText="1"/>
    </xf>
    <xf numFmtId="0" fontId="19" fillId="0" borderId="29" xfId="45" applyFont="1" applyBorder="1" applyAlignment="1">
      <alignment horizontal="center" vertical="center" wrapText="1"/>
    </xf>
    <xf numFmtId="0" fontId="19" fillId="0" borderId="29" xfId="46" applyFont="1" applyBorder="1" applyAlignment="1">
      <alignment horizontal="center" vertical="center" wrapText="1"/>
    </xf>
    <xf numFmtId="0" fontId="6" fillId="0" borderId="35" xfId="42" applyFont="1" applyBorder="1" applyAlignment="1">
      <alignment horizontal="center" vertical="center"/>
    </xf>
    <xf numFmtId="0" fontId="23" fillId="0" borderId="2" xfId="42" applyFont="1" applyBorder="1" applyAlignment="1">
      <alignment horizontal="center" vertical="center" wrapText="1"/>
    </xf>
    <xf numFmtId="0" fontId="19" fillId="0" borderId="2" xfId="46" applyFont="1" applyBorder="1" applyAlignment="1">
      <alignment horizontal="center" vertical="center"/>
    </xf>
    <xf numFmtId="0" fontId="19" fillId="0" borderId="2" xfId="45" applyFont="1" applyBorder="1" applyAlignment="1">
      <alignment horizontal="center" vertical="center" wrapText="1"/>
    </xf>
    <xf numFmtId="0" fontId="20" fillId="0" borderId="2" xfId="42" applyFont="1" applyBorder="1" applyAlignment="1">
      <alignment horizontal="center" vertical="center" wrapText="1"/>
    </xf>
    <xf numFmtId="0" fontId="6" fillId="0" borderId="9" xfId="42" applyFont="1" applyBorder="1" applyAlignment="1">
      <alignment horizontal="center" vertical="center"/>
    </xf>
    <xf numFmtId="0" fontId="51" fillId="4" borderId="2" xfId="42" applyFont="1" applyFill="1" applyBorder="1" applyAlignment="1">
      <alignment horizontal="center" vertical="center" wrapText="1"/>
    </xf>
    <xf numFmtId="0" fontId="23" fillId="4" borderId="2" xfId="42" applyFont="1" applyFill="1" applyBorder="1" applyAlignment="1">
      <alignment horizontal="center" vertical="center" wrapText="1"/>
    </xf>
    <xf numFmtId="0" fontId="51" fillId="4" borderId="9" xfId="42" applyFont="1" applyFill="1" applyBorder="1" applyAlignment="1">
      <alignment horizontal="center" vertical="center" wrapText="1"/>
    </xf>
    <xf numFmtId="0" fontId="12" fillId="4" borderId="2" xfId="42" applyFont="1" applyFill="1" applyBorder="1" applyAlignment="1">
      <alignment horizontal="center" vertical="center" wrapText="1"/>
    </xf>
    <xf numFmtId="0" fontId="51" fillId="4" borderId="2" xfId="42" applyFont="1" applyFill="1" applyBorder="1" applyAlignment="1">
      <alignment horizontal="center" vertical="center"/>
    </xf>
    <xf numFmtId="0" fontId="4" fillId="4" borderId="2" xfId="42" applyFont="1" applyFill="1" applyBorder="1" applyAlignment="1">
      <alignment horizontal="center" vertical="center" wrapText="1"/>
    </xf>
    <xf numFmtId="0" fontId="23" fillId="0" borderId="21" xfId="42" applyFont="1" applyBorder="1" applyAlignment="1">
      <alignment horizontal="center" vertical="center"/>
    </xf>
    <xf numFmtId="0" fontId="4" fillId="0" borderId="2" xfId="42" applyFont="1" applyBorder="1" applyAlignment="1">
      <alignment horizontal="center" vertical="center" wrapText="1"/>
    </xf>
    <xf numFmtId="0" fontId="51" fillId="4" borderId="9" xfId="3" applyFont="1" applyFill="1" applyBorder="1" applyAlignment="1">
      <alignment horizontal="center" vertical="center" wrapText="1"/>
    </xf>
    <xf numFmtId="0" fontId="12" fillId="4" borderId="9" xfId="42" applyFont="1" applyFill="1" applyBorder="1" applyAlignment="1">
      <alignment horizontal="center" vertical="center" wrapText="1"/>
    </xf>
    <xf numFmtId="0" fontId="23" fillId="4" borderId="9" xfId="42" applyFont="1" applyFill="1" applyBorder="1" applyAlignment="1">
      <alignment horizontal="center" vertical="center"/>
    </xf>
    <xf numFmtId="0" fontId="51" fillId="4" borderId="5" xfId="42" applyFont="1" applyFill="1" applyBorder="1" applyAlignment="1">
      <alignment horizontal="center" vertical="center"/>
    </xf>
    <xf numFmtId="0" fontId="9" fillId="4" borderId="17" xfId="42" applyFont="1" applyFill="1" applyBorder="1" applyAlignment="1">
      <alignment horizontal="center" vertical="center" wrapText="1"/>
    </xf>
    <xf numFmtId="0" fontId="20" fillId="4" borderId="2" xfId="42" applyFont="1" applyFill="1" applyBorder="1" applyAlignment="1">
      <alignment horizontal="center" vertical="center" wrapText="1"/>
    </xf>
    <xf numFmtId="0" fontId="12" fillId="0" borderId="5" xfId="42" applyFont="1" applyBorder="1" applyAlignment="1">
      <alignment horizontal="center" vertical="center"/>
    </xf>
    <xf numFmtId="0" fontId="12" fillId="0" borderId="1" xfId="42" applyFont="1" applyBorder="1" applyAlignment="1">
      <alignment horizontal="center" vertical="center"/>
    </xf>
    <xf numFmtId="0" fontId="12" fillId="0" borderId="32" xfId="42" applyFont="1" applyBorder="1" applyAlignment="1">
      <alignment horizontal="center" vertical="center" wrapText="1"/>
    </xf>
    <xf numFmtId="0" fontId="12" fillId="0" borderId="21" xfId="42" applyFont="1" applyBorder="1" applyAlignment="1">
      <alignment horizontal="center" vertical="center"/>
    </xf>
    <xf numFmtId="0" fontId="23" fillId="0" borderId="32" xfId="42" applyFont="1" applyBorder="1" applyAlignment="1">
      <alignment horizontal="center" vertical="center" wrapText="1"/>
    </xf>
    <xf numFmtId="0" fontId="20" fillId="0" borderId="32" xfId="42" applyFont="1" applyBorder="1" applyAlignment="1">
      <alignment horizontal="center" vertical="center" wrapText="1"/>
    </xf>
    <xf numFmtId="0" fontId="6" fillId="0" borderId="32" xfId="42" applyFont="1" applyBorder="1" applyAlignment="1">
      <alignment horizontal="center" vertical="center"/>
    </xf>
    <xf numFmtId="0" fontId="19" fillId="0" borderId="28" xfId="47" applyFont="1" applyBorder="1" applyAlignment="1">
      <alignment horizontal="center" vertical="center" wrapText="1"/>
    </xf>
    <xf numFmtId="0" fontId="6" fillId="0" borderId="2" xfId="42" applyFont="1" applyBorder="1" applyAlignment="1">
      <alignment horizontal="center" vertical="center"/>
    </xf>
    <xf numFmtId="0" fontId="19" fillId="0" borderId="2" xfId="47" applyFont="1" applyBorder="1" applyAlignment="1">
      <alignment horizontal="center" vertical="center" wrapText="1"/>
    </xf>
    <xf numFmtId="0" fontId="19" fillId="0" borderId="21" xfId="47" applyFont="1" applyBorder="1" applyAlignment="1">
      <alignment horizontal="center" vertical="center" wrapText="1"/>
    </xf>
    <xf numFmtId="0" fontId="9" fillId="0" borderId="9" xfId="42" applyFont="1" applyBorder="1" applyAlignment="1">
      <alignment horizontal="center" vertical="center" wrapText="1"/>
    </xf>
    <xf numFmtId="0" fontId="11" fillId="3" borderId="2" xfId="42" applyFont="1" applyFill="1" applyBorder="1" applyAlignment="1">
      <alignment horizontal="center" vertical="center" wrapText="1"/>
    </xf>
    <xf numFmtId="0" fontId="4" fillId="0" borderId="9" xfId="42" applyFont="1" applyBorder="1" applyAlignment="1">
      <alignment horizontal="center" vertical="center" wrapText="1"/>
    </xf>
    <xf numFmtId="0" fontId="18" fillId="0" borderId="2" xfId="48" applyFont="1" applyBorder="1" applyAlignment="1">
      <alignment horizontal="center" vertical="center"/>
    </xf>
    <xf numFmtId="0" fontId="11" fillId="0" borderId="17" xfId="48" applyFont="1" applyBorder="1" applyAlignment="1">
      <alignment horizontal="center" vertical="center" wrapText="1"/>
    </xf>
    <xf numFmtId="0" fontId="11" fillId="0" borderId="2" xfId="48" applyFont="1" applyBorder="1" applyAlignment="1">
      <alignment horizontal="center" vertical="center"/>
    </xf>
    <xf numFmtId="0" fontId="9" fillId="0" borderId="2" xfId="42" applyFont="1" applyBorder="1" applyAlignment="1">
      <alignment horizontal="center" vertical="center" wrapText="1"/>
    </xf>
    <xf numFmtId="0" fontId="23" fillId="9" borderId="9" xfId="42" applyFont="1" applyFill="1" applyBorder="1" applyAlignment="1">
      <alignment horizontal="center" vertical="center" wrapText="1"/>
    </xf>
    <xf numFmtId="0" fontId="11" fillId="0" borderId="17" xfId="42" applyFont="1" applyBorder="1" applyAlignment="1">
      <alignment horizontal="center" vertical="center"/>
    </xf>
    <xf numFmtId="0" fontId="12" fillId="3" borderId="21" xfId="42" applyFont="1" applyFill="1" applyBorder="1" applyAlignment="1">
      <alignment horizontal="center" vertical="center"/>
    </xf>
    <xf numFmtId="0" fontId="23" fillId="0" borderId="2" xfId="42" applyFont="1" applyBorder="1" applyAlignment="1">
      <alignment horizontal="center" vertical="center"/>
    </xf>
    <xf numFmtId="176" fontId="8" fillId="0" borderId="0" xfId="42" applyNumberFormat="1" applyFont="1" applyAlignment="1">
      <alignment horizontal="center" vertical="center" wrapText="1"/>
    </xf>
    <xf numFmtId="0" fontId="6" fillId="2" borderId="2" xfId="42" applyFont="1" applyFill="1" applyBorder="1" applyAlignment="1">
      <alignment horizontal="center" vertical="center" wrapText="1"/>
    </xf>
    <xf numFmtId="0" fontId="7" fillId="2" borderId="2" xfId="42" applyFont="1" applyFill="1" applyBorder="1" applyAlignment="1">
      <alignment horizontal="center" vertical="center"/>
    </xf>
    <xf numFmtId="0" fontId="6" fillId="2" borderId="2" xfId="42" applyFont="1" applyFill="1" applyBorder="1" applyAlignment="1">
      <alignment horizontal="left" vertical="center" wrapText="1"/>
    </xf>
    <xf numFmtId="0" fontId="6" fillId="2" borderId="2" xfId="42" applyFont="1" applyFill="1" applyBorder="1" applyAlignment="1">
      <alignment horizontal="center" vertical="center"/>
    </xf>
    <xf numFmtId="0" fontId="11" fillId="3" borderId="29" xfId="1" applyFont="1" applyFill="1" applyBorder="1" applyAlignment="1">
      <alignment horizontal="center" vertical="center" wrapText="1"/>
    </xf>
    <xf numFmtId="0" fontId="11" fillId="7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 wrapText="1"/>
    </xf>
    <xf numFmtId="0" fontId="20" fillId="7" borderId="2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20" fillId="7" borderId="26" xfId="1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 wrapText="1"/>
    </xf>
    <xf numFmtId="0" fontId="11" fillId="3" borderId="29" xfId="1" applyFont="1" applyFill="1" applyBorder="1" applyAlignment="1">
      <alignment horizontal="center" vertical="center"/>
    </xf>
    <xf numFmtId="0" fontId="11" fillId="11" borderId="2" xfId="1" applyFont="1" applyFill="1" applyBorder="1" applyAlignment="1">
      <alignment horizontal="center" vertical="center" wrapText="1"/>
    </xf>
    <xf numFmtId="0" fontId="12" fillId="11" borderId="5" xfId="1" applyFont="1" applyFill="1" applyBorder="1" applyAlignment="1">
      <alignment horizontal="center" vertical="center"/>
    </xf>
    <xf numFmtId="0" fontId="11" fillId="10" borderId="29" xfId="3" applyFont="1" applyFill="1" applyBorder="1" applyAlignment="1">
      <alignment horizontal="center" vertical="center" wrapText="1"/>
    </xf>
    <xf numFmtId="0" fontId="11" fillId="10" borderId="9" xfId="1" applyFont="1" applyFill="1" applyBorder="1" applyAlignment="1">
      <alignment horizontal="center" vertical="center" wrapText="1"/>
    </xf>
    <xf numFmtId="0" fontId="23" fillId="10" borderId="9" xfId="1" applyFont="1" applyFill="1" applyBorder="1" applyAlignment="1">
      <alignment horizontal="center" vertical="center" wrapText="1"/>
    </xf>
    <xf numFmtId="0" fontId="23" fillId="10" borderId="29" xfId="1" applyFont="1" applyFill="1" applyBorder="1" applyAlignment="1">
      <alignment horizontal="center" vertical="center"/>
    </xf>
    <xf numFmtId="0" fontId="23" fillId="10" borderId="2" xfId="1" applyFont="1" applyFill="1" applyBorder="1" applyAlignment="1">
      <alignment horizontal="center" vertical="center" wrapText="1"/>
    </xf>
    <xf numFmtId="0" fontId="12" fillId="10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2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left" vertical="center"/>
    </xf>
    <xf numFmtId="0" fontId="15" fillId="0" borderId="23" xfId="1" applyFont="1" applyBorder="1" applyAlignment="1">
      <alignment horizontal="left" vertical="center"/>
    </xf>
    <xf numFmtId="0" fontId="15" fillId="0" borderId="24" xfId="1" applyFont="1" applyBorder="1" applyAlignment="1">
      <alignment horizontal="left" vertical="center"/>
    </xf>
    <xf numFmtId="0" fontId="15" fillId="0" borderId="6" xfId="5" applyFont="1" applyBorder="1" applyAlignment="1">
      <alignment horizontal="left" vertical="center" wrapText="1"/>
    </xf>
    <xf numFmtId="0" fontId="15" fillId="0" borderId="7" xfId="5" applyFont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 wrapText="1"/>
    </xf>
    <xf numFmtId="0" fontId="16" fillId="0" borderId="12" xfId="5" applyFont="1" applyBorder="1" applyAlignment="1">
      <alignment horizontal="left" vertical="center" wrapText="1"/>
    </xf>
    <xf numFmtId="0" fontId="16" fillId="0" borderId="13" xfId="5" applyFont="1" applyBorder="1" applyAlignment="1">
      <alignment horizontal="left" vertical="center" wrapText="1"/>
    </xf>
    <xf numFmtId="0" fontId="16" fillId="0" borderId="14" xfId="5" applyFont="1" applyBorder="1" applyAlignment="1">
      <alignment horizontal="left" vertical="center" wrapText="1"/>
    </xf>
    <xf numFmtId="0" fontId="16" fillId="0" borderId="15" xfId="5" applyFont="1" applyBorder="1" applyAlignment="1">
      <alignment horizontal="left" vertical="center" wrapText="1"/>
    </xf>
    <xf numFmtId="0" fontId="16" fillId="0" borderId="0" xfId="5" applyFont="1" applyAlignment="1">
      <alignment horizontal="left" vertical="center" wrapText="1"/>
    </xf>
    <xf numFmtId="0" fontId="16" fillId="0" borderId="16" xfId="5" applyFont="1" applyBorder="1" applyAlignment="1">
      <alignment horizontal="left" vertical="center" wrapText="1"/>
    </xf>
    <xf numFmtId="0" fontId="16" fillId="0" borderId="18" xfId="5" applyFont="1" applyBorder="1" applyAlignment="1">
      <alignment horizontal="left" vertical="center" wrapText="1"/>
    </xf>
    <xf numFmtId="0" fontId="16" fillId="0" borderId="19" xfId="5" applyFont="1" applyBorder="1" applyAlignment="1">
      <alignment horizontal="left" vertical="center" wrapText="1"/>
    </xf>
    <xf numFmtId="0" fontId="16" fillId="0" borderId="20" xfId="5" applyFont="1" applyBorder="1" applyAlignment="1">
      <alignment horizontal="left" vertical="center" wrapText="1"/>
    </xf>
    <xf numFmtId="0" fontId="15" fillId="0" borderId="22" xfId="5" applyFont="1" applyBorder="1" applyAlignment="1">
      <alignment horizontal="left" vertical="center" wrapText="1"/>
    </xf>
    <xf numFmtId="0" fontId="15" fillId="0" borderId="23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 wrapText="1"/>
    </xf>
    <xf numFmtId="0" fontId="17" fillId="0" borderId="12" xfId="5" applyFont="1" applyBorder="1" applyAlignment="1">
      <alignment horizontal="left" vertical="center" wrapText="1"/>
    </xf>
    <xf numFmtId="0" fontId="17" fillId="0" borderId="13" xfId="5" applyFont="1" applyBorder="1" applyAlignment="1">
      <alignment horizontal="left" vertical="center" wrapText="1"/>
    </xf>
    <xf numFmtId="0" fontId="17" fillId="0" borderId="14" xfId="5" applyFont="1" applyBorder="1" applyAlignment="1">
      <alignment horizontal="left" vertical="center" wrapText="1"/>
    </xf>
    <xf numFmtId="0" fontId="17" fillId="0" borderId="15" xfId="5" applyFont="1" applyBorder="1" applyAlignment="1">
      <alignment horizontal="left" vertical="center" wrapText="1"/>
    </xf>
    <xf numFmtId="0" fontId="17" fillId="0" borderId="0" xfId="5" applyFont="1" applyAlignment="1">
      <alignment horizontal="left" vertical="center" wrapText="1"/>
    </xf>
    <xf numFmtId="0" fontId="17" fillId="0" borderId="16" xfId="5" applyFont="1" applyBorder="1" applyAlignment="1">
      <alignment horizontal="left" vertical="center" wrapText="1"/>
    </xf>
    <xf numFmtId="0" fontId="17" fillId="0" borderId="18" xfId="5" applyFont="1" applyBorder="1" applyAlignment="1">
      <alignment horizontal="left" vertical="center" wrapText="1"/>
    </xf>
    <xf numFmtId="0" fontId="17" fillId="0" borderId="19" xfId="5" applyFont="1" applyBorder="1" applyAlignment="1">
      <alignment horizontal="left" vertical="center" wrapText="1"/>
    </xf>
    <xf numFmtId="0" fontId="17" fillId="0" borderId="20" xfId="5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30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33" xfId="3" applyFont="1" applyBorder="1" applyAlignment="1">
      <alignment horizontal="center" vertical="center" wrapText="1"/>
    </xf>
    <xf numFmtId="0" fontId="9" fillId="0" borderId="34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9" fillId="0" borderId="30" xfId="3" applyFont="1" applyBorder="1" applyAlignment="1">
      <alignment horizontal="center" vertical="center" wrapText="1"/>
    </xf>
    <xf numFmtId="0" fontId="9" fillId="0" borderId="31" xfId="3" applyFont="1" applyBorder="1" applyAlignment="1">
      <alignment horizontal="center" vertical="center" wrapText="1"/>
    </xf>
    <xf numFmtId="0" fontId="26" fillId="6" borderId="28" xfId="1" applyFont="1" applyFill="1" applyBorder="1" applyAlignment="1">
      <alignment horizontal="center" vertical="center" wrapText="1"/>
    </xf>
    <xf numFmtId="0" fontId="26" fillId="6" borderId="38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6" fillId="0" borderId="12" xfId="5" applyFont="1" applyBorder="1" applyAlignment="1">
      <alignment horizontal="left" vertical="center" wrapText="1" indent="1"/>
    </xf>
    <xf numFmtId="0" fontId="16" fillId="0" borderId="13" xfId="5" applyFont="1" applyBorder="1" applyAlignment="1">
      <alignment horizontal="left" vertical="center" wrapText="1" indent="1"/>
    </xf>
    <xf numFmtId="0" fontId="16" fillId="0" borderId="14" xfId="5" applyFont="1" applyBorder="1" applyAlignment="1">
      <alignment horizontal="left" vertical="center" wrapText="1" indent="1"/>
    </xf>
    <xf numFmtId="0" fontId="16" fillId="0" borderId="15" xfId="5" applyFont="1" applyBorder="1" applyAlignment="1">
      <alignment horizontal="left" vertical="center" wrapText="1" indent="1"/>
    </xf>
    <xf numFmtId="0" fontId="16" fillId="0" borderId="0" xfId="5" applyFont="1" applyAlignment="1">
      <alignment horizontal="left" vertical="center" wrapText="1" indent="1"/>
    </xf>
    <xf numFmtId="0" fontId="16" fillId="0" borderId="16" xfId="5" applyFont="1" applyBorder="1" applyAlignment="1">
      <alignment horizontal="left" vertical="center" wrapText="1" indent="1"/>
    </xf>
    <xf numFmtId="0" fontId="16" fillId="0" borderId="18" xfId="5" applyFont="1" applyBorder="1" applyAlignment="1">
      <alignment horizontal="left" vertical="center" wrapText="1" indent="1"/>
    </xf>
    <xf numFmtId="0" fontId="16" fillId="0" borderId="19" xfId="5" applyFont="1" applyBorder="1" applyAlignment="1">
      <alignment horizontal="left" vertical="center" wrapText="1" indent="1"/>
    </xf>
    <xf numFmtId="0" fontId="16" fillId="0" borderId="20" xfId="5" applyFont="1" applyBorder="1" applyAlignment="1">
      <alignment horizontal="left" vertical="center" wrapText="1" inden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15" fillId="0" borderId="22" xfId="11" applyFont="1" applyBorder="1" applyAlignment="1">
      <alignment horizontal="left" vertical="center"/>
    </xf>
    <xf numFmtId="0" fontId="15" fillId="0" borderId="23" xfId="11" applyFont="1" applyBorder="1" applyAlignment="1">
      <alignment horizontal="left" vertical="center"/>
    </xf>
    <xf numFmtId="0" fontId="15" fillId="0" borderId="24" xfId="11" applyFont="1" applyBorder="1" applyAlignment="1">
      <alignment horizontal="left" vertical="center"/>
    </xf>
    <xf numFmtId="0" fontId="15" fillId="0" borderId="6" xfId="12" applyFont="1" applyBorder="1" applyAlignment="1">
      <alignment horizontal="left" vertical="center" wrapText="1"/>
    </xf>
    <xf numFmtId="0" fontId="15" fillId="0" borderId="7" xfId="12" applyFont="1" applyBorder="1" applyAlignment="1">
      <alignment horizontal="left" vertical="center" wrapText="1"/>
    </xf>
    <xf numFmtId="0" fontId="15" fillId="0" borderId="8" xfId="12" applyFont="1" applyBorder="1" applyAlignment="1">
      <alignment horizontal="left" vertical="center" wrapText="1"/>
    </xf>
    <xf numFmtId="0" fontId="16" fillId="0" borderId="12" xfId="12" applyFont="1" applyBorder="1" applyAlignment="1">
      <alignment horizontal="left" vertical="center" wrapText="1"/>
    </xf>
    <xf numFmtId="0" fontId="16" fillId="0" borderId="13" xfId="12" applyFont="1" applyBorder="1" applyAlignment="1">
      <alignment horizontal="left" vertical="center" wrapText="1"/>
    </xf>
    <xf numFmtId="0" fontId="16" fillId="0" borderId="14" xfId="12" applyFont="1" applyBorder="1" applyAlignment="1">
      <alignment horizontal="left" vertical="center" wrapText="1"/>
    </xf>
    <xf numFmtId="0" fontId="16" fillId="0" borderId="15" xfId="12" applyFont="1" applyBorder="1" applyAlignment="1">
      <alignment horizontal="left" vertical="center" wrapText="1"/>
    </xf>
    <xf numFmtId="0" fontId="16" fillId="0" borderId="0" xfId="12" applyFont="1" applyAlignment="1">
      <alignment horizontal="left" vertical="center" wrapText="1"/>
    </xf>
    <xf numFmtId="0" fontId="16" fillId="0" borderId="16" xfId="12" applyFont="1" applyBorder="1" applyAlignment="1">
      <alignment horizontal="left" vertical="center" wrapText="1"/>
    </xf>
    <xf numFmtId="0" fontId="16" fillId="0" borderId="18" xfId="12" applyFont="1" applyBorder="1" applyAlignment="1">
      <alignment horizontal="left" vertical="center" wrapText="1"/>
    </xf>
    <xf numFmtId="0" fontId="16" fillId="0" borderId="19" xfId="12" applyFont="1" applyBorder="1" applyAlignment="1">
      <alignment horizontal="left" vertical="center" wrapText="1"/>
    </xf>
    <xf numFmtId="0" fontId="16" fillId="0" borderId="20" xfId="12" applyFont="1" applyBorder="1" applyAlignment="1">
      <alignment horizontal="left" vertical="center" wrapText="1"/>
    </xf>
    <xf numFmtId="0" fontId="15" fillId="0" borderId="22" xfId="12" applyFont="1" applyBorder="1" applyAlignment="1">
      <alignment horizontal="left" vertical="center" wrapText="1"/>
    </xf>
    <xf numFmtId="0" fontId="15" fillId="0" borderId="23" xfId="12" applyFont="1" applyBorder="1" applyAlignment="1">
      <alignment horizontal="left" vertical="center" wrapText="1"/>
    </xf>
    <xf numFmtId="0" fontId="15" fillId="0" borderId="24" xfId="12" applyFont="1" applyBorder="1" applyAlignment="1">
      <alignment horizontal="left" vertical="center" wrapText="1"/>
    </xf>
    <xf numFmtId="0" fontId="17" fillId="0" borderId="12" xfId="12" applyFont="1" applyBorder="1" applyAlignment="1">
      <alignment horizontal="left" vertical="center" wrapText="1"/>
    </xf>
    <xf numFmtId="0" fontId="17" fillId="0" borderId="13" xfId="12" applyFont="1" applyBorder="1" applyAlignment="1">
      <alignment horizontal="left" vertical="center" wrapText="1"/>
    </xf>
    <xf numFmtId="0" fontId="17" fillId="0" borderId="14" xfId="12" applyFont="1" applyBorder="1" applyAlignment="1">
      <alignment horizontal="left" vertical="center" wrapText="1"/>
    </xf>
    <xf numFmtId="0" fontId="17" fillId="0" borderId="15" xfId="12" applyFont="1" applyBorder="1" applyAlignment="1">
      <alignment horizontal="left" vertical="center" wrapText="1"/>
    </xf>
    <xf numFmtId="0" fontId="17" fillId="0" borderId="0" xfId="12" applyFont="1" applyAlignment="1">
      <alignment horizontal="left" vertical="center" wrapText="1"/>
    </xf>
    <xf numFmtId="0" fontId="17" fillId="0" borderId="16" xfId="12" applyFont="1" applyBorder="1" applyAlignment="1">
      <alignment horizontal="left" vertical="center" wrapText="1"/>
    </xf>
    <xf numFmtId="0" fontId="17" fillId="0" borderId="18" xfId="12" applyFont="1" applyBorder="1" applyAlignment="1">
      <alignment horizontal="left" vertical="center" wrapText="1"/>
    </xf>
    <xf numFmtId="0" fontId="17" fillId="0" borderId="19" xfId="12" applyFont="1" applyBorder="1" applyAlignment="1">
      <alignment horizontal="left" vertical="center" wrapText="1"/>
    </xf>
    <xf numFmtId="0" fontId="17" fillId="0" borderId="20" xfId="12" applyFont="1" applyBorder="1" applyAlignment="1">
      <alignment horizontal="left" vertical="center" wrapText="1"/>
    </xf>
    <xf numFmtId="0" fontId="26" fillId="6" borderId="28" xfId="11" applyFont="1" applyFill="1" applyBorder="1" applyAlignment="1">
      <alignment horizontal="center" vertical="center" wrapText="1"/>
    </xf>
    <xf numFmtId="0" fontId="26" fillId="6" borderId="38" xfId="11" applyFont="1" applyFill="1" applyBorder="1" applyAlignment="1">
      <alignment horizontal="center" vertical="center" wrapText="1"/>
    </xf>
    <xf numFmtId="0" fontId="2" fillId="0" borderId="1" xfId="11" applyFont="1" applyBorder="1" applyAlignment="1">
      <alignment horizontal="center" vertical="center"/>
    </xf>
    <xf numFmtId="0" fontId="4" fillId="0" borderId="1" xfId="11" applyFont="1" applyBorder="1" applyAlignment="1">
      <alignment horizontal="center" vertical="center"/>
    </xf>
    <xf numFmtId="0" fontId="2" fillId="0" borderId="2" xfId="11" applyFont="1" applyBorder="1" applyAlignment="1">
      <alignment horizontal="center" vertical="center"/>
    </xf>
    <xf numFmtId="0" fontId="4" fillId="0" borderId="2" xfId="11" applyFont="1" applyBorder="1" applyAlignment="1">
      <alignment horizontal="center" vertical="center"/>
    </xf>
    <xf numFmtId="0" fontId="9" fillId="0" borderId="3" xfId="11" applyFont="1" applyBorder="1" applyAlignment="1">
      <alignment horizontal="center" vertical="center" wrapText="1"/>
    </xf>
    <xf numFmtId="0" fontId="9" fillId="0" borderId="4" xfId="11" applyFont="1" applyBorder="1" applyAlignment="1">
      <alignment horizontal="center" vertical="center" wrapText="1"/>
    </xf>
    <xf numFmtId="0" fontId="9" fillId="0" borderId="10" xfId="11" applyFont="1" applyBorder="1" applyAlignment="1">
      <alignment horizontal="center" vertical="center" wrapText="1"/>
    </xf>
    <xf numFmtId="0" fontId="9" fillId="0" borderId="11" xfId="11" applyFont="1" applyBorder="1" applyAlignment="1">
      <alignment horizontal="center" vertical="center" wrapText="1"/>
    </xf>
    <xf numFmtId="0" fontId="9" fillId="0" borderId="26" xfId="11" applyFont="1" applyBorder="1" applyAlignment="1">
      <alignment horizontal="center" vertical="center" wrapText="1"/>
    </xf>
    <xf numFmtId="0" fontId="9" fillId="0" borderId="27" xfId="11" applyFont="1" applyBorder="1" applyAlignment="1">
      <alignment horizontal="center" vertical="center" wrapText="1"/>
    </xf>
    <xf numFmtId="0" fontId="20" fillId="0" borderId="33" xfId="11" applyFont="1" applyBorder="1" applyAlignment="1">
      <alignment horizontal="center" vertical="center" wrapText="1"/>
    </xf>
    <xf numFmtId="0" fontId="20" fillId="0" borderId="34" xfId="11" applyFont="1" applyBorder="1" applyAlignment="1">
      <alignment horizontal="center" vertical="center" wrapText="1"/>
    </xf>
    <xf numFmtId="0" fontId="20" fillId="0" borderId="10" xfId="11" applyFont="1" applyBorder="1" applyAlignment="1">
      <alignment horizontal="center" vertical="center" wrapText="1"/>
    </xf>
    <xf numFmtId="0" fontId="20" fillId="0" borderId="11" xfId="11" applyFont="1" applyBorder="1" applyAlignment="1">
      <alignment horizontal="center" vertical="center" wrapText="1"/>
    </xf>
    <xf numFmtId="0" fontId="20" fillId="0" borderId="26" xfId="11" applyFont="1" applyBorder="1" applyAlignment="1">
      <alignment horizontal="center" vertical="center" wrapText="1"/>
    </xf>
    <xf numFmtId="0" fontId="20" fillId="0" borderId="27" xfId="11" applyFont="1" applyBorder="1" applyAlignment="1">
      <alignment horizontal="center" vertical="center" wrapText="1"/>
    </xf>
    <xf numFmtId="0" fontId="4" fillId="0" borderId="21" xfId="17" applyFont="1" applyBorder="1" applyAlignment="1">
      <alignment horizontal="center" vertical="center" wrapText="1"/>
    </xf>
    <xf numFmtId="0" fontId="4" fillId="0" borderId="9" xfId="17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 wrapText="1"/>
    </xf>
    <xf numFmtId="0" fontId="11" fillId="0" borderId="4" xfId="11" applyFont="1" applyBorder="1" applyAlignment="1">
      <alignment horizontal="center" vertical="center" wrapText="1"/>
    </xf>
    <xf numFmtId="0" fontId="11" fillId="0" borderId="30" xfId="11" applyFont="1" applyBorder="1" applyAlignment="1">
      <alignment horizontal="center" vertical="center" wrapText="1"/>
    </xf>
    <xf numFmtId="0" fontId="11" fillId="0" borderId="31" xfId="11" applyFont="1" applyBorder="1" applyAlignment="1">
      <alignment horizontal="center" vertical="center" wrapText="1"/>
    </xf>
    <xf numFmtId="0" fontId="16" fillId="0" borderId="12" xfId="12" applyFont="1" applyBorder="1" applyAlignment="1">
      <alignment horizontal="left" vertical="center" wrapText="1" indent="1"/>
    </xf>
    <xf numFmtId="0" fontId="16" fillId="0" borderId="13" xfId="12" applyFont="1" applyBorder="1" applyAlignment="1">
      <alignment horizontal="left" vertical="center" wrapText="1" indent="1"/>
    </xf>
    <xf numFmtId="0" fontId="16" fillId="0" borderId="14" xfId="12" applyFont="1" applyBorder="1" applyAlignment="1">
      <alignment horizontal="left" vertical="center" wrapText="1" indent="1"/>
    </xf>
    <xf numFmtId="0" fontId="16" fillId="0" borderId="15" xfId="12" applyFont="1" applyBorder="1" applyAlignment="1">
      <alignment horizontal="left" vertical="center" wrapText="1" indent="1"/>
    </xf>
    <xf numFmtId="0" fontId="16" fillId="0" borderId="0" xfId="12" applyFont="1" applyAlignment="1">
      <alignment horizontal="left" vertical="center" wrapText="1" indent="1"/>
    </xf>
    <xf numFmtId="0" fontId="16" fillId="0" borderId="16" xfId="12" applyFont="1" applyBorder="1" applyAlignment="1">
      <alignment horizontal="left" vertical="center" wrapText="1" indent="1"/>
    </xf>
    <xf numFmtId="0" fontId="16" fillId="0" borderId="18" xfId="12" applyFont="1" applyBorder="1" applyAlignment="1">
      <alignment horizontal="left" vertical="center" wrapText="1" indent="1"/>
    </xf>
    <xf numFmtId="0" fontId="16" fillId="0" borderId="19" xfId="12" applyFont="1" applyBorder="1" applyAlignment="1">
      <alignment horizontal="left" vertical="center" wrapText="1" indent="1"/>
    </xf>
    <xf numFmtId="0" fontId="16" fillId="0" borderId="20" xfId="12" applyFont="1" applyBorder="1" applyAlignment="1">
      <alignment horizontal="left" vertical="center" wrapText="1" indent="1"/>
    </xf>
    <xf numFmtId="0" fontId="20" fillId="0" borderId="30" xfId="11" applyFont="1" applyBorder="1" applyAlignment="1">
      <alignment horizontal="center" vertical="center" wrapText="1"/>
    </xf>
    <xf numFmtId="0" fontId="20" fillId="0" borderId="31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left" vertical="center" wrapText="1"/>
    </xf>
    <xf numFmtId="0" fontId="16" fillId="0" borderId="13" xfId="11" applyFont="1" applyBorder="1" applyAlignment="1">
      <alignment horizontal="left" vertical="center" wrapText="1"/>
    </xf>
    <xf numFmtId="0" fontId="16" fillId="0" borderId="14" xfId="11" applyFont="1" applyBorder="1" applyAlignment="1">
      <alignment horizontal="left" vertical="center" wrapText="1"/>
    </xf>
    <xf numFmtId="0" fontId="16" fillId="0" borderId="15" xfId="11" applyFont="1" applyBorder="1" applyAlignment="1">
      <alignment horizontal="left" vertical="center" wrapText="1"/>
    </xf>
    <xf numFmtId="0" fontId="16" fillId="0" borderId="0" xfId="11" applyFont="1" applyAlignment="1">
      <alignment horizontal="left" vertical="center" wrapText="1"/>
    </xf>
    <xf numFmtId="0" fontId="16" fillId="0" borderId="16" xfId="11" applyFont="1" applyBorder="1" applyAlignment="1">
      <alignment horizontal="left" vertical="center" wrapText="1"/>
    </xf>
    <xf numFmtId="0" fontId="16" fillId="0" borderId="18" xfId="11" applyFont="1" applyBorder="1" applyAlignment="1">
      <alignment horizontal="left" vertical="center" wrapText="1"/>
    </xf>
    <xf numFmtId="0" fontId="16" fillId="0" borderId="19" xfId="11" applyFont="1" applyBorder="1" applyAlignment="1">
      <alignment horizontal="left" vertical="center" wrapText="1"/>
    </xf>
    <xf numFmtId="0" fontId="16" fillId="0" borderId="20" xfId="11" applyFont="1" applyBorder="1" applyAlignment="1">
      <alignment horizontal="left" vertical="center" wrapText="1"/>
    </xf>
    <xf numFmtId="0" fontId="2" fillId="0" borderId="52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34" fillId="0" borderId="17" xfId="11" applyFont="1" applyBorder="1" applyAlignment="1">
      <alignment horizontal="center" vertical="center"/>
    </xf>
    <xf numFmtId="0" fontId="34" fillId="0" borderId="36" xfId="11" applyFont="1" applyBorder="1" applyAlignment="1">
      <alignment horizontal="center" vertical="center"/>
    </xf>
    <xf numFmtId="0" fontId="34" fillId="0" borderId="25" xfId="11" applyFont="1" applyBorder="1" applyAlignment="1">
      <alignment horizontal="center" vertical="center"/>
    </xf>
    <xf numFmtId="0" fontId="15" fillId="0" borderId="22" xfId="18" applyFont="1" applyBorder="1" applyAlignment="1">
      <alignment horizontal="left" vertical="center"/>
    </xf>
    <xf numFmtId="0" fontId="15" fillId="0" borderId="23" xfId="18" applyFont="1" applyBorder="1" applyAlignment="1">
      <alignment horizontal="left" vertical="center"/>
    </xf>
    <xf numFmtId="0" fontId="15" fillId="0" borderId="24" xfId="18" applyFont="1" applyBorder="1" applyAlignment="1">
      <alignment horizontal="left" vertical="center"/>
    </xf>
    <xf numFmtId="0" fontId="15" fillId="0" borderId="6" xfId="19" applyFont="1" applyBorder="1" applyAlignment="1">
      <alignment horizontal="left" vertical="center" wrapText="1"/>
    </xf>
    <xf numFmtId="0" fontId="15" fillId="0" borderId="7" xfId="19" applyFont="1" applyBorder="1" applyAlignment="1">
      <alignment horizontal="left" vertical="center" wrapText="1"/>
    </xf>
    <xf numFmtId="0" fontId="15" fillId="0" borderId="8" xfId="19" applyFont="1" applyBorder="1" applyAlignment="1">
      <alignment horizontal="left" vertical="center" wrapText="1"/>
    </xf>
    <xf numFmtId="0" fontId="16" fillId="0" borderId="12" xfId="19" applyFont="1" applyBorder="1" applyAlignment="1">
      <alignment horizontal="left" vertical="center" wrapText="1"/>
    </xf>
    <xf numFmtId="0" fontId="16" fillId="0" borderId="13" xfId="19" applyFont="1" applyBorder="1" applyAlignment="1">
      <alignment horizontal="left" vertical="center" wrapText="1"/>
    </xf>
    <xf numFmtId="0" fontId="16" fillId="0" borderId="14" xfId="19" applyFont="1" applyBorder="1" applyAlignment="1">
      <alignment horizontal="left" vertical="center" wrapText="1"/>
    </xf>
    <xf numFmtId="0" fontId="16" fillId="0" borderId="15" xfId="19" applyFont="1" applyBorder="1" applyAlignment="1">
      <alignment horizontal="left" vertical="center" wrapText="1"/>
    </xf>
    <xf numFmtId="0" fontId="16" fillId="0" borderId="0" xfId="19" applyFont="1" applyAlignment="1">
      <alignment horizontal="left" vertical="center" wrapText="1"/>
    </xf>
    <xf numFmtId="0" fontId="16" fillId="0" borderId="16" xfId="19" applyFont="1" applyBorder="1" applyAlignment="1">
      <alignment horizontal="left" vertical="center" wrapText="1"/>
    </xf>
    <xf numFmtId="0" fontId="16" fillId="0" borderId="18" xfId="19" applyFont="1" applyBorder="1" applyAlignment="1">
      <alignment horizontal="left" vertical="center" wrapText="1"/>
    </xf>
    <xf numFmtId="0" fontId="16" fillId="0" borderId="19" xfId="19" applyFont="1" applyBorder="1" applyAlignment="1">
      <alignment horizontal="left" vertical="center" wrapText="1"/>
    </xf>
    <xf numFmtId="0" fontId="16" fillId="0" borderId="20" xfId="19" applyFont="1" applyBorder="1" applyAlignment="1">
      <alignment horizontal="left" vertical="center" wrapText="1"/>
    </xf>
    <xf numFmtId="0" fontId="15" fillId="0" borderId="22" xfId="19" applyFont="1" applyBorder="1" applyAlignment="1">
      <alignment horizontal="left" vertical="center" wrapText="1"/>
    </xf>
    <xf numFmtId="0" fontId="15" fillId="0" borderId="23" xfId="19" applyFont="1" applyBorder="1" applyAlignment="1">
      <alignment horizontal="left" vertical="center" wrapText="1"/>
    </xf>
    <xf numFmtId="0" fontId="15" fillId="0" borderId="24" xfId="19" applyFont="1" applyBorder="1" applyAlignment="1">
      <alignment horizontal="left" vertical="center" wrapText="1"/>
    </xf>
    <xf numFmtId="0" fontId="17" fillId="0" borderId="12" xfId="19" applyFont="1" applyBorder="1" applyAlignment="1">
      <alignment horizontal="left" vertical="center" wrapText="1"/>
    </xf>
    <xf numFmtId="0" fontId="17" fillId="0" borderId="13" xfId="19" applyFont="1" applyBorder="1" applyAlignment="1">
      <alignment horizontal="left" vertical="center" wrapText="1"/>
    </xf>
    <xf numFmtId="0" fontId="17" fillId="0" borderId="14" xfId="19" applyFont="1" applyBorder="1" applyAlignment="1">
      <alignment horizontal="left" vertical="center" wrapText="1"/>
    </xf>
    <xf numFmtId="0" fontId="17" fillId="0" borderId="15" xfId="19" applyFont="1" applyBorder="1" applyAlignment="1">
      <alignment horizontal="left" vertical="center" wrapText="1"/>
    </xf>
    <xf numFmtId="0" fontId="17" fillId="0" borderId="0" xfId="19" applyFont="1" applyAlignment="1">
      <alignment horizontal="left" vertical="center" wrapText="1"/>
    </xf>
    <xf numFmtId="0" fontId="17" fillId="0" borderId="16" xfId="19" applyFont="1" applyBorder="1" applyAlignment="1">
      <alignment horizontal="left" vertical="center" wrapText="1"/>
    </xf>
    <xf numFmtId="0" fontId="17" fillId="0" borderId="18" xfId="19" applyFont="1" applyBorder="1" applyAlignment="1">
      <alignment horizontal="left" vertical="center" wrapText="1"/>
    </xf>
    <xf numFmtId="0" fontId="17" fillId="0" borderId="19" xfId="19" applyFont="1" applyBorder="1" applyAlignment="1">
      <alignment horizontal="left" vertical="center" wrapText="1"/>
    </xf>
    <xf numFmtId="0" fontId="17" fillId="0" borderId="20" xfId="19" applyFont="1" applyBorder="1" applyAlignment="1">
      <alignment horizontal="left" vertical="center" wrapText="1"/>
    </xf>
    <xf numFmtId="0" fontId="26" fillId="6" borderId="28" xfId="18" applyFont="1" applyFill="1" applyBorder="1" applyAlignment="1">
      <alignment horizontal="center" vertical="center" wrapText="1"/>
    </xf>
    <xf numFmtId="0" fontId="26" fillId="6" borderId="38" xfId="18" applyFont="1" applyFill="1" applyBorder="1" applyAlignment="1">
      <alignment horizontal="center" vertical="center" wrapText="1"/>
    </xf>
    <xf numFmtId="0" fontId="2" fillId="0" borderId="1" xfId="18" applyFont="1" applyBorder="1" applyAlignment="1">
      <alignment horizontal="center" vertical="center"/>
    </xf>
    <xf numFmtId="0" fontId="4" fillId="0" borderId="1" xfId="18" applyFont="1" applyBorder="1" applyAlignment="1">
      <alignment horizontal="center" vertical="center"/>
    </xf>
    <xf numFmtId="0" fontId="2" fillId="0" borderId="2" xfId="18" applyFont="1" applyBorder="1" applyAlignment="1">
      <alignment horizontal="center" vertical="center"/>
    </xf>
    <xf numFmtId="0" fontId="4" fillId="0" borderId="2" xfId="18" applyFont="1" applyBorder="1" applyAlignment="1">
      <alignment horizontal="center" vertical="center"/>
    </xf>
    <xf numFmtId="0" fontId="9" fillId="0" borderId="3" xfId="18" applyFont="1" applyBorder="1" applyAlignment="1">
      <alignment horizontal="center" vertical="center" wrapText="1"/>
    </xf>
    <xf numFmtId="0" fontId="9" fillId="0" borderId="4" xfId="18" applyFont="1" applyBorder="1" applyAlignment="1">
      <alignment horizontal="center" vertical="center" wrapText="1"/>
    </xf>
    <xf numFmtId="0" fontId="9" fillId="0" borderId="10" xfId="18" applyFont="1" applyBorder="1" applyAlignment="1">
      <alignment horizontal="center" vertical="center" wrapText="1"/>
    </xf>
    <xf numFmtId="0" fontId="9" fillId="0" borderId="11" xfId="18" applyFont="1" applyBorder="1" applyAlignment="1">
      <alignment horizontal="center" vertical="center" wrapText="1"/>
    </xf>
    <xf numFmtId="0" fontId="9" fillId="0" borderId="26" xfId="18" applyFont="1" applyBorder="1" applyAlignment="1">
      <alignment horizontal="center" vertical="center" wrapText="1"/>
    </xf>
    <xf numFmtId="0" fontId="9" fillId="0" borderId="27" xfId="18" applyFont="1" applyBorder="1" applyAlignment="1">
      <alignment horizontal="center" vertical="center" wrapText="1"/>
    </xf>
    <xf numFmtId="0" fontId="20" fillId="0" borderId="33" xfId="18" applyFont="1" applyBorder="1" applyAlignment="1">
      <alignment horizontal="center" vertical="center" wrapText="1"/>
    </xf>
    <xf numFmtId="0" fontId="20" fillId="0" borderId="34" xfId="18" applyFont="1" applyBorder="1" applyAlignment="1">
      <alignment horizontal="center" vertical="center" wrapText="1"/>
    </xf>
    <xf numFmtId="0" fontId="20" fillId="0" borderId="10" xfId="18" applyFont="1" applyBorder="1" applyAlignment="1">
      <alignment horizontal="center" vertical="center" wrapText="1"/>
    </xf>
    <xf numFmtId="0" fontId="20" fillId="0" borderId="11" xfId="18" applyFont="1" applyBorder="1" applyAlignment="1">
      <alignment horizontal="center" vertical="center" wrapText="1"/>
    </xf>
    <xf numFmtId="0" fontId="20" fillId="0" borderId="26" xfId="18" applyFont="1" applyBorder="1" applyAlignment="1">
      <alignment horizontal="center" vertical="center" wrapText="1"/>
    </xf>
    <xf numFmtId="0" fontId="20" fillId="0" borderId="27" xfId="18" applyFont="1" applyBorder="1" applyAlignment="1">
      <alignment horizontal="center" vertical="center" wrapText="1"/>
    </xf>
    <xf numFmtId="0" fontId="4" fillId="0" borderId="21" xfId="25" applyFont="1" applyBorder="1" applyAlignment="1">
      <alignment horizontal="center" vertical="center" wrapText="1"/>
    </xf>
    <xf numFmtId="0" fontId="4" fillId="0" borderId="9" xfId="25" applyFont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 wrapText="1"/>
    </xf>
    <xf numFmtId="0" fontId="11" fillId="0" borderId="4" xfId="18" applyFont="1" applyBorder="1" applyAlignment="1">
      <alignment horizontal="center" vertical="center" wrapText="1"/>
    </xf>
    <xf numFmtId="0" fontId="11" fillId="0" borderId="30" xfId="18" applyFont="1" applyBorder="1" applyAlignment="1">
      <alignment horizontal="center" vertical="center" wrapText="1"/>
    </xf>
    <xf numFmtId="0" fontId="11" fillId="0" borderId="31" xfId="18" applyFont="1" applyBorder="1" applyAlignment="1">
      <alignment horizontal="center" vertical="center" wrapText="1"/>
    </xf>
    <xf numFmtId="0" fontId="16" fillId="0" borderId="12" xfId="19" applyFont="1" applyBorder="1" applyAlignment="1">
      <alignment horizontal="left" vertical="center" wrapText="1" indent="1"/>
    </xf>
    <xf numFmtId="0" fontId="16" fillId="0" borderId="13" xfId="19" applyFont="1" applyBorder="1" applyAlignment="1">
      <alignment horizontal="left" vertical="center" wrapText="1" indent="1"/>
    </xf>
    <xf numFmtId="0" fontId="16" fillId="0" borderId="14" xfId="19" applyFont="1" applyBorder="1" applyAlignment="1">
      <alignment horizontal="left" vertical="center" wrapText="1" indent="1"/>
    </xf>
    <xf numFmtId="0" fontId="16" fillId="0" borderId="15" xfId="19" applyFont="1" applyBorder="1" applyAlignment="1">
      <alignment horizontal="left" vertical="center" wrapText="1" indent="1"/>
    </xf>
    <xf numFmtId="0" fontId="16" fillId="0" borderId="0" xfId="19" applyFont="1" applyAlignment="1">
      <alignment horizontal="left" vertical="center" wrapText="1" indent="1"/>
    </xf>
    <xf numFmtId="0" fontId="16" fillId="0" borderId="16" xfId="19" applyFont="1" applyBorder="1" applyAlignment="1">
      <alignment horizontal="left" vertical="center" wrapText="1" indent="1"/>
    </xf>
    <xf numFmtId="0" fontId="16" fillId="0" borderId="18" xfId="19" applyFont="1" applyBorder="1" applyAlignment="1">
      <alignment horizontal="left" vertical="center" wrapText="1" indent="1"/>
    </xf>
    <xf numFmtId="0" fontId="16" fillId="0" borderId="19" xfId="19" applyFont="1" applyBorder="1" applyAlignment="1">
      <alignment horizontal="left" vertical="center" wrapText="1" indent="1"/>
    </xf>
    <xf numFmtId="0" fontId="16" fillId="0" borderId="20" xfId="19" applyFont="1" applyBorder="1" applyAlignment="1">
      <alignment horizontal="left" vertical="center" wrapText="1" indent="1"/>
    </xf>
    <xf numFmtId="0" fontId="20" fillId="0" borderId="30" xfId="18" applyFont="1" applyBorder="1" applyAlignment="1">
      <alignment horizontal="center" vertical="center" wrapText="1"/>
    </xf>
    <xf numFmtId="0" fontId="20" fillId="0" borderId="31" xfId="18" applyFont="1" applyBorder="1" applyAlignment="1">
      <alignment horizontal="center" vertical="center" wrapText="1"/>
    </xf>
    <xf numFmtId="0" fontId="16" fillId="0" borderId="12" xfId="18" applyFont="1" applyBorder="1" applyAlignment="1">
      <alignment horizontal="left" vertical="center" wrapText="1"/>
    </xf>
    <xf numFmtId="0" fontId="16" fillId="0" borderId="13" xfId="18" applyFont="1" applyBorder="1" applyAlignment="1">
      <alignment horizontal="left" vertical="center" wrapText="1"/>
    </xf>
    <xf numFmtId="0" fontId="16" fillId="0" borderId="14" xfId="18" applyFont="1" applyBorder="1" applyAlignment="1">
      <alignment horizontal="left" vertical="center" wrapText="1"/>
    </xf>
    <xf numFmtId="0" fontId="16" fillId="0" borderId="15" xfId="18" applyFont="1" applyBorder="1" applyAlignment="1">
      <alignment horizontal="left" vertical="center" wrapText="1"/>
    </xf>
    <xf numFmtId="0" fontId="16" fillId="0" borderId="0" xfId="18" applyFont="1" applyAlignment="1">
      <alignment horizontal="left" vertical="center" wrapText="1"/>
    </xf>
    <xf numFmtId="0" fontId="16" fillId="0" borderId="16" xfId="18" applyFont="1" applyBorder="1" applyAlignment="1">
      <alignment horizontal="left" vertical="center" wrapText="1"/>
    </xf>
    <xf numFmtId="0" fontId="16" fillId="0" borderId="18" xfId="18" applyFont="1" applyBorder="1" applyAlignment="1">
      <alignment horizontal="left" vertical="center" wrapText="1"/>
    </xf>
    <xf numFmtId="0" fontId="16" fillId="0" borderId="19" xfId="18" applyFont="1" applyBorder="1" applyAlignment="1">
      <alignment horizontal="left" vertical="center" wrapText="1"/>
    </xf>
    <xf numFmtId="0" fontId="16" fillId="0" borderId="20" xfId="18" applyFont="1" applyBorder="1" applyAlignment="1">
      <alignment horizontal="left" vertical="center" wrapText="1"/>
    </xf>
    <xf numFmtId="0" fontId="34" fillId="0" borderId="17" xfId="18" applyFont="1" applyBorder="1" applyAlignment="1">
      <alignment horizontal="center" vertical="center"/>
    </xf>
    <xf numFmtId="0" fontId="34" fillId="0" borderId="36" xfId="18" applyFont="1" applyBorder="1" applyAlignment="1">
      <alignment horizontal="center" vertical="center"/>
    </xf>
    <xf numFmtId="0" fontId="34" fillId="0" borderId="25" xfId="18" applyFont="1" applyBorder="1" applyAlignment="1">
      <alignment horizontal="center" vertical="center"/>
    </xf>
    <xf numFmtId="0" fontId="4" fillId="0" borderId="21" xfId="33" applyFont="1" applyBorder="1" applyAlignment="1">
      <alignment horizontal="center" vertical="center" wrapText="1"/>
    </xf>
    <xf numFmtId="0" fontId="4" fillId="0" borderId="9" xfId="33" applyFont="1" applyBorder="1" applyAlignment="1">
      <alignment horizontal="center" vertical="center" wrapText="1"/>
    </xf>
    <xf numFmtId="0" fontId="11" fillId="0" borderId="3" xfId="26" applyFont="1" applyBorder="1" applyAlignment="1">
      <alignment horizontal="center" vertical="center" wrapText="1"/>
    </xf>
    <xf numFmtId="0" fontId="11" fillId="0" borderId="4" xfId="26" applyFont="1" applyBorder="1" applyAlignment="1">
      <alignment horizontal="center" vertical="center" wrapText="1"/>
    </xf>
    <xf numFmtId="0" fontId="11" fillId="0" borderId="30" xfId="26" applyFont="1" applyBorder="1" applyAlignment="1">
      <alignment horizontal="center" vertical="center" wrapText="1"/>
    </xf>
    <xf numFmtId="0" fontId="11" fillId="0" borderId="31" xfId="26" applyFont="1" applyBorder="1" applyAlignment="1">
      <alignment horizontal="center" vertical="center" wrapText="1"/>
    </xf>
    <xf numFmtId="0" fontId="16" fillId="0" borderId="12" xfId="27" applyFont="1" applyBorder="1" applyAlignment="1">
      <alignment horizontal="left" vertical="center" wrapText="1" indent="1"/>
    </xf>
    <xf numFmtId="0" fontId="16" fillId="0" borderId="13" xfId="27" applyFont="1" applyBorder="1" applyAlignment="1">
      <alignment horizontal="left" vertical="center" wrapText="1" indent="1"/>
    </xf>
    <xf numFmtId="0" fontId="16" fillId="0" borderId="14" xfId="27" applyFont="1" applyBorder="1" applyAlignment="1">
      <alignment horizontal="left" vertical="center" wrapText="1" indent="1"/>
    </xf>
    <xf numFmtId="0" fontId="16" fillId="0" borderId="15" xfId="27" applyFont="1" applyBorder="1" applyAlignment="1">
      <alignment horizontal="left" vertical="center" wrapText="1" indent="1"/>
    </xf>
    <xf numFmtId="0" fontId="16" fillId="0" borderId="0" xfId="27" applyFont="1" applyAlignment="1">
      <alignment horizontal="left" vertical="center" wrapText="1" indent="1"/>
    </xf>
    <xf numFmtId="0" fontId="16" fillId="0" borderId="16" xfId="27" applyFont="1" applyBorder="1" applyAlignment="1">
      <alignment horizontal="left" vertical="center" wrapText="1" indent="1"/>
    </xf>
    <xf numFmtId="0" fontId="16" fillId="0" borderId="18" xfId="27" applyFont="1" applyBorder="1" applyAlignment="1">
      <alignment horizontal="left" vertical="center" wrapText="1" indent="1"/>
    </xf>
    <xf numFmtId="0" fontId="16" fillId="0" borderId="19" xfId="27" applyFont="1" applyBorder="1" applyAlignment="1">
      <alignment horizontal="left" vertical="center" wrapText="1" indent="1"/>
    </xf>
    <xf numFmtId="0" fontId="16" fillId="0" borderId="20" xfId="27" applyFont="1" applyBorder="1" applyAlignment="1">
      <alignment horizontal="left" vertical="center" wrapText="1" indent="1"/>
    </xf>
    <xf numFmtId="0" fontId="20" fillId="0" borderId="10" xfId="26" applyFont="1" applyBorder="1" applyAlignment="1">
      <alignment horizontal="center" vertical="center" wrapText="1"/>
    </xf>
    <xf numFmtId="0" fontId="20" fillId="0" borderId="11" xfId="26" applyFont="1" applyBorder="1" applyAlignment="1">
      <alignment horizontal="center" vertical="center" wrapText="1"/>
    </xf>
    <xf numFmtId="0" fontId="20" fillId="0" borderId="30" xfId="26" applyFont="1" applyBorder="1" applyAlignment="1">
      <alignment horizontal="center" vertical="center" wrapText="1"/>
    </xf>
    <xf numFmtId="0" fontId="20" fillId="0" borderId="31" xfId="26" applyFont="1" applyBorder="1" applyAlignment="1">
      <alignment horizontal="center" vertical="center" wrapText="1"/>
    </xf>
    <xf numFmtId="0" fontId="15" fillId="0" borderId="22" xfId="27" applyFont="1" applyBorder="1" applyAlignment="1">
      <alignment horizontal="left" vertical="center" wrapText="1"/>
    </xf>
    <xf numFmtId="0" fontId="15" fillId="0" borderId="23" xfId="27" applyFont="1" applyBorder="1" applyAlignment="1">
      <alignment horizontal="left" vertical="center" wrapText="1"/>
    </xf>
    <xf numFmtId="0" fontId="15" fillId="0" borderId="24" xfId="27" applyFont="1" applyBorder="1" applyAlignment="1">
      <alignment horizontal="left" vertical="center" wrapText="1"/>
    </xf>
    <xf numFmtId="0" fontId="16" fillId="0" borderId="12" xfId="27" applyFont="1" applyBorder="1" applyAlignment="1">
      <alignment horizontal="left" vertical="top" wrapText="1"/>
    </xf>
    <xf numFmtId="0" fontId="16" fillId="0" borderId="13" xfId="27" applyFont="1" applyBorder="1" applyAlignment="1">
      <alignment horizontal="left" vertical="top" wrapText="1"/>
    </xf>
    <xf numFmtId="0" fontId="16" fillId="0" borderId="14" xfId="27" applyFont="1" applyBorder="1" applyAlignment="1">
      <alignment horizontal="left" vertical="top" wrapText="1"/>
    </xf>
    <xf numFmtId="0" fontId="16" fillId="0" borderId="15" xfId="27" applyFont="1" applyBorder="1" applyAlignment="1">
      <alignment horizontal="left" vertical="top" wrapText="1"/>
    </xf>
    <xf numFmtId="0" fontId="16" fillId="0" borderId="0" xfId="27" applyFont="1" applyAlignment="1">
      <alignment horizontal="left" vertical="top" wrapText="1"/>
    </xf>
    <xf numFmtId="0" fontId="16" fillId="0" borderId="16" xfId="27" applyFont="1" applyBorder="1" applyAlignment="1">
      <alignment horizontal="left" vertical="top" wrapText="1"/>
    </xf>
    <xf numFmtId="0" fontId="16" fillId="0" borderId="18" xfId="27" applyFont="1" applyBorder="1" applyAlignment="1">
      <alignment horizontal="left" vertical="top" wrapText="1"/>
    </xf>
    <xf numFmtId="0" fontId="16" fillId="0" borderId="19" xfId="27" applyFont="1" applyBorder="1" applyAlignment="1">
      <alignment horizontal="left" vertical="top" wrapText="1"/>
    </xf>
    <xf numFmtId="0" fontId="16" fillId="0" borderId="20" xfId="27" applyFont="1" applyBorder="1" applyAlignment="1">
      <alignment horizontal="left" vertical="top" wrapText="1"/>
    </xf>
    <xf numFmtId="0" fontId="16" fillId="0" borderId="12" xfId="26" applyFont="1" applyBorder="1" applyAlignment="1">
      <alignment horizontal="left" vertical="center" wrapText="1"/>
    </xf>
    <xf numFmtId="0" fontId="16" fillId="0" borderId="13" xfId="26" applyFont="1" applyBorder="1" applyAlignment="1">
      <alignment horizontal="left" vertical="center" wrapText="1"/>
    </xf>
    <xf numFmtId="0" fontId="16" fillId="0" borderId="14" xfId="26" applyFont="1" applyBorder="1" applyAlignment="1">
      <alignment horizontal="left" vertical="center" wrapText="1"/>
    </xf>
    <xf numFmtId="0" fontId="16" fillId="0" borderId="15" xfId="26" applyFont="1" applyBorder="1" applyAlignment="1">
      <alignment horizontal="left" vertical="center" wrapText="1"/>
    </xf>
    <xf numFmtId="0" fontId="16" fillId="0" borderId="0" xfId="26" applyFont="1" applyAlignment="1">
      <alignment horizontal="left" vertical="center" wrapText="1"/>
    </xf>
    <xf numFmtId="0" fontId="16" fillId="0" borderId="16" xfId="26" applyFont="1" applyBorder="1" applyAlignment="1">
      <alignment horizontal="left" vertical="center" wrapText="1"/>
    </xf>
    <xf numFmtId="0" fontId="16" fillId="0" borderId="18" xfId="26" applyFont="1" applyBorder="1" applyAlignment="1">
      <alignment horizontal="left" vertical="center" wrapText="1"/>
    </xf>
    <xf numFmtId="0" fontId="16" fillId="0" borderId="19" xfId="26" applyFont="1" applyBorder="1" applyAlignment="1">
      <alignment horizontal="left" vertical="center" wrapText="1"/>
    </xf>
    <xf numFmtId="0" fontId="16" fillId="0" borderId="20" xfId="26" applyFont="1" applyBorder="1" applyAlignment="1">
      <alignment horizontal="left" vertical="center" wrapText="1"/>
    </xf>
    <xf numFmtId="0" fontId="34" fillId="0" borderId="17" xfId="26" applyFont="1" applyBorder="1" applyAlignment="1">
      <alignment horizontal="center" vertical="center"/>
    </xf>
    <xf numFmtId="0" fontId="34" fillId="0" borderId="36" xfId="26" applyFont="1" applyBorder="1" applyAlignment="1">
      <alignment horizontal="center" vertical="center"/>
    </xf>
    <xf numFmtId="0" fontId="34" fillId="0" borderId="25" xfId="26" applyFont="1" applyBorder="1" applyAlignment="1">
      <alignment horizontal="center" vertical="center"/>
    </xf>
    <xf numFmtId="0" fontId="26" fillId="6" borderId="28" xfId="26" applyFont="1" applyFill="1" applyBorder="1" applyAlignment="1">
      <alignment horizontal="center" vertical="center" wrapText="1"/>
    </xf>
    <xf numFmtId="0" fontId="26" fillId="6" borderId="38" xfId="26" applyFont="1" applyFill="1" applyBorder="1" applyAlignment="1">
      <alignment horizontal="center" vertical="center" wrapText="1"/>
    </xf>
    <xf numFmtId="0" fontId="2" fillId="0" borderId="1" xfId="26" applyFont="1" applyBorder="1" applyAlignment="1">
      <alignment horizontal="center" vertical="center"/>
    </xf>
    <xf numFmtId="0" fontId="4" fillId="0" borderId="1" xfId="26" applyFont="1" applyBorder="1" applyAlignment="1">
      <alignment horizontal="center" vertical="center"/>
    </xf>
    <xf numFmtId="0" fontId="2" fillId="0" borderId="2" xfId="26" applyFont="1" applyBorder="1" applyAlignment="1">
      <alignment horizontal="center" vertical="center"/>
    </xf>
    <xf numFmtId="0" fontId="4" fillId="0" borderId="2" xfId="26" applyFont="1" applyBorder="1" applyAlignment="1">
      <alignment horizontal="center" vertical="center"/>
    </xf>
    <xf numFmtId="0" fontId="9" fillId="0" borderId="3" xfId="26" applyFont="1" applyBorder="1" applyAlignment="1">
      <alignment horizontal="center" vertical="center" wrapText="1"/>
    </xf>
    <xf numFmtId="0" fontId="9" fillId="0" borderId="4" xfId="26" applyFont="1" applyBorder="1" applyAlignment="1">
      <alignment horizontal="center" vertical="center" wrapText="1"/>
    </xf>
    <xf numFmtId="0" fontId="9" fillId="0" borderId="10" xfId="26" applyFont="1" applyBorder="1" applyAlignment="1">
      <alignment horizontal="center" vertical="center" wrapText="1"/>
    </xf>
    <xf numFmtId="0" fontId="9" fillId="0" borderId="11" xfId="26" applyFont="1" applyBorder="1" applyAlignment="1">
      <alignment horizontal="center" vertical="center" wrapText="1"/>
    </xf>
    <xf numFmtId="0" fontId="9" fillId="0" borderId="26" xfId="26" applyFont="1" applyBorder="1" applyAlignment="1">
      <alignment horizontal="center" vertical="center" wrapText="1"/>
    </xf>
    <xf numFmtId="0" fontId="9" fillId="0" borderId="27" xfId="26" applyFont="1" applyBorder="1" applyAlignment="1">
      <alignment horizontal="center" vertical="center" wrapText="1"/>
    </xf>
    <xf numFmtId="0" fontId="20" fillId="0" borderId="33" xfId="26" applyFont="1" applyBorder="1" applyAlignment="1">
      <alignment horizontal="center" vertical="center" wrapText="1"/>
    </xf>
    <xf numFmtId="0" fontId="20" fillId="0" borderId="34" xfId="26" applyFont="1" applyBorder="1" applyAlignment="1">
      <alignment horizontal="center" vertical="center" wrapText="1"/>
    </xf>
    <xf numFmtId="0" fontId="20" fillId="0" borderId="26" xfId="26" applyFont="1" applyBorder="1" applyAlignment="1">
      <alignment horizontal="center" vertical="center" wrapText="1"/>
    </xf>
    <xf numFmtId="0" fontId="20" fillId="0" borderId="27" xfId="26" applyFont="1" applyBorder="1" applyAlignment="1">
      <alignment horizontal="center" vertical="center" wrapText="1"/>
    </xf>
    <xf numFmtId="0" fontId="15" fillId="0" borderId="22" xfId="26" applyFont="1" applyBorder="1" applyAlignment="1">
      <alignment horizontal="left" vertical="center"/>
    </xf>
    <xf numFmtId="0" fontId="15" fillId="0" borderId="23" xfId="26" applyFont="1" applyBorder="1" applyAlignment="1">
      <alignment horizontal="left" vertical="center"/>
    </xf>
    <xf numFmtId="0" fontId="15" fillId="0" borderId="24" xfId="26" applyFont="1" applyBorder="1" applyAlignment="1">
      <alignment horizontal="left" vertical="center"/>
    </xf>
    <xf numFmtId="0" fontId="15" fillId="0" borderId="6" xfId="27" applyFont="1" applyBorder="1" applyAlignment="1">
      <alignment horizontal="left" vertical="center" wrapText="1"/>
    </xf>
    <xf numFmtId="0" fontId="15" fillId="0" borderId="7" xfId="27" applyFont="1" applyBorder="1" applyAlignment="1">
      <alignment horizontal="left" vertical="center" wrapText="1"/>
    </xf>
    <xf numFmtId="0" fontId="15" fillId="0" borderId="8" xfId="27" applyFont="1" applyBorder="1" applyAlignment="1">
      <alignment horizontal="left" vertical="center" wrapText="1"/>
    </xf>
    <xf numFmtId="0" fontId="16" fillId="0" borderId="12" xfId="27" applyFont="1" applyBorder="1" applyAlignment="1">
      <alignment horizontal="left" vertical="center" wrapText="1"/>
    </xf>
    <xf numFmtId="0" fontId="16" fillId="0" borderId="13" xfId="27" applyFont="1" applyBorder="1" applyAlignment="1">
      <alignment horizontal="left" vertical="center" wrapText="1"/>
    </xf>
    <xf numFmtId="0" fontId="16" fillId="0" borderId="14" xfId="27" applyFont="1" applyBorder="1" applyAlignment="1">
      <alignment horizontal="left" vertical="center" wrapText="1"/>
    </xf>
    <xf numFmtId="0" fontId="16" fillId="0" borderId="15" xfId="27" applyFont="1" applyBorder="1" applyAlignment="1">
      <alignment horizontal="left" vertical="center" wrapText="1"/>
    </xf>
    <xf numFmtId="0" fontId="16" fillId="0" borderId="0" xfId="27" applyFont="1" applyAlignment="1">
      <alignment horizontal="left" vertical="center" wrapText="1"/>
    </xf>
    <xf numFmtId="0" fontId="16" fillId="0" borderId="16" xfId="27" applyFont="1" applyBorder="1" applyAlignment="1">
      <alignment horizontal="left" vertical="center" wrapText="1"/>
    </xf>
    <xf numFmtId="0" fontId="16" fillId="0" borderId="18" xfId="27" applyFont="1" applyBorder="1" applyAlignment="1">
      <alignment horizontal="left" vertical="center" wrapText="1"/>
    </xf>
    <xf numFmtId="0" fontId="16" fillId="0" borderId="19" xfId="27" applyFont="1" applyBorder="1" applyAlignment="1">
      <alignment horizontal="left" vertical="center" wrapText="1"/>
    </xf>
    <xf numFmtId="0" fontId="16" fillId="0" borderId="20" xfId="27" applyFont="1" applyBorder="1" applyAlignment="1">
      <alignment horizontal="left" vertical="center" wrapText="1"/>
    </xf>
    <xf numFmtId="0" fontId="17" fillId="0" borderId="12" xfId="27" applyFont="1" applyBorder="1" applyAlignment="1">
      <alignment horizontal="left" vertical="center" wrapText="1"/>
    </xf>
    <xf numFmtId="0" fontId="17" fillId="0" borderId="13" xfId="27" applyFont="1" applyBorder="1" applyAlignment="1">
      <alignment horizontal="left" vertical="center" wrapText="1"/>
    </xf>
    <xf numFmtId="0" fontId="17" fillId="0" borderId="14" xfId="27" applyFont="1" applyBorder="1" applyAlignment="1">
      <alignment horizontal="left" vertical="center" wrapText="1"/>
    </xf>
    <xf numFmtId="0" fontId="17" fillId="0" borderId="15" xfId="27" applyFont="1" applyBorder="1" applyAlignment="1">
      <alignment horizontal="left" vertical="center" wrapText="1"/>
    </xf>
    <xf numFmtId="0" fontId="17" fillId="0" borderId="0" xfId="27" applyFont="1" applyAlignment="1">
      <alignment horizontal="left" vertical="center" wrapText="1"/>
    </xf>
    <xf numFmtId="0" fontId="17" fillId="0" borderId="16" xfId="27" applyFont="1" applyBorder="1" applyAlignment="1">
      <alignment horizontal="left" vertical="center" wrapText="1"/>
    </xf>
    <xf numFmtId="0" fontId="17" fillId="0" borderId="18" xfId="27" applyFont="1" applyBorder="1" applyAlignment="1">
      <alignment horizontal="left" vertical="center" wrapText="1"/>
    </xf>
    <xf numFmtId="0" fontId="17" fillId="0" borderId="19" xfId="27" applyFont="1" applyBorder="1" applyAlignment="1">
      <alignment horizontal="left" vertical="center" wrapText="1"/>
    </xf>
    <xf numFmtId="0" fontId="17" fillId="0" borderId="20" xfId="27" applyFont="1" applyBorder="1" applyAlignment="1">
      <alignment horizontal="left" vertical="center" wrapText="1"/>
    </xf>
    <xf numFmtId="0" fontId="4" fillId="0" borderId="21" xfId="41" applyFont="1" applyBorder="1" applyAlignment="1">
      <alignment horizontal="center" vertical="center" wrapText="1"/>
    </xf>
    <xf numFmtId="0" fontId="4" fillId="0" borderId="9" xfId="41" applyFont="1" applyBorder="1" applyAlignment="1">
      <alignment horizontal="center" vertical="center" wrapText="1"/>
    </xf>
    <xf numFmtId="0" fontId="11" fillId="0" borderId="3" xfId="34" applyFont="1" applyBorder="1" applyAlignment="1">
      <alignment horizontal="center" vertical="center" wrapText="1"/>
    </xf>
    <xf numFmtId="0" fontId="11" fillId="0" borderId="4" xfId="34" applyFont="1" applyBorder="1" applyAlignment="1">
      <alignment horizontal="center" vertical="center" wrapText="1"/>
    </xf>
    <xf numFmtId="0" fontId="11" fillId="0" borderId="30" xfId="34" applyFont="1" applyBorder="1" applyAlignment="1">
      <alignment horizontal="center" vertical="center" wrapText="1"/>
    </xf>
    <xf numFmtId="0" fontId="11" fillId="0" borderId="31" xfId="34" applyFont="1" applyBorder="1" applyAlignment="1">
      <alignment horizontal="center" vertical="center" wrapText="1"/>
    </xf>
    <xf numFmtId="0" fontId="16" fillId="0" borderId="12" xfId="35" applyFont="1" applyBorder="1" applyAlignment="1">
      <alignment horizontal="left" vertical="center" wrapText="1" indent="1"/>
    </xf>
    <xf numFmtId="0" fontId="16" fillId="0" borderId="13" xfId="35" applyFont="1" applyBorder="1" applyAlignment="1">
      <alignment horizontal="left" vertical="center" wrapText="1" indent="1"/>
    </xf>
    <xf numFmtId="0" fontId="16" fillId="0" borderId="14" xfId="35" applyFont="1" applyBorder="1" applyAlignment="1">
      <alignment horizontal="left" vertical="center" wrapText="1" indent="1"/>
    </xf>
    <xf numFmtId="0" fontId="16" fillId="0" borderId="15" xfId="35" applyFont="1" applyBorder="1" applyAlignment="1">
      <alignment horizontal="left" vertical="center" wrapText="1" indent="1"/>
    </xf>
    <xf numFmtId="0" fontId="16" fillId="0" borderId="0" xfId="35" applyFont="1" applyAlignment="1">
      <alignment horizontal="left" vertical="center" wrapText="1" indent="1"/>
    </xf>
    <xf numFmtId="0" fontId="16" fillId="0" borderId="16" xfId="35" applyFont="1" applyBorder="1" applyAlignment="1">
      <alignment horizontal="left" vertical="center" wrapText="1" indent="1"/>
    </xf>
    <xf numFmtId="0" fontId="16" fillId="0" borderId="18" xfId="35" applyFont="1" applyBorder="1" applyAlignment="1">
      <alignment horizontal="left" vertical="center" wrapText="1" indent="1"/>
    </xf>
    <xf numFmtId="0" fontId="16" fillId="0" borderId="19" xfId="35" applyFont="1" applyBorder="1" applyAlignment="1">
      <alignment horizontal="left" vertical="center" wrapText="1" indent="1"/>
    </xf>
    <xf numFmtId="0" fontId="16" fillId="0" borderId="20" xfId="35" applyFont="1" applyBorder="1" applyAlignment="1">
      <alignment horizontal="left" vertical="center" wrapText="1" indent="1"/>
    </xf>
    <xf numFmtId="0" fontId="20" fillId="0" borderId="10" xfId="34" applyFont="1" applyBorder="1" applyAlignment="1">
      <alignment horizontal="center" vertical="center" wrapText="1"/>
    </xf>
    <xf numFmtId="0" fontId="20" fillId="0" borderId="11" xfId="34" applyFont="1" applyBorder="1" applyAlignment="1">
      <alignment horizontal="center" vertical="center" wrapText="1"/>
    </xf>
    <xf numFmtId="0" fontId="20" fillId="0" borderId="30" xfId="34" applyFont="1" applyBorder="1" applyAlignment="1">
      <alignment horizontal="center" vertical="center" wrapText="1"/>
    </xf>
    <xf numFmtId="0" fontId="20" fillId="0" borderId="31" xfId="34" applyFont="1" applyBorder="1" applyAlignment="1">
      <alignment horizontal="center" vertical="center" wrapText="1"/>
    </xf>
    <xf numFmtId="0" fontId="15" fillId="0" borderId="22" xfId="35" applyFont="1" applyBorder="1" applyAlignment="1">
      <alignment horizontal="left" vertical="center" wrapText="1"/>
    </xf>
    <xf numFmtId="0" fontId="15" fillId="0" borderId="23" xfId="35" applyFont="1" applyBorder="1" applyAlignment="1">
      <alignment horizontal="left" vertical="center" wrapText="1"/>
    </xf>
    <xf numFmtId="0" fontId="15" fillId="0" borderId="24" xfId="35" applyFont="1" applyBorder="1" applyAlignment="1">
      <alignment horizontal="left" vertical="center" wrapText="1"/>
    </xf>
    <xf numFmtId="0" fontId="16" fillId="0" borderId="12" xfId="35" applyFont="1" applyBorder="1" applyAlignment="1">
      <alignment horizontal="left" vertical="top" wrapText="1"/>
    </xf>
    <xf numFmtId="0" fontId="16" fillId="0" borderId="13" xfId="35" applyFont="1" applyBorder="1" applyAlignment="1">
      <alignment horizontal="left" vertical="top" wrapText="1"/>
    </xf>
    <xf numFmtId="0" fontId="16" fillId="0" borderId="14" xfId="35" applyFont="1" applyBorder="1" applyAlignment="1">
      <alignment horizontal="left" vertical="top" wrapText="1"/>
    </xf>
    <xf numFmtId="0" fontId="16" fillId="0" borderId="15" xfId="35" applyFont="1" applyBorder="1" applyAlignment="1">
      <alignment horizontal="left" vertical="top" wrapText="1"/>
    </xf>
    <xf numFmtId="0" fontId="16" fillId="0" borderId="0" xfId="35" applyFont="1" applyAlignment="1">
      <alignment horizontal="left" vertical="top" wrapText="1"/>
    </xf>
    <xf numFmtId="0" fontId="16" fillId="0" borderId="16" xfId="35" applyFont="1" applyBorder="1" applyAlignment="1">
      <alignment horizontal="left" vertical="top" wrapText="1"/>
    </xf>
    <xf numFmtId="0" fontId="16" fillId="0" borderId="18" xfId="35" applyFont="1" applyBorder="1" applyAlignment="1">
      <alignment horizontal="left" vertical="top" wrapText="1"/>
    </xf>
    <xf numFmtId="0" fontId="16" fillId="0" borderId="19" xfId="35" applyFont="1" applyBorder="1" applyAlignment="1">
      <alignment horizontal="left" vertical="top" wrapText="1"/>
    </xf>
    <xf numFmtId="0" fontId="16" fillId="0" borderId="20" xfId="35" applyFont="1" applyBorder="1" applyAlignment="1">
      <alignment horizontal="left" vertical="top" wrapText="1"/>
    </xf>
    <xf numFmtId="0" fontId="16" fillId="0" borderId="12" xfId="34" applyFont="1" applyBorder="1" applyAlignment="1">
      <alignment horizontal="left" vertical="center" wrapText="1"/>
    </xf>
    <xf numFmtId="0" fontId="16" fillId="0" borderId="13" xfId="34" applyFont="1" applyBorder="1" applyAlignment="1">
      <alignment horizontal="left" vertical="center" wrapText="1"/>
    </xf>
    <xf numFmtId="0" fontId="16" fillId="0" borderId="14" xfId="34" applyFont="1" applyBorder="1" applyAlignment="1">
      <alignment horizontal="left" vertical="center" wrapText="1"/>
    </xf>
    <xf numFmtId="0" fontId="16" fillId="0" borderId="15" xfId="34" applyFont="1" applyBorder="1" applyAlignment="1">
      <alignment horizontal="left" vertical="center" wrapText="1"/>
    </xf>
    <xf numFmtId="0" fontId="16" fillId="0" borderId="0" xfId="34" applyFont="1" applyAlignment="1">
      <alignment horizontal="left" vertical="center" wrapText="1"/>
    </xf>
    <xf numFmtId="0" fontId="16" fillId="0" borderId="16" xfId="34" applyFont="1" applyBorder="1" applyAlignment="1">
      <alignment horizontal="left" vertical="center" wrapText="1"/>
    </xf>
    <xf numFmtId="0" fontId="16" fillId="0" borderId="18" xfId="34" applyFont="1" applyBorder="1" applyAlignment="1">
      <alignment horizontal="left" vertical="center" wrapText="1"/>
    </xf>
    <xf numFmtId="0" fontId="16" fillId="0" borderId="19" xfId="34" applyFont="1" applyBorder="1" applyAlignment="1">
      <alignment horizontal="left" vertical="center" wrapText="1"/>
    </xf>
    <xf numFmtId="0" fontId="16" fillId="0" borderId="20" xfId="34" applyFont="1" applyBorder="1" applyAlignment="1">
      <alignment horizontal="left" vertical="center" wrapText="1"/>
    </xf>
    <xf numFmtId="0" fontId="34" fillId="0" borderId="17" xfId="34" applyFont="1" applyBorder="1" applyAlignment="1">
      <alignment horizontal="center" vertical="center"/>
    </xf>
    <xf numFmtId="0" fontId="34" fillId="0" borderId="36" xfId="34" applyFont="1" applyBorder="1" applyAlignment="1">
      <alignment horizontal="center" vertical="center"/>
    </xf>
    <xf numFmtId="0" fontId="34" fillId="0" borderId="25" xfId="34" applyFont="1" applyBorder="1" applyAlignment="1">
      <alignment horizontal="center" vertical="center"/>
    </xf>
    <xf numFmtId="0" fontId="26" fillId="6" borderId="28" xfId="34" applyFont="1" applyFill="1" applyBorder="1" applyAlignment="1">
      <alignment horizontal="center" vertical="center" wrapText="1"/>
    </xf>
    <xf numFmtId="0" fontId="26" fillId="6" borderId="38" xfId="34" applyFont="1" applyFill="1" applyBorder="1" applyAlignment="1">
      <alignment horizontal="center" vertical="center" wrapText="1"/>
    </xf>
    <xf numFmtId="0" fontId="2" fillId="0" borderId="1" xfId="34" applyFont="1" applyBorder="1" applyAlignment="1">
      <alignment horizontal="center" vertical="center"/>
    </xf>
    <xf numFmtId="0" fontId="4" fillId="0" borderId="1" xfId="34" applyFont="1" applyBorder="1" applyAlignment="1">
      <alignment horizontal="center" vertical="center"/>
    </xf>
    <xf numFmtId="0" fontId="2" fillId="0" borderId="2" xfId="34" applyFont="1" applyBorder="1" applyAlignment="1">
      <alignment horizontal="center" vertical="center"/>
    </xf>
    <xf numFmtId="0" fontId="4" fillId="0" borderId="2" xfId="34" applyFont="1" applyBorder="1" applyAlignment="1">
      <alignment horizontal="center" vertical="center"/>
    </xf>
    <xf numFmtId="0" fontId="9" fillId="0" borderId="3" xfId="34" applyFont="1" applyBorder="1" applyAlignment="1">
      <alignment horizontal="center" vertical="center" wrapText="1"/>
    </xf>
    <xf numFmtId="0" fontId="9" fillId="0" borderId="4" xfId="34" applyFont="1" applyBorder="1" applyAlignment="1">
      <alignment horizontal="center" vertical="center" wrapText="1"/>
    </xf>
    <xf numFmtId="0" fontId="9" fillId="0" borderId="10" xfId="34" applyFont="1" applyBorder="1" applyAlignment="1">
      <alignment horizontal="center" vertical="center" wrapText="1"/>
    </xf>
    <xf numFmtId="0" fontId="9" fillId="0" borderId="11" xfId="34" applyFont="1" applyBorder="1" applyAlignment="1">
      <alignment horizontal="center" vertical="center" wrapText="1"/>
    </xf>
    <xf numFmtId="0" fontId="9" fillId="0" borderId="26" xfId="34" applyFont="1" applyBorder="1" applyAlignment="1">
      <alignment horizontal="center" vertical="center" wrapText="1"/>
    </xf>
    <xf numFmtId="0" fontId="9" fillId="0" borderId="27" xfId="34" applyFont="1" applyBorder="1" applyAlignment="1">
      <alignment horizontal="center" vertical="center" wrapText="1"/>
    </xf>
    <xf numFmtId="0" fontId="20" fillId="0" borderId="33" xfId="34" applyFont="1" applyBorder="1" applyAlignment="1">
      <alignment horizontal="center" vertical="center" wrapText="1"/>
    </xf>
    <xf numFmtId="0" fontId="20" fillId="0" borderId="34" xfId="34" applyFont="1" applyBorder="1" applyAlignment="1">
      <alignment horizontal="center" vertical="center" wrapText="1"/>
    </xf>
    <xf numFmtId="0" fontId="20" fillId="0" borderId="26" xfId="34" applyFont="1" applyBorder="1" applyAlignment="1">
      <alignment horizontal="center" vertical="center" wrapText="1"/>
    </xf>
    <xf numFmtId="0" fontId="20" fillId="0" borderId="27" xfId="34" applyFont="1" applyBorder="1" applyAlignment="1">
      <alignment horizontal="center" vertical="center" wrapText="1"/>
    </xf>
    <xf numFmtId="0" fontId="15" fillId="0" borderId="22" xfId="34" applyFont="1" applyBorder="1" applyAlignment="1">
      <alignment horizontal="left" vertical="center"/>
    </xf>
    <xf numFmtId="0" fontId="15" fillId="0" borderId="23" xfId="34" applyFont="1" applyBorder="1" applyAlignment="1">
      <alignment horizontal="left" vertical="center"/>
    </xf>
    <xf numFmtId="0" fontId="15" fillId="0" borderId="24" xfId="34" applyFont="1" applyBorder="1" applyAlignment="1">
      <alignment horizontal="left" vertical="center"/>
    </xf>
    <xf numFmtId="0" fontId="15" fillId="0" borderId="6" xfId="35" applyFont="1" applyBorder="1" applyAlignment="1">
      <alignment horizontal="left" vertical="center" wrapText="1"/>
    </xf>
    <xf numFmtId="0" fontId="15" fillId="0" borderId="7" xfId="35" applyFont="1" applyBorder="1" applyAlignment="1">
      <alignment horizontal="left" vertical="center" wrapText="1"/>
    </xf>
    <xf numFmtId="0" fontId="15" fillId="0" borderId="8" xfId="35" applyFont="1" applyBorder="1" applyAlignment="1">
      <alignment horizontal="left" vertical="center" wrapText="1"/>
    </xf>
    <xf numFmtId="0" fontId="16" fillId="0" borderId="12" xfId="35" applyFont="1" applyBorder="1" applyAlignment="1">
      <alignment horizontal="left" vertical="center" wrapText="1"/>
    </xf>
    <xf numFmtId="0" fontId="16" fillId="0" borderId="13" xfId="35" applyFont="1" applyBorder="1" applyAlignment="1">
      <alignment horizontal="left" vertical="center" wrapText="1"/>
    </xf>
    <xf numFmtId="0" fontId="16" fillId="0" borderId="14" xfId="35" applyFont="1" applyBorder="1" applyAlignment="1">
      <alignment horizontal="left" vertical="center" wrapText="1"/>
    </xf>
    <xf numFmtId="0" fontId="16" fillId="0" borderId="15" xfId="35" applyFont="1" applyBorder="1" applyAlignment="1">
      <alignment horizontal="left" vertical="center" wrapText="1"/>
    </xf>
    <xf numFmtId="0" fontId="16" fillId="0" borderId="0" xfId="35" applyFont="1" applyAlignment="1">
      <alignment horizontal="left" vertical="center" wrapText="1"/>
    </xf>
    <xf numFmtId="0" fontId="16" fillId="0" borderId="16" xfId="35" applyFont="1" applyBorder="1" applyAlignment="1">
      <alignment horizontal="left" vertical="center" wrapText="1"/>
    </xf>
    <xf numFmtId="0" fontId="16" fillId="0" borderId="18" xfId="35" applyFont="1" applyBorder="1" applyAlignment="1">
      <alignment horizontal="left" vertical="center" wrapText="1"/>
    </xf>
    <xf numFmtId="0" fontId="16" fillId="0" borderId="19" xfId="35" applyFont="1" applyBorder="1" applyAlignment="1">
      <alignment horizontal="left" vertical="center" wrapText="1"/>
    </xf>
    <xf numFmtId="0" fontId="16" fillId="0" borderId="20" xfId="35" applyFont="1" applyBorder="1" applyAlignment="1">
      <alignment horizontal="left" vertical="center" wrapText="1"/>
    </xf>
    <xf numFmtId="0" fontId="17" fillId="0" borderId="12" xfId="35" applyFont="1" applyBorder="1" applyAlignment="1">
      <alignment horizontal="left" vertical="center" wrapText="1"/>
    </xf>
    <xf numFmtId="0" fontId="17" fillId="0" borderId="13" xfId="35" applyFont="1" applyBorder="1" applyAlignment="1">
      <alignment horizontal="left" vertical="center" wrapText="1"/>
    </xf>
    <xf numFmtId="0" fontId="17" fillId="0" borderId="14" xfId="35" applyFont="1" applyBorder="1" applyAlignment="1">
      <alignment horizontal="left" vertical="center" wrapText="1"/>
    </xf>
    <xf numFmtId="0" fontId="17" fillId="0" borderId="15" xfId="35" applyFont="1" applyBorder="1" applyAlignment="1">
      <alignment horizontal="left" vertical="center" wrapText="1"/>
    </xf>
    <xf numFmtId="0" fontId="17" fillId="0" borderId="0" xfId="35" applyFont="1" applyAlignment="1">
      <alignment horizontal="left" vertical="center" wrapText="1"/>
    </xf>
    <xf numFmtId="0" fontId="17" fillId="0" borderId="16" xfId="35" applyFont="1" applyBorder="1" applyAlignment="1">
      <alignment horizontal="left" vertical="center" wrapText="1"/>
    </xf>
    <xf numFmtId="0" fontId="17" fillId="0" borderId="18" xfId="35" applyFont="1" applyBorder="1" applyAlignment="1">
      <alignment horizontal="left" vertical="center" wrapText="1"/>
    </xf>
    <xf numFmtId="0" fontId="17" fillId="0" borderId="19" xfId="35" applyFont="1" applyBorder="1" applyAlignment="1">
      <alignment horizontal="left" vertical="center" wrapText="1"/>
    </xf>
    <xf numFmtId="0" fontId="17" fillId="0" borderId="20" xfId="35" applyFont="1" applyBorder="1" applyAlignment="1">
      <alignment horizontal="left" vertical="center" wrapText="1"/>
    </xf>
    <xf numFmtId="0" fontId="16" fillId="0" borderId="12" xfId="42" applyFont="1" applyBorder="1" applyAlignment="1">
      <alignment horizontal="left" vertical="center" wrapText="1"/>
    </xf>
    <xf numFmtId="0" fontId="16" fillId="0" borderId="13" xfId="42" applyFont="1" applyBorder="1" applyAlignment="1">
      <alignment horizontal="left" vertical="center" wrapText="1"/>
    </xf>
    <xf numFmtId="0" fontId="16" fillId="0" borderId="14" xfId="42" applyFont="1" applyBorder="1" applyAlignment="1">
      <alignment horizontal="left" vertical="center" wrapText="1"/>
    </xf>
    <xf numFmtId="0" fontId="16" fillId="0" borderId="15" xfId="42" applyFont="1" applyBorder="1" applyAlignment="1">
      <alignment horizontal="left" vertical="center" wrapText="1"/>
    </xf>
    <xf numFmtId="0" fontId="16" fillId="0" borderId="0" xfId="42" applyFont="1" applyAlignment="1">
      <alignment horizontal="left" vertical="center" wrapText="1"/>
    </xf>
    <xf numFmtId="0" fontId="16" fillId="0" borderId="16" xfId="42" applyFont="1" applyBorder="1" applyAlignment="1">
      <alignment horizontal="left" vertical="center" wrapText="1"/>
    </xf>
    <xf numFmtId="0" fontId="16" fillId="0" borderId="18" xfId="42" applyFont="1" applyBorder="1" applyAlignment="1">
      <alignment horizontal="left" vertical="center" wrapText="1"/>
    </xf>
    <xf numFmtId="0" fontId="16" fillId="0" borderId="19" xfId="42" applyFont="1" applyBorder="1" applyAlignment="1">
      <alignment horizontal="left" vertical="center" wrapText="1"/>
    </xf>
    <xf numFmtId="0" fontId="16" fillId="0" borderId="20" xfId="42" applyFont="1" applyBorder="1" applyAlignment="1">
      <alignment horizontal="left" vertical="center" wrapText="1"/>
    </xf>
    <xf numFmtId="0" fontId="11" fillId="0" borderId="3" xfId="42" applyFont="1" applyBorder="1" applyAlignment="1">
      <alignment horizontal="center" vertical="center" wrapText="1"/>
    </xf>
    <xf numFmtId="0" fontId="11" fillId="0" borderId="4" xfId="42" applyFont="1" applyBorder="1" applyAlignment="1">
      <alignment horizontal="center" vertical="center" wrapText="1"/>
    </xf>
    <xf numFmtId="0" fontId="11" fillId="0" borderId="30" xfId="42" applyFont="1" applyBorder="1" applyAlignment="1">
      <alignment horizontal="center" vertical="center" wrapText="1"/>
    </xf>
    <xf numFmtId="0" fontId="11" fillId="0" borderId="31" xfId="42" applyFont="1" applyBorder="1" applyAlignment="1">
      <alignment horizontal="center" vertical="center" wrapText="1"/>
    </xf>
    <xf numFmtId="0" fontId="16" fillId="0" borderId="12" xfId="44" applyFont="1" applyBorder="1" applyAlignment="1">
      <alignment horizontal="left" vertical="center" wrapText="1" indent="1"/>
    </xf>
    <xf numFmtId="0" fontId="16" fillId="0" borderId="13" xfId="44" applyFont="1" applyBorder="1" applyAlignment="1">
      <alignment horizontal="left" vertical="center" wrapText="1" indent="1"/>
    </xf>
    <xf numFmtId="0" fontId="16" fillId="0" borderId="14" xfId="44" applyFont="1" applyBorder="1" applyAlignment="1">
      <alignment horizontal="left" vertical="center" wrapText="1" indent="1"/>
    </xf>
    <xf numFmtId="0" fontId="16" fillId="0" borderId="15" xfId="44" applyFont="1" applyBorder="1" applyAlignment="1">
      <alignment horizontal="left" vertical="center" wrapText="1" indent="1"/>
    </xf>
    <xf numFmtId="0" fontId="16" fillId="0" borderId="0" xfId="44" applyFont="1" applyAlignment="1">
      <alignment horizontal="left" vertical="center" wrapText="1" indent="1"/>
    </xf>
    <xf numFmtId="0" fontId="16" fillId="0" borderId="16" xfId="44" applyFont="1" applyBorder="1" applyAlignment="1">
      <alignment horizontal="left" vertical="center" wrapText="1" indent="1"/>
    </xf>
    <xf numFmtId="0" fontId="16" fillId="0" borderId="18" xfId="44" applyFont="1" applyBorder="1" applyAlignment="1">
      <alignment horizontal="left" vertical="center" wrapText="1" indent="1"/>
    </xf>
    <xf numFmtId="0" fontId="16" fillId="0" borderId="19" xfId="44" applyFont="1" applyBorder="1" applyAlignment="1">
      <alignment horizontal="left" vertical="center" wrapText="1" indent="1"/>
    </xf>
    <xf numFmtId="0" fontId="16" fillId="0" borderId="20" xfId="44" applyFont="1" applyBorder="1" applyAlignment="1">
      <alignment horizontal="left" vertical="center" wrapText="1" indent="1"/>
    </xf>
    <xf numFmtId="0" fontId="20" fillId="0" borderId="10" xfId="42" applyFont="1" applyBorder="1" applyAlignment="1">
      <alignment horizontal="center" vertical="center" wrapText="1"/>
    </xf>
    <xf numFmtId="0" fontId="20" fillId="0" borderId="11" xfId="42" applyFont="1" applyBorder="1" applyAlignment="1">
      <alignment horizontal="center" vertical="center" wrapText="1"/>
    </xf>
    <xf numFmtId="0" fontId="20" fillId="0" borderId="30" xfId="42" applyFont="1" applyBorder="1" applyAlignment="1">
      <alignment horizontal="center" vertical="center" wrapText="1"/>
    </xf>
    <xf numFmtId="0" fontId="20" fillId="0" borderId="31" xfId="42" applyFont="1" applyBorder="1" applyAlignment="1">
      <alignment horizontal="center" vertical="center" wrapText="1"/>
    </xf>
    <xf numFmtId="0" fontId="15" fillId="0" borderId="22" xfId="44" applyFont="1" applyBorder="1" applyAlignment="1">
      <alignment horizontal="left" vertical="center" wrapText="1"/>
    </xf>
    <xf numFmtId="0" fontId="15" fillId="0" borderId="23" xfId="44" applyFont="1" applyBorder="1" applyAlignment="1">
      <alignment horizontal="left" vertical="center" wrapText="1"/>
    </xf>
    <xf numFmtId="0" fontId="15" fillId="0" borderId="24" xfId="44" applyFont="1" applyBorder="1" applyAlignment="1">
      <alignment horizontal="left" vertical="center" wrapText="1"/>
    </xf>
    <xf numFmtId="0" fontId="16" fillId="0" borderId="12" xfId="44" applyFont="1" applyBorder="1" applyAlignment="1">
      <alignment horizontal="left" vertical="top" wrapText="1"/>
    </xf>
    <xf numFmtId="0" fontId="16" fillId="0" borderId="13" xfId="44" applyFont="1" applyBorder="1" applyAlignment="1">
      <alignment horizontal="left" vertical="top" wrapText="1"/>
    </xf>
    <xf numFmtId="0" fontId="16" fillId="0" borderId="14" xfId="44" applyFont="1" applyBorder="1" applyAlignment="1">
      <alignment horizontal="left" vertical="top" wrapText="1"/>
    </xf>
    <xf numFmtId="0" fontId="16" fillId="0" borderId="15" xfId="44" applyFont="1" applyBorder="1" applyAlignment="1">
      <alignment horizontal="left" vertical="top" wrapText="1"/>
    </xf>
    <xf numFmtId="0" fontId="16" fillId="0" borderId="0" xfId="44" applyFont="1" applyAlignment="1">
      <alignment horizontal="left" vertical="top" wrapText="1"/>
    </xf>
    <xf numFmtId="0" fontId="16" fillId="0" borderId="16" xfId="44" applyFont="1" applyBorder="1" applyAlignment="1">
      <alignment horizontal="left" vertical="top" wrapText="1"/>
    </xf>
    <xf numFmtId="0" fontId="16" fillId="0" borderId="18" xfId="44" applyFont="1" applyBorder="1" applyAlignment="1">
      <alignment horizontal="left" vertical="top" wrapText="1"/>
    </xf>
    <xf numFmtId="0" fontId="16" fillId="0" borderId="19" xfId="44" applyFont="1" applyBorder="1" applyAlignment="1">
      <alignment horizontal="left" vertical="top" wrapText="1"/>
    </xf>
    <xf numFmtId="0" fontId="16" fillId="0" borderId="20" xfId="44" applyFont="1" applyBorder="1" applyAlignment="1">
      <alignment horizontal="left" vertical="top" wrapText="1"/>
    </xf>
    <xf numFmtId="0" fontId="26" fillId="6" borderId="28" xfId="42" applyFont="1" applyFill="1" applyBorder="1" applyAlignment="1">
      <alignment horizontal="center" vertical="center" wrapText="1"/>
    </xf>
    <xf numFmtId="0" fontId="26" fillId="6" borderId="38" xfId="42" applyFont="1" applyFill="1" applyBorder="1" applyAlignment="1">
      <alignment horizontal="center" vertical="center" wrapText="1"/>
    </xf>
    <xf numFmtId="0" fontId="2" fillId="0" borderId="1" xfId="42" applyFont="1" applyBorder="1" applyAlignment="1">
      <alignment horizontal="center" vertical="center"/>
    </xf>
    <xf numFmtId="0" fontId="4" fillId="0" borderId="1" xfId="42" applyFont="1" applyBorder="1" applyAlignment="1">
      <alignment horizontal="center" vertical="center"/>
    </xf>
    <xf numFmtId="0" fontId="2" fillId="0" borderId="2" xfId="42" applyFont="1" applyBorder="1" applyAlignment="1">
      <alignment horizontal="center" vertical="center"/>
    </xf>
    <xf numFmtId="0" fontId="4" fillId="0" borderId="2" xfId="42" applyFont="1" applyBorder="1" applyAlignment="1">
      <alignment horizontal="center" vertical="center"/>
    </xf>
    <xf numFmtId="0" fontId="9" fillId="0" borderId="3" xfId="42" applyFont="1" applyBorder="1" applyAlignment="1">
      <alignment horizontal="center" vertical="center" wrapText="1"/>
    </xf>
    <xf numFmtId="0" fontId="9" fillId="0" borderId="4" xfId="42" applyFont="1" applyBorder="1" applyAlignment="1">
      <alignment horizontal="center" vertical="center" wrapText="1"/>
    </xf>
    <xf numFmtId="0" fontId="9" fillId="0" borderId="10" xfId="42" applyFont="1" applyBorder="1" applyAlignment="1">
      <alignment horizontal="center" vertical="center" wrapText="1"/>
    </xf>
    <xf numFmtId="0" fontId="9" fillId="0" borderId="11" xfId="42" applyFont="1" applyBorder="1" applyAlignment="1">
      <alignment horizontal="center" vertical="center" wrapText="1"/>
    </xf>
    <xf numFmtId="0" fontId="9" fillId="0" borderId="26" xfId="42" applyFont="1" applyBorder="1" applyAlignment="1">
      <alignment horizontal="center" vertical="center" wrapText="1"/>
    </xf>
    <xf numFmtId="0" fontId="9" fillId="0" borderId="27" xfId="42" applyFont="1" applyBorder="1" applyAlignment="1">
      <alignment horizontal="center" vertical="center" wrapText="1"/>
    </xf>
    <xf numFmtId="0" fontId="20" fillId="0" borderId="33" xfId="42" applyFont="1" applyBorder="1" applyAlignment="1">
      <alignment horizontal="center" vertical="center" wrapText="1"/>
    </xf>
    <xf numFmtId="0" fontId="20" fillId="0" borderId="34" xfId="42" applyFont="1" applyBorder="1" applyAlignment="1">
      <alignment horizontal="center" vertical="center" wrapText="1"/>
    </xf>
    <xf numFmtId="0" fontId="20" fillId="0" borderId="26" xfId="42" applyFont="1" applyBorder="1" applyAlignment="1">
      <alignment horizontal="center" vertical="center" wrapText="1"/>
    </xf>
    <xf numFmtId="0" fontId="20" fillId="0" borderId="27" xfId="42" applyFont="1" applyBorder="1" applyAlignment="1">
      <alignment horizontal="center" vertical="center" wrapText="1"/>
    </xf>
    <xf numFmtId="0" fontId="15" fillId="0" borderId="22" xfId="42" applyFont="1" applyBorder="1" applyAlignment="1">
      <alignment horizontal="left" vertical="center"/>
    </xf>
    <xf numFmtId="0" fontId="15" fillId="0" borderId="23" xfId="42" applyFont="1" applyBorder="1" applyAlignment="1">
      <alignment horizontal="left" vertical="center"/>
    </xf>
    <xf numFmtId="0" fontId="15" fillId="0" borderId="24" xfId="42" applyFont="1" applyBorder="1" applyAlignment="1">
      <alignment horizontal="left" vertical="center"/>
    </xf>
    <xf numFmtId="0" fontId="15" fillId="0" borderId="6" xfId="44" applyFont="1" applyBorder="1" applyAlignment="1">
      <alignment horizontal="left" vertical="center" wrapText="1"/>
    </xf>
    <xf numFmtId="0" fontId="15" fillId="0" borderId="7" xfId="44" applyFont="1" applyBorder="1" applyAlignment="1">
      <alignment horizontal="left" vertical="center" wrapText="1"/>
    </xf>
    <xf numFmtId="0" fontId="15" fillId="0" borderId="8" xfId="44" applyFont="1" applyBorder="1" applyAlignment="1">
      <alignment horizontal="left" vertical="center" wrapText="1"/>
    </xf>
    <xf numFmtId="0" fontId="16" fillId="0" borderId="12" xfId="44" applyFont="1" applyBorder="1" applyAlignment="1">
      <alignment horizontal="left" vertical="center" wrapText="1"/>
    </xf>
    <xf numFmtId="0" fontId="16" fillId="0" borderId="13" xfId="44" applyFont="1" applyBorder="1" applyAlignment="1">
      <alignment horizontal="left" vertical="center" wrapText="1"/>
    </xf>
    <xf numFmtId="0" fontId="16" fillId="0" borderId="14" xfId="44" applyFont="1" applyBorder="1" applyAlignment="1">
      <alignment horizontal="left" vertical="center" wrapText="1"/>
    </xf>
    <xf numFmtId="0" fontId="16" fillId="0" borderId="15" xfId="44" applyFont="1" applyBorder="1" applyAlignment="1">
      <alignment horizontal="left" vertical="center" wrapText="1"/>
    </xf>
    <xf numFmtId="0" fontId="16" fillId="0" borderId="0" xfId="44" applyFont="1" applyAlignment="1">
      <alignment horizontal="left" vertical="center" wrapText="1"/>
    </xf>
    <xf numFmtId="0" fontId="16" fillId="0" borderId="16" xfId="44" applyFont="1" applyBorder="1" applyAlignment="1">
      <alignment horizontal="left" vertical="center" wrapText="1"/>
    </xf>
    <xf numFmtId="0" fontId="16" fillId="0" borderId="18" xfId="44" applyFont="1" applyBorder="1" applyAlignment="1">
      <alignment horizontal="left" vertical="center" wrapText="1"/>
    </xf>
    <xf numFmtId="0" fontId="16" fillId="0" borderId="19" xfId="44" applyFont="1" applyBorder="1" applyAlignment="1">
      <alignment horizontal="left" vertical="center" wrapText="1"/>
    </xf>
    <xf numFmtId="0" fontId="16" fillId="0" borderId="20" xfId="44" applyFont="1" applyBorder="1" applyAlignment="1">
      <alignment horizontal="left" vertical="center" wrapText="1"/>
    </xf>
    <xf numFmtId="0" fontId="17" fillId="0" borderId="12" xfId="44" applyFont="1" applyBorder="1" applyAlignment="1">
      <alignment horizontal="left" vertical="center" wrapText="1"/>
    </xf>
    <xf numFmtId="0" fontId="17" fillId="0" borderId="13" xfId="44" applyFont="1" applyBorder="1" applyAlignment="1">
      <alignment horizontal="left" vertical="center" wrapText="1"/>
    </xf>
    <xf numFmtId="0" fontId="17" fillId="0" borderId="14" xfId="44" applyFont="1" applyBorder="1" applyAlignment="1">
      <alignment horizontal="left" vertical="center" wrapText="1"/>
    </xf>
    <xf numFmtId="0" fontId="17" fillId="0" borderId="15" xfId="44" applyFont="1" applyBorder="1" applyAlignment="1">
      <alignment horizontal="left" vertical="center" wrapText="1"/>
    </xf>
    <xf numFmtId="0" fontId="17" fillId="0" borderId="0" xfId="44" applyFont="1" applyAlignment="1">
      <alignment horizontal="left" vertical="center" wrapText="1"/>
    </xf>
    <xf numFmtId="0" fontId="17" fillId="0" borderId="16" xfId="44" applyFont="1" applyBorder="1" applyAlignment="1">
      <alignment horizontal="left" vertical="center" wrapText="1"/>
    </xf>
    <xf numFmtId="0" fontId="17" fillId="0" borderId="18" xfId="44" applyFont="1" applyBorder="1" applyAlignment="1">
      <alignment horizontal="left" vertical="center" wrapText="1"/>
    </xf>
    <xf numFmtId="0" fontId="17" fillId="0" borderId="19" xfId="44" applyFont="1" applyBorder="1" applyAlignment="1">
      <alignment horizontal="left" vertical="center" wrapText="1"/>
    </xf>
    <xf numFmtId="0" fontId="17" fillId="0" borderId="20" xfId="44" applyFont="1" applyBorder="1" applyAlignment="1">
      <alignment horizontal="left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44" fillId="0" borderId="59" xfId="0" applyFont="1" applyBorder="1" applyAlignment="1">
      <alignment horizontal="center" vertical="center"/>
    </xf>
    <xf numFmtId="0" fontId="44" fillId="0" borderId="60" xfId="0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44" fillId="0" borderId="60" xfId="0" applyFont="1" applyBorder="1" applyAlignment="1">
      <alignment horizontal="center" vertical="center" wrapText="1"/>
    </xf>
    <xf numFmtId="49" fontId="45" fillId="0" borderId="61" xfId="0" applyNumberFormat="1" applyFont="1" applyBorder="1" applyAlignment="1">
      <alignment horizontal="left" vertical="center" wrapText="1" indent="1"/>
    </xf>
    <xf numFmtId="49" fontId="45" fillId="0" borderId="62" xfId="0" applyNumberFormat="1" applyFont="1" applyBorder="1" applyAlignment="1">
      <alignment horizontal="left" vertical="center" wrapText="1" indent="1"/>
    </xf>
    <xf numFmtId="49" fontId="52" fillId="0" borderId="12" xfId="0" applyNumberFormat="1" applyFont="1" applyBorder="1" applyAlignment="1">
      <alignment horizontal="left" vertical="center" wrapText="1" indent="1"/>
    </xf>
    <xf numFmtId="49" fontId="46" fillId="0" borderId="13" xfId="0" applyNumberFormat="1" applyFont="1" applyBorder="1" applyAlignment="1">
      <alignment horizontal="left" vertical="center" wrapText="1" indent="1"/>
    </xf>
    <xf numFmtId="49" fontId="46" fillId="0" borderId="15" xfId="0" applyNumberFormat="1" applyFont="1" applyBorder="1" applyAlignment="1">
      <alignment horizontal="left" vertical="center" wrapText="1" indent="1"/>
    </xf>
    <xf numFmtId="49" fontId="46" fillId="0" borderId="0" xfId="0" applyNumberFormat="1" applyFont="1" applyAlignment="1">
      <alignment horizontal="left" vertical="center" wrapText="1" indent="1"/>
    </xf>
    <xf numFmtId="49" fontId="46" fillId="0" borderId="18" xfId="0" applyNumberFormat="1" applyFont="1" applyBorder="1" applyAlignment="1">
      <alignment horizontal="left" vertical="center" wrapText="1" indent="1"/>
    </xf>
    <xf numFmtId="49" fontId="46" fillId="0" borderId="19" xfId="0" applyNumberFormat="1" applyFont="1" applyBorder="1" applyAlignment="1">
      <alignment horizontal="left" vertical="center" wrapText="1" indent="1"/>
    </xf>
    <xf numFmtId="49" fontId="46" fillId="0" borderId="12" xfId="0" applyNumberFormat="1" applyFont="1" applyBorder="1" applyAlignment="1">
      <alignment horizontal="left" vertical="center" wrapText="1" indent="1"/>
    </xf>
    <xf numFmtId="49" fontId="46" fillId="0" borderId="14" xfId="0" applyNumberFormat="1" applyFont="1" applyBorder="1" applyAlignment="1">
      <alignment horizontal="left" vertical="center" wrapText="1" indent="1"/>
    </xf>
    <xf numFmtId="49" fontId="46" fillId="0" borderId="16" xfId="0" applyNumberFormat="1" applyFont="1" applyBorder="1" applyAlignment="1">
      <alignment horizontal="left" vertical="center" wrapText="1" indent="1"/>
    </xf>
    <xf numFmtId="49" fontId="46" fillId="0" borderId="20" xfId="0" applyNumberFormat="1" applyFont="1" applyBorder="1" applyAlignment="1">
      <alignment horizontal="left" vertical="center" wrapText="1" indent="1"/>
    </xf>
    <xf numFmtId="49" fontId="45" fillId="0" borderId="63" xfId="0" applyNumberFormat="1" applyFont="1" applyBorder="1" applyAlignment="1">
      <alignment horizontal="left" vertical="center" wrapText="1" indent="1"/>
    </xf>
    <xf numFmtId="49" fontId="45" fillId="0" borderId="41" xfId="0" applyNumberFormat="1" applyFont="1" applyBorder="1" applyAlignment="1">
      <alignment horizontal="left" vertical="center" wrapText="1" indent="1"/>
    </xf>
    <xf numFmtId="49" fontId="45" fillId="0" borderId="15" xfId="0" applyNumberFormat="1" applyFont="1" applyBorder="1" applyAlignment="1">
      <alignment horizontal="left" vertical="center" wrapText="1" indent="1"/>
    </xf>
    <xf numFmtId="49" fontId="45" fillId="0" borderId="0" xfId="0" applyNumberFormat="1" applyFont="1" applyAlignment="1">
      <alignment horizontal="left" vertical="center" wrapText="1" indent="1"/>
    </xf>
    <xf numFmtId="49" fontId="45" fillId="0" borderId="18" xfId="0" applyNumberFormat="1" applyFont="1" applyBorder="1" applyAlignment="1">
      <alignment horizontal="left" vertical="center" wrapText="1" indent="1"/>
    </xf>
    <xf numFmtId="49" fontId="45" fillId="0" borderId="19" xfId="0" applyNumberFormat="1" applyFont="1" applyBorder="1" applyAlignment="1">
      <alignment horizontal="left" vertical="center" wrapText="1" indent="1"/>
    </xf>
    <xf numFmtId="0" fontId="42" fillId="0" borderId="6" xfId="1" applyFont="1" applyBorder="1" applyAlignment="1">
      <alignment horizontal="center" vertical="center" wrapText="1"/>
    </xf>
    <xf numFmtId="0" fontId="47" fillId="0" borderId="7" xfId="1" applyFont="1" applyBorder="1" applyAlignment="1">
      <alignment horizontal="center" vertical="center" wrapText="1"/>
    </xf>
    <xf numFmtId="0" fontId="47" fillId="0" borderId="64" xfId="1" applyFont="1" applyBorder="1" applyAlignment="1">
      <alignment horizontal="center" vertical="center" wrapText="1"/>
    </xf>
    <xf numFmtId="0" fontId="47" fillId="0" borderId="8" xfId="1" applyFont="1" applyBorder="1" applyAlignment="1">
      <alignment horizontal="center" vertical="center" wrapText="1"/>
    </xf>
    <xf numFmtId="0" fontId="48" fillId="0" borderId="54" xfId="1" applyFont="1" applyBorder="1" applyAlignment="1">
      <alignment horizontal="center" vertical="center" wrapText="1"/>
    </xf>
    <xf numFmtId="0" fontId="48" fillId="0" borderId="66" xfId="1" applyFont="1" applyBorder="1" applyAlignment="1">
      <alignment horizontal="center" vertical="center" wrapText="1"/>
    </xf>
    <xf numFmtId="0" fontId="48" fillId="0" borderId="70" xfId="1" applyFont="1" applyBorder="1" applyAlignment="1">
      <alignment horizontal="center" vertical="center" wrapText="1"/>
    </xf>
    <xf numFmtId="0" fontId="48" fillId="0" borderId="55" xfId="1" applyFont="1" applyBorder="1" applyAlignment="1">
      <alignment horizontal="left" vertical="center" wrapText="1"/>
    </xf>
    <xf numFmtId="0" fontId="48" fillId="0" borderId="55" xfId="1" applyFont="1" applyBorder="1" applyAlignment="1">
      <alignment horizontal="left" vertical="center"/>
    </xf>
    <xf numFmtId="0" fontId="48" fillId="0" borderId="67" xfId="1" applyFont="1" applyBorder="1" applyAlignment="1">
      <alignment horizontal="left" vertical="center" wrapText="1"/>
    </xf>
    <xf numFmtId="0" fontId="48" fillId="0" borderId="67" xfId="1" applyFont="1" applyBorder="1" applyAlignment="1">
      <alignment horizontal="left" vertical="center"/>
    </xf>
    <xf numFmtId="0" fontId="48" fillId="0" borderId="71" xfId="1" applyFont="1" applyBorder="1" applyAlignment="1">
      <alignment horizontal="left" vertical="center"/>
    </xf>
    <xf numFmtId="0" fontId="48" fillId="0" borderId="55" xfId="1" applyFont="1" applyBorder="1" applyAlignment="1">
      <alignment horizontal="center" vertical="center"/>
    </xf>
    <xf numFmtId="0" fontId="48" fillId="0" borderId="67" xfId="1" applyFont="1" applyBorder="1" applyAlignment="1">
      <alignment horizontal="center" vertical="center"/>
    </xf>
    <xf numFmtId="0" fontId="48" fillId="0" borderId="71" xfId="1" applyFont="1" applyBorder="1" applyAlignment="1">
      <alignment horizontal="center" vertical="center"/>
    </xf>
    <xf numFmtId="0" fontId="48" fillId="0" borderId="55" xfId="1" applyFont="1" applyBorder="1" applyAlignment="1">
      <alignment horizontal="center" vertical="center" wrapText="1"/>
    </xf>
    <xf numFmtId="0" fontId="48" fillId="0" borderId="67" xfId="1" applyFont="1" applyBorder="1" applyAlignment="1">
      <alignment horizontal="center" vertical="center" wrapText="1"/>
    </xf>
    <xf numFmtId="0" fontId="48" fillId="0" borderId="65" xfId="1" applyFont="1" applyBorder="1" applyAlignment="1">
      <alignment horizontal="center" vertical="center"/>
    </xf>
    <xf numFmtId="0" fontId="48" fillId="0" borderId="56" xfId="1" applyFont="1" applyBorder="1" applyAlignment="1">
      <alignment horizontal="center" vertical="center"/>
    </xf>
    <xf numFmtId="0" fontId="48" fillId="0" borderId="68" xfId="1" applyFont="1" applyBorder="1" applyAlignment="1">
      <alignment horizontal="center" vertical="center"/>
    </xf>
    <xf numFmtId="0" fontId="48" fillId="0" borderId="69" xfId="1" applyFont="1" applyBorder="1" applyAlignment="1">
      <alignment horizontal="center" vertical="center"/>
    </xf>
    <xf numFmtId="0" fontId="48" fillId="0" borderId="72" xfId="1" applyFont="1" applyBorder="1" applyAlignment="1">
      <alignment horizontal="center" vertical="center"/>
    </xf>
    <xf numFmtId="0" fontId="48" fillId="0" borderId="73" xfId="1" applyFont="1" applyBorder="1" applyAlignment="1">
      <alignment horizontal="center" vertical="center"/>
    </xf>
    <xf numFmtId="0" fontId="48" fillId="0" borderId="70" xfId="1" applyFont="1" applyBorder="1" applyAlignment="1">
      <alignment horizontal="center" vertical="center"/>
    </xf>
    <xf numFmtId="0" fontId="48" fillId="0" borderId="59" xfId="1" applyFont="1" applyBorder="1" applyAlignment="1">
      <alignment horizontal="center" vertical="center"/>
    </xf>
    <xf numFmtId="0" fontId="48" fillId="0" borderId="76" xfId="1" applyFont="1" applyBorder="1" applyAlignment="1">
      <alignment horizontal="center" vertical="center"/>
    </xf>
    <xf numFmtId="0" fontId="48" fillId="0" borderId="40" xfId="1" applyFont="1" applyBorder="1" applyAlignment="1">
      <alignment horizontal="center" vertical="center"/>
    </xf>
    <xf numFmtId="0" fontId="48" fillId="0" borderId="60" xfId="1" applyFont="1" applyBorder="1" applyAlignment="1">
      <alignment horizontal="center" vertical="center"/>
    </xf>
    <xf numFmtId="0" fontId="48" fillId="0" borderId="78" xfId="1" applyFont="1" applyBorder="1" applyAlignment="1">
      <alignment horizontal="center" vertical="center"/>
    </xf>
    <xf numFmtId="0" fontId="48" fillId="0" borderId="79" xfId="1" applyFont="1" applyBorder="1" applyAlignment="1">
      <alignment horizontal="center" vertical="center"/>
    </xf>
    <xf numFmtId="0" fontId="48" fillId="0" borderId="58" xfId="1" applyFont="1" applyBorder="1" applyAlignment="1">
      <alignment horizontal="center" vertical="center"/>
    </xf>
    <xf numFmtId="0" fontId="48" fillId="0" borderId="75" xfId="1" applyFont="1" applyBorder="1" applyAlignment="1">
      <alignment horizontal="center" vertical="center"/>
    </xf>
    <xf numFmtId="0" fontId="48" fillId="0" borderId="74" xfId="1" applyFont="1" applyBorder="1" applyAlignment="1">
      <alignment horizontal="center" vertical="center"/>
    </xf>
    <xf numFmtId="0" fontId="48" fillId="0" borderId="77" xfId="1" applyFont="1" applyBorder="1" applyAlignment="1">
      <alignment horizontal="center" vertical="center"/>
    </xf>
    <xf numFmtId="0" fontId="23" fillId="4" borderId="9" xfId="1" applyFont="1" applyFill="1" applyBorder="1" applyAlignment="1">
      <alignment horizontal="center" vertical="center" wrapText="1"/>
    </xf>
    <xf numFmtId="0" fontId="23" fillId="4" borderId="2" xfId="1" applyFont="1" applyFill="1" applyBorder="1" applyAlignment="1">
      <alignment horizontal="center" vertical="center" wrapText="1"/>
    </xf>
    <xf numFmtId="0" fontId="23" fillId="4" borderId="21" xfId="1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0" fontId="23" fillId="4" borderId="9" xfId="3" applyFont="1" applyFill="1" applyBorder="1" applyAlignment="1">
      <alignment horizontal="center" vertical="center" wrapText="1"/>
    </xf>
    <xf numFmtId="0" fontId="23" fillId="4" borderId="9" xfId="1" applyFont="1" applyFill="1" applyBorder="1" applyAlignment="1">
      <alignment horizontal="center" vertical="center"/>
    </xf>
    <xf numFmtId="0" fontId="23" fillId="4" borderId="0" xfId="1" applyFont="1" applyFill="1" applyAlignment="1">
      <alignment horizontal="center" vertical="center"/>
    </xf>
  </cellXfs>
  <cellStyles count="49">
    <cellStyle name="백분율 2" xfId="4" xr:uid="{00000000-0005-0000-0000-000000000000}"/>
    <cellStyle name="표준" xfId="0" builtinId="0"/>
    <cellStyle name="표준 2 10" xfId="1" xr:uid="{00000000-0005-0000-0000-000002000000}"/>
    <cellStyle name="표준 2 10 17" xfId="2" xr:uid="{00000000-0005-0000-0000-000003000000}"/>
    <cellStyle name="표준 2 10 17 16" xfId="6" xr:uid="{00000000-0005-0000-0000-000004000000}"/>
    <cellStyle name="표준 2 10 17 16 10" xfId="28" xr:uid="{1865149B-BC01-4FCA-A2E6-73AE041D64D8}"/>
    <cellStyle name="표준 2 10 17 16 11" xfId="36" xr:uid="{6E0EBDA3-F9C2-413D-8558-6B1296BECF44}"/>
    <cellStyle name="표준 2 10 17 16 12" xfId="48" xr:uid="{2683757E-B492-4BFC-B5D5-B85C3E9D7639}"/>
    <cellStyle name="표준 2 10 17 16 8" xfId="13" xr:uid="{00000000-0005-0000-0000-000005000000}"/>
    <cellStyle name="표준 2 10 17 16 9" xfId="20" xr:uid="{00000000-0005-0000-0000-000006000000}"/>
    <cellStyle name="표준 2 10 17 25" xfId="11" xr:uid="{00000000-0005-0000-0000-000007000000}"/>
    <cellStyle name="표준 2 10 17 25 2" xfId="23" xr:uid="{00000000-0005-0000-0000-000008000000}"/>
    <cellStyle name="표준 2 10 17 25 2 2" xfId="31" xr:uid="{FEE9D248-BE1E-487C-B958-A3347E2BE44D}"/>
    <cellStyle name="표준 2 10 17 25 2 3" xfId="39" xr:uid="{F5DEC0E5-F42A-414E-8192-54C745B575E7}"/>
    <cellStyle name="표준 2 10 17 25 2 4" xfId="46" xr:uid="{AB24FBB7-7DB2-4FEE-9E76-CF8CE24277BE}"/>
    <cellStyle name="표준 2 10 17 28" xfId="18" xr:uid="{00000000-0005-0000-0000-000009000000}"/>
    <cellStyle name="표준 2 10 17 29" xfId="26" xr:uid="{57DAB96B-0BBB-41E7-844E-580B8CB1DB09}"/>
    <cellStyle name="표준 2 10 17 30" xfId="34" xr:uid="{817DF644-AFAE-432B-BD31-5B7243E649EB}"/>
    <cellStyle name="표준 2 10 17 32" xfId="42" xr:uid="{B935155E-C5CE-474B-9552-5EA113627EE4}"/>
    <cellStyle name="표준 2 10 17 5" xfId="10" xr:uid="{00000000-0005-0000-0000-00000A000000}"/>
    <cellStyle name="표준 2 10 17 5 16" xfId="17" xr:uid="{00000000-0005-0000-0000-00000B000000}"/>
    <cellStyle name="표준 2 10 17 5 17" xfId="25" xr:uid="{00000000-0005-0000-0000-00000C000000}"/>
    <cellStyle name="표준 2 10 17 5 18" xfId="33" xr:uid="{C4C7D96A-D6F2-4F4F-B136-C4C08485F359}"/>
    <cellStyle name="표준 2 10 17 5 19" xfId="41" xr:uid="{E555BC8A-E895-4ADC-9DA7-3F263007E72F}"/>
    <cellStyle name="표준 2 10 17 7" xfId="7" xr:uid="{00000000-0005-0000-0000-00000D000000}"/>
    <cellStyle name="표준 2 10 17 7 15" xfId="14" xr:uid="{00000000-0005-0000-0000-00000E000000}"/>
    <cellStyle name="표준 2 10 17 7 15 2" xfId="21" xr:uid="{00000000-0005-0000-0000-00000F000000}"/>
    <cellStyle name="표준 2 10 17 7 15 2 2" xfId="29" xr:uid="{1A1DADAE-DF39-44AB-AABB-17FCB336EC92}"/>
    <cellStyle name="표준 2 10 17 7 15 2 3" xfId="37" xr:uid="{0772EAF1-EC9E-4B2F-801E-825100CCC4ED}"/>
    <cellStyle name="표준 2 10 17 7 15 2 4" xfId="47" xr:uid="{88076274-BDAD-4AF9-AA11-97D1CF2E29E0}"/>
    <cellStyle name="표준 2 10 18 4" xfId="8" xr:uid="{00000000-0005-0000-0000-000010000000}"/>
    <cellStyle name="표준 2 10 18 4 14" xfId="15" xr:uid="{00000000-0005-0000-0000-000011000000}"/>
    <cellStyle name="표준 2 10 18 4 14 2" xfId="22" xr:uid="{00000000-0005-0000-0000-000012000000}"/>
    <cellStyle name="표준 2 10 18 4 14 2 2" xfId="30" xr:uid="{54C98072-06C3-4556-A7A0-92D13A8E7BB1}"/>
    <cellStyle name="표준 2 10 18 4 14 2 3" xfId="38" xr:uid="{1886C285-D236-4A45-9D9E-5EED68B12E9D}"/>
    <cellStyle name="표준 2 10 18 4 14 2 4" xfId="45" xr:uid="{D5C2E0ED-3E74-4488-BD25-E85BC3597B01}"/>
    <cellStyle name="표준 2 10 6 3 2 2" xfId="9" xr:uid="{00000000-0005-0000-0000-000013000000}"/>
    <cellStyle name="표준 2 10 6 3 2 2 18" xfId="16" xr:uid="{00000000-0005-0000-0000-000014000000}"/>
    <cellStyle name="표준 2 10 6 3 2 2 19" xfId="24" xr:uid="{00000000-0005-0000-0000-000015000000}"/>
    <cellStyle name="표준 2 10 6 3 2 2 20" xfId="32" xr:uid="{6F66B4F1-270D-41E0-BC84-9D002E42C4DF}"/>
    <cellStyle name="표준 2 10 6 3 2 2 21" xfId="40" xr:uid="{2422F57D-3AEF-45C6-8FDA-D9B675A1D480}"/>
    <cellStyle name="표준 2 10 6 3 2 2 22" xfId="43" xr:uid="{EDEFAD72-390E-43ED-AA9F-B6164A080C90}"/>
    <cellStyle name="표준 2 2" xfId="3" xr:uid="{00000000-0005-0000-0000-000016000000}"/>
    <cellStyle name="표준 2 3 6" xfId="5" xr:uid="{00000000-0005-0000-0000-000017000000}"/>
    <cellStyle name="표준 2 3 6 19 19" xfId="12" xr:uid="{00000000-0005-0000-0000-000018000000}"/>
    <cellStyle name="표준 2 3 6 19 20" xfId="19" xr:uid="{00000000-0005-0000-0000-000019000000}"/>
    <cellStyle name="표준 2 3 6 19 21" xfId="27" xr:uid="{F5B5CEB5-7E3F-495A-85FC-53101482C572}"/>
    <cellStyle name="표준 2 3 6 19 22" xfId="35" xr:uid="{3AF333D4-E323-4353-9E1E-DA2E2602408C}"/>
    <cellStyle name="표준 2 3 6 20 26" xfId="44" xr:uid="{2DF94552-BA6B-4261-B92D-98DD05027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44"/>
  <sheetViews>
    <sheetView topLeftCell="A2" zoomScale="85" zoomScaleNormal="85" zoomScalePageLayoutView="80" workbookViewId="0">
      <selection activeCell="J11" sqref="J11"/>
    </sheetView>
  </sheetViews>
  <sheetFormatPr defaultRowHeight="16.5"/>
  <cols>
    <col min="1" max="1" width="3.25" style="3" customWidth="1"/>
    <col min="2" max="2" width="10" style="80" customWidth="1"/>
    <col min="3" max="4" width="11.875" style="80" customWidth="1"/>
    <col min="5" max="11" width="11.875" style="2" customWidth="1"/>
    <col min="12" max="12" width="2.625" style="102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26" ht="16.5" hidden="1" customHeight="1">
      <c r="A1" s="991" t="s">
        <v>0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2"/>
    </row>
    <row r="2" spans="1:26" ht="18" customHeight="1">
      <c r="A2" s="993" t="s">
        <v>315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4"/>
    </row>
    <row r="3" spans="1:26" ht="21" customHeight="1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>
        <f>AVERAGE(R4:R28)</f>
        <v>0.95755693581780532</v>
      </c>
      <c r="S3" s="8"/>
    </row>
    <row r="4" spans="1:26" ht="27.95" customHeight="1" thickBot="1">
      <c r="A4" s="9">
        <v>1</v>
      </c>
      <c r="B4" s="10" t="s">
        <v>17</v>
      </c>
      <c r="C4" s="995"/>
      <c r="D4" s="996"/>
      <c r="E4" s="11" t="s">
        <v>18</v>
      </c>
      <c r="F4" s="12" t="s">
        <v>19</v>
      </c>
      <c r="G4" s="975" t="s">
        <v>985</v>
      </c>
      <c r="H4" s="13" t="s">
        <v>21</v>
      </c>
      <c r="I4" s="12" t="s">
        <v>22</v>
      </c>
      <c r="J4" s="12" t="s">
        <v>23</v>
      </c>
      <c r="K4" s="12" t="s">
        <v>24</v>
      </c>
      <c r="L4" s="12"/>
      <c r="M4" s="12" t="s">
        <v>25</v>
      </c>
      <c r="N4" s="12" t="s">
        <v>912</v>
      </c>
      <c r="O4" s="11" t="s">
        <v>27</v>
      </c>
      <c r="P4" s="11" t="s">
        <v>28</v>
      </c>
      <c r="Q4" s="12" t="s">
        <v>29</v>
      </c>
      <c r="R4" s="14">
        <f>(COUNTA(C4:Q4))/12</f>
        <v>1</v>
      </c>
      <c r="S4" s="14"/>
      <c r="U4" s="1010" t="s">
        <v>30</v>
      </c>
      <c r="V4" s="1011"/>
      <c r="W4" s="1011"/>
      <c r="X4" s="1011"/>
      <c r="Y4" s="1011"/>
      <c r="Z4" s="1012"/>
    </row>
    <row r="5" spans="1:26" ht="27.95" customHeight="1">
      <c r="A5" s="9">
        <v>2</v>
      </c>
      <c r="B5" s="15" t="s">
        <v>31</v>
      </c>
      <c r="C5" s="997"/>
      <c r="D5" s="998"/>
      <c r="E5" s="11" t="s">
        <v>32</v>
      </c>
      <c r="F5" s="12" t="s">
        <v>33</v>
      </c>
      <c r="G5" s="12" t="s">
        <v>34</v>
      </c>
      <c r="H5" s="12" t="s">
        <v>35</v>
      </c>
      <c r="I5" s="11" t="s">
        <v>36</v>
      </c>
      <c r="J5" s="18" t="s">
        <v>1022</v>
      </c>
      <c r="K5" s="827"/>
      <c r="L5" s="12"/>
      <c r="M5" s="13" t="s">
        <v>38</v>
      </c>
      <c r="N5" s="818" t="s">
        <v>39</v>
      </c>
      <c r="O5" s="12" t="s">
        <v>40</v>
      </c>
      <c r="P5" s="11" t="s">
        <v>41</v>
      </c>
      <c r="Q5" s="12" t="s">
        <v>574</v>
      </c>
      <c r="R5" s="14">
        <f t="shared" ref="R5:R22" si="0">(COUNTA(C5:Q5))/12</f>
        <v>0.91666666666666663</v>
      </c>
      <c r="S5" s="14"/>
      <c r="U5" s="1013" t="s">
        <v>1051</v>
      </c>
      <c r="V5" s="1014"/>
      <c r="W5" s="1014"/>
      <c r="X5" s="1014"/>
      <c r="Y5" s="1014"/>
      <c r="Z5" s="1015"/>
    </row>
    <row r="6" spans="1:26" ht="27.75" customHeight="1">
      <c r="A6" s="9">
        <v>3</v>
      </c>
      <c r="B6" s="15" t="s">
        <v>42</v>
      </c>
      <c r="C6" s="997"/>
      <c r="D6" s="998"/>
      <c r="E6" s="12" t="s">
        <v>574</v>
      </c>
      <c r="F6" s="11" t="s">
        <v>44</v>
      </c>
      <c r="G6" s="12" t="s">
        <v>45</v>
      </c>
      <c r="H6" s="11" t="s">
        <v>43</v>
      </c>
      <c r="I6" s="12" t="s">
        <v>47</v>
      </c>
      <c r="J6" s="17" t="s">
        <v>586</v>
      </c>
      <c r="K6" s="12" t="s">
        <v>48</v>
      </c>
      <c r="L6" s="12"/>
      <c r="M6" s="11" t="s">
        <v>49</v>
      </c>
      <c r="N6" s="12" t="s">
        <v>320</v>
      </c>
      <c r="O6" s="12" t="s">
        <v>50</v>
      </c>
      <c r="P6" s="12" t="s">
        <v>51</v>
      </c>
      <c r="Q6" s="12" t="s">
        <v>52</v>
      </c>
      <c r="R6" s="14">
        <f t="shared" si="0"/>
        <v>1</v>
      </c>
      <c r="S6" s="14"/>
      <c r="U6" s="1016"/>
      <c r="V6" s="1017"/>
      <c r="W6" s="1017"/>
      <c r="X6" s="1017"/>
      <c r="Y6" s="1017"/>
      <c r="Z6" s="1018"/>
    </row>
    <row r="7" spans="1:26" ht="27.95" customHeight="1" thickBot="1">
      <c r="A7" s="9">
        <v>4</v>
      </c>
      <c r="B7" s="10" t="s">
        <v>53</v>
      </c>
      <c r="C7" s="997"/>
      <c r="D7" s="998"/>
      <c r="E7" s="11" t="s">
        <v>54</v>
      </c>
      <c r="F7" s="12" t="s">
        <v>912</v>
      </c>
      <c r="G7" s="12" t="s">
        <v>56</v>
      </c>
      <c r="H7" s="12" t="s">
        <v>57</v>
      </c>
      <c r="I7" s="12" t="s">
        <v>320</v>
      </c>
      <c r="J7" s="12" t="s">
        <v>58</v>
      </c>
      <c r="K7" s="12" t="s">
        <v>59</v>
      </c>
      <c r="L7" s="19"/>
      <c r="M7" s="981" t="s">
        <v>1025</v>
      </c>
      <c r="N7" s="11" t="s">
        <v>28</v>
      </c>
      <c r="O7" s="12" t="s">
        <v>60</v>
      </c>
      <c r="P7" s="12" t="s">
        <v>61</v>
      </c>
      <c r="Q7" s="12" t="s">
        <v>62</v>
      </c>
      <c r="R7" s="14">
        <f t="shared" si="0"/>
        <v>1</v>
      </c>
      <c r="S7" s="14"/>
      <c r="U7" s="1019"/>
      <c r="V7" s="1020"/>
      <c r="W7" s="1020"/>
      <c r="X7" s="1020"/>
      <c r="Y7" s="1020"/>
      <c r="Z7" s="1021"/>
    </row>
    <row r="8" spans="1:26" ht="27.95" customHeight="1" thickBot="1">
      <c r="A8" s="9">
        <v>5</v>
      </c>
      <c r="B8" s="20" t="s">
        <v>63</v>
      </c>
      <c r="C8" s="997"/>
      <c r="D8" s="998"/>
      <c r="E8" s="12" t="s">
        <v>64</v>
      </c>
      <c r="F8" s="12" t="s">
        <v>584</v>
      </c>
      <c r="G8" s="976" t="s">
        <v>65</v>
      </c>
      <c r="H8" s="12" t="s">
        <v>66</v>
      </c>
      <c r="I8" s="11" t="s">
        <v>67</v>
      </c>
      <c r="J8" s="12" t="s">
        <v>68</v>
      </c>
      <c r="K8" s="12" t="s">
        <v>69</v>
      </c>
      <c r="L8" s="819"/>
      <c r="M8" s="16" t="s">
        <v>70</v>
      </c>
      <c r="N8" s="818" t="s">
        <v>71</v>
      </c>
      <c r="O8" s="981" t="s">
        <v>1025</v>
      </c>
      <c r="P8" s="826"/>
      <c r="Q8" s="986"/>
      <c r="R8" s="14">
        <f>(COUNTA(C8:Q8))/12</f>
        <v>0.83333333333333337</v>
      </c>
      <c r="S8" s="14"/>
      <c r="U8" s="1022" t="s">
        <v>75</v>
      </c>
      <c r="V8" s="1023"/>
      <c r="W8" s="1023"/>
      <c r="X8" s="1023"/>
      <c r="Y8" s="1023"/>
      <c r="Z8" s="1024"/>
    </row>
    <row r="9" spans="1:26" ht="27.95" customHeight="1">
      <c r="A9" s="9">
        <v>6</v>
      </c>
      <c r="B9" s="10" t="s">
        <v>76</v>
      </c>
      <c r="C9" s="997"/>
      <c r="D9" s="998"/>
      <c r="E9" s="17" t="s">
        <v>77</v>
      </c>
      <c r="F9" s="12" t="s">
        <v>78</v>
      </c>
      <c r="G9" s="11" t="s">
        <v>27</v>
      </c>
      <c r="H9" s="12" t="s">
        <v>911</v>
      </c>
      <c r="I9" s="11" t="s">
        <v>80</v>
      </c>
      <c r="J9" s="16" t="s">
        <v>81</v>
      </c>
      <c r="K9" s="11" t="s">
        <v>82</v>
      </c>
      <c r="L9" s="12"/>
      <c r="M9" s="818" t="s">
        <v>83</v>
      </c>
      <c r="N9" s="12" t="s">
        <v>322</v>
      </c>
      <c r="O9" s="11" t="s">
        <v>582</v>
      </c>
      <c r="P9" s="12" t="s">
        <v>84</v>
      </c>
      <c r="Q9" s="22" t="s">
        <v>85</v>
      </c>
      <c r="R9" s="14">
        <f>(COUNTA(C9:Q9))/12</f>
        <v>1</v>
      </c>
      <c r="S9" s="14"/>
      <c r="U9" s="1025" t="s">
        <v>1050</v>
      </c>
      <c r="V9" s="1026"/>
      <c r="W9" s="1026"/>
      <c r="X9" s="1026"/>
      <c r="Y9" s="1026"/>
      <c r="Z9" s="1027"/>
    </row>
    <row r="10" spans="1:26" ht="27.75" customHeight="1">
      <c r="A10" s="9">
        <v>7</v>
      </c>
      <c r="B10" s="10" t="s">
        <v>86</v>
      </c>
      <c r="C10" s="997"/>
      <c r="D10" s="998"/>
      <c r="E10" s="12" t="s">
        <v>317</v>
      </c>
      <c r="F10" s="12" t="s">
        <v>87</v>
      </c>
      <c r="G10" s="11" t="s">
        <v>88</v>
      </c>
      <c r="H10" s="12" t="s">
        <v>46</v>
      </c>
      <c r="I10" s="820" t="s">
        <v>89</v>
      </c>
      <c r="J10" s="821" t="s">
        <v>583</v>
      </c>
      <c r="K10" s="822" t="s">
        <v>900</v>
      </c>
      <c r="L10" s="23"/>
      <c r="M10" s="17" t="s">
        <v>586</v>
      </c>
      <c r="N10" s="11" t="s">
        <v>91</v>
      </c>
      <c r="O10" s="12" t="s">
        <v>92</v>
      </c>
      <c r="P10" s="12" t="s">
        <v>26</v>
      </c>
      <c r="Q10" s="12" t="s">
        <v>94</v>
      </c>
      <c r="R10" s="14">
        <f>(COUNTA(C10:Q10))/12</f>
        <v>1</v>
      </c>
      <c r="S10" s="14"/>
      <c r="U10" s="1028"/>
      <c r="V10" s="1029"/>
      <c r="W10" s="1029"/>
      <c r="X10" s="1029"/>
      <c r="Y10" s="1029"/>
      <c r="Z10" s="1030"/>
    </row>
    <row r="11" spans="1:26" ht="27.95" customHeight="1">
      <c r="A11" s="9">
        <v>8</v>
      </c>
      <c r="B11" s="24" t="s">
        <v>95</v>
      </c>
      <c r="C11" s="999"/>
      <c r="D11" s="1000"/>
      <c r="E11" s="11" t="s">
        <v>96</v>
      </c>
      <c r="F11" s="11" t="s">
        <v>183</v>
      </c>
      <c r="G11" s="11" t="s">
        <v>52</v>
      </c>
      <c r="H11" s="12" t="s">
        <v>97</v>
      </c>
      <c r="I11" s="12" t="s">
        <v>98</v>
      </c>
      <c r="J11" s="17" t="s">
        <v>96</v>
      </c>
      <c r="K11" s="17" t="s">
        <v>99</v>
      </c>
      <c r="L11" s="12"/>
      <c r="M11" s="12" t="s">
        <v>100</v>
      </c>
      <c r="N11" s="17" t="s">
        <v>55</v>
      </c>
      <c r="O11" s="12" t="s">
        <v>586</v>
      </c>
      <c r="P11" s="12" t="s">
        <v>21</v>
      </c>
      <c r="Q11" s="12" t="s">
        <v>102</v>
      </c>
      <c r="R11" s="14">
        <f>(COUNTA(C11:Q11))/12</f>
        <v>1</v>
      </c>
      <c r="S11" s="14"/>
      <c r="U11" s="1028"/>
      <c r="V11" s="1029"/>
      <c r="W11" s="1029"/>
      <c r="X11" s="1029"/>
      <c r="Y11" s="1029"/>
      <c r="Z11" s="1030"/>
    </row>
    <row r="12" spans="1:26" ht="27.95" customHeight="1">
      <c r="A12" s="9">
        <v>9</v>
      </c>
      <c r="B12" s="15" t="s">
        <v>103</v>
      </c>
      <c r="C12" s="350" t="s">
        <v>23</v>
      </c>
      <c r="D12" s="351" t="s">
        <v>1035</v>
      </c>
      <c r="E12" s="11" t="s">
        <v>104</v>
      </c>
      <c r="F12" s="22" t="s">
        <v>105</v>
      </c>
      <c r="G12" s="22" t="s">
        <v>106</v>
      </c>
      <c r="H12" s="22" t="s">
        <v>85</v>
      </c>
      <c r="I12" s="17" t="s">
        <v>107</v>
      </c>
      <c r="J12" s="16" t="s">
        <v>108</v>
      </c>
      <c r="K12" s="12" t="s">
        <v>22</v>
      </c>
      <c r="L12" s="17"/>
      <c r="M12" s="22" t="s">
        <v>109</v>
      </c>
      <c r="N12" s="17"/>
      <c r="O12" s="11" t="s">
        <v>54</v>
      </c>
      <c r="P12" s="1043"/>
      <c r="Q12" s="1044"/>
      <c r="R12" s="14">
        <f t="shared" si="0"/>
        <v>0.91666666666666663</v>
      </c>
      <c r="S12" s="14"/>
      <c r="U12" s="1028"/>
      <c r="V12" s="1029"/>
      <c r="W12" s="1029"/>
      <c r="X12" s="1029"/>
      <c r="Y12" s="1029"/>
      <c r="Z12" s="1030"/>
    </row>
    <row r="13" spans="1:26" ht="27.95" customHeight="1" thickBot="1">
      <c r="A13" s="9">
        <v>10</v>
      </c>
      <c r="B13" s="20" t="s">
        <v>111</v>
      </c>
      <c r="C13" s="353" t="s">
        <v>1033</v>
      </c>
      <c r="D13" s="353" t="s">
        <v>1043</v>
      </c>
      <c r="E13" s="11" t="s">
        <v>113</v>
      </c>
      <c r="F13" s="25" t="s">
        <v>114</v>
      </c>
      <c r="G13" s="25" t="s">
        <v>115</v>
      </c>
      <c r="H13" s="25" t="s">
        <v>116</v>
      </c>
      <c r="I13" s="25" t="s">
        <v>117</v>
      </c>
      <c r="J13" s="25" t="s">
        <v>118</v>
      </c>
      <c r="K13" s="25" t="s">
        <v>119</v>
      </c>
      <c r="L13" s="26"/>
      <c r="M13" s="27" t="s">
        <v>120</v>
      </c>
      <c r="N13" s="974" t="s">
        <v>121</v>
      </c>
      <c r="O13" s="12" t="s">
        <v>122</v>
      </c>
      <c r="P13" s="1045"/>
      <c r="Q13" s="1046"/>
      <c r="R13" s="14">
        <f t="shared" si="0"/>
        <v>1</v>
      </c>
      <c r="S13" s="14"/>
      <c r="U13" s="1028"/>
      <c r="V13" s="1029"/>
      <c r="W13" s="1029"/>
      <c r="X13" s="1029"/>
      <c r="Y13" s="1029"/>
      <c r="Z13" s="1030"/>
    </row>
    <row r="14" spans="1:26" ht="27.95" customHeight="1">
      <c r="A14" s="28">
        <v>11</v>
      </c>
      <c r="B14" s="29" t="s">
        <v>123</v>
      </c>
      <c r="C14" s="1001"/>
      <c r="D14" s="1002"/>
      <c r="E14" s="30" t="s">
        <v>124</v>
      </c>
      <c r="F14" s="30" t="s">
        <v>125</v>
      </c>
      <c r="G14" s="30" t="s">
        <v>126</v>
      </c>
      <c r="H14" s="21" t="s">
        <v>127</v>
      </c>
      <c r="I14" s="30" t="s">
        <v>128</v>
      </c>
      <c r="J14" s="31" t="s">
        <v>129</v>
      </c>
      <c r="K14" s="17" t="s">
        <v>130</v>
      </c>
      <c r="L14" s="32"/>
      <c r="M14" s="17" t="s">
        <v>131</v>
      </c>
      <c r="N14" s="30" t="s">
        <v>132</v>
      </c>
      <c r="O14" s="32" t="s">
        <v>133</v>
      </c>
      <c r="P14" s="33" t="s">
        <v>134</v>
      </c>
      <c r="Q14" s="30" t="s">
        <v>135</v>
      </c>
      <c r="R14" s="14">
        <f t="shared" si="0"/>
        <v>1</v>
      </c>
      <c r="S14" s="14"/>
      <c r="U14" s="1028"/>
      <c r="V14" s="1029"/>
      <c r="W14" s="1029"/>
      <c r="X14" s="1029"/>
      <c r="Y14" s="1029"/>
      <c r="Z14" s="1030"/>
    </row>
    <row r="15" spans="1:26" ht="27.95" customHeight="1">
      <c r="A15" s="34">
        <v>12</v>
      </c>
      <c r="B15" s="35" t="s">
        <v>136</v>
      </c>
      <c r="C15" s="1003"/>
      <c r="D15" s="1004"/>
      <c r="E15" s="11" t="s">
        <v>137</v>
      </c>
      <c r="F15" s="21" t="s">
        <v>138</v>
      </c>
      <c r="G15" s="13" t="s">
        <v>899</v>
      </c>
      <c r="H15" s="11" t="s">
        <v>140</v>
      </c>
      <c r="I15" s="12" t="s">
        <v>141</v>
      </c>
      <c r="J15" s="11" t="s">
        <v>142</v>
      </c>
      <c r="K15" s="12" t="s">
        <v>143</v>
      </c>
      <c r="L15" s="12"/>
      <c r="M15" s="12" t="s">
        <v>144</v>
      </c>
      <c r="N15" s="12" t="s">
        <v>145</v>
      </c>
      <c r="O15" s="11" t="s">
        <v>146</v>
      </c>
      <c r="P15" s="12" t="s">
        <v>147</v>
      </c>
      <c r="Q15" s="16" t="s">
        <v>148</v>
      </c>
      <c r="R15" s="14">
        <f t="shared" si="0"/>
        <v>1</v>
      </c>
      <c r="S15" s="14"/>
      <c r="U15" s="1028"/>
      <c r="V15" s="1029"/>
      <c r="W15" s="1029"/>
      <c r="X15" s="1029"/>
      <c r="Y15" s="1029"/>
      <c r="Z15" s="1030"/>
    </row>
    <row r="16" spans="1:26" ht="27.95" customHeight="1">
      <c r="A16" s="34">
        <v>13</v>
      </c>
      <c r="B16" s="35" t="s">
        <v>149</v>
      </c>
      <c r="C16" s="1003"/>
      <c r="D16" s="1004"/>
      <c r="E16" s="12" t="s">
        <v>150</v>
      </c>
      <c r="F16" s="12"/>
      <c r="G16" s="11" t="s">
        <v>131</v>
      </c>
      <c r="H16" s="12" t="s">
        <v>319</v>
      </c>
      <c r="I16" s="11" t="s">
        <v>150</v>
      </c>
      <c r="J16" s="12"/>
      <c r="K16" s="12" t="s">
        <v>153</v>
      </c>
      <c r="L16" s="12"/>
      <c r="M16" s="12" t="s">
        <v>154</v>
      </c>
      <c r="N16" s="11" t="s">
        <v>155</v>
      </c>
      <c r="O16" s="12" t="s">
        <v>156</v>
      </c>
      <c r="P16" s="11" t="s">
        <v>157</v>
      </c>
      <c r="Q16" s="17"/>
      <c r="R16" s="14">
        <f>(COUNTA(C16:Q16))/12</f>
        <v>0.75</v>
      </c>
      <c r="S16" s="14"/>
      <c r="U16" s="1028"/>
      <c r="V16" s="1029"/>
      <c r="W16" s="1029"/>
      <c r="X16" s="1029"/>
      <c r="Y16" s="1029"/>
      <c r="Z16" s="1030"/>
    </row>
    <row r="17" spans="1:26" ht="27.95" customHeight="1">
      <c r="A17" s="34">
        <v>14</v>
      </c>
      <c r="B17" s="36" t="s">
        <v>158</v>
      </c>
      <c r="C17" s="1003"/>
      <c r="D17" s="1004"/>
      <c r="E17" s="17" t="s">
        <v>159</v>
      </c>
      <c r="F17" s="11" t="s">
        <v>160</v>
      </c>
      <c r="G17" s="17" t="s">
        <v>161</v>
      </c>
      <c r="H17" s="37" t="s">
        <v>162</v>
      </c>
      <c r="I17" s="17" t="s">
        <v>125</v>
      </c>
      <c r="J17" s="13" t="s">
        <v>163</v>
      </c>
      <c r="K17" s="981" t="s">
        <v>1049</v>
      </c>
      <c r="L17" s="38"/>
      <c r="M17" s="17" t="s">
        <v>165</v>
      </c>
      <c r="N17" s="22" t="s">
        <v>166</v>
      </c>
      <c r="O17" s="17" t="s">
        <v>167</v>
      </c>
      <c r="P17" s="11" t="s">
        <v>168</v>
      </c>
      <c r="Q17" s="16" t="s">
        <v>169</v>
      </c>
      <c r="R17" s="14">
        <f t="shared" si="0"/>
        <v>1</v>
      </c>
      <c r="S17" s="14"/>
      <c r="U17" s="1028"/>
      <c r="V17" s="1029"/>
      <c r="W17" s="1029"/>
      <c r="X17" s="1029"/>
      <c r="Y17" s="1029"/>
      <c r="Z17" s="1030"/>
    </row>
    <row r="18" spans="1:26" ht="27.95" customHeight="1">
      <c r="A18" s="34">
        <v>15</v>
      </c>
      <c r="B18" s="20" t="s">
        <v>170</v>
      </c>
      <c r="C18" s="1003"/>
      <c r="D18" s="1004"/>
      <c r="E18" s="12" t="s">
        <v>171</v>
      </c>
      <c r="F18" s="11" t="s">
        <v>172</v>
      </c>
      <c r="G18" s="11" t="s">
        <v>173</v>
      </c>
      <c r="H18" s="12" t="s">
        <v>913</v>
      </c>
      <c r="I18" s="17" t="s">
        <v>587</v>
      </c>
      <c r="J18" s="12" t="s">
        <v>175</v>
      </c>
      <c r="K18" s="12" t="s">
        <v>176</v>
      </c>
      <c r="L18" s="12"/>
      <c r="M18" s="12" t="s">
        <v>177</v>
      </c>
      <c r="N18" s="11" t="s">
        <v>178</v>
      </c>
      <c r="O18" s="12" t="s">
        <v>319</v>
      </c>
      <c r="P18" s="12" t="s">
        <v>179</v>
      </c>
      <c r="Q18" s="11" t="s">
        <v>137</v>
      </c>
      <c r="R18" s="14">
        <f>(COUNTA(C18:Q18))/12</f>
        <v>1</v>
      </c>
      <c r="S18" s="14"/>
      <c r="U18" s="1028"/>
      <c r="V18" s="1029"/>
      <c r="W18" s="1029"/>
      <c r="X18" s="1029"/>
      <c r="Y18" s="1029"/>
      <c r="Z18" s="1030"/>
    </row>
    <row r="19" spans="1:26" ht="27.95" customHeight="1" thickBot="1">
      <c r="A19" s="34">
        <v>16</v>
      </c>
      <c r="B19" s="20" t="s">
        <v>180</v>
      </c>
      <c r="C19" s="1003"/>
      <c r="D19" s="1004"/>
      <c r="E19" s="21" t="s">
        <v>181</v>
      </c>
      <c r="F19" s="11" t="s">
        <v>182</v>
      </c>
      <c r="G19" s="11" t="s">
        <v>183</v>
      </c>
      <c r="H19" s="975" t="s">
        <v>184</v>
      </c>
      <c r="I19" s="16" t="s">
        <v>185</v>
      </c>
      <c r="J19" s="12" t="s">
        <v>575</v>
      </c>
      <c r="K19" s="11" t="s">
        <v>186</v>
      </c>
      <c r="L19" s="39"/>
      <c r="M19" s="12" t="s">
        <v>577</v>
      </c>
      <c r="N19" s="12" t="s">
        <v>187</v>
      </c>
      <c r="O19" s="17" t="s">
        <v>188</v>
      </c>
      <c r="P19" s="12" t="s">
        <v>1015</v>
      </c>
      <c r="Q19" s="16" t="s">
        <v>190</v>
      </c>
      <c r="R19" s="14">
        <f t="shared" si="0"/>
        <v>1</v>
      </c>
      <c r="S19" s="14"/>
      <c r="U19" s="1031"/>
      <c r="V19" s="1032"/>
      <c r="W19" s="1032"/>
      <c r="X19" s="1032"/>
      <c r="Y19" s="1032"/>
      <c r="Z19" s="1033"/>
    </row>
    <row r="20" spans="1:26" ht="27.95" customHeight="1" thickBot="1">
      <c r="A20" s="34">
        <v>17</v>
      </c>
      <c r="B20" s="20" t="s">
        <v>191</v>
      </c>
      <c r="C20" s="1005"/>
      <c r="D20" s="1006"/>
      <c r="E20" s="12" t="s">
        <v>187</v>
      </c>
      <c r="F20" s="12" t="s">
        <v>192</v>
      </c>
      <c r="G20" s="12" t="s">
        <v>193</v>
      </c>
      <c r="H20" s="16" t="s">
        <v>194</v>
      </c>
      <c r="I20" s="12" t="s">
        <v>195</v>
      </c>
      <c r="J20" s="17" t="s">
        <v>196</v>
      </c>
      <c r="K20" s="12" t="s">
        <v>175</v>
      </c>
      <c r="L20" s="12"/>
      <c r="M20" s="37" t="s">
        <v>197</v>
      </c>
      <c r="N20" s="981" t="s">
        <v>1049</v>
      </c>
      <c r="O20" s="11" t="s">
        <v>959</v>
      </c>
      <c r="P20" s="12" t="s">
        <v>199</v>
      </c>
      <c r="Q20" s="12" t="s">
        <v>200</v>
      </c>
      <c r="R20" s="14">
        <f>(COUNTA(C20:Q20))/12</f>
        <v>1</v>
      </c>
      <c r="S20" s="14"/>
      <c r="U20" s="1007" t="s">
        <v>201</v>
      </c>
      <c r="V20" s="1008"/>
      <c r="W20" s="1008"/>
      <c r="X20" s="1008"/>
      <c r="Y20" s="1008"/>
      <c r="Z20" s="1009"/>
    </row>
    <row r="21" spans="1:26" ht="27.95" customHeight="1">
      <c r="A21" s="34">
        <v>18</v>
      </c>
      <c r="B21" s="35" t="s">
        <v>202</v>
      </c>
      <c r="C21" s="370" t="s">
        <v>1037</v>
      </c>
      <c r="D21" s="371" t="s">
        <v>1042</v>
      </c>
      <c r="E21" s="12" t="s">
        <v>203</v>
      </c>
      <c r="F21" s="12" t="s">
        <v>576</v>
      </c>
      <c r="G21" s="11" t="s">
        <v>204</v>
      </c>
      <c r="H21" s="11" t="s">
        <v>205</v>
      </c>
      <c r="I21" s="12" t="s">
        <v>161</v>
      </c>
      <c r="J21" s="16" t="s">
        <v>206</v>
      </c>
      <c r="K21" s="21" t="s">
        <v>138</v>
      </c>
      <c r="L21" s="12"/>
      <c r="M21" s="11" t="s">
        <v>207</v>
      </c>
      <c r="N21" s="12" t="s">
        <v>208</v>
      </c>
      <c r="O21" s="12" t="s">
        <v>209</v>
      </c>
      <c r="P21" s="1057"/>
      <c r="Q21" s="1058"/>
      <c r="R21" s="14">
        <f t="shared" si="0"/>
        <v>1</v>
      </c>
      <c r="S21" s="14"/>
      <c r="U21" s="1061" t="s">
        <v>1016</v>
      </c>
      <c r="V21" s="1062"/>
      <c r="W21" s="1062"/>
      <c r="X21" s="1062"/>
      <c r="Y21" s="1062"/>
      <c r="Z21" s="1063"/>
    </row>
    <row r="22" spans="1:26" ht="27.95" customHeight="1" thickBot="1">
      <c r="A22" s="40">
        <v>19</v>
      </c>
      <c r="B22" s="41" t="s">
        <v>210</v>
      </c>
      <c r="C22" s="374" t="s">
        <v>1044</v>
      </c>
      <c r="D22" s="375" t="s">
        <v>1039</v>
      </c>
      <c r="E22" s="27" t="s">
        <v>212</v>
      </c>
      <c r="F22" s="27" t="s">
        <v>213</v>
      </c>
      <c r="G22" s="973" t="s">
        <v>148</v>
      </c>
      <c r="H22" s="985"/>
      <c r="I22" s="982" t="s">
        <v>1023</v>
      </c>
      <c r="J22" s="25" t="s">
        <v>138</v>
      </c>
      <c r="K22" s="25" t="s">
        <v>216</v>
      </c>
      <c r="L22" s="42"/>
      <c r="M22" s="25" t="s">
        <v>217</v>
      </c>
      <c r="N22" s="824"/>
      <c r="O22" s="25" t="s">
        <v>161</v>
      </c>
      <c r="P22" s="1059"/>
      <c r="Q22" s="1060"/>
      <c r="R22" s="14">
        <f t="shared" si="0"/>
        <v>0.83333333333333337</v>
      </c>
      <c r="S22" s="14"/>
      <c r="U22" s="1064"/>
      <c r="V22" s="1065"/>
      <c r="W22" s="1065"/>
      <c r="X22" s="1065"/>
      <c r="Y22" s="1065"/>
      <c r="Z22" s="1066"/>
    </row>
    <row r="23" spans="1:26" ht="27.95" customHeight="1" thickBot="1">
      <c r="A23" s="43" t="s">
        <v>219</v>
      </c>
      <c r="B23" s="44" t="s">
        <v>220</v>
      </c>
      <c r="C23" s="1003"/>
      <c r="D23" s="1004"/>
      <c r="E23" s="17"/>
      <c r="F23" s="12" t="s">
        <v>318</v>
      </c>
      <c r="G23" s="22" t="s">
        <v>221</v>
      </c>
      <c r="H23" s="986"/>
      <c r="I23" s="17" t="s">
        <v>222</v>
      </c>
      <c r="J23" s="825"/>
      <c r="K23" s="986"/>
      <c r="L23" s="45"/>
      <c r="M23" s="986"/>
      <c r="N23" s="17" t="s">
        <v>175</v>
      </c>
      <c r="O23" s="22" t="s">
        <v>223</v>
      </c>
      <c r="P23" s="987"/>
      <c r="Q23" s="17" t="s">
        <v>224</v>
      </c>
      <c r="R23" s="14">
        <f>(COUNTA(C23:Q23))/7</f>
        <v>0.8571428571428571</v>
      </c>
      <c r="S23" s="14"/>
      <c r="U23" s="1067"/>
      <c r="V23" s="1068"/>
      <c r="W23" s="1068"/>
      <c r="X23" s="1068"/>
      <c r="Y23" s="1068"/>
      <c r="Z23" s="1069"/>
    </row>
    <row r="24" spans="1:26" s="48" customFormat="1" ht="27.95" customHeight="1" thickBot="1">
      <c r="A24" s="46"/>
      <c r="B24" s="41" t="s">
        <v>225</v>
      </c>
      <c r="C24" s="1070"/>
      <c r="D24" s="1071"/>
      <c r="E24" s="25" t="s">
        <v>226</v>
      </c>
      <c r="F24" s="17" t="s">
        <v>929</v>
      </c>
      <c r="G24" s="27" t="s">
        <v>166</v>
      </c>
      <c r="H24" s="27" t="s">
        <v>228</v>
      </c>
      <c r="I24" s="25" t="s">
        <v>229</v>
      </c>
      <c r="J24" s="27" t="s">
        <v>230</v>
      </c>
      <c r="K24" s="47" t="s">
        <v>231</v>
      </c>
      <c r="L24" s="25"/>
      <c r="M24" s="27" t="s">
        <v>232</v>
      </c>
      <c r="N24" s="25" t="s">
        <v>227</v>
      </c>
      <c r="O24" s="25" t="s">
        <v>914</v>
      </c>
      <c r="P24" s="986"/>
      <c r="Q24" s="11" t="s">
        <v>160</v>
      </c>
      <c r="R24" s="14">
        <f>(COUNTA(C24:Q24))/12</f>
        <v>0.91666666666666663</v>
      </c>
      <c r="S24" s="14"/>
      <c r="T24" s="2"/>
      <c r="U24" s="1022" t="s">
        <v>233</v>
      </c>
      <c r="V24" s="1023"/>
      <c r="W24" s="1023"/>
      <c r="X24" s="1023"/>
      <c r="Y24" s="1023"/>
      <c r="Z24" s="1024"/>
    </row>
    <row r="25" spans="1:26" ht="9.9499999999999993" customHeight="1" thickBot="1">
      <c r="A25" s="49"/>
      <c r="B25" s="50"/>
      <c r="C25" s="51"/>
      <c r="D25" s="52"/>
      <c r="E25" s="53"/>
      <c r="F25" s="54"/>
      <c r="G25" s="55"/>
      <c r="H25" s="56"/>
      <c r="I25" s="53"/>
      <c r="J25" s="57"/>
      <c r="K25" s="53"/>
      <c r="L25" s="53"/>
      <c r="M25" s="56"/>
      <c r="N25" s="54"/>
      <c r="O25" s="58"/>
      <c r="P25" s="53"/>
      <c r="Q25" s="53"/>
      <c r="U25" s="1013" t="s">
        <v>1054</v>
      </c>
      <c r="V25" s="1014"/>
      <c r="W25" s="1014"/>
      <c r="X25" s="1014"/>
      <c r="Y25" s="1014"/>
      <c r="Z25" s="1015"/>
    </row>
    <row r="26" spans="1:26" ht="120" customHeight="1">
      <c r="A26" s="59"/>
      <c r="B26" s="1047" t="s">
        <v>234</v>
      </c>
      <c r="C26" s="1049"/>
      <c r="D26" s="1050"/>
      <c r="E26" s="30" t="s">
        <v>1007</v>
      </c>
      <c r="F26" s="30" t="s">
        <v>966</v>
      </c>
      <c r="G26" s="30" t="s">
        <v>581</v>
      </c>
      <c r="H26" s="30" t="s">
        <v>887</v>
      </c>
      <c r="I26" s="828" t="s">
        <v>1017</v>
      </c>
      <c r="J26" s="828" t="s">
        <v>1006</v>
      </c>
      <c r="K26" s="823" t="s">
        <v>915</v>
      </c>
      <c r="L26" s="60"/>
      <c r="M26" s="30" t="s">
        <v>888</v>
      </c>
      <c r="N26" s="30" t="s">
        <v>316</v>
      </c>
      <c r="O26" s="828" t="s">
        <v>1018</v>
      </c>
      <c r="P26" s="30" t="s">
        <v>957</v>
      </c>
      <c r="Q26" s="30" t="s">
        <v>239</v>
      </c>
      <c r="R26" s="14">
        <f>(COUNTA(C26:Q26))/12</f>
        <v>1</v>
      </c>
      <c r="S26" s="14"/>
      <c r="U26" s="1016"/>
      <c r="V26" s="1017"/>
      <c r="W26" s="1017"/>
      <c r="X26" s="1017"/>
      <c r="Y26" s="1017"/>
      <c r="Z26" s="1018"/>
    </row>
    <row r="27" spans="1:26" ht="120" customHeight="1">
      <c r="A27" s="61"/>
      <c r="B27" s="1048"/>
      <c r="C27" s="1051"/>
      <c r="D27" s="1052"/>
      <c r="E27" s="12" t="s">
        <v>926</v>
      </c>
      <c r="F27" s="12" t="s">
        <v>1030</v>
      </c>
      <c r="G27" s="975" t="s">
        <v>1041</v>
      </c>
      <c r="H27" s="12" t="s">
        <v>588</v>
      </c>
      <c r="I27" s="12" t="s">
        <v>1038</v>
      </c>
      <c r="J27" s="12" t="s">
        <v>907</v>
      </c>
      <c r="K27" s="12" t="s">
        <v>1034</v>
      </c>
      <c r="L27" s="12"/>
      <c r="M27" s="12" t="s">
        <v>1040</v>
      </c>
      <c r="N27" s="12" t="s">
        <v>1031</v>
      </c>
      <c r="O27" s="12" t="s">
        <v>1010</v>
      </c>
      <c r="P27" s="12" t="s">
        <v>1032</v>
      </c>
      <c r="Q27" s="975" t="s">
        <v>1024</v>
      </c>
      <c r="U27" s="1016"/>
      <c r="V27" s="1017"/>
      <c r="W27" s="1017"/>
      <c r="X27" s="1017"/>
      <c r="Y27" s="1017"/>
      <c r="Z27" s="1018"/>
    </row>
    <row r="28" spans="1:26" ht="120" customHeight="1" thickBot="1">
      <c r="A28" s="62"/>
      <c r="B28" s="41" t="s">
        <v>241</v>
      </c>
      <c r="C28" s="1053"/>
      <c r="D28" s="1054"/>
      <c r="E28" s="63" t="s">
        <v>242</v>
      </c>
      <c r="F28" s="25" t="s">
        <v>329</v>
      </c>
      <c r="G28" s="25" t="s">
        <v>928</v>
      </c>
      <c r="H28" s="973" t="s">
        <v>1012</v>
      </c>
      <c r="I28" s="25" t="s">
        <v>244</v>
      </c>
      <c r="J28" s="25" t="s">
        <v>1011</v>
      </c>
      <c r="K28" s="25" t="s">
        <v>578</v>
      </c>
      <c r="L28" s="42"/>
      <c r="M28" s="25" t="s">
        <v>916</v>
      </c>
      <c r="N28" s="25" t="s">
        <v>920</v>
      </c>
      <c r="O28" s="25" t="s">
        <v>579</v>
      </c>
      <c r="P28" s="1055" t="s">
        <v>242</v>
      </c>
      <c r="Q28" s="1056"/>
      <c r="R28" s="14">
        <f>(COUNTA(F28:O28))/9</f>
        <v>1</v>
      </c>
      <c r="S28" s="14"/>
      <c r="U28" s="1016"/>
      <c r="V28" s="1017"/>
      <c r="W28" s="1017"/>
      <c r="X28" s="1017"/>
      <c r="Y28" s="1017"/>
      <c r="Z28" s="1018"/>
    </row>
    <row r="29" spans="1:26" ht="27.95" customHeight="1" thickBot="1">
      <c r="A29" s="64"/>
      <c r="B29" s="65" t="s">
        <v>247</v>
      </c>
      <c r="C29" s="66"/>
      <c r="D29" s="67"/>
      <c r="E29" s="68"/>
      <c r="F29" s="68"/>
      <c r="G29" s="68"/>
      <c r="H29" s="69"/>
      <c r="I29" s="70"/>
      <c r="J29" s="69"/>
      <c r="K29" s="69"/>
      <c r="L29" s="71"/>
      <c r="M29" s="70"/>
      <c r="N29" s="69"/>
      <c r="O29" s="69"/>
      <c r="P29" s="72"/>
      <c r="Q29" s="72"/>
      <c r="R29" s="14"/>
      <c r="S29" s="14"/>
      <c r="U29" s="1016"/>
      <c r="V29" s="1017"/>
      <c r="W29" s="1017"/>
      <c r="X29" s="1017"/>
      <c r="Y29" s="1017"/>
      <c r="Z29" s="1018"/>
    </row>
    <row r="30" spans="1:26" ht="9.9499999999999993" customHeight="1" thickBo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U30" s="1019"/>
      <c r="V30" s="1020"/>
      <c r="W30" s="1020"/>
      <c r="X30" s="1020"/>
      <c r="Y30" s="1020"/>
      <c r="Z30" s="1021"/>
    </row>
    <row r="31" spans="1:26" ht="27.95" customHeight="1">
      <c r="A31" s="74"/>
      <c r="B31" s="75"/>
      <c r="C31" s="75"/>
      <c r="D31" s="76" t="s">
        <v>248</v>
      </c>
      <c r="E31" s="77" t="s">
        <v>249</v>
      </c>
      <c r="F31" s="77" t="s">
        <v>5</v>
      </c>
      <c r="G31" s="77" t="s">
        <v>6</v>
      </c>
      <c r="H31" s="77" t="s">
        <v>250</v>
      </c>
      <c r="I31" s="77" t="s">
        <v>8</v>
      </c>
      <c r="J31" s="77" t="s">
        <v>251</v>
      </c>
      <c r="K31" s="77" t="s">
        <v>252</v>
      </c>
      <c r="L31" s="78" t="s">
        <v>253</v>
      </c>
      <c r="M31" s="77" t="s">
        <v>254</v>
      </c>
      <c r="N31" s="77" t="s">
        <v>13</v>
      </c>
      <c r="O31" s="77" t="s">
        <v>14</v>
      </c>
      <c r="P31" s="77" t="s">
        <v>15</v>
      </c>
      <c r="Q31" s="79" t="s">
        <v>16</v>
      </c>
      <c r="U31" s="1034" t="s">
        <v>255</v>
      </c>
      <c r="V31" s="1035"/>
      <c r="W31" s="1035"/>
      <c r="X31" s="1035"/>
      <c r="Y31" s="1035"/>
      <c r="Z31" s="1036"/>
    </row>
    <row r="32" spans="1:26" ht="27.95" customHeight="1">
      <c r="D32" s="81" t="s">
        <v>256</v>
      </c>
      <c r="E32" s="19" t="s">
        <v>47</v>
      </c>
      <c r="F32" s="12" t="s">
        <v>257</v>
      </c>
      <c r="G32" s="12" t="s">
        <v>258</v>
      </c>
      <c r="H32" s="12" t="s">
        <v>259</v>
      </c>
      <c r="I32" s="16"/>
      <c r="J32" s="12" t="s">
        <v>1045</v>
      </c>
      <c r="K32" s="12" t="s">
        <v>260</v>
      </c>
      <c r="L32" s="83"/>
      <c r="M32" s="12" t="s">
        <v>32</v>
      </c>
      <c r="N32" s="12"/>
      <c r="O32" s="12" t="s">
        <v>1036</v>
      </c>
      <c r="P32" s="834" t="s">
        <v>262</v>
      </c>
      <c r="Q32" s="85" t="s">
        <v>1029</v>
      </c>
      <c r="T32" s="86"/>
      <c r="U32" s="1037"/>
      <c r="V32" s="1038"/>
      <c r="W32" s="1038"/>
      <c r="X32" s="1038"/>
      <c r="Y32" s="1038"/>
      <c r="Z32" s="1039"/>
    </row>
    <row r="33" spans="1:26" s="48" customFormat="1" ht="45.75" customHeight="1">
      <c r="A33" s="3"/>
      <c r="B33" s="80"/>
      <c r="C33" s="80"/>
      <c r="D33" s="87" t="s">
        <v>263</v>
      </c>
      <c r="E33" s="88"/>
      <c r="F33" s="16"/>
      <c r="G33" s="16"/>
      <c r="H33" s="16"/>
      <c r="I33" s="16"/>
      <c r="J33" s="16"/>
      <c r="K33" s="89"/>
      <c r="L33" s="90"/>
      <c r="M33" s="16"/>
      <c r="N33" s="16"/>
      <c r="O33" s="84"/>
      <c r="P33" s="16"/>
      <c r="Q33" s="85"/>
      <c r="R33" s="1"/>
      <c r="S33" s="1"/>
      <c r="T33" s="2"/>
      <c r="U33" s="1037"/>
      <c r="V33" s="1038"/>
      <c r="W33" s="1038"/>
      <c r="X33" s="1038"/>
      <c r="Y33" s="1038"/>
      <c r="Z33" s="1039"/>
    </row>
    <row r="34" spans="1:26" ht="27.95" customHeight="1">
      <c r="D34" s="87" t="s">
        <v>264</v>
      </c>
      <c r="E34" s="12"/>
      <c r="F34" s="16"/>
      <c r="G34" s="16"/>
      <c r="H34" s="12"/>
      <c r="I34" s="16" t="s">
        <v>265</v>
      </c>
      <c r="J34" s="23"/>
      <c r="K34" s="12" t="s">
        <v>331</v>
      </c>
      <c r="L34" s="83"/>
      <c r="M34" s="16"/>
      <c r="N34" s="12" t="s">
        <v>267</v>
      </c>
      <c r="O34" s="23"/>
      <c r="P34" s="23" t="s">
        <v>266</v>
      </c>
      <c r="Q34" s="91"/>
      <c r="U34" s="1037"/>
      <c r="V34" s="1038"/>
      <c r="W34" s="1038"/>
      <c r="X34" s="1038"/>
      <c r="Y34" s="1038"/>
      <c r="Z34" s="1039"/>
    </row>
    <row r="35" spans="1:26" ht="42" customHeight="1" thickBot="1">
      <c r="D35" s="92" t="s">
        <v>268</v>
      </c>
      <c r="E35" s="93"/>
      <c r="F35" s="93" t="s">
        <v>269</v>
      </c>
      <c r="G35" s="93" t="s">
        <v>270</v>
      </c>
      <c r="H35" s="94"/>
      <c r="I35" s="94"/>
      <c r="J35" s="94"/>
      <c r="K35" s="94" t="s">
        <v>271</v>
      </c>
      <c r="L35" s="95"/>
      <c r="M35" s="96" t="s">
        <v>272</v>
      </c>
      <c r="N35" s="93" t="s">
        <v>910</v>
      </c>
      <c r="O35" s="93" t="s">
        <v>274</v>
      </c>
      <c r="P35" s="93" t="s">
        <v>909</v>
      </c>
      <c r="Q35" s="97" t="s">
        <v>276</v>
      </c>
      <c r="U35" s="1040"/>
      <c r="V35" s="1041"/>
      <c r="W35" s="1041"/>
      <c r="X35" s="1041"/>
      <c r="Y35" s="1041"/>
      <c r="Z35" s="1042"/>
    </row>
    <row r="36" spans="1:26" ht="42" customHeight="1">
      <c r="D36" s="98"/>
      <c r="E36" s="99"/>
      <c r="F36" s="100"/>
      <c r="G36" s="98"/>
      <c r="H36" s="98"/>
      <c r="I36" s="98"/>
      <c r="J36" s="98"/>
      <c r="K36" s="98"/>
      <c r="L36" s="101"/>
      <c r="M36" s="98"/>
      <c r="N36" s="98"/>
      <c r="O36" s="98"/>
      <c r="P36" s="98"/>
      <c r="Q36" s="98"/>
    </row>
    <row r="37" spans="1:26" ht="24">
      <c r="D37" s="830"/>
      <c r="E37" s="831" t="s">
        <v>972</v>
      </c>
      <c r="F37" s="832" t="s">
        <v>5</v>
      </c>
      <c r="G37" s="832" t="s">
        <v>6</v>
      </c>
      <c r="H37" s="832" t="s">
        <v>250</v>
      </c>
      <c r="I37" s="832" t="s">
        <v>8</v>
      </c>
      <c r="J37" s="833" t="s">
        <v>251</v>
      </c>
      <c r="K37" s="833" t="s">
        <v>967</v>
      </c>
      <c r="L37" s="833"/>
      <c r="M37" s="833" t="s">
        <v>254</v>
      </c>
      <c r="N37" s="833" t="s">
        <v>13</v>
      </c>
      <c r="O37" s="833" t="s">
        <v>14</v>
      </c>
      <c r="P37" s="833" t="s">
        <v>15</v>
      </c>
      <c r="Q37" s="833" t="s">
        <v>16</v>
      </c>
      <c r="R37" s="833" t="s">
        <v>281</v>
      </c>
      <c r="S37" s="833" t="s">
        <v>984</v>
      </c>
    </row>
    <row r="38" spans="1:26">
      <c r="D38" s="834" t="s">
        <v>309</v>
      </c>
      <c r="E38" s="818"/>
      <c r="F38" s="818"/>
      <c r="G38" s="818"/>
      <c r="H38" s="818"/>
      <c r="I38" s="818"/>
      <c r="J38" s="818" t="s">
        <v>974</v>
      </c>
      <c r="K38" s="818"/>
      <c r="L38" s="90"/>
      <c r="M38" s="818"/>
      <c r="N38" s="818"/>
      <c r="O38" s="818"/>
      <c r="P38" s="818" t="s">
        <v>974</v>
      </c>
      <c r="Q38" s="818"/>
      <c r="R38" s="818"/>
      <c r="S38" s="818"/>
    </row>
    <row r="39" spans="1:26">
      <c r="D39" s="834" t="s">
        <v>968</v>
      </c>
      <c r="E39" s="818"/>
      <c r="F39" s="818"/>
      <c r="G39" s="818"/>
      <c r="H39" s="818"/>
      <c r="I39" s="818"/>
      <c r="J39" s="818"/>
      <c r="K39" s="818"/>
      <c r="L39" s="90"/>
      <c r="M39" s="818"/>
      <c r="N39" s="818"/>
      <c r="O39" s="818"/>
      <c r="P39" s="818"/>
      <c r="Q39" s="818"/>
      <c r="R39" s="818"/>
      <c r="S39" s="818"/>
    </row>
    <row r="40" spans="1:26" ht="24.95" customHeight="1">
      <c r="D40" s="834" t="s">
        <v>969</v>
      </c>
      <c r="E40" s="834" t="s">
        <v>979</v>
      </c>
      <c r="F40" s="834"/>
      <c r="G40" s="130" t="s">
        <v>980</v>
      </c>
      <c r="H40" s="818"/>
      <c r="I40" s="829" t="s">
        <v>308</v>
      </c>
      <c r="J40" s="834" t="s">
        <v>975</v>
      </c>
      <c r="K40" s="834"/>
      <c r="L40" s="90"/>
      <c r="M40" s="130" t="s">
        <v>306</v>
      </c>
      <c r="N40" s="818"/>
      <c r="O40" s="818" t="s">
        <v>981</v>
      </c>
      <c r="P40" s="818"/>
      <c r="Q40" s="818"/>
      <c r="R40" s="818"/>
      <c r="S40" s="818"/>
    </row>
    <row r="41" spans="1:26">
      <c r="D41" s="834" t="s">
        <v>970</v>
      </c>
      <c r="E41" s="818"/>
      <c r="F41" s="818"/>
      <c r="G41" s="818"/>
      <c r="H41" s="818"/>
      <c r="I41" s="818"/>
      <c r="J41" s="818"/>
      <c r="K41" s="818"/>
      <c r="L41" s="90"/>
      <c r="M41" s="818"/>
      <c r="N41" s="818"/>
      <c r="O41" s="818"/>
      <c r="P41" s="818"/>
      <c r="Q41" s="818"/>
      <c r="R41" s="818"/>
      <c r="S41" s="818"/>
    </row>
    <row r="42" spans="1:26">
      <c r="D42" s="834" t="s">
        <v>971</v>
      </c>
      <c r="E42" s="818"/>
      <c r="F42" s="818"/>
      <c r="G42" s="818"/>
      <c r="H42" s="818"/>
      <c r="I42" s="818"/>
      <c r="J42" s="818"/>
      <c r="K42" s="818"/>
      <c r="L42" s="90"/>
      <c r="M42" s="818" t="s">
        <v>976</v>
      </c>
      <c r="N42" s="818"/>
      <c r="O42" s="818"/>
      <c r="P42" s="818"/>
      <c r="Q42" s="818"/>
      <c r="R42" s="818"/>
      <c r="S42" s="818"/>
    </row>
    <row r="43" spans="1:26">
      <c r="D43" s="834" t="s">
        <v>977</v>
      </c>
      <c r="E43" s="818"/>
      <c r="F43" s="818"/>
      <c r="G43" s="818"/>
      <c r="H43" s="818"/>
      <c r="I43" s="818"/>
      <c r="J43" s="818"/>
      <c r="K43" s="818" t="s">
        <v>978</v>
      </c>
      <c r="L43" s="90"/>
      <c r="M43" s="818"/>
      <c r="N43" s="818"/>
      <c r="O43" s="818"/>
      <c r="P43" s="818"/>
      <c r="Q43" s="12" t="s">
        <v>294</v>
      </c>
      <c r="R43" s="818"/>
      <c r="S43" s="818"/>
    </row>
    <row r="44" spans="1:26">
      <c r="D44" s="834" t="s">
        <v>982</v>
      </c>
      <c r="E44" s="835" t="s">
        <v>983</v>
      </c>
      <c r="F44" s="818"/>
      <c r="G44" s="818"/>
      <c r="H44" s="818"/>
      <c r="I44" s="818"/>
      <c r="J44" s="818"/>
      <c r="K44" s="818"/>
      <c r="L44" s="90"/>
      <c r="M44" s="836"/>
      <c r="N44" s="829"/>
      <c r="O44" s="837" t="s">
        <v>285</v>
      </c>
      <c r="P44" s="818"/>
      <c r="Q44" s="836"/>
      <c r="R44" s="818"/>
      <c r="S44" s="818"/>
    </row>
  </sheetData>
  <mergeCells count="19">
    <mergeCell ref="U31:Z35"/>
    <mergeCell ref="P12:Q13"/>
    <mergeCell ref="B26:B27"/>
    <mergeCell ref="C26:D28"/>
    <mergeCell ref="P28:Q28"/>
    <mergeCell ref="P21:Q22"/>
    <mergeCell ref="U21:Z23"/>
    <mergeCell ref="C23:D24"/>
    <mergeCell ref="U24:Z24"/>
    <mergeCell ref="U25:Z30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4"/>
  <sheetViews>
    <sheetView topLeftCell="A14" zoomScale="85" zoomScaleNormal="85" zoomScalePageLayoutView="80" workbookViewId="0">
      <selection activeCell="U9" sqref="U9:Z19"/>
    </sheetView>
  </sheetViews>
  <sheetFormatPr defaultRowHeight="16.5"/>
  <cols>
    <col min="1" max="1" width="3.25" style="140" customWidth="1"/>
    <col min="2" max="2" width="10" style="245" customWidth="1"/>
    <col min="3" max="4" width="11.875" style="245" customWidth="1"/>
    <col min="5" max="11" width="11.875" style="139" customWidth="1"/>
    <col min="12" max="12" width="2.625" style="268" customWidth="1"/>
    <col min="13" max="17" width="11.875" style="139" customWidth="1"/>
    <col min="18" max="18" width="11.875" style="138" hidden="1" customWidth="1"/>
    <col min="19" max="19" width="11.875" style="138" customWidth="1"/>
    <col min="20" max="20" width="1.625" style="139" customWidth="1"/>
    <col min="21" max="26" width="8.125" style="140" customWidth="1"/>
    <col min="27" max="16384" width="9" style="140"/>
  </cols>
  <sheetData>
    <row r="1" spans="1:26" ht="16.5" hidden="1" customHeight="1">
      <c r="A1" s="1101" t="s">
        <v>0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  <c r="O1" s="1102"/>
      <c r="P1" s="1102"/>
      <c r="Q1" s="1102"/>
    </row>
    <row r="2" spans="1:26" ht="18" customHeight="1">
      <c r="A2" s="1103" t="s">
        <v>336</v>
      </c>
      <c r="B2" s="1104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1104"/>
      <c r="O2" s="1104"/>
      <c r="P2" s="1104"/>
      <c r="Q2" s="1104"/>
    </row>
    <row r="3" spans="1:26" ht="21" customHeight="1" thickBot="1">
      <c r="A3" s="141"/>
      <c r="B3" s="142" t="s">
        <v>1</v>
      </c>
      <c r="C3" s="143" t="s">
        <v>337</v>
      </c>
      <c r="D3" s="143" t="s">
        <v>338</v>
      </c>
      <c r="E3" s="143" t="s">
        <v>4</v>
      </c>
      <c r="F3" s="143" t="s">
        <v>5</v>
      </c>
      <c r="G3" s="143" t="s">
        <v>6</v>
      </c>
      <c r="H3" s="143" t="s">
        <v>7</v>
      </c>
      <c r="I3" s="143" t="s">
        <v>8</v>
      </c>
      <c r="J3" s="143" t="s">
        <v>339</v>
      </c>
      <c r="K3" s="143" t="s">
        <v>340</v>
      </c>
      <c r="L3" s="144" t="s">
        <v>11</v>
      </c>
      <c r="M3" s="143" t="s">
        <v>341</v>
      </c>
      <c r="N3" s="143" t="s">
        <v>13</v>
      </c>
      <c r="O3" s="143" t="s">
        <v>14</v>
      </c>
      <c r="P3" s="143" t="s">
        <v>15</v>
      </c>
      <c r="Q3" s="143" t="s">
        <v>16</v>
      </c>
      <c r="R3" s="145">
        <f>AVERAGE(R4:R28)</f>
        <v>0.97619047619047616</v>
      </c>
      <c r="S3" s="145"/>
    </row>
    <row r="4" spans="1:26" ht="27.95" customHeight="1" thickBot="1">
      <c r="A4" s="146">
        <v>1</v>
      </c>
      <c r="B4" s="147" t="s">
        <v>342</v>
      </c>
      <c r="C4" s="1105"/>
      <c r="D4" s="1106"/>
      <c r="E4" s="11" t="s">
        <v>343</v>
      </c>
      <c r="F4" s="148" t="s">
        <v>344</v>
      </c>
      <c r="G4" s="148" t="s">
        <v>345</v>
      </c>
      <c r="H4" s="149" t="s">
        <v>346</v>
      </c>
      <c r="I4" s="148" t="s">
        <v>22</v>
      </c>
      <c r="J4" s="148" t="s">
        <v>347</v>
      </c>
      <c r="K4" s="148" t="s">
        <v>348</v>
      </c>
      <c r="L4" s="148"/>
      <c r="M4" s="148" t="s">
        <v>349</v>
      </c>
      <c r="N4" s="148" t="s">
        <v>26</v>
      </c>
      <c r="O4" s="11" t="s">
        <v>350</v>
      </c>
      <c r="P4" s="11" t="s">
        <v>351</v>
      </c>
      <c r="Q4" s="148" t="s">
        <v>352</v>
      </c>
      <c r="R4" s="14">
        <f>(COUNTA(C4:Q4))/12</f>
        <v>1</v>
      </c>
      <c r="S4" s="14"/>
      <c r="U4" s="1075" t="s">
        <v>30</v>
      </c>
      <c r="V4" s="1076"/>
      <c r="W4" s="1076"/>
      <c r="X4" s="1076"/>
      <c r="Y4" s="1076"/>
      <c r="Z4" s="1077"/>
    </row>
    <row r="5" spans="1:26" ht="27.95" customHeight="1">
      <c r="A5" s="146">
        <v>2</v>
      </c>
      <c r="B5" s="150" t="s">
        <v>31</v>
      </c>
      <c r="C5" s="1107"/>
      <c r="D5" s="1108"/>
      <c r="E5" s="11" t="s">
        <v>353</v>
      </c>
      <c r="F5" s="148" t="s">
        <v>33</v>
      </c>
      <c r="G5" s="148" t="s">
        <v>354</v>
      </c>
      <c r="H5" s="148" t="s">
        <v>355</v>
      </c>
      <c r="I5" s="11" t="s">
        <v>356</v>
      </c>
      <c r="J5" s="11" t="s">
        <v>357</v>
      </c>
      <c r="K5" s="151" t="s">
        <v>37</v>
      </c>
      <c r="L5" s="148"/>
      <c r="M5" s="149" t="s">
        <v>38</v>
      </c>
      <c r="N5" s="152" t="s">
        <v>39</v>
      </c>
      <c r="O5" s="153" t="s">
        <v>358</v>
      </c>
      <c r="P5" s="11" t="s">
        <v>41</v>
      </c>
      <c r="Q5" s="154" t="s">
        <v>359</v>
      </c>
      <c r="R5" s="14">
        <f t="shared" ref="R5:R22" si="0">(COUNTA(C5:Q5))/12</f>
        <v>1</v>
      </c>
      <c r="S5" s="14"/>
      <c r="U5" s="1078" t="s">
        <v>571</v>
      </c>
      <c r="V5" s="1079"/>
      <c r="W5" s="1079"/>
      <c r="X5" s="1079"/>
      <c r="Y5" s="1079"/>
      <c r="Z5" s="1080"/>
    </row>
    <row r="6" spans="1:26" ht="27.75" customHeight="1">
      <c r="A6" s="146">
        <v>3</v>
      </c>
      <c r="B6" s="150" t="s">
        <v>360</v>
      </c>
      <c r="C6" s="1107"/>
      <c r="D6" s="1108"/>
      <c r="E6" s="155" t="s">
        <v>361</v>
      </c>
      <c r="F6" s="11" t="s">
        <v>362</v>
      </c>
      <c r="G6" s="148" t="s">
        <v>45</v>
      </c>
      <c r="H6" s="18" t="s">
        <v>363</v>
      </c>
      <c r="I6" s="148" t="s">
        <v>364</v>
      </c>
      <c r="J6" s="156" t="s">
        <v>365</v>
      </c>
      <c r="K6" s="148" t="s">
        <v>366</v>
      </c>
      <c r="L6" s="148"/>
      <c r="M6" s="11" t="s">
        <v>367</v>
      </c>
      <c r="N6" s="157" t="s">
        <v>320</v>
      </c>
      <c r="O6" s="148" t="s">
        <v>368</v>
      </c>
      <c r="P6" s="148" t="s">
        <v>369</v>
      </c>
      <c r="Q6" s="148" t="s">
        <v>370</v>
      </c>
      <c r="R6" s="14">
        <f t="shared" si="0"/>
        <v>1</v>
      </c>
      <c r="S6" s="14"/>
      <c r="U6" s="1081"/>
      <c r="V6" s="1082"/>
      <c r="W6" s="1082"/>
      <c r="X6" s="1082"/>
      <c r="Y6" s="1082"/>
      <c r="Z6" s="1083"/>
    </row>
    <row r="7" spans="1:26" ht="27.95" customHeight="1" thickBot="1">
      <c r="A7" s="146">
        <v>4</v>
      </c>
      <c r="B7" s="147" t="s">
        <v>371</v>
      </c>
      <c r="C7" s="1107"/>
      <c r="D7" s="1108"/>
      <c r="E7" s="153" t="s">
        <v>372</v>
      </c>
      <c r="F7" s="156" t="s">
        <v>55</v>
      </c>
      <c r="G7" s="148" t="s">
        <v>373</v>
      </c>
      <c r="H7" s="148" t="s">
        <v>374</v>
      </c>
      <c r="I7" s="157" t="s">
        <v>320</v>
      </c>
      <c r="J7" s="148" t="s">
        <v>373</v>
      </c>
      <c r="K7" s="148" t="s">
        <v>375</v>
      </c>
      <c r="L7" s="158"/>
      <c r="M7" s="156" t="s">
        <v>376</v>
      </c>
      <c r="N7" s="11" t="s">
        <v>28</v>
      </c>
      <c r="O7" s="148" t="s">
        <v>60</v>
      </c>
      <c r="P7" s="148" t="s">
        <v>377</v>
      </c>
      <c r="Q7" s="148" t="s">
        <v>62</v>
      </c>
      <c r="R7" s="14">
        <f t="shared" si="0"/>
        <v>1</v>
      </c>
      <c r="S7" s="14"/>
      <c r="U7" s="1084"/>
      <c r="V7" s="1085"/>
      <c r="W7" s="1085"/>
      <c r="X7" s="1085"/>
      <c r="Y7" s="1085"/>
      <c r="Z7" s="1086"/>
    </row>
    <row r="8" spans="1:26" ht="27.95" customHeight="1" thickBot="1">
      <c r="A8" s="146">
        <v>5</v>
      </c>
      <c r="B8" s="159" t="s">
        <v>378</v>
      </c>
      <c r="C8" s="1107"/>
      <c r="D8" s="1108"/>
      <c r="E8" s="148" t="s">
        <v>379</v>
      </c>
      <c r="F8" s="160" t="s">
        <v>380</v>
      </c>
      <c r="G8" s="161" t="s">
        <v>381</v>
      </c>
      <c r="H8" s="148" t="s">
        <v>382</v>
      </c>
      <c r="I8" s="11" t="s">
        <v>343</v>
      </c>
      <c r="J8" s="148" t="s">
        <v>383</v>
      </c>
      <c r="K8" s="148" t="s">
        <v>384</v>
      </c>
      <c r="L8" s="161"/>
      <c r="M8" s="151" t="s">
        <v>385</v>
      </c>
      <c r="N8" s="162" t="s">
        <v>71</v>
      </c>
      <c r="O8" s="163" t="s">
        <v>386</v>
      </c>
      <c r="P8" s="148" t="s">
        <v>73</v>
      </c>
      <c r="Q8" s="156" t="s">
        <v>387</v>
      </c>
      <c r="R8" s="14">
        <f>(COUNTA(C8:Q8))/12</f>
        <v>1</v>
      </c>
      <c r="S8" s="14"/>
      <c r="U8" s="1087" t="s">
        <v>388</v>
      </c>
      <c r="V8" s="1088"/>
      <c r="W8" s="1088"/>
      <c r="X8" s="1088"/>
      <c r="Y8" s="1088"/>
      <c r="Z8" s="1089"/>
    </row>
    <row r="9" spans="1:26" ht="27.95" customHeight="1">
      <c r="A9" s="146">
        <v>6</v>
      </c>
      <c r="B9" s="147" t="s">
        <v>389</v>
      </c>
      <c r="C9" s="1107"/>
      <c r="D9" s="1108"/>
      <c r="E9" s="156" t="s">
        <v>77</v>
      </c>
      <c r="F9" s="148" t="s">
        <v>78</v>
      </c>
      <c r="G9" s="11" t="s">
        <v>350</v>
      </c>
      <c r="H9" s="148" t="s">
        <v>79</v>
      </c>
      <c r="I9" s="11" t="s">
        <v>80</v>
      </c>
      <c r="J9" s="151" t="s">
        <v>348</v>
      </c>
      <c r="K9" s="11" t="s">
        <v>390</v>
      </c>
      <c r="L9" s="148"/>
      <c r="M9" s="152" t="s">
        <v>391</v>
      </c>
      <c r="N9" s="148" t="s">
        <v>345</v>
      </c>
      <c r="O9" s="11" t="s">
        <v>392</v>
      </c>
      <c r="P9" s="148" t="s">
        <v>393</v>
      </c>
      <c r="Q9" s="22" t="s">
        <v>85</v>
      </c>
      <c r="R9" s="14">
        <f>(COUNTA(C9:Q9))/12</f>
        <v>1</v>
      </c>
      <c r="S9" s="14"/>
      <c r="U9" s="1090" t="s">
        <v>572</v>
      </c>
      <c r="V9" s="1091"/>
      <c r="W9" s="1091"/>
      <c r="X9" s="1091"/>
      <c r="Y9" s="1091"/>
      <c r="Z9" s="1092"/>
    </row>
    <row r="10" spans="1:26" ht="27.75" customHeight="1">
      <c r="A10" s="146">
        <v>7</v>
      </c>
      <c r="B10" s="147" t="s">
        <v>394</v>
      </c>
      <c r="C10" s="1107"/>
      <c r="D10" s="1108"/>
      <c r="E10" s="157" t="s">
        <v>317</v>
      </c>
      <c r="F10" s="157" t="s">
        <v>87</v>
      </c>
      <c r="G10" s="153" t="s">
        <v>395</v>
      </c>
      <c r="H10" s="157" t="s">
        <v>396</v>
      </c>
      <c r="I10" s="164" t="s">
        <v>385</v>
      </c>
      <c r="J10" s="165" t="s">
        <v>397</v>
      </c>
      <c r="K10" s="166" t="s">
        <v>398</v>
      </c>
      <c r="L10" s="167"/>
      <c r="M10" s="157" t="s">
        <v>399</v>
      </c>
      <c r="N10" s="11" t="s">
        <v>400</v>
      </c>
      <c r="O10" s="157" t="s">
        <v>345</v>
      </c>
      <c r="P10" s="18" t="s">
        <v>93</v>
      </c>
      <c r="Q10" s="157" t="s">
        <v>401</v>
      </c>
      <c r="R10" s="14">
        <f>(COUNTA(C10:Q10))/12</f>
        <v>1</v>
      </c>
      <c r="S10" s="14"/>
      <c r="U10" s="1093"/>
      <c r="V10" s="1094"/>
      <c r="W10" s="1094"/>
      <c r="X10" s="1094"/>
      <c r="Y10" s="1094"/>
      <c r="Z10" s="1095"/>
    </row>
    <row r="11" spans="1:26" ht="27.95" customHeight="1">
      <c r="A11" s="146">
        <v>8</v>
      </c>
      <c r="B11" s="168" t="s">
        <v>402</v>
      </c>
      <c r="C11" s="1109"/>
      <c r="D11" s="1110"/>
      <c r="E11" s="169"/>
      <c r="F11" s="170"/>
      <c r="G11" s="137"/>
      <c r="H11" s="171" t="s">
        <v>27</v>
      </c>
      <c r="I11" s="170"/>
      <c r="J11" s="172" t="s">
        <v>403</v>
      </c>
      <c r="K11" s="173"/>
      <c r="L11" s="170"/>
      <c r="M11" s="170"/>
      <c r="N11" s="174" t="s">
        <v>55</v>
      </c>
      <c r="O11" s="171" t="s">
        <v>404</v>
      </c>
      <c r="P11" s="171" t="s">
        <v>21</v>
      </c>
      <c r="Q11" s="171" t="s">
        <v>373</v>
      </c>
      <c r="R11" s="14">
        <f>(COUNTA(C11:Q11))/12</f>
        <v>0.5</v>
      </c>
      <c r="S11" s="14"/>
      <c r="U11" s="1093"/>
      <c r="V11" s="1094"/>
      <c r="W11" s="1094"/>
      <c r="X11" s="1094"/>
      <c r="Y11" s="1094"/>
      <c r="Z11" s="1095"/>
    </row>
    <row r="12" spans="1:26" ht="27.95" customHeight="1">
      <c r="A12" s="146">
        <v>9</v>
      </c>
      <c r="B12" s="150" t="s">
        <v>405</v>
      </c>
      <c r="C12" s="175" t="s">
        <v>324</v>
      </c>
      <c r="D12" s="176" t="s">
        <v>326</v>
      </c>
      <c r="E12" s="11" t="s">
        <v>406</v>
      </c>
      <c r="F12" s="22" t="s">
        <v>407</v>
      </c>
      <c r="G12" s="22" t="s">
        <v>408</v>
      </c>
      <c r="H12" s="22" t="s">
        <v>85</v>
      </c>
      <c r="I12" s="156" t="s">
        <v>409</v>
      </c>
      <c r="J12" s="151" t="s">
        <v>410</v>
      </c>
      <c r="K12" s="148" t="s">
        <v>22</v>
      </c>
      <c r="L12" s="156"/>
      <c r="M12" s="22" t="s">
        <v>411</v>
      </c>
      <c r="N12" s="156" t="s">
        <v>397</v>
      </c>
      <c r="O12" s="148" t="s">
        <v>412</v>
      </c>
      <c r="P12" s="1043"/>
      <c r="Q12" s="1044"/>
      <c r="R12" s="14">
        <f t="shared" si="0"/>
        <v>1</v>
      </c>
      <c r="S12" s="14"/>
      <c r="U12" s="1093"/>
      <c r="V12" s="1094"/>
      <c r="W12" s="1094"/>
      <c r="X12" s="1094"/>
      <c r="Y12" s="1094"/>
      <c r="Z12" s="1095"/>
    </row>
    <row r="13" spans="1:26" ht="27.95" customHeight="1" thickBot="1">
      <c r="A13" s="146">
        <v>10</v>
      </c>
      <c r="B13" s="159" t="s">
        <v>413</v>
      </c>
      <c r="C13" s="177" t="s">
        <v>323</v>
      </c>
      <c r="D13" s="177" t="s">
        <v>325</v>
      </c>
      <c r="E13" s="11" t="s">
        <v>390</v>
      </c>
      <c r="F13" s="178" t="s">
        <v>414</v>
      </c>
      <c r="G13" s="160" t="s">
        <v>415</v>
      </c>
      <c r="H13" s="178" t="s">
        <v>416</v>
      </c>
      <c r="I13" s="178" t="s">
        <v>69</v>
      </c>
      <c r="J13" s="178" t="s">
        <v>112</v>
      </c>
      <c r="K13" s="178" t="s">
        <v>349</v>
      </c>
      <c r="L13" s="26"/>
      <c r="M13" s="27" t="s">
        <v>120</v>
      </c>
      <c r="N13" s="148" t="s">
        <v>408</v>
      </c>
      <c r="O13" s="148" t="s">
        <v>417</v>
      </c>
      <c r="P13" s="1045"/>
      <c r="Q13" s="1046"/>
      <c r="R13" s="14">
        <f t="shared" si="0"/>
        <v>1</v>
      </c>
      <c r="S13" s="14"/>
      <c r="U13" s="1093"/>
      <c r="V13" s="1094"/>
      <c r="W13" s="1094"/>
      <c r="X13" s="1094"/>
      <c r="Y13" s="1094"/>
      <c r="Z13" s="1095"/>
    </row>
    <row r="14" spans="1:26" ht="27.95" customHeight="1">
      <c r="A14" s="179">
        <v>11</v>
      </c>
      <c r="B14" s="180" t="s">
        <v>418</v>
      </c>
      <c r="C14" s="1111"/>
      <c r="D14" s="1112"/>
      <c r="E14" s="181" t="s">
        <v>419</v>
      </c>
      <c r="F14" s="181" t="s">
        <v>420</v>
      </c>
      <c r="G14" s="181" t="s">
        <v>421</v>
      </c>
      <c r="H14" s="182" t="s">
        <v>127</v>
      </c>
      <c r="I14" s="183" t="s">
        <v>335</v>
      </c>
      <c r="J14" s="31" t="s">
        <v>129</v>
      </c>
      <c r="K14" s="156" t="s">
        <v>422</v>
      </c>
      <c r="L14" s="184"/>
      <c r="M14" s="156" t="s">
        <v>423</v>
      </c>
      <c r="N14" s="181" t="s">
        <v>424</v>
      </c>
      <c r="O14" s="184" t="s">
        <v>425</v>
      </c>
      <c r="P14" s="185" t="s">
        <v>426</v>
      </c>
      <c r="Q14" s="181" t="s">
        <v>427</v>
      </c>
      <c r="R14" s="14">
        <f t="shared" si="0"/>
        <v>1</v>
      </c>
      <c r="S14" s="14"/>
      <c r="U14" s="1093"/>
      <c r="V14" s="1094"/>
      <c r="W14" s="1094"/>
      <c r="X14" s="1094"/>
      <c r="Y14" s="1094"/>
      <c r="Z14" s="1095"/>
    </row>
    <row r="15" spans="1:26" ht="27.95" customHeight="1">
      <c r="A15" s="186">
        <v>12</v>
      </c>
      <c r="B15" s="187" t="s">
        <v>136</v>
      </c>
      <c r="C15" s="1113"/>
      <c r="D15" s="1114"/>
      <c r="E15" s="11" t="s">
        <v>423</v>
      </c>
      <c r="F15" s="163" t="s">
        <v>138</v>
      </c>
      <c r="G15" s="149" t="s">
        <v>139</v>
      </c>
      <c r="H15" s="11" t="s">
        <v>428</v>
      </c>
      <c r="I15" s="148" t="s">
        <v>429</v>
      </c>
      <c r="J15" s="11" t="s">
        <v>430</v>
      </c>
      <c r="K15" s="148" t="s">
        <v>431</v>
      </c>
      <c r="L15" s="148"/>
      <c r="M15" s="148" t="s">
        <v>432</v>
      </c>
      <c r="N15" s="148" t="s">
        <v>433</v>
      </c>
      <c r="O15" s="11" t="s">
        <v>434</v>
      </c>
      <c r="P15" s="148" t="s">
        <v>435</v>
      </c>
      <c r="Q15" s="151" t="s">
        <v>436</v>
      </c>
      <c r="R15" s="14">
        <f t="shared" si="0"/>
        <v>1</v>
      </c>
      <c r="S15" s="14"/>
      <c r="U15" s="1093"/>
      <c r="V15" s="1094"/>
      <c r="W15" s="1094"/>
      <c r="X15" s="1094"/>
      <c r="Y15" s="1094"/>
      <c r="Z15" s="1095"/>
    </row>
    <row r="16" spans="1:26" ht="27.95" customHeight="1">
      <c r="A16" s="186">
        <v>13</v>
      </c>
      <c r="B16" s="188" t="s">
        <v>332</v>
      </c>
      <c r="C16" s="1113"/>
      <c r="D16" s="1114"/>
      <c r="E16" s="171" t="s">
        <v>427</v>
      </c>
      <c r="F16" s="171" t="s">
        <v>151</v>
      </c>
      <c r="G16" s="189" t="s">
        <v>423</v>
      </c>
      <c r="H16" s="170"/>
      <c r="I16" s="189" t="s">
        <v>427</v>
      </c>
      <c r="J16" s="170" t="s">
        <v>437</v>
      </c>
      <c r="K16" s="171" t="s">
        <v>438</v>
      </c>
      <c r="L16" s="170"/>
      <c r="M16" s="170"/>
      <c r="N16" s="169" t="s">
        <v>439</v>
      </c>
      <c r="O16" s="170"/>
      <c r="P16" s="190" t="s">
        <v>440</v>
      </c>
      <c r="Q16" s="190"/>
      <c r="R16" s="14"/>
      <c r="S16" s="14"/>
      <c r="U16" s="1093"/>
      <c r="V16" s="1094"/>
      <c r="W16" s="1094"/>
      <c r="X16" s="1094"/>
      <c r="Y16" s="1094"/>
      <c r="Z16" s="1095"/>
    </row>
    <row r="17" spans="1:26" ht="27.95" customHeight="1">
      <c r="A17" s="186">
        <v>14</v>
      </c>
      <c r="B17" s="191" t="s">
        <v>441</v>
      </c>
      <c r="C17" s="1113"/>
      <c r="D17" s="1114"/>
      <c r="E17" s="156" t="s">
        <v>442</v>
      </c>
      <c r="F17" s="153" t="s">
        <v>443</v>
      </c>
      <c r="G17" s="156" t="s">
        <v>444</v>
      </c>
      <c r="H17" s="192" t="s">
        <v>445</v>
      </c>
      <c r="I17" s="156" t="s">
        <v>125</v>
      </c>
      <c r="J17" s="149" t="s">
        <v>163</v>
      </c>
      <c r="K17" s="156" t="s">
        <v>164</v>
      </c>
      <c r="L17" s="193"/>
      <c r="M17" s="156" t="s">
        <v>446</v>
      </c>
      <c r="N17" s="22" t="s">
        <v>447</v>
      </c>
      <c r="O17" s="156" t="s">
        <v>448</v>
      </c>
      <c r="P17" s="11" t="s">
        <v>449</v>
      </c>
      <c r="Q17" s="151" t="s">
        <v>450</v>
      </c>
      <c r="R17" s="14">
        <f t="shared" si="0"/>
        <v>1</v>
      </c>
      <c r="S17" s="14"/>
      <c r="U17" s="1093"/>
      <c r="V17" s="1094"/>
      <c r="W17" s="1094"/>
      <c r="X17" s="1094"/>
      <c r="Y17" s="1094"/>
      <c r="Z17" s="1095"/>
    </row>
    <row r="18" spans="1:26" ht="27.95" customHeight="1">
      <c r="A18" s="186">
        <v>15</v>
      </c>
      <c r="B18" s="159" t="s">
        <v>451</v>
      </c>
      <c r="C18" s="1113"/>
      <c r="D18" s="1114"/>
      <c r="E18" s="148" t="s">
        <v>452</v>
      </c>
      <c r="F18" s="11" t="s">
        <v>453</v>
      </c>
      <c r="G18" s="11" t="s">
        <v>439</v>
      </c>
      <c r="H18" s="148" t="s">
        <v>426</v>
      </c>
      <c r="I18" s="148" t="s">
        <v>454</v>
      </c>
      <c r="J18" s="148" t="s">
        <v>455</v>
      </c>
      <c r="K18" s="148" t="s">
        <v>456</v>
      </c>
      <c r="L18" s="148"/>
      <c r="M18" s="148" t="s">
        <v>177</v>
      </c>
      <c r="N18" s="11" t="s">
        <v>178</v>
      </c>
      <c r="O18" s="157" t="s">
        <v>457</v>
      </c>
      <c r="P18" s="148" t="s">
        <v>458</v>
      </c>
      <c r="Q18" s="11" t="s">
        <v>423</v>
      </c>
      <c r="R18" s="14">
        <f>(COUNTA(C18:Q18))/12</f>
        <v>1</v>
      </c>
      <c r="S18" s="14"/>
      <c r="U18" s="1093"/>
      <c r="V18" s="1094"/>
      <c r="W18" s="1094"/>
      <c r="X18" s="1094"/>
      <c r="Y18" s="1094"/>
      <c r="Z18" s="1095"/>
    </row>
    <row r="19" spans="1:26" ht="27.95" customHeight="1" thickBot="1">
      <c r="A19" s="186">
        <v>16</v>
      </c>
      <c r="B19" s="159" t="s">
        <v>459</v>
      </c>
      <c r="C19" s="1113"/>
      <c r="D19" s="1114"/>
      <c r="E19" s="163" t="s">
        <v>460</v>
      </c>
      <c r="F19" s="11" t="s">
        <v>182</v>
      </c>
      <c r="G19" s="11" t="s">
        <v>183</v>
      </c>
      <c r="H19" s="11" t="s">
        <v>461</v>
      </c>
      <c r="I19" s="151" t="s">
        <v>462</v>
      </c>
      <c r="J19" s="148" t="s">
        <v>463</v>
      </c>
      <c r="K19" s="11" t="s">
        <v>464</v>
      </c>
      <c r="L19" s="39"/>
      <c r="M19" s="153" t="s">
        <v>465</v>
      </c>
      <c r="N19" s="148" t="s">
        <v>187</v>
      </c>
      <c r="O19" s="156" t="s">
        <v>188</v>
      </c>
      <c r="P19" s="148" t="s">
        <v>466</v>
      </c>
      <c r="Q19" s="151" t="s">
        <v>190</v>
      </c>
      <c r="R19" s="14">
        <f t="shared" si="0"/>
        <v>1</v>
      </c>
      <c r="S19" s="14"/>
      <c r="U19" s="1096"/>
      <c r="V19" s="1097"/>
      <c r="W19" s="1097"/>
      <c r="X19" s="1097"/>
      <c r="Y19" s="1097"/>
      <c r="Z19" s="1098"/>
    </row>
    <row r="20" spans="1:26" ht="36.75" thickBot="1">
      <c r="A20" s="186">
        <v>17</v>
      </c>
      <c r="B20" s="194" t="s">
        <v>328</v>
      </c>
      <c r="C20" s="1115"/>
      <c r="D20" s="1116"/>
      <c r="E20" s="195"/>
      <c r="F20" s="171" t="s">
        <v>467</v>
      </c>
      <c r="G20" s="171" t="s">
        <v>468</v>
      </c>
      <c r="H20" s="196"/>
      <c r="I20" s="171" t="s">
        <v>446</v>
      </c>
      <c r="J20" s="172"/>
      <c r="K20" s="171"/>
      <c r="L20" s="195"/>
      <c r="M20" s="195"/>
      <c r="N20" s="174" t="s">
        <v>469</v>
      </c>
      <c r="O20" s="171" t="s">
        <v>470</v>
      </c>
      <c r="P20" s="170"/>
      <c r="Q20" s="190"/>
      <c r="R20" s="14"/>
      <c r="S20" s="14"/>
      <c r="U20" s="1072" t="s">
        <v>471</v>
      </c>
      <c r="V20" s="1073"/>
      <c r="W20" s="1073"/>
      <c r="X20" s="1073"/>
      <c r="Y20" s="1073"/>
      <c r="Z20" s="1074"/>
    </row>
    <row r="21" spans="1:26" ht="27.95" customHeight="1">
      <c r="A21" s="186">
        <v>18</v>
      </c>
      <c r="B21" s="187" t="s">
        <v>202</v>
      </c>
      <c r="C21" s="197" t="s">
        <v>327</v>
      </c>
      <c r="D21" s="198" t="s">
        <v>472</v>
      </c>
      <c r="E21" s="148" t="s">
        <v>473</v>
      </c>
      <c r="F21" s="11" t="s">
        <v>183</v>
      </c>
      <c r="G21" s="11" t="s">
        <v>474</v>
      </c>
      <c r="H21" s="11" t="s">
        <v>205</v>
      </c>
      <c r="I21" s="148" t="s">
        <v>444</v>
      </c>
      <c r="J21" s="151" t="s">
        <v>206</v>
      </c>
      <c r="K21" s="163" t="s">
        <v>475</v>
      </c>
      <c r="L21" s="148"/>
      <c r="M21" s="11" t="s">
        <v>476</v>
      </c>
      <c r="N21" s="148" t="s">
        <v>477</v>
      </c>
      <c r="O21" s="153" t="s">
        <v>478</v>
      </c>
      <c r="P21" s="1119"/>
      <c r="Q21" s="1120"/>
      <c r="R21" s="14">
        <f t="shared" si="0"/>
        <v>1</v>
      </c>
      <c r="S21" s="14"/>
      <c r="U21" s="1123" t="s">
        <v>479</v>
      </c>
      <c r="V21" s="1124"/>
      <c r="W21" s="1124"/>
      <c r="X21" s="1124"/>
      <c r="Y21" s="1124"/>
      <c r="Z21" s="1125"/>
    </row>
    <row r="22" spans="1:26" ht="27.95" customHeight="1" thickBot="1">
      <c r="A22" s="199">
        <v>19</v>
      </c>
      <c r="B22" s="200" t="s">
        <v>480</v>
      </c>
      <c r="C22" s="201" t="s">
        <v>481</v>
      </c>
      <c r="D22" s="202" t="s">
        <v>327</v>
      </c>
      <c r="E22" s="27" t="s">
        <v>482</v>
      </c>
      <c r="F22" s="27" t="s">
        <v>483</v>
      </c>
      <c r="G22" s="178" t="s">
        <v>198</v>
      </c>
      <c r="H22" s="27" t="s">
        <v>484</v>
      </c>
      <c r="I22" s="203" t="s">
        <v>485</v>
      </c>
      <c r="J22" s="178" t="s">
        <v>475</v>
      </c>
      <c r="K22" s="178" t="s">
        <v>486</v>
      </c>
      <c r="L22" s="203"/>
      <c r="M22" s="178" t="s">
        <v>487</v>
      </c>
      <c r="N22" s="203" t="s">
        <v>218</v>
      </c>
      <c r="O22" s="178" t="s">
        <v>444</v>
      </c>
      <c r="P22" s="1121"/>
      <c r="Q22" s="1122"/>
      <c r="R22" s="14">
        <f t="shared" si="0"/>
        <v>1</v>
      </c>
      <c r="S22" s="14"/>
      <c r="U22" s="1126"/>
      <c r="V22" s="1127"/>
      <c r="W22" s="1127"/>
      <c r="X22" s="1127"/>
      <c r="Y22" s="1127"/>
      <c r="Z22" s="1128"/>
    </row>
    <row r="23" spans="1:26" ht="27.95" customHeight="1" thickBot="1">
      <c r="A23" s="204" t="s">
        <v>488</v>
      </c>
      <c r="B23" s="205" t="s">
        <v>489</v>
      </c>
      <c r="C23" s="1113"/>
      <c r="D23" s="1114"/>
      <c r="E23" s="156"/>
      <c r="F23" s="157" t="s">
        <v>490</v>
      </c>
      <c r="G23" s="22" t="s">
        <v>221</v>
      </c>
      <c r="H23" s="156"/>
      <c r="I23" s="156" t="s">
        <v>491</v>
      </c>
      <c r="J23" s="193" t="s">
        <v>218</v>
      </c>
      <c r="K23" s="156"/>
      <c r="L23" s="206"/>
      <c r="M23" s="156"/>
      <c r="N23" s="156" t="s">
        <v>455</v>
      </c>
      <c r="O23" s="22" t="s">
        <v>492</v>
      </c>
      <c r="P23" s="207"/>
      <c r="Q23" s="156" t="s">
        <v>163</v>
      </c>
      <c r="R23" s="14">
        <f>(COUNTA(C23:Q23))/7</f>
        <v>1</v>
      </c>
      <c r="S23" s="14"/>
      <c r="U23" s="1129"/>
      <c r="V23" s="1130"/>
      <c r="W23" s="1130"/>
      <c r="X23" s="1130"/>
      <c r="Y23" s="1130"/>
      <c r="Z23" s="1131"/>
    </row>
    <row r="24" spans="1:26" s="211" customFormat="1" ht="27.95" customHeight="1" thickBot="1">
      <c r="A24" s="208"/>
      <c r="B24" s="200" t="s">
        <v>493</v>
      </c>
      <c r="C24" s="1132"/>
      <c r="D24" s="1133"/>
      <c r="E24" s="178" t="s">
        <v>494</v>
      </c>
      <c r="F24" s="206" t="s">
        <v>227</v>
      </c>
      <c r="G24" s="27" t="s">
        <v>447</v>
      </c>
      <c r="H24" s="27" t="s">
        <v>221</v>
      </c>
      <c r="I24" s="178" t="s">
        <v>229</v>
      </c>
      <c r="J24" s="27" t="s">
        <v>230</v>
      </c>
      <c r="K24" s="209" t="s">
        <v>495</v>
      </c>
      <c r="L24" s="178"/>
      <c r="M24" s="27" t="s">
        <v>176</v>
      </c>
      <c r="N24" s="210" t="s">
        <v>333</v>
      </c>
      <c r="O24" s="210" t="s">
        <v>334</v>
      </c>
      <c r="P24" s="156" t="s">
        <v>469</v>
      </c>
      <c r="Q24" s="160" t="s">
        <v>496</v>
      </c>
      <c r="R24" s="14">
        <f>(COUNTA(C24:Q24))/12</f>
        <v>1</v>
      </c>
      <c r="S24" s="14"/>
      <c r="T24" s="139"/>
      <c r="U24" s="1087" t="s">
        <v>497</v>
      </c>
      <c r="V24" s="1088"/>
      <c r="W24" s="1088"/>
      <c r="X24" s="1088"/>
      <c r="Y24" s="1088"/>
      <c r="Z24" s="1089"/>
    </row>
    <row r="25" spans="1:26" ht="9.9499999999999993" customHeight="1" thickBot="1">
      <c r="A25" s="212"/>
      <c r="B25" s="213"/>
      <c r="C25" s="214"/>
      <c r="D25" s="215"/>
      <c r="E25" s="216"/>
      <c r="F25" s="217"/>
      <c r="G25" s="218"/>
      <c r="H25" s="56"/>
      <c r="I25" s="216"/>
      <c r="J25" s="219"/>
      <c r="K25" s="216"/>
      <c r="L25" s="216"/>
      <c r="M25" s="56"/>
      <c r="N25" s="217"/>
      <c r="O25" s="220"/>
      <c r="P25" s="216"/>
      <c r="Q25" s="216"/>
      <c r="U25" s="1078" t="s">
        <v>573</v>
      </c>
      <c r="V25" s="1079"/>
      <c r="W25" s="1079"/>
      <c r="X25" s="1079"/>
      <c r="Y25" s="1079"/>
      <c r="Z25" s="1080"/>
    </row>
    <row r="26" spans="1:26" ht="120" customHeight="1">
      <c r="A26" s="221"/>
      <c r="B26" s="1047" t="s">
        <v>498</v>
      </c>
      <c r="C26" s="1049"/>
      <c r="D26" s="1050"/>
      <c r="E26" s="181" t="s">
        <v>235</v>
      </c>
      <c r="F26" s="181" t="s">
        <v>236</v>
      </c>
      <c r="G26" s="181" t="s">
        <v>499</v>
      </c>
      <c r="H26" s="181" t="s">
        <v>500</v>
      </c>
      <c r="I26" s="222" t="s">
        <v>501</v>
      </c>
      <c r="J26" s="181" t="s">
        <v>237</v>
      </c>
      <c r="K26" s="223" t="s">
        <v>238</v>
      </c>
      <c r="L26" s="224"/>
      <c r="M26" s="181" t="s">
        <v>502</v>
      </c>
      <c r="N26" s="181" t="s">
        <v>503</v>
      </c>
      <c r="O26" s="181" t="s">
        <v>504</v>
      </c>
      <c r="P26" s="225" t="s">
        <v>505</v>
      </c>
      <c r="Q26" s="181" t="s">
        <v>506</v>
      </c>
      <c r="R26" s="14">
        <f>(COUNTA(C26:Q26))/12</f>
        <v>1</v>
      </c>
      <c r="S26" s="14"/>
      <c r="U26" s="1081"/>
      <c r="V26" s="1082"/>
      <c r="W26" s="1082"/>
      <c r="X26" s="1082"/>
      <c r="Y26" s="1082"/>
      <c r="Z26" s="1083"/>
    </row>
    <row r="27" spans="1:26" ht="120" customHeight="1">
      <c r="A27" s="226"/>
      <c r="B27" s="1048"/>
      <c r="C27" s="1051"/>
      <c r="D27" s="1052"/>
      <c r="E27" s="148" t="s">
        <v>507</v>
      </c>
      <c r="F27" s="148" t="s">
        <v>508</v>
      </c>
      <c r="G27" s="157" t="s">
        <v>509</v>
      </c>
      <c r="H27" s="157" t="s">
        <v>510</v>
      </c>
      <c r="I27" s="148" t="s">
        <v>511</v>
      </c>
      <c r="J27" s="157" t="s">
        <v>512</v>
      </c>
      <c r="K27" s="157" t="s">
        <v>513</v>
      </c>
      <c r="L27" s="148"/>
      <c r="M27" s="157" t="s">
        <v>514</v>
      </c>
      <c r="N27" s="157" t="s">
        <v>515</v>
      </c>
      <c r="O27" s="148" t="s">
        <v>516</v>
      </c>
      <c r="P27" s="148" t="s">
        <v>517</v>
      </c>
      <c r="Q27" s="148" t="s">
        <v>518</v>
      </c>
      <c r="U27" s="1081"/>
      <c r="V27" s="1082"/>
      <c r="W27" s="1082"/>
      <c r="X27" s="1082"/>
      <c r="Y27" s="1082"/>
      <c r="Z27" s="1083"/>
    </row>
    <row r="28" spans="1:26" ht="120" customHeight="1" thickBot="1">
      <c r="A28" s="227"/>
      <c r="B28" s="200" t="s">
        <v>241</v>
      </c>
      <c r="C28" s="1053"/>
      <c r="D28" s="1054"/>
      <c r="E28" s="228" t="s">
        <v>519</v>
      </c>
      <c r="F28" s="178" t="s">
        <v>520</v>
      </c>
      <c r="G28" s="229" t="s">
        <v>521</v>
      </c>
      <c r="H28" s="178" t="s">
        <v>522</v>
      </c>
      <c r="I28" s="178" t="s">
        <v>244</v>
      </c>
      <c r="J28" s="178" t="s">
        <v>523</v>
      </c>
      <c r="K28" s="178" t="s">
        <v>524</v>
      </c>
      <c r="L28" s="203"/>
      <c r="M28" s="230" t="s">
        <v>525</v>
      </c>
      <c r="N28" s="178" t="s">
        <v>246</v>
      </c>
      <c r="O28" s="178" t="s">
        <v>526</v>
      </c>
      <c r="P28" s="1099" t="s">
        <v>519</v>
      </c>
      <c r="Q28" s="1100"/>
      <c r="R28" s="14">
        <f>(COUNTA(F28:O28))/9</f>
        <v>1</v>
      </c>
      <c r="S28" s="14"/>
      <c r="U28" s="1081"/>
      <c r="V28" s="1082"/>
      <c r="W28" s="1082"/>
      <c r="X28" s="1082"/>
      <c r="Y28" s="1082"/>
      <c r="Z28" s="1083"/>
    </row>
    <row r="29" spans="1:26" ht="27.95" customHeight="1" thickBot="1">
      <c r="A29" s="231"/>
      <c r="B29" s="232" t="s">
        <v>527</v>
      </c>
      <c r="C29" s="66"/>
      <c r="D29" s="67"/>
      <c r="E29" s="233"/>
      <c r="F29" s="233"/>
      <c r="G29" s="233"/>
      <c r="H29" s="234"/>
      <c r="I29" s="235"/>
      <c r="J29" s="234"/>
      <c r="K29" s="234"/>
      <c r="L29" s="236"/>
      <c r="M29" s="235"/>
      <c r="N29" s="234"/>
      <c r="O29" s="234"/>
      <c r="P29" s="237"/>
      <c r="Q29" s="237"/>
      <c r="R29" s="14"/>
      <c r="S29" s="14"/>
      <c r="U29" s="1081"/>
      <c r="V29" s="1082"/>
      <c r="W29" s="1082"/>
      <c r="X29" s="1082"/>
      <c r="Y29" s="1082"/>
      <c r="Z29" s="1083"/>
    </row>
    <row r="30" spans="1:26" ht="9.9499999999999993" customHeight="1" thickBot="1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U30" s="1084"/>
      <c r="V30" s="1085"/>
      <c r="W30" s="1085"/>
      <c r="X30" s="1085"/>
      <c r="Y30" s="1085"/>
      <c r="Z30" s="1086"/>
    </row>
    <row r="31" spans="1:26" ht="27.95" customHeight="1">
      <c r="A31" s="239"/>
      <c r="B31" s="240"/>
      <c r="C31" s="240"/>
      <c r="D31" s="241" t="s">
        <v>248</v>
      </c>
      <c r="E31" s="242" t="s">
        <v>249</v>
      </c>
      <c r="F31" s="242" t="s">
        <v>5</v>
      </c>
      <c r="G31" s="242" t="s">
        <v>6</v>
      </c>
      <c r="H31" s="242" t="s">
        <v>250</v>
      </c>
      <c r="I31" s="242" t="s">
        <v>8</v>
      </c>
      <c r="J31" s="242" t="s">
        <v>251</v>
      </c>
      <c r="K31" s="242" t="s">
        <v>252</v>
      </c>
      <c r="L31" s="243" t="s">
        <v>253</v>
      </c>
      <c r="M31" s="242" t="s">
        <v>254</v>
      </c>
      <c r="N31" s="242" t="s">
        <v>13</v>
      </c>
      <c r="O31" s="242" t="s">
        <v>14</v>
      </c>
      <c r="P31" s="242" t="s">
        <v>15</v>
      </c>
      <c r="Q31" s="244" t="s">
        <v>16</v>
      </c>
      <c r="U31" s="1134" t="s">
        <v>528</v>
      </c>
      <c r="V31" s="1135"/>
      <c r="W31" s="1135"/>
      <c r="X31" s="1135"/>
      <c r="Y31" s="1135"/>
      <c r="Z31" s="1136"/>
    </row>
    <row r="32" spans="1:26" ht="27.95" customHeight="1">
      <c r="D32" s="246" t="s">
        <v>529</v>
      </c>
      <c r="E32" s="158" t="s">
        <v>530</v>
      </c>
      <c r="F32" s="148" t="s">
        <v>355</v>
      </c>
      <c r="G32" s="148" t="s">
        <v>531</v>
      </c>
      <c r="H32" s="148" t="s">
        <v>532</v>
      </c>
      <c r="I32" s="151"/>
      <c r="J32" s="148" t="s">
        <v>363</v>
      </c>
      <c r="K32" s="148" t="s">
        <v>533</v>
      </c>
      <c r="L32" s="247"/>
      <c r="M32" s="148"/>
      <c r="N32" s="148" t="s">
        <v>353</v>
      </c>
      <c r="O32" s="148" t="s">
        <v>534</v>
      </c>
      <c r="P32" s="248"/>
      <c r="Q32" s="249" t="s">
        <v>535</v>
      </c>
      <c r="T32" s="250"/>
      <c r="U32" s="1137"/>
      <c r="V32" s="1138"/>
      <c r="W32" s="1138"/>
      <c r="X32" s="1138"/>
      <c r="Y32" s="1138"/>
      <c r="Z32" s="1139"/>
    </row>
    <row r="33" spans="1:26" s="211" customFormat="1" ht="45.75" customHeight="1">
      <c r="A33" s="140"/>
      <c r="B33" s="245"/>
      <c r="C33" s="245"/>
      <c r="D33" s="251" t="s">
        <v>536</v>
      </c>
      <c r="E33" s="252"/>
      <c r="F33" s="151"/>
      <c r="G33" s="151"/>
      <c r="H33" s="151"/>
      <c r="I33" s="151"/>
      <c r="J33" s="151"/>
      <c r="K33" s="253"/>
      <c r="L33" s="254"/>
      <c r="M33" s="151"/>
      <c r="N33" s="151"/>
      <c r="O33" s="248"/>
      <c r="P33" s="151"/>
      <c r="Q33" s="249"/>
      <c r="R33" s="138"/>
      <c r="S33" s="138"/>
      <c r="T33" s="139"/>
      <c r="U33" s="1137"/>
      <c r="V33" s="1138"/>
      <c r="W33" s="1138"/>
      <c r="X33" s="1138"/>
      <c r="Y33" s="1138"/>
      <c r="Z33" s="1139"/>
    </row>
    <row r="34" spans="1:26" ht="27.95" customHeight="1">
      <c r="D34" s="251" t="s">
        <v>537</v>
      </c>
      <c r="E34" s="148"/>
      <c r="F34" s="151"/>
      <c r="G34" s="151"/>
      <c r="H34" s="148"/>
      <c r="I34" s="198" t="s">
        <v>538</v>
      </c>
      <c r="J34" s="167"/>
      <c r="K34" s="148" t="s">
        <v>539</v>
      </c>
      <c r="L34" s="247"/>
      <c r="M34" s="151"/>
      <c r="N34" s="148" t="s">
        <v>472</v>
      </c>
      <c r="O34" s="151"/>
      <c r="P34" s="148" t="s">
        <v>540</v>
      </c>
      <c r="Q34" s="255"/>
      <c r="U34" s="1137"/>
      <c r="V34" s="1138"/>
      <c r="W34" s="1138"/>
      <c r="X34" s="1138"/>
      <c r="Y34" s="1138"/>
      <c r="Z34" s="1139"/>
    </row>
    <row r="35" spans="1:26" ht="42" customHeight="1" thickBot="1">
      <c r="D35" s="256" t="s">
        <v>541</v>
      </c>
      <c r="E35" s="257" t="s">
        <v>481</v>
      </c>
      <c r="F35" s="258"/>
      <c r="G35" s="259" t="s">
        <v>270</v>
      </c>
      <c r="H35" s="260"/>
      <c r="I35" s="260"/>
      <c r="J35" s="260"/>
      <c r="K35" s="260" t="s">
        <v>542</v>
      </c>
      <c r="L35" s="261"/>
      <c r="M35" s="262" t="s">
        <v>543</v>
      </c>
      <c r="N35" s="259" t="s">
        <v>544</v>
      </c>
      <c r="O35" s="259" t="s">
        <v>545</v>
      </c>
      <c r="P35" s="259" t="s">
        <v>546</v>
      </c>
      <c r="Q35" s="263" t="s">
        <v>547</v>
      </c>
      <c r="U35" s="1140"/>
      <c r="V35" s="1141"/>
      <c r="W35" s="1141"/>
      <c r="X35" s="1141"/>
      <c r="Y35" s="1141"/>
      <c r="Z35" s="1142"/>
    </row>
    <row r="36" spans="1:26" ht="42" customHeight="1">
      <c r="D36" s="264"/>
      <c r="E36" s="265"/>
      <c r="F36" s="266"/>
      <c r="G36" s="264"/>
      <c r="H36" s="264"/>
      <c r="I36" s="264"/>
      <c r="J36" s="264"/>
      <c r="K36" s="264"/>
      <c r="L36" s="267"/>
      <c r="M36" s="264"/>
      <c r="N36" s="264"/>
      <c r="O36" s="264"/>
      <c r="P36" s="264"/>
      <c r="Q36" s="264"/>
    </row>
    <row r="37" spans="1:26" ht="42" customHeight="1">
      <c r="E37" s="139">
        <f t="shared" ref="E37:J37" si="1">COUNTBLANK(E4:E21)</f>
        <v>2</v>
      </c>
      <c r="F37" s="139">
        <f>COUNTBLANK(F4:F21)</f>
        <v>1</v>
      </c>
      <c r="G37" s="139">
        <f t="shared" si="1"/>
        <v>1</v>
      </c>
      <c r="H37" s="139">
        <f>COUNTBLANK(H4:H21)</f>
        <v>2</v>
      </c>
      <c r="I37" s="139">
        <f>COUNTBLANK(I4:I21)</f>
        <v>1</v>
      </c>
      <c r="J37" s="139">
        <f t="shared" si="1"/>
        <v>1</v>
      </c>
      <c r="K37" s="139">
        <f>COUNTBLANK(K4:K22)</f>
        <v>2</v>
      </c>
      <c r="L37" s="139"/>
      <c r="M37" s="139">
        <f>COUNTBLANK(M4:M21)</f>
        <v>3</v>
      </c>
      <c r="N37" s="139">
        <f>COUNTBLANK(N4:N21)</f>
        <v>0</v>
      </c>
      <c r="O37" s="139">
        <f>COUNTBLANK(O4:O21)</f>
        <v>1</v>
      </c>
      <c r="P37" s="139">
        <f>COUNTBLANK(P4:P20)-2</f>
        <v>1</v>
      </c>
      <c r="Q37" s="139">
        <f>COUNTBLANK(Q4:Q20)-2</f>
        <v>2</v>
      </c>
    </row>
    <row r="39" spans="1:26" s="269" customFormat="1">
      <c r="B39" s="245"/>
      <c r="C39" s="245"/>
      <c r="D39" s="245"/>
      <c r="E39" s="139"/>
      <c r="F39" s="139"/>
      <c r="G39" s="139"/>
      <c r="H39" s="139"/>
      <c r="I39" s="139"/>
      <c r="J39" s="139"/>
      <c r="K39" s="139"/>
      <c r="L39" s="268"/>
      <c r="M39" s="139"/>
      <c r="N39" s="139"/>
      <c r="O39" s="139"/>
      <c r="P39" s="139"/>
      <c r="Q39" s="139"/>
      <c r="R39" s="138"/>
      <c r="S39" s="138"/>
      <c r="T39" s="270"/>
    </row>
    <row r="40" spans="1:26" s="269" customFormat="1">
      <c r="B40" s="245"/>
      <c r="C40" s="245"/>
      <c r="D40" s="245"/>
      <c r="E40" s="139"/>
      <c r="F40" s="139"/>
      <c r="G40" s="139"/>
      <c r="H40" s="139"/>
      <c r="I40" s="139"/>
      <c r="J40" s="139"/>
      <c r="K40" s="139"/>
      <c r="L40" s="268"/>
      <c r="M40" s="139"/>
      <c r="N40" s="139"/>
      <c r="O40" s="139"/>
      <c r="P40" s="139"/>
      <c r="Q40" s="139"/>
      <c r="R40" s="138"/>
      <c r="S40" s="138"/>
      <c r="T40" s="270"/>
    </row>
    <row r="41" spans="1:26" s="269" customFormat="1">
      <c r="B41" s="245"/>
      <c r="C41" s="245"/>
      <c r="D41" s="245"/>
      <c r="E41" s="139"/>
      <c r="F41" s="139"/>
      <c r="G41" s="139"/>
      <c r="H41" s="139"/>
      <c r="I41" s="139"/>
      <c r="J41" s="139"/>
      <c r="K41" s="139"/>
      <c r="L41" s="268"/>
      <c r="M41" s="139"/>
      <c r="N41" s="139"/>
      <c r="O41" s="139"/>
      <c r="P41" s="139"/>
      <c r="Q41" s="139"/>
      <c r="R41" s="138"/>
      <c r="S41" s="138"/>
      <c r="T41" s="270"/>
    </row>
    <row r="42" spans="1:26" s="269" customFormat="1">
      <c r="B42" s="271"/>
      <c r="C42" s="272"/>
      <c r="D42" s="272"/>
      <c r="E42" s="270"/>
      <c r="F42" s="273"/>
      <c r="G42" s="273"/>
      <c r="H42" s="273"/>
      <c r="I42" s="273"/>
      <c r="J42" s="273"/>
      <c r="K42" s="273"/>
      <c r="L42" s="274"/>
      <c r="M42" s="273"/>
      <c r="N42" s="273"/>
      <c r="O42" s="273"/>
      <c r="P42" s="273"/>
      <c r="Q42" s="273"/>
      <c r="R42" s="275"/>
      <c r="S42" s="276"/>
      <c r="T42" s="270"/>
    </row>
    <row r="45" spans="1:26">
      <c r="D45" s="1143" t="s">
        <v>277</v>
      </c>
      <c r="E45" s="1143"/>
      <c r="F45" s="1143"/>
      <c r="G45" s="1143"/>
      <c r="H45" s="1143"/>
      <c r="I45" s="11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4"/>
    </row>
    <row r="46" spans="1:26" ht="21">
      <c r="A46" s="245"/>
      <c r="D46" s="103" t="s">
        <v>548</v>
      </c>
      <c r="E46" s="104" t="s">
        <v>249</v>
      </c>
      <c r="F46" s="104" t="s">
        <v>5</v>
      </c>
      <c r="G46" s="104" t="s">
        <v>6</v>
      </c>
      <c r="H46" s="104" t="s">
        <v>250</v>
      </c>
      <c r="I46" s="104" t="s">
        <v>8</v>
      </c>
      <c r="J46" s="104" t="s">
        <v>251</v>
      </c>
      <c r="K46" s="104" t="s">
        <v>252</v>
      </c>
      <c r="L46" s="105" t="s">
        <v>11</v>
      </c>
      <c r="M46" s="104" t="s">
        <v>254</v>
      </c>
      <c r="N46" s="104" t="s">
        <v>549</v>
      </c>
      <c r="O46" s="104" t="s">
        <v>14</v>
      </c>
      <c r="P46" s="104" t="s">
        <v>15</v>
      </c>
      <c r="Q46" s="104" t="s">
        <v>280</v>
      </c>
      <c r="R46" s="104" t="s">
        <v>281</v>
      </c>
      <c r="S46" s="104" t="s">
        <v>282</v>
      </c>
    </row>
    <row r="47" spans="1:26" ht="27.95" customHeight="1">
      <c r="A47" s="245"/>
      <c r="D47" s="106" t="s">
        <v>550</v>
      </c>
      <c r="E47" s="107"/>
      <c r="F47" s="277"/>
      <c r="G47" s="278"/>
      <c r="H47" s="279"/>
      <c r="I47" s="278"/>
      <c r="J47" s="280"/>
      <c r="K47" s="279"/>
      <c r="L47" s="281"/>
      <c r="M47" s="282" t="s">
        <v>551</v>
      </c>
      <c r="N47" s="108"/>
      <c r="O47" s="283" t="s">
        <v>552</v>
      </c>
      <c r="P47" s="109" t="s">
        <v>553</v>
      </c>
      <c r="Q47" s="110"/>
      <c r="R47" s="284"/>
      <c r="S47" s="285"/>
    </row>
    <row r="48" spans="1:26">
      <c r="A48" s="245"/>
      <c r="D48" s="1145" t="s">
        <v>554</v>
      </c>
      <c r="E48" s="1146"/>
      <c r="F48" s="1146"/>
      <c r="G48" s="1146"/>
      <c r="H48" s="1146"/>
      <c r="I48" s="1146"/>
      <c r="J48" s="1146"/>
      <c r="K48" s="1146"/>
      <c r="L48" s="1146"/>
      <c r="M48" s="1146"/>
      <c r="N48" s="1146"/>
      <c r="O48" s="1146"/>
      <c r="P48" s="1146"/>
      <c r="Q48" s="1146"/>
      <c r="R48" s="1146"/>
      <c r="S48" s="1147"/>
      <c r="T48" s="140"/>
    </row>
    <row r="49" spans="1:20" ht="27.95" customHeight="1">
      <c r="A49" s="245"/>
      <c r="D49" s="286" t="s">
        <v>288</v>
      </c>
      <c r="E49" s="287"/>
      <c r="F49" s="288"/>
      <c r="G49" s="287"/>
      <c r="H49" s="287"/>
      <c r="I49" s="287"/>
      <c r="J49" s="287"/>
      <c r="K49" s="111"/>
      <c r="L49" s="112"/>
      <c r="M49" s="288"/>
      <c r="N49" s="289"/>
      <c r="O49" s="288"/>
      <c r="P49" s="287"/>
      <c r="Q49" s="287"/>
      <c r="R49" s="22"/>
      <c r="S49" s="22"/>
      <c r="T49" s="140"/>
    </row>
    <row r="50" spans="1:20" ht="27.95" customHeight="1">
      <c r="A50" s="245"/>
      <c r="D50" s="286" t="s">
        <v>555</v>
      </c>
      <c r="E50" s="288" t="s">
        <v>556</v>
      </c>
      <c r="F50" s="113"/>
      <c r="G50" s="111" t="s">
        <v>291</v>
      </c>
      <c r="H50" s="111"/>
      <c r="I50" s="113"/>
      <c r="J50" s="111"/>
      <c r="K50" s="114"/>
      <c r="L50" s="112"/>
      <c r="M50" s="115"/>
      <c r="N50" s="111"/>
      <c r="O50" s="116" t="s">
        <v>478</v>
      </c>
      <c r="P50" s="111"/>
      <c r="Q50" s="116"/>
      <c r="R50" s="111"/>
      <c r="S50" s="111"/>
      <c r="T50" s="140"/>
    </row>
    <row r="51" spans="1:20" ht="27.95" customHeight="1">
      <c r="A51" s="245"/>
      <c r="D51" s="290" t="s">
        <v>557</v>
      </c>
      <c r="E51" s="291"/>
      <c r="F51" s="291"/>
      <c r="G51" s="291"/>
      <c r="H51" s="292"/>
      <c r="I51" s="292"/>
      <c r="J51" s="291"/>
      <c r="K51" s="293"/>
      <c r="L51" s="112"/>
      <c r="M51" s="294"/>
      <c r="N51" s="294"/>
      <c r="O51" s="294"/>
      <c r="P51" s="292"/>
      <c r="Q51" s="291" t="s">
        <v>558</v>
      </c>
      <c r="R51" s="295"/>
      <c r="S51" s="295"/>
      <c r="T51" s="140"/>
    </row>
    <row r="52" spans="1:20" ht="27.95" customHeight="1">
      <c r="A52" s="245"/>
      <c r="D52" s="296" t="s">
        <v>559</v>
      </c>
      <c r="E52" s="297"/>
      <c r="F52" s="297"/>
      <c r="G52" s="297"/>
      <c r="H52" s="292"/>
      <c r="I52" s="292"/>
      <c r="J52" s="298"/>
      <c r="K52" s="297"/>
      <c r="L52" s="117"/>
      <c r="M52" s="292"/>
      <c r="N52" s="292"/>
      <c r="O52" s="292"/>
      <c r="P52" s="299"/>
      <c r="Q52" s="297"/>
      <c r="R52" s="297"/>
      <c r="S52" s="297"/>
      <c r="T52" s="140"/>
    </row>
    <row r="53" spans="1:20">
      <c r="D53" s="1146" t="s">
        <v>560</v>
      </c>
      <c r="E53" s="1146"/>
      <c r="F53" s="1146"/>
      <c r="G53" s="1146"/>
      <c r="H53" s="1146"/>
      <c r="I53" s="1146"/>
      <c r="J53" s="1146"/>
      <c r="K53" s="1146"/>
      <c r="L53" s="1146"/>
      <c r="M53" s="1146"/>
      <c r="N53" s="1146"/>
      <c r="O53" s="1146"/>
      <c r="P53" s="1146"/>
      <c r="Q53" s="1146"/>
      <c r="R53" s="1146"/>
      <c r="S53" s="1146"/>
    </row>
    <row r="54" spans="1:20" ht="27.95" customHeight="1">
      <c r="D54" s="296" t="s">
        <v>561</v>
      </c>
      <c r="E54" s="295"/>
      <c r="F54" s="295"/>
      <c r="G54" s="295"/>
      <c r="H54" s="297"/>
      <c r="I54" s="295"/>
      <c r="J54" s="295"/>
      <c r="K54" s="300"/>
      <c r="L54" s="295"/>
      <c r="M54" s="292"/>
      <c r="N54" s="297"/>
      <c r="O54" s="301"/>
      <c r="P54" s="292"/>
      <c r="Q54" s="297"/>
      <c r="R54" s="297"/>
      <c r="S54" s="298"/>
    </row>
    <row r="55" spans="1:20" ht="27.95" customHeight="1">
      <c r="D55" s="302" t="s">
        <v>298</v>
      </c>
      <c r="E55" s="287"/>
      <c r="F55" s="303"/>
      <c r="G55" s="291"/>
      <c r="H55" s="287"/>
      <c r="I55" s="287"/>
      <c r="J55" s="304"/>
      <c r="K55" s="305"/>
      <c r="L55" s="294"/>
      <c r="M55" s="303"/>
      <c r="N55" s="291"/>
      <c r="O55" s="303"/>
      <c r="P55" s="294"/>
      <c r="Q55" s="287"/>
      <c r="R55" s="291"/>
      <c r="S55" s="294"/>
    </row>
    <row r="56" spans="1:20">
      <c r="D56" s="1145" t="s">
        <v>562</v>
      </c>
      <c r="E56" s="1146"/>
      <c r="F56" s="1146"/>
      <c r="G56" s="1146"/>
      <c r="H56" s="1146"/>
      <c r="I56" s="1146"/>
      <c r="J56" s="1146"/>
      <c r="K56" s="1146"/>
      <c r="L56" s="1146"/>
      <c r="M56" s="1146"/>
      <c r="N56" s="1146"/>
      <c r="O56" s="1146"/>
      <c r="P56" s="1146"/>
      <c r="Q56" s="1146"/>
      <c r="R56" s="1146"/>
      <c r="S56" s="1147"/>
    </row>
    <row r="57" spans="1:20" ht="27.95" customHeight="1">
      <c r="D57" s="118" t="s">
        <v>563</v>
      </c>
      <c r="E57" s="119"/>
      <c r="F57" s="119"/>
      <c r="G57" s="119"/>
      <c r="H57" s="120"/>
      <c r="I57" s="114"/>
      <c r="J57" s="121" t="s">
        <v>301</v>
      </c>
      <c r="K57" s="121"/>
      <c r="L57" s="120"/>
      <c r="M57" s="306"/>
      <c r="N57" s="122"/>
      <c r="O57" s="123"/>
      <c r="P57" s="123"/>
      <c r="Q57" s="124"/>
      <c r="R57" s="116"/>
      <c r="S57" s="125"/>
    </row>
    <row r="58" spans="1:20" ht="27.95" customHeight="1">
      <c r="D58" s="118" t="s">
        <v>564</v>
      </c>
      <c r="E58" s="120" t="s">
        <v>565</v>
      </c>
      <c r="F58" s="119"/>
      <c r="G58" s="116" t="s">
        <v>566</v>
      </c>
      <c r="H58" s="126"/>
      <c r="I58" s="120"/>
      <c r="J58" s="121" t="s">
        <v>305</v>
      </c>
      <c r="K58" s="120"/>
      <c r="L58" s="120"/>
      <c r="M58" s="116" t="s">
        <v>567</v>
      </c>
      <c r="N58" s="121"/>
      <c r="O58" s="113"/>
      <c r="P58" s="113"/>
      <c r="Q58" s="120"/>
      <c r="R58" s="127"/>
      <c r="S58" s="116"/>
    </row>
    <row r="59" spans="1:20" ht="27.75" customHeight="1">
      <c r="D59" s="128" t="s">
        <v>568</v>
      </c>
      <c r="E59" s="125"/>
      <c r="F59" s="116"/>
      <c r="G59" s="116"/>
      <c r="H59" s="120"/>
      <c r="I59" s="120" t="s">
        <v>308</v>
      </c>
      <c r="J59" s="120"/>
      <c r="K59" s="120"/>
      <c r="L59" s="120"/>
      <c r="M59" s="120"/>
      <c r="N59" s="120"/>
      <c r="O59" s="116"/>
      <c r="P59" s="120"/>
      <c r="Q59" s="120"/>
      <c r="R59" s="116"/>
      <c r="S59" s="120"/>
    </row>
    <row r="60" spans="1:20" ht="9.9499999999999993" customHeight="1">
      <c r="D60" s="307"/>
    </row>
    <row r="61" spans="1:20" ht="27.95" customHeight="1">
      <c r="D61" s="1117" t="s">
        <v>309</v>
      </c>
      <c r="E61" s="129"/>
      <c r="F61" s="11" t="s">
        <v>569</v>
      </c>
      <c r="G61" s="130"/>
      <c r="H61" s="131"/>
      <c r="I61" s="11"/>
      <c r="J61" s="11" t="s">
        <v>570</v>
      </c>
      <c r="K61" s="11"/>
      <c r="L61" s="39" t="s">
        <v>253</v>
      </c>
      <c r="M61" s="130"/>
      <c r="N61" s="130"/>
      <c r="O61" s="11"/>
      <c r="P61" s="11" t="s">
        <v>570</v>
      </c>
      <c r="Q61" s="11"/>
      <c r="R61" s="308"/>
      <c r="S61" s="309"/>
    </row>
    <row r="62" spans="1:20" ht="27.95" customHeight="1">
      <c r="D62" s="1118"/>
      <c r="G62" s="310"/>
      <c r="H62" s="132" t="s">
        <v>312</v>
      </c>
      <c r="I62" s="310"/>
      <c r="J62" s="310"/>
      <c r="K62" s="310"/>
      <c r="M62" s="311"/>
      <c r="N62" s="311"/>
      <c r="O62" s="311"/>
      <c r="P62" s="311"/>
      <c r="Q62" s="310"/>
      <c r="S62" s="312"/>
    </row>
    <row r="64" spans="1:20">
      <c r="F64" s="133"/>
      <c r="G64" s="133"/>
      <c r="H64" s="133"/>
      <c r="I64" s="133"/>
      <c r="J64" s="206"/>
      <c r="K64" s="264"/>
      <c r="L64" s="264"/>
      <c r="M64" s="206"/>
      <c r="N64" s="264"/>
      <c r="O64" s="206"/>
      <c r="P64" s="264"/>
      <c r="Q64" s="264"/>
      <c r="R64" s="264"/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4"/>
  <sheetViews>
    <sheetView topLeftCell="A28" zoomScale="85" zoomScaleNormal="85" zoomScalePageLayoutView="80" workbookViewId="0">
      <selection activeCell="U31" sqref="U31:Z35"/>
    </sheetView>
  </sheetViews>
  <sheetFormatPr defaultRowHeight="16.5"/>
  <cols>
    <col min="1" max="1" width="3.25" style="315" customWidth="1"/>
    <col min="2" max="2" width="10" style="421" customWidth="1"/>
    <col min="3" max="4" width="11.875" style="421" customWidth="1"/>
    <col min="5" max="11" width="11.875" style="314" customWidth="1"/>
    <col min="12" max="12" width="2.625" style="444" customWidth="1"/>
    <col min="13" max="17" width="11.875" style="314" customWidth="1"/>
    <col min="18" max="18" width="11.875" style="313" hidden="1" customWidth="1"/>
    <col min="19" max="19" width="11.875" style="313" customWidth="1"/>
    <col min="20" max="20" width="1.625" style="314" customWidth="1"/>
    <col min="21" max="26" width="8.125" style="315" customWidth="1"/>
    <col min="27" max="16384" width="9" style="315"/>
  </cols>
  <sheetData>
    <row r="1" spans="1:26" ht="16.5" hidden="1" customHeight="1">
      <c r="A1" s="1177" t="s">
        <v>591</v>
      </c>
      <c r="B1" s="1178"/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8"/>
      <c r="O1" s="1178"/>
      <c r="P1" s="1178"/>
      <c r="Q1" s="1178"/>
    </row>
    <row r="2" spans="1:26" ht="18" customHeight="1">
      <c r="A2" s="1179" t="s">
        <v>592</v>
      </c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  <c r="M2" s="1180"/>
      <c r="N2" s="1180"/>
      <c r="O2" s="1180"/>
      <c r="P2" s="1180"/>
      <c r="Q2" s="1180"/>
    </row>
    <row r="3" spans="1:26" ht="21" customHeight="1" thickBot="1">
      <c r="A3" s="316"/>
      <c r="B3" s="317" t="s">
        <v>593</v>
      </c>
      <c r="C3" s="318" t="s">
        <v>594</v>
      </c>
      <c r="D3" s="318" t="s">
        <v>595</v>
      </c>
      <c r="E3" s="318" t="s">
        <v>596</v>
      </c>
      <c r="F3" s="318" t="s">
        <v>5</v>
      </c>
      <c r="G3" s="318" t="s">
        <v>6</v>
      </c>
      <c r="H3" s="318" t="s">
        <v>597</v>
      </c>
      <c r="I3" s="318" t="s">
        <v>8</v>
      </c>
      <c r="J3" s="318" t="s">
        <v>598</v>
      </c>
      <c r="K3" s="318" t="s">
        <v>599</v>
      </c>
      <c r="L3" s="319" t="s">
        <v>11</v>
      </c>
      <c r="M3" s="318" t="s">
        <v>600</v>
      </c>
      <c r="N3" s="318" t="s">
        <v>13</v>
      </c>
      <c r="O3" s="318" t="s">
        <v>14</v>
      </c>
      <c r="P3" s="318" t="s">
        <v>15</v>
      </c>
      <c r="Q3" s="318" t="s">
        <v>16</v>
      </c>
      <c r="R3" s="320">
        <f>AVERAGE(R4:R28)</f>
        <v>1</v>
      </c>
      <c r="S3" s="320"/>
    </row>
    <row r="4" spans="1:26" ht="27.95" customHeight="1" thickBot="1">
      <c r="A4" s="321">
        <v>1</v>
      </c>
      <c r="B4" s="322" t="s">
        <v>601</v>
      </c>
      <c r="C4" s="1181"/>
      <c r="D4" s="1182"/>
      <c r="E4" s="11" t="s">
        <v>602</v>
      </c>
      <c r="F4" s="323" t="s">
        <v>603</v>
      </c>
      <c r="G4" s="323" t="s">
        <v>604</v>
      </c>
      <c r="H4" s="324" t="s">
        <v>605</v>
      </c>
      <c r="I4" s="323" t="s">
        <v>22</v>
      </c>
      <c r="J4" s="323" t="s">
        <v>606</v>
      </c>
      <c r="K4" s="323" t="s">
        <v>607</v>
      </c>
      <c r="L4" s="323"/>
      <c r="M4" s="323" t="s">
        <v>608</v>
      </c>
      <c r="N4" s="323" t="s">
        <v>609</v>
      </c>
      <c r="O4" s="11" t="s">
        <v>610</v>
      </c>
      <c r="P4" s="11" t="s">
        <v>611</v>
      </c>
      <c r="Q4" s="323" t="s">
        <v>612</v>
      </c>
      <c r="R4" s="14">
        <f>(COUNTA(C4:Q4))/12</f>
        <v>1</v>
      </c>
      <c r="S4" s="14"/>
      <c r="U4" s="1151" t="s">
        <v>613</v>
      </c>
      <c r="V4" s="1152"/>
      <c r="W4" s="1152"/>
      <c r="X4" s="1152"/>
      <c r="Y4" s="1152"/>
      <c r="Z4" s="1153"/>
    </row>
    <row r="5" spans="1:26" ht="27.95" customHeight="1">
      <c r="A5" s="321">
        <v>2</v>
      </c>
      <c r="B5" s="325" t="s">
        <v>31</v>
      </c>
      <c r="C5" s="1183"/>
      <c r="D5" s="1184"/>
      <c r="E5" s="11" t="s">
        <v>614</v>
      </c>
      <c r="F5" s="323" t="s">
        <v>33</v>
      </c>
      <c r="G5" s="323" t="s">
        <v>615</v>
      </c>
      <c r="H5" s="323" t="s">
        <v>616</v>
      </c>
      <c r="I5" s="11" t="s">
        <v>617</v>
      </c>
      <c r="J5" s="11" t="s">
        <v>618</v>
      </c>
      <c r="K5" s="326" t="s">
        <v>619</v>
      </c>
      <c r="L5" s="323"/>
      <c r="M5" s="324" t="s">
        <v>620</v>
      </c>
      <c r="N5" s="327" t="s">
        <v>39</v>
      </c>
      <c r="O5" s="323" t="s">
        <v>621</v>
      </c>
      <c r="P5" s="11" t="s">
        <v>41</v>
      </c>
      <c r="Q5" s="328" t="s">
        <v>622</v>
      </c>
      <c r="R5" s="14">
        <f t="shared" ref="R5:R22" si="0">(COUNTA(C5:Q5))/12</f>
        <v>1</v>
      </c>
      <c r="S5" s="14"/>
      <c r="U5" s="1154" t="s">
        <v>885</v>
      </c>
      <c r="V5" s="1155"/>
      <c r="W5" s="1155"/>
      <c r="X5" s="1155"/>
      <c r="Y5" s="1155"/>
      <c r="Z5" s="1156"/>
    </row>
    <row r="6" spans="1:26" ht="27.75" customHeight="1">
      <c r="A6" s="321">
        <v>3</v>
      </c>
      <c r="B6" s="325" t="s">
        <v>623</v>
      </c>
      <c r="C6" s="1183"/>
      <c r="D6" s="1184"/>
      <c r="E6" s="328" t="s">
        <v>622</v>
      </c>
      <c r="F6" s="11" t="s">
        <v>624</v>
      </c>
      <c r="G6" s="323" t="s">
        <v>625</v>
      </c>
      <c r="H6" s="11" t="s">
        <v>626</v>
      </c>
      <c r="I6" s="323" t="s">
        <v>627</v>
      </c>
      <c r="J6" s="329" t="s">
        <v>628</v>
      </c>
      <c r="K6" s="323" t="s">
        <v>621</v>
      </c>
      <c r="L6" s="323"/>
      <c r="M6" s="11" t="s">
        <v>629</v>
      </c>
      <c r="N6" s="330" t="s">
        <v>630</v>
      </c>
      <c r="O6" s="323" t="s">
        <v>631</v>
      </c>
      <c r="P6" s="323" t="s">
        <v>632</v>
      </c>
      <c r="Q6" s="323" t="s">
        <v>633</v>
      </c>
      <c r="R6" s="14">
        <f t="shared" si="0"/>
        <v>1</v>
      </c>
      <c r="S6" s="14"/>
      <c r="U6" s="1157"/>
      <c r="V6" s="1158"/>
      <c r="W6" s="1158"/>
      <c r="X6" s="1158"/>
      <c r="Y6" s="1158"/>
      <c r="Z6" s="1159"/>
    </row>
    <row r="7" spans="1:26" ht="27.95" customHeight="1" thickBot="1">
      <c r="A7" s="321">
        <v>4</v>
      </c>
      <c r="B7" s="322" t="s">
        <v>634</v>
      </c>
      <c r="C7" s="1183"/>
      <c r="D7" s="1184"/>
      <c r="E7" s="11" t="s">
        <v>635</v>
      </c>
      <c r="F7" s="331" t="s">
        <v>55</v>
      </c>
      <c r="G7" s="323" t="s">
        <v>636</v>
      </c>
      <c r="H7" s="323" t="s">
        <v>637</v>
      </c>
      <c r="I7" s="332" t="s">
        <v>638</v>
      </c>
      <c r="J7" s="323" t="s">
        <v>639</v>
      </c>
      <c r="K7" s="323" t="s">
        <v>640</v>
      </c>
      <c r="L7" s="333"/>
      <c r="M7" s="329" t="s">
        <v>641</v>
      </c>
      <c r="N7" s="11" t="s">
        <v>611</v>
      </c>
      <c r="O7" s="323" t="s">
        <v>642</v>
      </c>
      <c r="P7" s="323" t="s">
        <v>643</v>
      </c>
      <c r="Q7" s="323" t="s">
        <v>644</v>
      </c>
      <c r="R7" s="14">
        <f t="shared" si="0"/>
        <v>1</v>
      </c>
      <c r="S7" s="14"/>
      <c r="U7" s="1160"/>
      <c r="V7" s="1161"/>
      <c r="W7" s="1161"/>
      <c r="X7" s="1161"/>
      <c r="Y7" s="1161"/>
      <c r="Z7" s="1162"/>
    </row>
    <row r="8" spans="1:26" ht="27.95" customHeight="1" thickBot="1">
      <c r="A8" s="321">
        <v>5</v>
      </c>
      <c r="B8" s="334" t="s">
        <v>645</v>
      </c>
      <c r="C8" s="1183"/>
      <c r="D8" s="1184"/>
      <c r="E8" s="323" t="s">
        <v>646</v>
      </c>
      <c r="F8" s="328" t="s">
        <v>647</v>
      </c>
      <c r="G8" s="335" t="s">
        <v>633</v>
      </c>
      <c r="H8" s="323" t="s">
        <v>648</v>
      </c>
      <c r="I8" s="11" t="s">
        <v>649</v>
      </c>
      <c r="J8" s="323" t="s">
        <v>650</v>
      </c>
      <c r="K8" s="323" t="s">
        <v>651</v>
      </c>
      <c r="L8" s="336"/>
      <c r="M8" s="337" t="s">
        <v>652</v>
      </c>
      <c r="N8" s="327" t="s">
        <v>71</v>
      </c>
      <c r="O8" s="338" t="s">
        <v>653</v>
      </c>
      <c r="P8" s="332" t="s">
        <v>654</v>
      </c>
      <c r="Q8" s="331" t="s">
        <v>655</v>
      </c>
      <c r="R8" s="14">
        <f>(COUNTA(C8:Q8))/12</f>
        <v>1</v>
      </c>
      <c r="S8" s="14"/>
      <c r="U8" s="1163" t="s">
        <v>656</v>
      </c>
      <c r="V8" s="1164"/>
      <c r="W8" s="1164"/>
      <c r="X8" s="1164"/>
      <c r="Y8" s="1164"/>
      <c r="Z8" s="1165"/>
    </row>
    <row r="9" spans="1:26" ht="27.95" customHeight="1">
      <c r="A9" s="321">
        <v>6</v>
      </c>
      <c r="B9" s="322" t="s">
        <v>657</v>
      </c>
      <c r="C9" s="1183"/>
      <c r="D9" s="1184"/>
      <c r="E9" s="331" t="s">
        <v>77</v>
      </c>
      <c r="F9" s="323" t="s">
        <v>658</v>
      </c>
      <c r="G9" s="11" t="s">
        <v>659</v>
      </c>
      <c r="H9" s="323" t="s">
        <v>660</v>
      </c>
      <c r="I9" s="11" t="s">
        <v>661</v>
      </c>
      <c r="J9" s="337" t="s">
        <v>607</v>
      </c>
      <c r="K9" s="11" t="s">
        <v>662</v>
      </c>
      <c r="L9" s="323"/>
      <c r="M9" s="327" t="s">
        <v>663</v>
      </c>
      <c r="N9" s="323" t="s">
        <v>604</v>
      </c>
      <c r="O9" s="11" t="s">
        <v>664</v>
      </c>
      <c r="P9" s="323" t="s">
        <v>665</v>
      </c>
      <c r="Q9" s="22" t="s">
        <v>85</v>
      </c>
      <c r="R9" s="14">
        <f>(COUNTA(C9:Q9))/12</f>
        <v>1</v>
      </c>
      <c r="S9" s="14"/>
      <c r="U9" s="1166" t="s">
        <v>884</v>
      </c>
      <c r="V9" s="1167"/>
      <c r="W9" s="1167"/>
      <c r="X9" s="1167"/>
      <c r="Y9" s="1167"/>
      <c r="Z9" s="1168"/>
    </row>
    <row r="10" spans="1:26" ht="27.75" customHeight="1">
      <c r="A10" s="321">
        <v>7</v>
      </c>
      <c r="B10" s="322" t="s">
        <v>666</v>
      </c>
      <c r="C10" s="1183"/>
      <c r="D10" s="1184"/>
      <c r="E10" s="330" t="s">
        <v>667</v>
      </c>
      <c r="F10" s="339" t="s">
        <v>668</v>
      </c>
      <c r="G10" s="11" t="s">
        <v>669</v>
      </c>
      <c r="H10" s="323" t="s">
        <v>670</v>
      </c>
      <c r="I10" s="340" t="s">
        <v>652</v>
      </c>
      <c r="J10" s="341" t="s">
        <v>671</v>
      </c>
      <c r="K10" s="342" t="s">
        <v>658</v>
      </c>
      <c r="L10" s="343"/>
      <c r="M10" s="329" t="s">
        <v>628</v>
      </c>
      <c r="N10" s="11" t="s">
        <v>672</v>
      </c>
      <c r="O10" s="323" t="s">
        <v>604</v>
      </c>
      <c r="P10" s="11" t="s">
        <v>93</v>
      </c>
      <c r="Q10" s="323" t="s">
        <v>673</v>
      </c>
      <c r="R10" s="14">
        <f>(COUNTA(C10:Q10))/12</f>
        <v>1</v>
      </c>
      <c r="S10" s="14"/>
      <c r="U10" s="1169"/>
      <c r="V10" s="1170"/>
      <c r="W10" s="1170"/>
      <c r="X10" s="1170"/>
      <c r="Y10" s="1170"/>
      <c r="Z10" s="1171"/>
    </row>
    <row r="11" spans="1:26" ht="27.95" customHeight="1">
      <c r="A11" s="321">
        <v>8</v>
      </c>
      <c r="B11" s="344" t="s">
        <v>674</v>
      </c>
      <c r="C11" s="1185"/>
      <c r="D11" s="1186"/>
      <c r="E11" s="169"/>
      <c r="F11" s="137"/>
      <c r="G11" s="169"/>
      <c r="H11" s="345"/>
      <c r="I11" s="346" t="s">
        <v>675</v>
      </c>
      <c r="J11" s="347"/>
      <c r="K11" s="347"/>
      <c r="L11" s="345"/>
      <c r="M11" s="348"/>
      <c r="N11" s="349" t="s">
        <v>676</v>
      </c>
      <c r="O11" s="345"/>
      <c r="P11" s="346" t="s">
        <v>605</v>
      </c>
      <c r="Q11" s="346" t="s">
        <v>636</v>
      </c>
      <c r="R11" s="14"/>
      <c r="S11" s="14"/>
      <c r="U11" s="1169"/>
      <c r="V11" s="1170"/>
      <c r="W11" s="1170"/>
      <c r="X11" s="1170"/>
      <c r="Y11" s="1170"/>
      <c r="Z11" s="1171"/>
    </row>
    <row r="12" spans="1:26" ht="27.95" customHeight="1">
      <c r="A12" s="321">
        <v>9</v>
      </c>
      <c r="B12" s="325" t="s">
        <v>677</v>
      </c>
      <c r="C12" s="350" t="s">
        <v>324</v>
      </c>
      <c r="D12" s="351" t="s">
        <v>326</v>
      </c>
      <c r="E12" s="11" t="s">
        <v>678</v>
      </c>
      <c r="F12" s="22" t="s">
        <v>679</v>
      </c>
      <c r="G12" s="22" t="s">
        <v>680</v>
      </c>
      <c r="H12" s="352" t="s">
        <v>681</v>
      </c>
      <c r="I12" s="331" t="s">
        <v>682</v>
      </c>
      <c r="J12" s="337" t="s">
        <v>410</v>
      </c>
      <c r="K12" s="323" t="s">
        <v>22</v>
      </c>
      <c r="L12" s="331"/>
      <c r="M12" s="22" t="s">
        <v>683</v>
      </c>
      <c r="N12" s="331" t="s">
        <v>618</v>
      </c>
      <c r="O12" s="323" t="s">
        <v>684</v>
      </c>
      <c r="P12" s="1043"/>
      <c r="Q12" s="1044"/>
      <c r="R12" s="14">
        <f t="shared" si="0"/>
        <v>1</v>
      </c>
      <c r="S12" s="14"/>
      <c r="U12" s="1169"/>
      <c r="V12" s="1170"/>
      <c r="W12" s="1170"/>
      <c r="X12" s="1170"/>
      <c r="Y12" s="1170"/>
      <c r="Z12" s="1171"/>
    </row>
    <row r="13" spans="1:26" ht="27.95" customHeight="1" thickBot="1">
      <c r="A13" s="321">
        <v>10</v>
      </c>
      <c r="B13" s="334" t="s">
        <v>685</v>
      </c>
      <c r="C13" s="353" t="s">
        <v>323</v>
      </c>
      <c r="D13" s="353" t="s">
        <v>325</v>
      </c>
      <c r="E13" s="11" t="s">
        <v>686</v>
      </c>
      <c r="F13" s="354" t="s">
        <v>687</v>
      </c>
      <c r="G13" s="355" t="s">
        <v>688</v>
      </c>
      <c r="H13" s="354" t="s">
        <v>689</v>
      </c>
      <c r="I13" s="354" t="s">
        <v>651</v>
      </c>
      <c r="J13" s="354" t="s">
        <v>690</v>
      </c>
      <c r="K13" s="354" t="s">
        <v>608</v>
      </c>
      <c r="L13" s="26"/>
      <c r="M13" s="27" t="s">
        <v>691</v>
      </c>
      <c r="N13" s="323" t="s">
        <v>680</v>
      </c>
      <c r="O13" s="323" t="s">
        <v>692</v>
      </c>
      <c r="P13" s="1045"/>
      <c r="Q13" s="1046"/>
      <c r="R13" s="14">
        <f t="shared" si="0"/>
        <v>1</v>
      </c>
      <c r="S13" s="14"/>
      <c r="U13" s="1169"/>
      <c r="V13" s="1170"/>
      <c r="W13" s="1170"/>
      <c r="X13" s="1170"/>
      <c r="Y13" s="1170"/>
      <c r="Z13" s="1171"/>
    </row>
    <row r="14" spans="1:26" ht="27.95" customHeight="1">
      <c r="A14" s="356">
        <v>11</v>
      </c>
      <c r="B14" s="357" t="s">
        <v>693</v>
      </c>
      <c r="C14" s="1187"/>
      <c r="D14" s="1188"/>
      <c r="E14" s="358" t="s">
        <v>694</v>
      </c>
      <c r="F14" s="358" t="s">
        <v>695</v>
      </c>
      <c r="G14" s="358" t="s">
        <v>696</v>
      </c>
      <c r="H14" s="338" t="s">
        <v>127</v>
      </c>
      <c r="I14" s="329" t="s">
        <v>697</v>
      </c>
      <c r="J14" s="31" t="s">
        <v>698</v>
      </c>
      <c r="K14" s="331" t="s">
        <v>699</v>
      </c>
      <c r="L14" s="359"/>
      <c r="M14" s="331" t="s">
        <v>700</v>
      </c>
      <c r="N14" s="358" t="s">
        <v>701</v>
      </c>
      <c r="O14" s="359" t="s">
        <v>702</v>
      </c>
      <c r="P14" s="360" t="s">
        <v>703</v>
      </c>
      <c r="Q14" s="358" t="s">
        <v>704</v>
      </c>
      <c r="R14" s="14">
        <f t="shared" si="0"/>
        <v>1</v>
      </c>
      <c r="S14" s="14"/>
      <c r="U14" s="1169"/>
      <c r="V14" s="1170"/>
      <c r="W14" s="1170"/>
      <c r="X14" s="1170"/>
      <c r="Y14" s="1170"/>
      <c r="Z14" s="1171"/>
    </row>
    <row r="15" spans="1:26" ht="27.95" customHeight="1">
      <c r="A15" s="361">
        <v>12</v>
      </c>
      <c r="B15" s="362" t="s">
        <v>705</v>
      </c>
      <c r="C15" s="1189"/>
      <c r="D15" s="1190"/>
      <c r="E15" s="11" t="s">
        <v>706</v>
      </c>
      <c r="F15" s="338" t="s">
        <v>707</v>
      </c>
      <c r="G15" s="324" t="s">
        <v>708</v>
      </c>
      <c r="H15" s="11" t="s">
        <v>709</v>
      </c>
      <c r="I15" s="323" t="s">
        <v>710</v>
      </c>
      <c r="J15" s="11" t="s">
        <v>711</v>
      </c>
      <c r="K15" s="323" t="s">
        <v>712</v>
      </c>
      <c r="L15" s="323"/>
      <c r="M15" s="323" t="s">
        <v>713</v>
      </c>
      <c r="N15" s="323" t="s">
        <v>714</v>
      </c>
      <c r="O15" s="11" t="s">
        <v>715</v>
      </c>
      <c r="P15" s="323" t="s">
        <v>716</v>
      </c>
      <c r="Q15" s="337" t="s">
        <v>717</v>
      </c>
      <c r="R15" s="14">
        <f t="shared" si="0"/>
        <v>1</v>
      </c>
      <c r="S15" s="14"/>
      <c r="U15" s="1169"/>
      <c r="V15" s="1170"/>
      <c r="W15" s="1170"/>
      <c r="X15" s="1170"/>
      <c r="Y15" s="1170"/>
      <c r="Z15" s="1171"/>
    </row>
    <row r="16" spans="1:26" ht="27.95" customHeight="1">
      <c r="A16" s="361">
        <v>13</v>
      </c>
      <c r="B16" s="363" t="s">
        <v>718</v>
      </c>
      <c r="C16" s="1189"/>
      <c r="D16" s="1190"/>
      <c r="E16" s="348"/>
      <c r="F16" s="345"/>
      <c r="G16" s="189" t="s">
        <v>886</v>
      </c>
      <c r="H16" s="346"/>
      <c r="I16" s="189" t="s">
        <v>719</v>
      </c>
      <c r="J16" s="346" t="s">
        <v>720</v>
      </c>
      <c r="K16" s="348"/>
      <c r="L16" s="345"/>
      <c r="M16" s="348"/>
      <c r="N16" s="189" t="s">
        <v>721</v>
      </c>
      <c r="O16" s="349" t="s">
        <v>697</v>
      </c>
      <c r="P16" s="189"/>
      <c r="Q16" s="349" t="s">
        <v>722</v>
      </c>
      <c r="R16" s="14"/>
      <c r="S16" s="14"/>
      <c r="U16" s="1169"/>
      <c r="V16" s="1170"/>
      <c r="W16" s="1170"/>
      <c r="X16" s="1170"/>
      <c r="Y16" s="1170"/>
      <c r="Z16" s="1171"/>
    </row>
    <row r="17" spans="1:26" ht="27.95" customHeight="1">
      <c r="A17" s="361">
        <v>14</v>
      </c>
      <c r="B17" s="364" t="s">
        <v>723</v>
      </c>
      <c r="C17" s="1189"/>
      <c r="D17" s="1190"/>
      <c r="E17" s="331" t="s">
        <v>724</v>
      </c>
      <c r="F17" s="11" t="s">
        <v>725</v>
      </c>
      <c r="G17" s="331" t="s">
        <v>726</v>
      </c>
      <c r="H17" s="365" t="s">
        <v>727</v>
      </c>
      <c r="I17" s="331" t="s">
        <v>695</v>
      </c>
      <c r="J17" s="324" t="s">
        <v>728</v>
      </c>
      <c r="K17" s="331" t="s">
        <v>729</v>
      </c>
      <c r="L17" s="366"/>
      <c r="M17" s="331" t="s">
        <v>730</v>
      </c>
      <c r="N17" s="22" t="s">
        <v>731</v>
      </c>
      <c r="O17" s="331" t="s">
        <v>732</v>
      </c>
      <c r="P17" s="11" t="s">
        <v>733</v>
      </c>
      <c r="Q17" s="337" t="s">
        <v>734</v>
      </c>
      <c r="R17" s="14">
        <f t="shared" si="0"/>
        <v>1</v>
      </c>
      <c r="S17" s="14"/>
      <c r="U17" s="1169"/>
      <c r="V17" s="1170"/>
      <c r="W17" s="1170"/>
      <c r="X17" s="1170"/>
      <c r="Y17" s="1170"/>
      <c r="Z17" s="1171"/>
    </row>
    <row r="18" spans="1:26" ht="27.95" customHeight="1">
      <c r="A18" s="361">
        <v>15</v>
      </c>
      <c r="B18" s="334" t="s">
        <v>735</v>
      </c>
      <c r="C18" s="1189"/>
      <c r="D18" s="1190"/>
      <c r="E18" s="323" t="s">
        <v>736</v>
      </c>
      <c r="F18" s="11" t="s">
        <v>737</v>
      </c>
      <c r="G18" s="11" t="s">
        <v>738</v>
      </c>
      <c r="H18" s="323" t="s">
        <v>739</v>
      </c>
      <c r="I18" s="323" t="s">
        <v>740</v>
      </c>
      <c r="J18" s="323" t="s">
        <v>741</v>
      </c>
      <c r="K18" s="323" t="s">
        <v>742</v>
      </c>
      <c r="L18" s="323"/>
      <c r="M18" s="323" t="s">
        <v>177</v>
      </c>
      <c r="N18" s="11" t="s">
        <v>743</v>
      </c>
      <c r="O18" s="367" t="s">
        <v>744</v>
      </c>
      <c r="P18" s="323" t="s">
        <v>745</v>
      </c>
      <c r="Q18" s="11" t="s">
        <v>700</v>
      </c>
      <c r="R18" s="14">
        <f>(COUNTA(C18:Q18))/12</f>
        <v>1</v>
      </c>
      <c r="S18" s="14"/>
      <c r="U18" s="1169"/>
      <c r="V18" s="1170"/>
      <c r="W18" s="1170"/>
      <c r="X18" s="1170"/>
      <c r="Y18" s="1170"/>
      <c r="Z18" s="1171"/>
    </row>
    <row r="19" spans="1:26" ht="27.95" customHeight="1" thickBot="1">
      <c r="A19" s="361">
        <v>16</v>
      </c>
      <c r="B19" s="334" t="s">
        <v>746</v>
      </c>
      <c r="C19" s="1189"/>
      <c r="D19" s="1190"/>
      <c r="E19" s="338" t="s">
        <v>747</v>
      </c>
      <c r="F19" s="11" t="s">
        <v>182</v>
      </c>
      <c r="G19" s="11" t="s">
        <v>183</v>
      </c>
      <c r="H19" s="155" t="s">
        <v>748</v>
      </c>
      <c r="I19" s="337" t="s">
        <v>749</v>
      </c>
      <c r="J19" s="328" t="s">
        <v>750</v>
      </c>
      <c r="K19" s="11" t="s">
        <v>751</v>
      </c>
      <c r="L19" s="39"/>
      <c r="M19" s="328" t="s">
        <v>752</v>
      </c>
      <c r="N19" s="323" t="s">
        <v>753</v>
      </c>
      <c r="O19" s="331" t="s">
        <v>188</v>
      </c>
      <c r="P19" s="323" t="s">
        <v>754</v>
      </c>
      <c r="Q19" s="337" t="s">
        <v>755</v>
      </c>
      <c r="R19" s="14">
        <f t="shared" si="0"/>
        <v>1</v>
      </c>
      <c r="S19" s="14"/>
      <c r="U19" s="1172"/>
      <c r="V19" s="1173"/>
      <c r="W19" s="1173"/>
      <c r="X19" s="1173"/>
      <c r="Y19" s="1173"/>
      <c r="Z19" s="1174"/>
    </row>
    <row r="20" spans="1:26" ht="27.95" customHeight="1" thickBot="1">
      <c r="A20" s="361">
        <v>17</v>
      </c>
      <c r="B20" s="368" t="s">
        <v>756</v>
      </c>
      <c r="C20" s="1191"/>
      <c r="D20" s="1192"/>
      <c r="E20" s="345"/>
      <c r="F20" s="345"/>
      <c r="G20" s="346" t="s">
        <v>757</v>
      </c>
      <c r="H20" s="369"/>
      <c r="I20" s="346"/>
      <c r="J20" s="349" t="s">
        <v>758</v>
      </c>
      <c r="K20" s="346" t="s">
        <v>759</v>
      </c>
      <c r="L20" s="346"/>
      <c r="M20" s="346"/>
      <c r="N20" s="349"/>
      <c r="O20" s="189" t="s">
        <v>760</v>
      </c>
      <c r="P20" s="348"/>
      <c r="Q20" s="345"/>
      <c r="R20" s="14"/>
      <c r="S20" s="14"/>
      <c r="U20" s="1148" t="s">
        <v>761</v>
      </c>
      <c r="V20" s="1149"/>
      <c r="W20" s="1149"/>
      <c r="X20" s="1149"/>
      <c r="Y20" s="1149"/>
      <c r="Z20" s="1150"/>
    </row>
    <row r="21" spans="1:26" ht="27.95" customHeight="1">
      <c r="A21" s="361">
        <v>18</v>
      </c>
      <c r="B21" s="362" t="s">
        <v>762</v>
      </c>
      <c r="C21" s="370" t="s">
        <v>327</v>
      </c>
      <c r="D21" s="371" t="s">
        <v>763</v>
      </c>
      <c r="E21" s="323" t="s">
        <v>764</v>
      </c>
      <c r="F21" s="328" t="s">
        <v>765</v>
      </c>
      <c r="G21" s="11" t="s">
        <v>766</v>
      </c>
      <c r="H21" s="11" t="s">
        <v>205</v>
      </c>
      <c r="I21" s="323" t="s">
        <v>726</v>
      </c>
      <c r="J21" s="337" t="s">
        <v>767</v>
      </c>
      <c r="K21" s="338" t="s">
        <v>707</v>
      </c>
      <c r="L21" s="323"/>
      <c r="M21" s="11" t="s">
        <v>768</v>
      </c>
      <c r="N21" s="323" t="s">
        <v>769</v>
      </c>
      <c r="O21" s="323" t="s">
        <v>770</v>
      </c>
      <c r="P21" s="1195"/>
      <c r="Q21" s="1196"/>
      <c r="R21" s="14">
        <f t="shared" si="0"/>
        <v>1</v>
      </c>
      <c r="S21" s="14"/>
      <c r="U21" s="1199" t="s">
        <v>771</v>
      </c>
      <c r="V21" s="1200"/>
      <c r="W21" s="1200"/>
      <c r="X21" s="1200"/>
      <c r="Y21" s="1200"/>
      <c r="Z21" s="1201"/>
    </row>
    <row r="22" spans="1:26" ht="27.95" customHeight="1" thickBot="1">
      <c r="A22" s="372">
        <v>19</v>
      </c>
      <c r="B22" s="373" t="s">
        <v>772</v>
      </c>
      <c r="C22" s="374" t="s">
        <v>773</v>
      </c>
      <c r="D22" s="375" t="s">
        <v>327</v>
      </c>
      <c r="E22" s="27" t="s">
        <v>774</v>
      </c>
      <c r="F22" s="27" t="s">
        <v>775</v>
      </c>
      <c r="G22" s="354" t="s">
        <v>722</v>
      </c>
      <c r="H22" s="27" t="s">
        <v>776</v>
      </c>
      <c r="I22" s="376" t="s">
        <v>777</v>
      </c>
      <c r="J22" s="354" t="s">
        <v>707</v>
      </c>
      <c r="K22" s="354" t="s">
        <v>778</v>
      </c>
      <c r="L22" s="377"/>
      <c r="M22" s="354" t="s">
        <v>779</v>
      </c>
      <c r="N22" s="378" t="s">
        <v>780</v>
      </c>
      <c r="O22" s="354" t="s">
        <v>726</v>
      </c>
      <c r="P22" s="1197"/>
      <c r="Q22" s="1198"/>
      <c r="R22" s="14">
        <f t="shared" si="0"/>
        <v>1</v>
      </c>
      <c r="S22" s="14"/>
      <c r="U22" s="1202"/>
      <c r="V22" s="1203"/>
      <c r="W22" s="1203"/>
      <c r="X22" s="1203"/>
      <c r="Y22" s="1203"/>
      <c r="Z22" s="1204"/>
    </row>
    <row r="23" spans="1:26" ht="27.95" customHeight="1" thickBot="1">
      <c r="A23" s="379" t="s">
        <v>781</v>
      </c>
      <c r="B23" s="380" t="s">
        <v>782</v>
      </c>
      <c r="C23" s="1189"/>
      <c r="D23" s="1190"/>
      <c r="E23" s="331"/>
      <c r="F23" s="381" t="s">
        <v>783</v>
      </c>
      <c r="G23" s="22" t="s">
        <v>784</v>
      </c>
      <c r="H23" s="331"/>
      <c r="I23" s="331" t="s">
        <v>785</v>
      </c>
      <c r="J23" s="382" t="s">
        <v>667</v>
      </c>
      <c r="K23" s="331"/>
      <c r="L23" s="383"/>
      <c r="M23" s="331"/>
      <c r="N23" s="331" t="s">
        <v>741</v>
      </c>
      <c r="O23" s="22" t="s">
        <v>786</v>
      </c>
      <c r="P23" s="326"/>
      <c r="Q23" s="331" t="s">
        <v>728</v>
      </c>
      <c r="R23" s="14">
        <f>(COUNTA(C23:Q23))/7</f>
        <v>1</v>
      </c>
      <c r="S23" s="14"/>
      <c r="U23" s="1205"/>
      <c r="V23" s="1206"/>
      <c r="W23" s="1206"/>
      <c r="X23" s="1206"/>
      <c r="Y23" s="1206"/>
      <c r="Z23" s="1207"/>
    </row>
    <row r="24" spans="1:26" s="387" customFormat="1" ht="27.95" customHeight="1" thickBot="1">
      <c r="A24" s="384"/>
      <c r="B24" s="373" t="s">
        <v>787</v>
      </c>
      <c r="C24" s="1208"/>
      <c r="D24" s="1209"/>
      <c r="E24" s="354" t="s">
        <v>788</v>
      </c>
      <c r="F24" s="383" t="s">
        <v>789</v>
      </c>
      <c r="G24" s="27" t="s">
        <v>790</v>
      </c>
      <c r="H24" s="27" t="s">
        <v>784</v>
      </c>
      <c r="I24" s="354" t="s">
        <v>229</v>
      </c>
      <c r="J24" s="27" t="s">
        <v>230</v>
      </c>
      <c r="K24" s="385" t="s">
        <v>791</v>
      </c>
      <c r="L24" s="354"/>
      <c r="M24" s="27" t="s">
        <v>792</v>
      </c>
      <c r="N24" s="386" t="s">
        <v>793</v>
      </c>
      <c r="O24" s="386" t="s">
        <v>334</v>
      </c>
      <c r="P24" s="331" t="s">
        <v>722</v>
      </c>
      <c r="Q24" s="11" t="s">
        <v>794</v>
      </c>
      <c r="R24" s="14">
        <f>(COUNTA(C24:Q24))/12</f>
        <v>1</v>
      </c>
      <c r="S24" s="14"/>
      <c r="T24" s="314"/>
      <c r="U24" s="1163" t="s">
        <v>795</v>
      </c>
      <c r="V24" s="1164"/>
      <c r="W24" s="1164"/>
      <c r="X24" s="1164"/>
      <c r="Y24" s="1164"/>
      <c r="Z24" s="1165"/>
    </row>
    <row r="25" spans="1:26" ht="9.9499999999999993" customHeight="1" thickBot="1">
      <c r="A25" s="388"/>
      <c r="B25" s="389"/>
      <c r="C25" s="390"/>
      <c r="D25" s="391"/>
      <c r="E25" s="392"/>
      <c r="F25" s="393"/>
      <c r="G25" s="394"/>
      <c r="H25" s="56"/>
      <c r="I25" s="392"/>
      <c r="J25" s="395"/>
      <c r="K25" s="392"/>
      <c r="L25" s="392"/>
      <c r="M25" s="56"/>
      <c r="N25" s="393"/>
      <c r="O25" s="396"/>
      <c r="P25" s="392"/>
      <c r="Q25" s="392"/>
      <c r="U25" s="1154" t="s">
        <v>883</v>
      </c>
      <c r="V25" s="1155"/>
      <c r="W25" s="1155"/>
      <c r="X25" s="1155"/>
      <c r="Y25" s="1155"/>
      <c r="Z25" s="1156"/>
    </row>
    <row r="26" spans="1:26" ht="120" customHeight="1">
      <c r="A26" s="397"/>
      <c r="B26" s="1047" t="s">
        <v>796</v>
      </c>
      <c r="C26" s="1049"/>
      <c r="D26" s="1050"/>
      <c r="E26" s="358" t="s">
        <v>797</v>
      </c>
      <c r="F26" s="358" t="s">
        <v>798</v>
      </c>
      <c r="G26" s="398" t="s">
        <v>799</v>
      </c>
      <c r="H26" s="358" t="s">
        <v>800</v>
      </c>
      <c r="I26" s="358" t="s">
        <v>801</v>
      </c>
      <c r="J26" s="358" t="s">
        <v>802</v>
      </c>
      <c r="K26" s="399" t="s">
        <v>803</v>
      </c>
      <c r="L26" s="400"/>
      <c r="M26" s="401" t="s">
        <v>804</v>
      </c>
      <c r="N26" s="358" t="s">
        <v>805</v>
      </c>
      <c r="O26" s="358" t="s">
        <v>806</v>
      </c>
      <c r="P26" s="401" t="s">
        <v>807</v>
      </c>
      <c r="Q26" s="358" t="s">
        <v>808</v>
      </c>
      <c r="R26" s="14">
        <f>(COUNTA(C26:Q26))/12</f>
        <v>1</v>
      </c>
      <c r="S26" s="14"/>
      <c r="U26" s="1157"/>
      <c r="V26" s="1158"/>
      <c r="W26" s="1158"/>
      <c r="X26" s="1158"/>
      <c r="Y26" s="1158"/>
      <c r="Z26" s="1159"/>
    </row>
    <row r="27" spans="1:26" ht="120" customHeight="1">
      <c r="A27" s="402"/>
      <c r="B27" s="1048"/>
      <c r="C27" s="1051"/>
      <c r="D27" s="1052"/>
      <c r="E27" s="323" t="s">
        <v>809</v>
      </c>
      <c r="F27" s="328" t="s">
        <v>810</v>
      </c>
      <c r="G27" s="323" t="s">
        <v>811</v>
      </c>
      <c r="H27" s="328" t="s">
        <v>812</v>
      </c>
      <c r="I27" s="323" t="s">
        <v>813</v>
      </c>
      <c r="J27" s="323" t="s">
        <v>814</v>
      </c>
      <c r="K27" s="323" t="s">
        <v>815</v>
      </c>
      <c r="L27" s="323"/>
      <c r="M27" s="323" t="s">
        <v>816</v>
      </c>
      <c r="N27" s="323" t="s">
        <v>817</v>
      </c>
      <c r="O27" s="328" t="s">
        <v>818</v>
      </c>
      <c r="P27" s="323" t="s">
        <v>819</v>
      </c>
      <c r="Q27" s="323" t="s">
        <v>820</v>
      </c>
      <c r="U27" s="1157"/>
      <c r="V27" s="1158"/>
      <c r="W27" s="1158"/>
      <c r="X27" s="1158"/>
      <c r="Y27" s="1158"/>
      <c r="Z27" s="1159"/>
    </row>
    <row r="28" spans="1:26" ht="120" customHeight="1" thickBot="1">
      <c r="A28" s="403"/>
      <c r="B28" s="373" t="s">
        <v>821</v>
      </c>
      <c r="C28" s="1053"/>
      <c r="D28" s="1054"/>
      <c r="E28" s="404" t="s">
        <v>822</v>
      </c>
      <c r="F28" s="354" t="s">
        <v>823</v>
      </c>
      <c r="G28" s="354" t="s">
        <v>824</v>
      </c>
      <c r="H28" s="354" t="s">
        <v>825</v>
      </c>
      <c r="I28" s="354" t="s">
        <v>826</v>
      </c>
      <c r="J28" s="354" t="s">
        <v>827</v>
      </c>
      <c r="K28" s="405" t="s">
        <v>828</v>
      </c>
      <c r="L28" s="377"/>
      <c r="M28" s="406" t="s">
        <v>829</v>
      </c>
      <c r="N28" s="354" t="s">
        <v>830</v>
      </c>
      <c r="O28" s="405" t="s">
        <v>831</v>
      </c>
      <c r="P28" s="1175" t="s">
        <v>822</v>
      </c>
      <c r="Q28" s="1176"/>
      <c r="R28" s="14">
        <f>(COUNTA(F28:O28))/9</f>
        <v>1</v>
      </c>
      <c r="S28" s="14"/>
      <c r="U28" s="1157"/>
      <c r="V28" s="1158"/>
      <c r="W28" s="1158"/>
      <c r="X28" s="1158"/>
      <c r="Y28" s="1158"/>
      <c r="Z28" s="1159"/>
    </row>
    <row r="29" spans="1:26" ht="27.95" customHeight="1" thickBot="1">
      <c r="A29" s="407"/>
      <c r="B29" s="408" t="s">
        <v>832</v>
      </c>
      <c r="C29" s="66"/>
      <c r="D29" s="67"/>
      <c r="E29" s="409"/>
      <c r="F29" s="409"/>
      <c r="G29" s="409"/>
      <c r="H29" s="410"/>
      <c r="I29" s="411"/>
      <c r="J29" s="410"/>
      <c r="K29" s="410"/>
      <c r="L29" s="412"/>
      <c r="M29" s="411"/>
      <c r="N29" s="410"/>
      <c r="O29" s="410"/>
      <c r="P29" s="413"/>
      <c r="Q29" s="413"/>
      <c r="R29" s="14"/>
      <c r="S29" s="14"/>
      <c r="U29" s="1157"/>
      <c r="V29" s="1158"/>
      <c r="W29" s="1158"/>
      <c r="X29" s="1158"/>
      <c r="Y29" s="1158"/>
      <c r="Z29" s="1159"/>
    </row>
    <row r="30" spans="1:26" ht="9.9499999999999993" customHeight="1" thickBot="1">
      <c r="A30" s="414"/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U30" s="1160"/>
      <c r="V30" s="1161"/>
      <c r="W30" s="1161"/>
      <c r="X30" s="1161"/>
      <c r="Y30" s="1161"/>
      <c r="Z30" s="1162"/>
    </row>
    <row r="31" spans="1:26" ht="27.95" customHeight="1">
      <c r="A31" s="415"/>
      <c r="B31" s="416"/>
      <c r="C31" s="416"/>
      <c r="D31" s="417" t="s">
        <v>833</v>
      </c>
      <c r="E31" s="418" t="s">
        <v>249</v>
      </c>
      <c r="F31" s="418" t="s">
        <v>5</v>
      </c>
      <c r="G31" s="418" t="s">
        <v>6</v>
      </c>
      <c r="H31" s="418" t="s">
        <v>250</v>
      </c>
      <c r="I31" s="418" t="s">
        <v>8</v>
      </c>
      <c r="J31" s="418" t="s">
        <v>251</v>
      </c>
      <c r="K31" s="418" t="s">
        <v>252</v>
      </c>
      <c r="L31" s="419" t="s">
        <v>253</v>
      </c>
      <c r="M31" s="418" t="s">
        <v>254</v>
      </c>
      <c r="N31" s="418" t="s">
        <v>13</v>
      </c>
      <c r="O31" s="418" t="s">
        <v>14</v>
      </c>
      <c r="P31" s="418" t="s">
        <v>15</v>
      </c>
      <c r="Q31" s="420" t="s">
        <v>16</v>
      </c>
      <c r="U31" s="1210" t="s">
        <v>834</v>
      </c>
      <c r="V31" s="1211"/>
      <c r="W31" s="1211"/>
      <c r="X31" s="1211"/>
      <c r="Y31" s="1211"/>
      <c r="Z31" s="1212"/>
    </row>
    <row r="32" spans="1:26" ht="27.95" customHeight="1">
      <c r="D32" s="422" t="s">
        <v>835</v>
      </c>
      <c r="E32" s="333" t="s">
        <v>836</v>
      </c>
      <c r="F32" s="323" t="s">
        <v>616</v>
      </c>
      <c r="G32" s="323" t="s">
        <v>690</v>
      </c>
      <c r="H32" s="323" t="s">
        <v>837</v>
      </c>
      <c r="I32" s="337"/>
      <c r="J32" s="337" t="s">
        <v>626</v>
      </c>
      <c r="K32" s="323" t="s">
        <v>838</v>
      </c>
      <c r="L32" s="423"/>
      <c r="M32" s="323"/>
      <c r="N32" s="323" t="s">
        <v>614</v>
      </c>
      <c r="O32" s="323" t="s">
        <v>839</v>
      </c>
      <c r="P32" s="424"/>
      <c r="Q32" s="425" t="s">
        <v>840</v>
      </c>
      <c r="T32" s="426"/>
      <c r="U32" s="1213"/>
      <c r="V32" s="1214"/>
      <c r="W32" s="1214"/>
      <c r="X32" s="1214"/>
      <c r="Y32" s="1214"/>
      <c r="Z32" s="1215"/>
    </row>
    <row r="33" spans="1:26" s="387" customFormat="1" ht="45.75" customHeight="1">
      <c r="A33" s="315"/>
      <c r="B33" s="421"/>
      <c r="C33" s="421"/>
      <c r="D33" s="427" t="s">
        <v>841</v>
      </c>
      <c r="E33" s="428"/>
      <c r="F33" s="337"/>
      <c r="G33" s="337"/>
      <c r="H33" s="337"/>
      <c r="I33" s="337"/>
      <c r="J33" s="337"/>
      <c r="K33" s="429"/>
      <c r="L33" s="430"/>
      <c r="M33" s="337"/>
      <c r="N33" s="337"/>
      <c r="O33" s="424"/>
      <c r="P33" s="337"/>
      <c r="Q33" s="425"/>
      <c r="R33" s="313"/>
      <c r="S33" s="313"/>
      <c r="T33" s="314"/>
      <c r="U33" s="1213"/>
      <c r="V33" s="1214"/>
      <c r="W33" s="1214"/>
      <c r="X33" s="1214"/>
      <c r="Y33" s="1214"/>
      <c r="Z33" s="1215"/>
    </row>
    <row r="34" spans="1:26" ht="27.95" customHeight="1">
      <c r="D34" s="427" t="s">
        <v>842</v>
      </c>
      <c r="E34" s="323"/>
      <c r="F34" s="337"/>
      <c r="G34" s="337"/>
      <c r="H34" s="323"/>
      <c r="I34" s="337" t="s">
        <v>763</v>
      </c>
      <c r="J34" s="343"/>
      <c r="K34" s="323" t="s">
        <v>843</v>
      </c>
      <c r="L34" s="423"/>
      <c r="M34" s="337"/>
      <c r="N34" s="431" t="s">
        <v>763</v>
      </c>
      <c r="O34" s="343"/>
      <c r="P34" s="343" t="s">
        <v>844</v>
      </c>
      <c r="Q34" s="432"/>
      <c r="U34" s="1213"/>
      <c r="V34" s="1214"/>
      <c r="W34" s="1214"/>
      <c r="X34" s="1214"/>
      <c r="Y34" s="1214"/>
      <c r="Z34" s="1215"/>
    </row>
    <row r="35" spans="1:26" ht="42" customHeight="1" thickBot="1">
      <c r="D35" s="433" t="s">
        <v>845</v>
      </c>
      <c r="E35" s="434"/>
      <c r="F35" s="435"/>
      <c r="G35" s="434" t="s">
        <v>846</v>
      </c>
      <c r="H35" s="436"/>
      <c r="I35" s="436"/>
      <c r="J35" s="436"/>
      <c r="K35" s="436" t="s">
        <v>847</v>
      </c>
      <c r="L35" s="437"/>
      <c r="M35" s="438" t="s">
        <v>848</v>
      </c>
      <c r="N35" s="434" t="s">
        <v>849</v>
      </c>
      <c r="O35" s="434" t="s">
        <v>850</v>
      </c>
      <c r="P35" s="434" t="s">
        <v>851</v>
      </c>
      <c r="Q35" s="439" t="s">
        <v>852</v>
      </c>
      <c r="U35" s="1216"/>
      <c r="V35" s="1217"/>
      <c r="W35" s="1217"/>
      <c r="X35" s="1217"/>
      <c r="Y35" s="1217"/>
      <c r="Z35" s="1218"/>
    </row>
    <row r="36" spans="1:26" ht="42" customHeight="1">
      <c r="D36" s="440"/>
      <c r="E36" s="441"/>
      <c r="F36" s="442"/>
      <c r="G36" s="440"/>
      <c r="H36" s="440"/>
      <c r="I36" s="440"/>
      <c r="J36" s="440"/>
      <c r="K36" s="440"/>
      <c r="L36" s="443"/>
      <c r="M36" s="440"/>
      <c r="N36" s="440"/>
      <c r="O36" s="440"/>
      <c r="P36" s="440"/>
      <c r="Q36" s="440"/>
    </row>
    <row r="37" spans="1:26" ht="42" customHeight="1">
      <c r="E37" s="314">
        <f t="shared" ref="E37:J37" si="1">COUNTBLANK(E4:E21)</f>
        <v>3</v>
      </c>
      <c r="F37" s="314">
        <f>COUNTBLANK(F4:F21)</f>
        <v>3</v>
      </c>
      <c r="G37" s="314">
        <f t="shared" si="1"/>
        <v>1</v>
      </c>
      <c r="H37" s="314">
        <f>COUNTBLANK(H4:H21)</f>
        <v>3</v>
      </c>
      <c r="I37" s="314">
        <f>COUNTBLANK(I4:I21)</f>
        <v>1</v>
      </c>
      <c r="J37" s="314">
        <f t="shared" si="1"/>
        <v>1</v>
      </c>
      <c r="K37" s="314">
        <f>COUNTBLANK(K4:K22)</f>
        <v>2</v>
      </c>
      <c r="L37" s="314"/>
      <c r="M37" s="314">
        <f>COUNTBLANK(M4:M21)</f>
        <v>3</v>
      </c>
      <c r="N37" s="314">
        <f>COUNTBLANK(N4:N21)</f>
        <v>1</v>
      </c>
      <c r="O37" s="314">
        <f>COUNTBLANK(O4:O21)</f>
        <v>1</v>
      </c>
      <c r="P37" s="314">
        <f>COUNTBLANK(P4:P20)-2</f>
        <v>2</v>
      </c>
      <c r="Q37" s="314">
        <f>COUNTBLANK(Q4:Q20)-2</f>
        <v>1</v>
      </c>
    </row>
    <row r="39" spans="1:26" s="445" customFormat="1">
      <c r="B39" s="421"/>
      <c r="C39" s="421"/>
      <c r="D39" s="421"/>
      <c r="E39" s="314"/>
      <c r="F39" s="314"/>
      <c r="G39" s="314"/>
      <c r="H39" s="314"/>
      <c r="I39" s="314"/>
      <c r="J39" s="314"/>
      <c r="K39" s="314"/>
      <c r="L39" s="444"/>
      <c r="M39" s="314"/>
      <c r="N39" s="314"/>
      <c r="O39" s="314"/>
      <c r="P39" s="314"/>
      <c r="Q39" s="314"/>
      <c r="R39" s="313"/>
      <c r="S39" s="313"/>
      <c r="T39" s="446"/>
    </row>
    <row r="40" spans="1:26" s="445" customFormat="1">
      <c r="B40" s="421"/>
      <c r="C40" s="421"/>
      <c r="D40" s="421"/>
      <c r="E40" s="314"/>
      <c r="F40" s="314"/>
      <c r="G40" s="314"/>
      <c r="H40" s="314"/>
      <c r="I40" s="314"/>
      <c r="J40" s="314"/>
      <c r="K40" s="314"/>
      <c r="L40" s="444"/>
      <c r="M40" s="314"/>
      <c r="N40" s="314"/>
      <c r="O40" s="314"/>
      <c r="P40" s="314"/>
      <c r="Q40" s="314"/>
      <c r="R40" s="313"/>
      <c r="S40" s="313"/>
      <c r="T40" s="446"/>
    </row>
    <row r="41" spans="1:26" s="445" customFormat="1">
      <c r="B41" s="421"/>
      <c r="C41" s="421"/>
      <c r="D41" s="421"/>
      <c r="E41" s="314"/>
      <c r="F41" s="314"/>
      <c r="G41" s="314"/>
      <c r="H41" s="314"/>
      <c r="I41" s="314"/>
      <c r="J41" s="314"/>
      <c r="K41" s="314"/>
      <c r="L41" s="444"/>
      <c r="M41" s="314"/>
      <c r="N41" s="314"/>
      <c r="O41" s="314"/>
      <c r="P41" s="314"/>
      <c r="Q41" s="314"/>
      <c r="R41" s="313"/>
      <c r="S41" s="313"/>
      <c r="T41" s="446"/>
    </row>
    <row r="42" spans="1:26" s="445" customFormat="1">
      <c r="B42" s="447"/>
      <c r="C42" s="448"/>
      <c r="D42" s="448"/>
      <c r="E42" s="446"/>
      <c r="F42" s="449"/>
      <c r="G42" s="449"/>
      <c r="H42" s="449"/>
      <c r="I42" s="449"/>
      <c r="J42" s="449"/>
      <c r="K42" s="449"/>
      <c r="L42" s="450"/>
      <c r="M42" s="449"/>
      <c r="N42" s="449"/>
      <c r="O42" s="449"/>
      <c r="P42" s="449"/>
      <c r="Q42" s="449"/>
      <c r="R42" s="451"/>
      <c r="S42" s="452"/>
      <c r="T42" s="446"/>
    </row>
    <row r="45" spans="1:26">
      <c r="D45" s="1143" t="s">
        <v>277</v>
      </c>
      <c r="E45" s="1143"/>
      <c r="F45" s="1143"/>
      <c r="G45" s="1143"/>
      <c r="H45" s="1143"/>
      <c r="I45" s="11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4"/>
    </row>
    <row r="46" spans="1:26" ht="21">
      <c r="A46" s="421"/>
      <c r="D46" s="103" t="s">
        <v>853</v>
      </c>
      <c r="E46" s="104" t="s">
        <v>249</v>
      </c>
      <c r="F46" s="104" t="s">
        <v>5</v>
      </c>
      <c r="G46" s="104" t="s">
        <v>6</v>
      </c>
      <c r="H46" s="104" t="s">
        <v>250</v>
      </c>
      <c r="I46" s="104" t="s">
        <v>8</v>
      </c>
      <c r="J46" s="104" t="s">
        <v>251</v>
      </c>
      <c r="K46" s="104" t="s">
        <v>252</v>
      </c>
      <c r="L46" s="105" t="s">
        <v>11</v>
      </c>
      <c r="M46" s="104" t="s">
        <v>254</v>
      </c>
      <c r="N46" s="104" t="s">
        <v>854</v>
      </c>
      <c r="O46" s="104" t="s">
        <v>14</v>
      </c>
      <c r="P46" s="104" t="s">
        <v>15</v>
      </c>
      <c r="Q46" s="104" t="s">
        <v>855</v>
      </c>
      <c r="R46" s="104" t="s">
        <v>281</v>
      </c>
      <c r="S46" s="104" t="s">
        <v>282</v>
      </c>
    </row>
    <row r="47" spans="1:26" ht="27.95" customHeight="1">
      <c r="A47" s="421"/>
      <c r="D47" s="106" t="s">
        <v>856</v>
      </c>
      <c r="E47" s="107"/>
      <c r="F47" s="453"/>
      <c r="G47" s="454"/>
      <c r="H47" s="455"/>
      <c r="I47" s="454"/>
      <c r="J47" s="456"/>
      <c r="K47" s="455"/>
      <c r="L47" s="457"/>
      <c r="M47" s="458" t="s">
        <v>857</v>
      </c>
      <c r="N47" s="108"/>
      <c r="O47" s="459" t="s">
        <v>858</v>
      </c>
      <c r="P47" s="109" t="s">
        <v>859</v>
      </c>
      <c r="Q47" s="110"/>
      <c r="R47" s="460"/>
      <c r="S47" s="461"/>
    </row>
    <row r="48" spans="1:26">
      <c r="A48" s="421"/>
      <c r="D48" s="1219" t="s">
        <v>860</v>
      </c>
      <c r="E48" s="1220"/>
      <c r="F48" s="1220"/>
      <c r="G48" s="1220"/>
      <c r="H48" s="1220"/>
      <c r="I48" s="1220"/>
      <c r="J48" s="1220"/>
      <c r="K48" s="1220"/>
      <c r="L48" s="1220"/>
      <c r="M48" s="1220"/>
      <c r="N48" s="1220"/>
      <c r="O48" s="1220"/>
      <c r="P48" s="1220"/>
      <c r="Q48" s="1220"/>
      <c r="R48" s="1220"/>
      <c r="S48" s="1221"/>
      <c r="T48" s="315"/>
    </row>
    <row r="49" spans="1:20" ht="27.95" customHeight="1">
      <c r="A49" s="421"/>
      <c r="D49" s="462" t="s">
        <v>288</v>
      </c>
      <c r="E49" s="463"/>
      <c r="F49" s="464"/>
      <c r="G49" s="463"/>
      <c r="H49" s="463"/>
      <c r="I49" s="463"/>
      <c r="J49" s="463"/>
      <c r="K49" s="111"/>
      <c r="L49" s="112"/>
      <c r="M49" s="464"/>
      <c r="N49" s="465"/>
      <c r="O49" s="464"/>
      <c r="P49" s="463"/>
      <c r="Q49" s="463"/>
      <c r="R49" s="22"/>
      <c r="S49" s="22"/>
      <c r="T49" s="315"/>
    </row>
    <row r="50" spans="1:20" ht="27.95" customHeight="1">
      <c r="A50" s="421"/>
      <c r="D50" s="462" t="s">
        <v>861</v>
      </c>
      <c r="E50" s="464" t="s">
        <v>862</v>
      </c>
      <c r="F50" s="113"/>
      <c r="G50" s="111" t="s">
        <v>863</v>
      </c>
      <c r="H50" s="111"/>
      <c r="I50" s="113"/>
      <c r="J50" s="111"/>
      <c r="K50" s="114"/>
      <c r="L50" s="112"/>
      <c r="M50" s="115"/>
      <c r="N50" s="111"/>
      <c r="O50" s="116" t="s">
        <v>864</v>
      </c>
      <c r="P50" s="111"/>
      <c r="Q50" s="116"/>
      <c r="R50" s="111"/>
      <c r="S50" s="111"/>
      <c r="T50" s="315"/>
    </row>
    <row r="51" spans="1:20" ht="27.95" customHeight="1">
      <c r="A51" s="421"/>
      <c r="D51" s="466" t="s">
        <v>865</v>
      </c>
      <c r="E51" s="467"/>
      <c r="F51" s="467"/>
      <c r="G51" s="467"/>
      <c r="H51" s="468"/>
      <c r="I51" s="468"/>
      <c r="J51" s="467"/>
      <c r="K51" s="469"/>
      <c r="L51" s="112"/>
      <c r="M51" s="470"/>
      <c r="N51" s="470"/>
      <c r="O51" s="470"/>
      <c r="P51" s="468"/>
      <c r="Q51" s="467" t="s">
        <v>866</v>
      </c>
      <c r="R51" s="471"/>
      <c r="S51" s="471"/>
      <c r="T51" s="315"/>
    </row>
    <row r="52" spans="1:20" ht="27.95" customHeight="1">
      <c r="A52" s="421"/>
      <c r="D52" s="472" t="s">
        <v>867</v>
      </c>
      <c r="E52" s="473"/>
      <c r="F52" s="473"/>
      <c r="G52" s="473"/>
      <c r="H52" s="468"/>
      <c r="I52" s="468"/>
      <c r="J52" s="474"/>
      <c r="K52" s="473"/>
      <c r="L52" s="117"/>
      <c r="M52" s="468"/>
      <c r="N52" s="468"/>
      <c r="O52" s="468"/>
      <c r="P52" s="475"/>
      <c r="Q52" s="473"/>
      <c r="R52" s="473"/>
      <c r="S52" s="473"/>
      <c r="T52" s="315"/>
    </row>
    <row r="53" spans="1:20">
      <c r="D53" s="1220" t="s">
        <v>868</v>
      </c>
      <c r="E53" s="1220"/>
      <c r="F53" s="1220"/>
      <c r="G53" s="1220"/>
      <c r="H53" s="1220"/>
      <c r="I53" s="1220"/>
      <c r="J53" s="1220"/>
      <c r="K53" s="1220"/>
      <c r="L53" s="1220"/>
      <c r="M53" s="1220"/>
      <c r="N53" s="1220"/>
      <c r="O53" s="1220"/>
      <c r="P53" s="1220"/>
      <c r="Q53" s="1220"/>
      <c r="R53" s="1220"/>
      <c r="S53" s="1220"/>
    </row>
    <row r="54" spans="1:20" ht="27.95" customHeight="1">
      <c r="D54" s="472" t="s">
        <v>869</v>
      </c>
      <c r="E54" s="471"/>
      <c r="F54" s="471"/>
      <c r="G54" s="471"/>
      <c r="H54" s="473"/>
      <c r="I54" s="471"/>
      <c r="J54" s="471"/>
      <c r="K54" s="476"/>
      <c r="L54" s="471"/>
      <c r="M54" s="468"/>
      <c r="N54" s="473"/>
      <c r="O54" s="477"/>
      <c r="P54" s="468"/>
      <c r="Q54" s="473"/>
      <c r="R54" s="473"/>
      <c r="S54" s="474"/>
    </row>
    <row r="55" spans="1:20" ht="27.95" customHeight="1">
      <c r="D55" s="478" t="s">
        <v>298</v>
      </c>
      <c r="E55" s="463"/>
      <c r="F55" s="479"/>
      <c r="G55" s="467"/>
      <c r="H55" s="463"/>
      <c r="I55" s="463"/>
      <c r="J55" s="480"/>
      <c r="K55" s="481"/>
      <c r="L55" s="470"/>
      <c r="M55" s="479"/>
      <c r="N55" s="467"/>
      <c r="O55" s="479"/>
      <c r="P55" s="470"/>
      <c r="Q55" s="463"/>
      <c r="R55" s="467"/>
      <c r="S55" s="470"/>
    </row>
    <row r="56" spans="1:20">
      <c r="D56" s="1219" t="s">
        <v>870</v>
      </c>
      <c r="E56" s="1220"/>
      <c r="F56" s="1220"/>
      <c r="G56" s="1220"/>
      <c r="H56" s="1220"/>
      <c r="I56" s="1220"/>
      <c r="J56" s="1220"/>
      <c r="K56" s="1220"/>
      <c r="L56" s="1220"/>
      <c r="M56" s="1220"/>
      <c r="N56" s="1220"/>
      <c r="O56" s="1220"/>
      <c r="P56" s="1220"/>
      <c r="Q56" s="1220"/>
      <c r="R56" s="1220"/>
      <c r="S56" s="1221"/>
    </row>
    <row r="57" spans="1:20" ht="27.95" customHeight="1">
      <c r="D57" s="118" t="s">
        <v>871</v>
      </c>
      <c r="E57" s="119"/>
      <c r="F57" s="119"/>
      <c r="G57" s="119"/>
      <c r="H57" s="120"/>
      <c r="I57" s="114"/>
      <c r="J57" s="121" t="s">
        <v>872</v>
      </c>
      <c r="K57" s="121"/>
      <c r="L57" s="120"/>
      <c r="M57" s="482"/>
      <c r="N57" s="122"/>
      <c r="O57" s="123"/>
      <c r="P57" s="123"/>
      <c r="Q57" s="124"/>
      <c r="R57" s="116"/>
      <c r="S57" s="125"/>
    </row>
    <row r="58" spans="1:20" ht="27.95" customHeight="1">
      <c r="D58" s="118" t="s">
        <v>873</v>
      </c>
      <c r="E58" s="120" t="s">
        <v>874</v>
      </c>
      <c r="F58" s="119"/>
      <c r="G58" s="116" t="s">
        <v>875</v>
      </c>
      <c r="H58" s="126"/>
      <c r="I58" s="120"/>
      <c r="J58" s="121" t="s">
        <v>876</v>
      </c>
      <c r="K58" s="120"/>
      <c r="L58" s="120"/>
      <c r="M58" s="116" t="s">
        <v>877</v>
      </c>
      <c r="N58" s="121"/>
      <c r="O58" s="113"/>
      <c r="P58" s="113"/>
      <c r="Q58" s="120"/>
      <c r="R58" s="127"/>
      <c r="S58" s="116"/>
    </row>
    <row r="59" spans="1:20" ht="27.75" customHeight="1">
      <c r="D59" s="128" t="s">
        <v>878</v>
      </c>
      <c r="E59" s="125"/>
      <c r="F59" s="116"/>
      <c r="G59" s="116"/>
      <c r="H59" s="120"/>
      <c r="I59" s="120" t="s">
        <v>879</v>
      </c>
      <c r="J59" s="120"/>
      <c r="K59" s="120"/>
      <c r="L59" s="120"/>
      <c r="M59" s="120"/>
      <c r="N59" s="120"/>
      <c r="O59" s="116"/>
      <c r="P59" s="120"/>
      <c r="Q59" s="120"/>
      <c r="R59" s="116"/>
      <c r="S59" s="120"/>
    </row>
    <row r="60" spans="1:20" ht="9.9499999999999993" customHeight="1">
      <c r="D60" s="483"/>
    </row>
    <row r="61" spans="1:20" ht="27.95" customHeight="1">
      <c r="D61" s="1193" t="s">
        <v>309</v>
      </c>
      <c r="E61" s="129"/>
      <c r="F61" s="11" t="s">
        <v>880</v>
      </c>
      <c r="G61" s="130"/>
      <c r="H61" s="131"/>
      <c r="I61" s="11"/>
      <c r="J61" s="11" t="s">
        <v>881</v>
      </c>
      <c r="K61" s="11"/>
      <c r="L61" s="39" t="s">
        <v>253</v>
      </c>
      <c r="M61" s="130"/>
      <c r="N61" s="130"/>
      <c r="O61" s="11"/>
      <c r="P61" s="11" t="s">
        <v>881</v>
      </c>
      <c r="Q61" s="11"/>
      <c r="R61" s="484"/>
      <c r="S61" s="485"/>
    </row>
    <row r="62" spans="1:20" ht="27.95" customHeight="1">
      <c r="D62" s="1194"/>
      <c r="G62" s="486"/>
      <c r="H62" s="132" t="s">
        <v>882</v>
      </c>
      <c r="I62" s="486"/>
      <c r="J62" s="486"/>
      <c r="K62" s="486"/>
      <c r="M62" s="487"/>
      <c r="N62" s="487"/>
      <c r="O62" s="487"/>
      <c r="P62" s="487"/>
      <c r="Q62" s="486"/>
      <c r="S62" s="488"/>
    </row>
    <row r="64" spans="1:20">
      <c r="F64" s="133"/>
      <c r="G64" s="133"/>
      <c r="H64" s="133"/>
      <c r="I64" s="133"/>
      <c r="J64" s="383"/>
      <c r="K64" s="440"/>
      <c r="L64" s="440"/>
      <c r="M64" s="383"/>
      <c r="N64" s="440"/>
      <c r="O64" s="383"/>
      <c r="P64" s="440"/>
      <c r="Q64" s="440"/>
      <c r="R64" s="440"/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508B-9491-4B08-B9A4-4BCAE2294676}">
  <sheetPr>
    <pageSetUpPr fitToPage="1"/>
  </sheetPr>
  <dimension ref="A1:Z64"/>
  <sheetViews>
    <sheetView topLeftCell="B22" zoomScale="85" zoomScaleNormal="85" zoomScalePageLayoutView="80" workbookViewId="0">
      <selection activeCell="U31" sqref="U31:Z35"/>
    </sheetView>
  </sheetViews>
  <sheetFormatPr defaultRowHeight="16.5"/>
  <cols>
    <col min="1" max="1" width="3.25" style="491" customWidth="1"/>
    <col min="2" max="2" width="10" style="582" customWidth="1"/>
    <col min="3" max="4" width="11.875" style="582" customWidth="1"/>
    <col min="5" max="11" width="11.875" style="490" customWidth="1"/>
    <col min="12" max="12" width="2.625" style="605" customWidth="1"/>
    <col min="13" max="17" width="11.875" style="490" customWidth="1"/>
    <col min="18" max="18" width="11.875" style="489" hidden="1" customWidth="1"/>
    <col min="19" max="19" width="11.875" style="489" customWidth="1"/>
    <col min="20" max="20" width="1.625" style="490" customWidth="1"/>
    <col min="21" max="26" width="8.125" style="491" customWidth="1"/>
    <col min="27" max="16384" width="9" style="491"/>
  </cols>
  <sheetData>
    <row r="1" spans="1:26" ht="16.5" hidden="1" customHeight="1">
      <c r="A1" s="1267" t="s">
        <v>0</v>
      </c>
      <c r="B1" s="1268"/>
      <c r="C1" s="1268"/>
      <c r="D1" s="1268"/>
      <c r="E1" s="1268"/>
      <c r="F1" s="1268"/>
      <c r="G1" s="1268"/>
      <c r="H1" s="1268"/>
      <c r="I1" s="1268"/>
      <c r="J1" s="1268"/>
      <c r="K1" s="1268"/>
      <c r="L1" s="1268"/>
      <c r="M1" s="1268"/>
      <c r="N1" s="1268"/>
      <c r="O1" s="1268"/>
      <c r="P1" s="1268"/>
      <c r="Q1" s="1268"/>
    </row>
    <row r="2" spans="1:26" ht="18" customHeight="1">
      <c r="A2" s="1269" t="s">
        <v>892</v>
      </c>
      <c r="B2" s="1270"/>
      <c r="C2" s="1270"/>
      <c r="D2" s="1270"/>
      <c r="E2" s="1270"/>
      <c r="F2" s="1270"/>
      <c r="G2" s="1270"/>
      <c r="H2" s="1270"/>
      <c r="I2" s="1270"/>
      <c r="J2" s="1270"/>
      <c r="K2" s="1270"/>
      <c r="L2" s="1270"/>
      <c r="M2" s="1270"/>
      <c r="N2" s="1270"/>
      <c r="O2" s="1270"/>
      <c r="P2" s="1270"/>
      <c r="Q2" s="1270"/>
    </row>
    <row r="3" spans="1:26" ht="21" customHeight="1" thickBot="1">
      <c r="A3" s="492"/>
      <c r="B3" s="493" t="s">
        <v>1</v>
      </c>
      <c r="C3" s="494" t="s">
        <v>2</v>
      </c>
      <c r="D3" s="494" t="s">
        <v>3</v>
      </c>
      <c r="E3" s="494" t="s">
        <v>4</v>
      </c>
      <c r="F3" s="494" t="s">
        <v>5</v>
      </c>
      <c r="G3" s="494" t="s">
        <v>6</v>
      </c>
      <c r="H3" s="494" t="s">
        <v>7</v>
      </c>
      <c r="I3" s="494" t="s">
        <v>8</v>
      </c>
      <c r="J3" s="494" t="s">
        <v>9</v>
      </c>
      <c r="K3" s="494" t="s">
        <v>10</v>
      </c>
      <c r="L3" s="495" t="s">
        <v>11</v>
      </c>
      <c r="M3" s="494" t="s">
        <v>12</v>
      </c>
      <c r="N3" s="494" t="s">
        <v>13</v>
      </c>
      <c r="O3" s="494" t="s">
        <v>14</v>
      </c>
      <c r="P3" s="494" t="s">
        <v>15</v>
      </c>
      <c r="Q3" s="494" t="s">
        <v>16</v>
      </c>
      <c r="R3" s="496">
        <f>AVERAGE(R4:R28)</f>
        <v>0.9920634920634922</v>
      </c>
      <c r="S3" s="496"/>
    </row>
    <row r="4" spans="1:26" ht="27.95" customHeight="1" thickBot="1">
      <c r="A4" s="497">
        <v>1</v>
      </c>
      <c r="B4" s="498" t="s">
        <v>17</v>
      </c>
      <c r="C4" s="1271"/>
      <c r="D4" s="1272"/>
      <c r="E4" s="11" t="s">
        <v>18</v>
      </c>
      <c r="F4" s="499" t="s">
        <v>19</v>
      </c>
      <c r="G4" s="499" t="s">
        <v>20</v>
      </c>
      <c r="H4" s="500" t="s">
        <v>21</v>
      </c>
      <c r="I4" s="499" t="s">
        <v>22</v>
      </c>
      <c r="J4" s="499" t="s">
        <v>23</v>
      </c>
      <c r="K4" s="499" t="s">
        <v>24</v>
      </c>
      <c r="L4" s="499"/>
      <c r="M4" s="499" t="s">
        <v>25</v>
      </c>
      <c r="N4" s="499" t="s">
        <v>26</v>
      </c>
      <c r="O4" s="11" t="s">
        <v>27</v>
      </c>
      <c r="P4" s="11" t="s">
        <v>28</v>
      </c>
      <c r="Q4" s="499" t="s">
        <v>29</v>
      </c>
      <c r="R4" s="14">
        <f>(COUNTA(C4:Q4))/12</f>
        <v>1</v>
      </c>
      <c r="S4" s="14"/>
      <c r="U4" s="1284" t="s">
        <v>30</v>
      </c>
      <c r="V4" s="1285"/>
      <c r="W4" s="1285"/>
      <c r="X4" s="1285"/>
      <c r="Y4" s="1285"/>
      <c r="Z4" s="1286"/>
    </row>
    <row r="5" spans="1:26" ht="27.95" customHeight="1">
      <c r="A5" s="497">
        <v>2</v>
      </c>
      <c r="B5" s="501" t="s">
        <v>31</v>
      </c>
      <c r="C5" s="1273"/>
      <c r="D5" s="1274"/>
      <c r="E5" s="11" t="s">
        <v>32</v>
      </c>
      <c r="F5" s="499" t="s">
        <v>33</v>
      </c>
      <c r="G5" s="499" t="s">
        <v>34</v>
      </c>
      <c r="H5" s="499" t="s">
        <v>35</v>
      </c>
      <c r="I5" s="11" t="s">
        <v>36</v>
      </c>
      <c r="J5" s="11" t="s">
        <v>90</v>
      </c>
      <c r="K5" s="502" t="s">
        <v>37</v>
      </c>
      <c r="L5" s="499"/>
      <c r="M5" s="500" t="s">
        <v>38</v>
      </c>
      <c r="N5" s="503" t="s">
        <v>39</v>
      </c>
      <c r="O5" s="499" t="s">
        <v>40</v>
      </c>
      <c r="P5" s="11" t="s">
        <v>41</v>
      </c>
      <c r="Q5" s="499" t="s">
        <v>574</v>
      </c>
      <c r="R5" s="14">
        <f t="shared" ref="R5:R22" si="0">(COUNTA(C5:Q5))/12</f>
        <v>1</v>
      </c>
      <c r="S5" s="14"/>
      <c r="U5" s="1287"/>
      <c r="V5" s="1288"/>
      <c r="W5" s="1288"/>
      <c r="X5" s="1288"/>
      <c r="Y5" s="1288"/>
      <c r="Z5" s="1289"/>
    </row>
    <row r="6" spans="1:26" ht="27.75" customHeight="1">
      <c r="A6" s="497">
        <v>3</v>
      </c>
      <c r="B6" s="501" t="s">
        <v>42</v>
      </c>
      <c r="C6" s="1273"/>
      <c r="D6" s="1274"/>
      <c r="E6" s="499" t="s">
        <v>574</v>
      </c>
      <c r="F6" s="11" t="s">
        <v>44</v>
      </c>
      <c r="G6" s="499" t="s">
        <v>45</v>
      </c>
      <c r="H6" s="11" t="s">
        <v>43</v>
      </c>
      <c r="I6" s="499" t="s">
        <v>47</v>
      </c>
      <c r="J6" s="504" t="s">
        <v>586</v>
      </c>
      <c r="K6" s="499" t="s">
        <v>40</v>
      </c>
      <c r="L6" s="499"/>
      <c r="M6" s="11" t="s">
        <v>49</v>
      </c>
      <c r="N6" s="499" t="s">
        <v>320</v>
      </c>
      <c r="O6" s="499" t="s">
        <v>50</v>
      </c>
      <c r="P6" s="505" t="s">
        <v>654</v>
      </c>
      <c r="Q6" s="499" t="s">
        <v>52</v>
      </c>
      <c r="R6" s="14">
        <f t="shared" si="0"/>
        <v>1</v>
      </c>
      <c r="S6" s="14"/>
      <c r="U6" s="1290"/>
      <c r="V6" s="1291"/>
      <c r="W6" s="1291"/>
      <c r="X6" s="1291"/>
      <c r="Y6" s="1291"/>
      <c r="Z6" s="1292"/>
    </row>
    <row r="7" spans="1:26" ht="27.95" customHeight="1" thickBot="1">
      <c r="A7" s="497">
        <v>4</v>
      </c>
      <c r="B7" s="498" t="s">
        <v>53</v>
      </c>
      <c r="C7" s="1273"/>
      <c r="D7" s="1274"/>
      <c r="E7" s="11" t="s">
        <v>54</v>
      </c>
      <c r="F7" s="504" t="s">
        <v>55</v>
      </c>
      <c r="G7" s="499" t="s">
        <v>56</v>
      </c>
      <c r="H7" s="499" t="s">
        <v>57</v>
      </c>
      <c r="I7" s="499" t="s">
        <v>320</v>
      </c>
      <c r="J7" s="499" t="s">
        <v>56</v>
      </c>
      <c r="K7" s="499" t="s">
        <v>59</v>
      </c>
      <c r="L7" s="506"/>
      <c r="M7" s="504" t="s">
        <v>365</v>
      </c>
      <c r="N7" s="11" t="s">
        <v>28</v>
      </c>
      <c r="O7" s="499" t="s">
        <v>60</v>
      </c>
      <c r="P7" s="499" t="s">
        <v>61</v>
      </c>
      <c r="Q7" s="499" t="s">
        <v>62</v>
      </c>
      <c r="R7" s="14">
        <f t="shared" si="0"/>
        <v>1</v>
      </c>
      <c r="S7" s="14"/>
      <c r="U7" s="1293"/>
      <c r="V7" s="1294"/>
      <c r="W7" s="1294"/>
      <c r="X7" s="1294"/>
      <c r="Y7" s="1294"/>
      <c r="Z7" s="1295"/>
    </row>
    <row r="8" spans="1:26" ht="27.95" customHeight="1" thickBot="1">
      <c r="A8" s="497">
        <v>5</v>
      </c>
      <c r="B8" s="507" t="s">
        <v>63</v>
      </c>
      <c r="C8" s="1273"/>
      <c r="D8" s="1274"/>
      <c r="E8" s="499" t="s">
        <v>64</v>
      </c>
      <c r="F8" s="499" t="s">
        <v>584</v>
      </c>
      <c r="G8" s="335" t="s">
        <v>52</v>
      </c>
      <c r="H8" s="499" t="s">
        <v>66</v>
      </c>
      <c r="I8" s="11" t="s">
        <v>18</v>
      </c>
      <c r="J8" s="499" t="s">
        <v>68</v>
      </c>
      <c r="K8" s="499" t="s">
        <v>69</v>
      </c>
      <c r="L8" s="508"/>
      <c r="M8" s="502" t="s">
        <v>70</v>
      </c>
      <c r="N8" s="503" t="s">
        <v>71</v>
      </c>
      <c r="O8" s="509" t="s">
        <v>72</v>
      </c>
      <c r="P8" s="499" t="s">
        <v>73</v>
      </c>
      <c r="Q8" s="504" t="s">
        <v>74</v>
      </c>
      <c r="R8" s="14">
        <f>(COUNTA(C8:Q8))/12</f>
        <v>1</v>
      </c>
      <c r="S8" s="14"/>
      <c r="U8" s="1241" t="s">
        <v>75</v>
      </c>
      <c r="V8" s="1242"/>
      <c r="W8" s="1242"/>
      <c r="X8" s="1242"/>
      <c r="Y8" s="1242"/>
      <c r="Z8" s="1243"/>
    </row>
    <row r="9" spans="1:26" ht="27.95" customHeight="1">
      <c r="A9" s="497">
        <v>6</v>
      </c>
      <c r="B9" s="498" t="s">
        <v>76</v>
      </c>
      <c r="C9" s="1273"/>
      <c r="D9" s="1274"/>
      <c r="E9" s="504" t="s">
        <v>77</v>
      </c>
      <c r="F9" s="499" t="s">
        <v>900</v>
      </c>
      <c r="G9" s="11" t="s">
        <v>27</v>
      </c>
      <c r="H9" s="499" t="s">
        <v>79</v>
      </c>
      <c r="I9" s="11" t="s">
        <v>80</v>
      </c>
      <c r="J9" s="502" t="s">
        <v>24</v>
      </c>
      <c r="K9" s="11" t="s">
        <v>82</v>
      </c>
      <c r="L9" s="499"/>
      <c r="M9" s="503" t="s">
        <v>83</v>
      </c>
      <c r="N9" s="499" t="s">
        <v>20</v>
      </c>
      <c r="O9" s="11" t="s">
        <v>392</v>
      </c>
      <c r="P9" s="499" t="s">
        <v>84</v>
      </c>
      <c r="Q9" s="22" t="s">
        <v>85</v>
      </c>
      <c r="R9" s="14">
        <f>(COUNTA(C9:Q9))/12</f>
        <v>1</v>
      </c>
      <c r="S9" s="14"/>
      <c r="U9" s="1296"/>
      <c r="V9" s="1297"/>
      <c r="W9" s="1297"/>
      <c r="X9" s="1297"/>
      <c r="Y9" s="1297"/>
      <c r="Z9" s="1298"/>
    </row>
    <row r="10" spans="1:26" ht="27.75" customHeight="1">
      <c r="A10" s="497">
        <v>7</v>
      </c>
      <c r="B10" s="498" t="s">
        <v>86</v>
      </c>
      <c r="C10" s="1273"/>
      <c r="D10" s="1274"/>
      <c r="E10" s="499" t="s">
        <v>317</v>
      </c>
      <c r="F10" s="499" t="s">
        <v>87</v>
      </c>
      <c r="G10" s="335" t="s">
        <v>380</v>
      </c>
      <c r="H10" s="499" t="s">
        <v>46</v>
      </c>
      <c r="I10" s="510" t="s">
        <v>70</v>
      </c>
      <c r="J10" s="511" t="s">
        <v>357</v>
      </c>
      <c r="K10" s="512" t="s">
        <v>78</v>
      </c>
      <c r="L10" s="513"/>
      <c r="M10" s="504" t="s">
        <v>586</v>
      </c>
      <c r="N10" s="11" t="s">
        <v>91</v>
      </c>
      <c r="O10" s="499" t="s">
        <v>20</v>
      </c>
      <c r="P10" s="11" t="s">
        <v>93</v>
      </c>
      <c r="Q10" s="499" t="s">
        <v>94</v>
      </c>
      <c r="R10" s="14">
        <f>(COUNTA(C10:Q10))/12</f>
        <v>1</v>
      </c>
      <c r="S10" s="14"/>
      <c r="U10" s="1299"/>
      <c r="V10" s="1300"/>
      <c r="W10" s="1300"/>
      <c r="X10" s="1300"/>
      <c r="Y10" s="1300"/>
      <c r="Z10" s="1301"/>
    </row>
    <row r="11" spans="1:26" ht="27.95" customHeight="1">
      <c r="A11" s="497">
        <v>8</v>
      </c>
      <c r="B11" s="514" t="s">
        <v>402</v>
      </c>
      <c r="C11" s="1275"/>
      <c r="D11" s="1276"/>
      <c r="E11" s="169" t="s">
        <v>96</v>
      </c>
      <c r="F11" s="169" t="s">
        <v>183</v>
      </c>
      <c r="G11" s="189" t="s">
        <v>901</v>
      </c>
      <c r="H11" s="515" t="s">
        <v>27</v>
      </c>
      <c r="I11" s="516" t="s">
        <v>98</v>
      </c>
      <c r="J11" s="517" t="s">
        <v>96</v>
      </c>
      <c r="K11" s="518"/>
      <c r="L11" s="519"/>
      <c r="M11" s="516" t="s">
        <v>415</v>
      </c>
      <c r="N11" s="518" t="s">
        <v>55</v>
      </c>
      <c r="O11" s="515" t="s">
        <v>101</v>
      </c>
      <c r="P11" s="515" t="s">
        <v>21</v>
      </c>
      <c r="Q11" s="515" t="s">
        <v>56</v>
      </c>
      <c r="R11" s="14"/>
      <c r="S11" s="14"/>
      <c r="U11" s="1299"/>
      <c r="V11" s="1300"/>
      <c r="W11" s="1300"/>
      <c r="X11" s="1300"/>
      <c r="Y11" s="1300"/>
      <c r="Z11" s="1301"/>
    </row>
    <row r="12" spans="1:26" ht="27.95" customHeight="1">
      <c r="A12" s="497">
        <v>9</v>
      </c>
      <c r="B12" s="501" t="s">
        <v>103</v>
      </c>
      <c r="C12" s="520" t="s">
        <v>324</v>
      </c>
      <c r="D12" s="521" t="s">
        <v>326</v>
      </c>
      <c r="E12" s="11" t="s">
        <v>80</v>
      </c>
      <c r="F12" s="22" t="s">
        <v>105</v>
      </c>
      <c r="G12" s="22" t="s">
        <v>106</v>
      </c>
      <c r="H12" s="22" t="s">
        <v>85</v>
      </c>
      <c r="I12" s="504" t="s">
        <v>107</v>
      </c>
      <c r="J12" s="502" t="s">
        <v>108</v>
      </c>
      <c r="K12" s="499" t="s">
        <v>22</v>
      </c>
      <c r="L12" s="504"/>
      <c r="M12" s="22" t="s">
        <v>109</v>
      </c>
      <c r="N12" s="504" t="s">
        <v>90</v>
      </c>
      <c r="O12" s="499" t="s">
        <v>110</v>
      </c>
      <c r="P12" s="1043"/>
      <c r="Q12" s="1044"/>
      <c r="R12" s="14">
        <f t="shared" si="0"/>
        <v>1</v>
      </c>
      <c r="S12" s="14"/>
      <c r="U12" s="1299"/>
      <c r="V12" s="1300"/>
      <c r="W12" s="1300"/>
      <c r="X12" s="1300"/>
      <c r="Y12" s="1300"/>
      <c r="Z12" s="1301"/>
    </row>
    <row r="13" spans="1:26" ht="27.95" customHeight="1" thickBot="1">
      <c r="A13" s="497">
        <v>10</v>
      </c>
      <c r="B13" s="507" t="s">
        <v>111</v>
      </c>
      <c r="C13" s="522" t="s">
        <v>323</v>
      </c>
      <c r="D13" s="522" t="s">
        <v>325</v>
      </c>
      <c r="E13" s="11" t="s">
        <v>82</v>
      </c>
      <c r="F13" s="523" t="s">
        <v>114</v>
      </c>
      <c r="G13" s="523" t="s">
        <v>115</v>
      </c>
      <c r="H13" s="523" t="s">
        <v>116</v>
      </c>
      <c r="I13" s="523" t="s">
        <v>69</v>
      </c>
      <c r="J13" s="523" t="s">
        <v>112</v>
      </c>
      <c r="K13" s="523" t="s">
        <v>25</v>
      </c>
      <c r="L13" s="26"/>
      <c r="M13" s="27" t="s">
        <v>120</v>
      </c>
      <c r="N13" s="499" t="s">
        <v>106</v>
      </c>
      <c r="O13" s="523" t="s">
        <v>62</v>
      </c>
      <c r="P13" s="1045"/>
      <c r="Q13" s="1046"/>
      <c r="R13" s="14">
        <f t="shared" si="0"/>
        <v>1</v>
      </c>
      <c r="S13" s="14"/>
      <c r="U13" s="1299"/>
      <c r="V13" s="1300"/>
      <c r="W13" s="1300"/>
      <c r="X13" s="1300"/>
      <c r="Y13" s="1300"/>
      <c r="Z13" s="1301"/>
    </row>
    <row r="14" spans="1:26" ht="27.95" customHeight="1">
      <c r="A14" s="524">
        <v>11</v>
      </c>
      <c r="B14" s="525" t="s">
        <v>123</v>
      </c>
      <c r="C14" s="1277"/>
      <c r="D14" s="1278"/>
      <c r="E14" s="526" t="s">
        <v>124</v>
      </c>
      <c r="F14" s="526" t="s">
        <v>125</v>
      </c>
      <c r="G14" s="526" t="s">
        <v>126</v>
      </c>
      <c r="H14" s="509" t="s">
        <v>127</v>
      </c>
      <c r="I14" s="526" t="s">
        <v>128</v>
      </c>
      <c r="J14" s="31" t="s">
        <v>129</v>
      </c>
      <c r="K14" s="504" t="s">
        <v>130</v>
      </c>
      <c r="L14" s="527"/>
      <c r="M14" s="504" t="s">
        <v>131</v>
      </c>
      <c r="N14" s="526" t="s">
        <v>132</v>
      </c>
      <c r="O14" s="504" t="s">
        <v>587</v>
      </c>
      <c r="P14" s="528" t="s">
        <v>134</v>
      </c>
      <c r="Q14" s="526" t="s">
        <v>135</v>
      </c>
      <c r="R14" s="14">
        <f t="shared" si="0"/>
        <v>1</v>
      </c>
      <c r="S14" s="14"/>
      <c r="U14" s="1299"/>
      <c r="V14" s="1300"/>
      <c r="W14" s="1300"/>
      <c r="X14" s="1300"/>
      <c r="Y14" s="1300"/>
      <c r="Z14" s="1301"/>
    </row>
    <row r="15" spans="1:26" ht="27.95" customHeight="1">
      <c r="A15" s="529">
        <v>12</v>
      </c>
      <c r="B15" s="530" t="s">
        <v>136</v>
      </c>
      <c r="C15" s="1237"/>
      <c r="D15" s="1238"/>
      <c r="E15" s="11" t="s">
        <v>131</v>
      </c>
      <c r="F15" s="509" t="s">
        <v>138</v>
      </c>
      <c r="G15" s="500" t="s">
        <v>899</v>
      </c>
      <c r="H15" s="11" t="s">
        <v>140</v>
      </c>
      <c r="I15" s="499" t="s">
        <v>141</v>
      </c>
      <c r="J15" s="11" t="s">
        <v>142</v>
      </c>
      <c r="K15" s="499" t="s">
        <v>143</v>
      </c>
      <c r="L15" s="499"/>
      <c r="M15" s="499" t="s">
        <v>144</v>
      </c>
      <c r="N15" s="499" t="s">
        <v>145</v>
      </c>
      <c r="O15" s="11" t="s">
        <v>146</v>
      </c>
      <c r="P15" s="533" t="s">
        <v>200</v>
      </c>
      <c r="Q15" s="502" t="s">
        <v>148</v>
      </c>
      <c r="R15" s="14">
        <f t="shared" si="0"/>
        <v>1</v>
      </c>
      <c r="S15" s="14"/>
      <c r="U15" s="1299"/>
      <c r="V15" s="1300"/>
      <c r="W15" s="1300"/>
      <c r="X15" s="1300"/>
      <c r="Y15" s="1300"/>
      <c r="Z15" s="1301"/>
    </row>
    <row r="16" spans="1:26" ht="27.95" customHeight="1">
      <c r="A16" s="529">
        <v>13</v>
      </c>
      <c r="B16" s="534" t="s">
        <v>332</v>
      </c>
      <c r="C16" s="1237"/>
      <c r="D16" s="1238"/>
      <c r="E16" s="516" t="s">
        <v>135</v>
      </c>
      <c r="F16" s="515" t="s">
        <v>151</v>
      </c>
      <c r="G16" s="137" t="s">
        <v>902</v>
      </c>
      <c r="H16" s="516" t="s">
        <v>319</v>
      </c>
      <c r="I16" s="169" t="s">
        <v>135</v>
      </c>
      <c r="J16" s="519" t="s">
        <v>903</v>
      </c>
      <c r="K16" s="515"/>
      <c r="L16" s="519"/>
      <c r="M16" s="515"/>
      <c r="N16" s="169" t="s">
        <v>155</v>
      </c>
      <c r="O16" s="516" t="s">
        <v>125</v>
      </c>
      <c r="P16" s="169"/>
      <c r="Q16" s="518" t="s">
        <v>198</v>
      </c>
      <c r="R16" s="14"/>
      <c r="S16" s="14"/>
      <c r="U16" s="1299"/>
      <c r="V16" s="1300"/>
      <c r="W16" s="1300"/>
      <c r="X16" s="1300"/>
      <c r="Y16" s="1300"/>
      <c r="Z16" s="1301"/>
    </row>
    <row r="17" spans="1:26" ht="27.95" customHeight="1">
      <c r="A17" s="529">
        <v>14</v>
      </c>
      <c r="B17" s="535" t="s">
        <v>158</v>
      </c>
      <c r="C17" s="1237"/>
      <c r="D17" s="1238"/>
      <c r="E17" s="504" t="s">
        <v>159</v>
      </c>
      <c r="F17" s="11" t="s">
        <v>160</v>
      </c>
      <c r="G17" s="504" t="s">
        <v>161</v>
      </c>
      <c r="H17" s="536" t="s">
        <v>162</v>
      </c>
      <c r="I17" s="504" t="s">
        <v>125</v>
      </c>
      <c r="J17" s="500" t="s">
        <v>163</v>
      </c>
      <c r="K17" s="504" t="s">
        <v>164</v>
      </c>
      <c r="L17" s="537"/>
      <c r="M17" s="504" t="s">
        <v>165</v>
      </c>
      <c r="N17" s="22" t="s">
        <v>166</v>
      </c>
      <c r="O17" s="504" t="s">
        <v>167</v>
      </c>
      <c r="P17" s="11" t="s">
        <v>168</v>
      </c>
      <c r="Q17" s="502" t="s">
        <v>169</v>
      </c>
      <c r="R17" s="14">
        <f t="shared" si="0"/>
        <v>1</v>
      </c>
      <c r="S17" s="14"/>
      <c r="U17" s="1299"/>
      <c r="V17" s="1300"/>
      <c r="W17" s="1300"/>
      <c r="X17" s="1300"/>
      <c r="Y17" s="1300"/>
      <c r="Z17" s="1301"/>
    </row>
    <row r="18" spans="1:26" ht="27.95" customHeight="1">
      <c r="A18" s="529">
        <v>15</v>
      </c>
      <c r="B18" s="507" t="s">
        <v>170</v>
      </c>
      <c r="C18" s="1237"/>
      <c r="D18" s="1238"/>
      <c r="E18" s="499" t="s">
        <v>171</v>
      </c>
      <c r="F18" s="11" t="s">
        <v>172</v>
      </c>
      <c r="G18" s="11" t="s">
        <v>155</v>
      </c>
      <c r="H18" s="499" t="s">
        <v>134</v>
      </c>
      <c r="I18" s="499" t="s">
        <v>174</v>
      </c>
      <c r="J18" s="499" t="s">
        <v>175</v>
      </c>
      <c r="K18" s="499" t="s">
        <v>176</v>
      </c>
      <c r="L18" s="499"/>
      <c r="M18" s="499" t="s">
        <v>177</v>
      </c>
      <c r="N18" s="11" t="s">
        <v>178</v>
      </c>
      <c r="O18" s="499" t="s">
        <v>319</v>
      </c>
      <c r="P18" s="499" t="s">
        <v>179</v>
      </c>
      <c r="Q18" s="11" t="s">
        <v>131</v>
      </c>
      <c r="R18" s="14">
        <f>(COUNTA(C18:Q18))/12</f>
        <v>1</v>
      </c>
      <c r="S18" s="14"/>
      <c r="U18" s="1299"/>
      <c r="V18" s="1300"/>
      <c r="W18" s="1300"/>
      <c r="X18" s="1300"/>
      <c r="Y18" s="1300"/>
      <c r="Z18" s="1301"/>
    </row>
    <row r="19" spans="1:26" ht="27.95" customHeight="1" thickBot="1">
      <c r="A19" s="529">
        <v>16</v>
      </c>
      <c r="B19" s="507" t="s">
        <v>180</v>
      </c>
      <c r="C19" s="1237"/>
      <c r="D19" s="1238"/>
      <c r="E19" s="509" t="s">
        <v>181</v>
      </c>
      <c r="F19" s="11" t="s">
        <v>182</v>
      </c>
      <c r="G19" s="11" t="s">
        <v>183</v>
      </c>
      <c r="H19" s="504" t="s">
        <v>587</v>
      </c>
      <c r="I19" s="502" t="s">
        <v>185</v>
      </c>
      <c r="J19" s="499" t="s">
        <v>575</v>
      </c>
      <c r="K19" s="11" t="s">
        <v>186</v>
      </c>
      <c r="L19" s="39"/>
      <c r="M19" s="499" t="s">
        <v>577</v>
      </c>
      <c r="N19" s="499" t="s">
        <v>187</v>
      </c>
      <c r="O19" s="504" t="s">
        <v>188</v>
      </c>
      <c r="P19" s="499" t="s">
        <v>189</v>
      </c>
      <c r="Q19" s="502" t="s">
        <v>190</v>
      </c>
      <c r="R19" s="14">
        <f t="shared" si="0"/>
        <v>1</v>
      </c>
      <c r="S19" s="14"/>
      <c r="U19" s="1302"/>
      <c r="V19" s="1303"/>
      <c r="W19" s="1303"/>
      <c r="X19" s="1303"/>
      <c r="Y19" s="1303"/>
      <c r="Z19" s="1304"/>
    </row>
    <row r="20" spans="1:26" ht="27.95" customHeight="1" thickBot="1">
      <c r="A20" s="529">
        <v>17</v>
      </c>
      <c r="B20" s="538" t="s">
        <v>328</v>
      </c>
      <c r="C20" s="1279"/>
      <c r="D20" s="1280"/>
      <c r="E20" s="515" t="s">
        <v>187</v>
      </c>
      <c r="F20" s="516" t="s">
        <v>192</v>
      </c>
      <c r="G20" s="516" t="s">
        <v>193</v>
      </c>
      <c r="H20" s="540" t="s">
        <v>194</v>
      </c>
      <c r="I20" s="516" t="s">
        <v>165</v>
      </c>
      <c r="J20" s="518" t="s">
        <v>196</v>
      </c>
      <c r="K20" s="515" t="s">
        <v>175</v>
      </c>
      <c r="L20" s="519"/>
      <c r="M20" s="515"/>
      <c r="N20" s="517" t="s">
        <v>198</v>
      </c>
      <c r="O20" s="137" t="s">
        <v>904</v>
      </c>
      <c r="P20" s="516" t="s">
        <v>905</v>
      </c>
      <c r="Q20" s="515"/>
      <c r="R20" s="14">
        <f>(COUNTA(C20:Q20))/12</f>
        <v>0.83333333333333337</v>
      </c>
      <c r="S20" s="14"/>
      <c r="U20" s="1281" t="s">
        <v>201</v>
      </c>
      <c r="V20" s="1282"/>
      <c r="W20" s="1282"/>
      <c r="X20" s="1282"/>
      <c r="Y20" s="1282"/>
      <c r="Z20" s="1283"/>
    </row>
    <row r="21" spans="1:26" ht="27.95" customHeight="1">
      <c r="A21" s="529">
        <v>18</v>
      </c>
      <c r="B21" s="530" t="s">
        <v>202</v>
      </c>
      <c r="C21" s="541" t="s">
        <v>327</v>
      </c>
      <c r="D21" s="542" t="s">
        <v>265</v>
      </c>
      <c r="E21" s="499" t="s">
        <v>203</v>
      </c>
      <c r="F21" s="499" t="s">
        <v>576</v>
      </c>
      <c r="G21" s="11" t="s">
        <v>204</v>
      </c>
      <c r="H21" s="11" t="s">
        <v>205</v>
      </c>
      <c r="I21" s="499" t="s">
        <v>161</v>
      </c>
      <c r="J21" s="502" t="s">
        <v>206</v>
      </c>
      <c r="K21" s="509" t="s">
        <v>138</v>
      </c>
      <c r="L21" s="499"/>
      <c r="M21" s="11" t="s">
        <v>207</v>
      </c>
      <c r="N21" s="499" t="s">
        <v>208</v>
      </c>
      <c r="O21" s="499" t="s">
        <v>125</v>
      </c>
      <c r="P21" s="1224"/>
      <c r="Q21" s="1225"/>
      <c r="R21" s="14">
        <f t="shared" si="0"/>
        <v>1</v>
      </c>
      <c r="S21" s="14"/>
      <c r="U21" s="1228" t="s">
        <v>893</v>
      </c>
      <c r="V21" s="1229"/>
      <c r="W21" s="1229"/>
      <c r="X21" s="1229"/>
      <c r="Y21" s="1229"/>
      <c r="Z21" s="1230"/>
    </row>
    <row r="22" spans="1:26" ht="27.95" customHeight="1" thickBot="1">
      <c r="A22" s="543">
        <v>19</v>
      </c>
      <c r="B22" s="544" t="s">
        <v>210</v>
      </c>
      <c r="C22" s="545" t="s">
        <v>481</v>
      </c>
      <c r="D22" s="546" t="s">
        <v>327</v>
      </c>
      <c r="E22" s="27" t="s">
        <v>212</v>
      </c>
      <c r="F22" s="27" t="s">
        <v>213</v>
      </c>
      <c r="G22" s="523" t="s">
        <v>198</v>
      </c>
      <c r="H22" s="27" t="s">
        <v>214</v>
      </c>
      <c r="I22" s="547" t="s">
        <v>215</v>
      </c>
      <c r="J22" s="523" t="s">
        <v>138</v>
      </c>
      <c r="K22" s="523" t="s">
        <v>216</v>
      </c>
      <c r="L22" s="547"/>
      <c r="M22" s="523" t="s">
        <v>217</v>
      </c>
      <c r="N22" s="547" t="s">
        <v>218</v>
      </c>
      <c r="O22" s="523" t="s">
        <v>161</v>
      </c>
      <c r="P22" s="1226"/>
      <c r="Q22" s="1227"/>
      <c r="R22" s="14">
        <f t="shared" si="0"/>
        <v>1</v>
      </c>
      <c r="S22" s="14"/>
      <c r="U22" s="1231"/>
      <c r="V22" s="1232"/>
      <c r="W22" s="1232"/>
      <c r="X22" s="1232"/>
      <c r="Y22" s="1232"/>
      <c r="Z22" s="1233"/>
    </row>
    <row r="23" spans="1:26" ht="27.95" customHeight="1" thickBot="1">
      <c r="A23" s="548" t="s">
        <v>219</v>
      </c>
      <c r="B23" s="539" t="s">
        <v>220</v>
      </c>
      <c r="C23" s="1237"/>
      <c r="D23" s="1238"/>
      <c r="E23" s="504"/>
      <c r="F23" s="499" t="s">
        <v>318</v>
      </c>
      <c r="G23" s="22" t="s">
        <v>221</v>
      </c>
      <c r="H23" s="504"/>
      <c r="I23" s="504" t="s">
        <v>222</v>
      </c>
      <c r="J23" s="537" t="s">
        <v>218</v>
      </c>
      <c r="K23" s="504"/>
      <c r="L23" s="549"/>
      <c r="M23" s="504"/>
      <c r="N23" s="504" t="s">
        <v>175</v>
      </c>
      <c r="O23" s="22" t="s">
        <v>223</v>
      </c>
      <c r="P23" s="550"/>
      <c r="Q23" s="504" t="s">
        <v>163</v>
      </c>
      <c r="R23" s="14">
        <f>(COUNTA(C23:Q23))/7</f>
        <v>1</v>
      </c>
      <c r="S23" s="14"/>
      <c r="U23" s="1234"/>
      <c r="V23" s="1235"/>
      <c r="W23" s="1235"/>
      <c r="X23" s="1235"/>
      <c r="Y23" s="1235"/>
      <c r="Z23" s="1236"/>
    </row>
    <row r="24" spans="1:26" s="554" customFormat="1" ht="27.95" customHeight="1" thickBot="1">
      <c r="A24" s="551"/>
      <c r="B24" s="544" t="s">
        <v>225</v>
      </c>
      <c r="C24" s="1239"/>
      <c r="D24" s="1240"/>
      <c r="E24" s="523" t="s">
        <v>226</v>
      </c>
      <c r="F24" s="549" t="s">
        <v>227</v>
      </c>
      <c r="G24" s="27" t="s">
        <v>166</v>
      </c>
      <c r="H24" s="27" t="s">
        <v>221</v>
      </c>
      <c r="I24" s="523" t="s">
        <v>229</v>
      </c>
      <c r="J24" s="27" t="s">
        <v>230</v>
      </c>
      <c r="K24" s="552" t="s">
        <v>231</v>
      </c>
      <c r="L24" s="523"/>
      <c r="M24" s="27" t="s">
        <v>176</v>
      </c>
      <c r="N24" s="553" t="s">
        <v>897</v>
      </c>
      <c r="O24" s="553" t="s">
        <v>326</v>
      </c>
      <c r="P24" s="504" t="s">
        <v>198</v>
      </c>
      <c r="Q24" s="11" t="s">
        <v>157</v>
      </c>
      <c r="R24" s="14">
        <f>(COUNTA(C24:Q24))/12</f>
        <v>1</v>
      </c>
      <c r="S24" s="14"/>
      <c r="T24" s="490"/>
      <c r="U24" s="1241" t="s">
        <v>233</v>
      </c>
      <c r="V24" s="1242"/>
      <c r="W24" s="1242"/>
      <c r="X24" s="1242"/>
      <c r="Y24" s="1242"/>
      <c r="Z24" s="1243"/>
    </row>
    <row r="25" spans="1:26" ht="9.9499999999999993" customHeight="1" thickBot="1">
      <c r="A25" s="555"/>
      <c r="B25" s="556"/>
      <c r="C25" s="531"/>
      <c r="D25" s="532"/>
      <c r="E25" s="557"/>
      <c r="F25" s="558"/>
      <c r="G25" s="559"/>
      <c r="H25" s="56"/>
      <c r="I25" s="557"/>
      <c r="J25" s="560"/>
      <c r="K25" s="557"/>
      <c r="L25" s="557"/>
      <c r="M25" s="56"/>
      <c r="N25" s="558"/>
      <c r="O25" s="561"/>
      <c r="P25" s="557"/>
      <c r="Q25" s="557"/>
      <c r="U25" s="1244" t="s">
        <v>906</v>
      </c>
      <c r="V25" s="1245"/>
      <c r="W25" s="1245"/>
      <c r="X25" s="1245"/>
      <c r="Y25" s="1245"/>
      <c r="Z25" s="1246"/>
    </row>
    <row r="26" spans="1:26" ht="120" customHeight="1">
      <c r="A26" s="562"/>
      <c r="B26" s="1047" t="s">
        <v>234</v>
      </c>
      <c r="C26" s="1049"/>
      <c r="D26" s="1050"/>
      <c r="E26" s="526" t="s">
        <v>235</v>
      </c>
      <c r="F26" s="526" t="s">
        <v>236</v>
      </c>
      <c r="G26" s="526" t="s">
        <v>581</v>
      </c>
      <c r="H26" s="526" t="s">
        <v>887</v>
      </c>
      <c r="I26" s="526" t="s">
        <v>801</v>
      </c>
      <c r="J26" s="526" t="s">
        <v>237</v>
      </c>
      <c r="K26" s="563" t="s">
        <v>238</v>
      </c>
      <c r="L26" s="564"/>
      <c r="M26" s="526" t="s">
        <v>888</v>
      </c>
      <c r="N26" s="526" t="s">
        <v>316</v>
      </c>
      <c r="O26" s="526" t="s">
        <v>806</v>
      </c>
      <c r="P26" s="526" t="s">
        <v>580</v>
      </c>
      <c r="Q26" s="526" t="s">
        <v>239</v>
      </c>
      <c r="R26" s="14">
        <f>(COUNTA(C26:Q26))/12</f>
        <v>1</v>
      </c>
      <c r="S26" s="14"/>
      <c r="U26" s="1247"/>
      <c r="V26" s="1248"/>
      <c r="W26" s="1248"/>
      <c r="X26" s="1248"/>
      <c r="Y26" s="1248"/>
      <c r="Z26" s="1249"/>
    </row>
    <row r="27" spans="1:26" ht="120" customHeight="1">
      <c r="A27" s="565"/>
      <c r="B27" s="1048"/>
      <c r="C27" s="1051"/>
      <c r="D27" s="1052"/>
      <c r="E27" s="499" t="s">
        <v>507</v>
      </c>
      <c r="F27" s="499" t="s">
        <v>810</v>
      </c>
      <c r="G27" s="499" t="s">
        <v>321</v>
      </c>
      <c r="H27" s="499" t="s">
        <v>890</v>
      </c>
      <c r="I27" s="499" t="s">
        <v>894</v>
      </c>
      <c r="J27" s="499" t="s">
        <v>512</v>
      </c>
      <c r="K27" s="499" t="s">
        <v>240</v>
      </c>
      <c r="L27" s="499"/>
      <c r="M27" s="499" t="s">
        <v>895</v>
      </c>
      <c r="N27" s="499" t="s">
        <v>896</v>
      </c>
      <c r="O27" s="499" t="s">
        <v>891</v>
      </c>
      <c r="P27" s="499" t="s">
        <v>517</v>
      </c>
      <c r="Q27" s="499" t="s">
        <v>585</v>
      </c>
      <c r="U27" s="1247"/>
      <c r="V27" s="1248"/>
      <c r="W27" s="1248"/>
      <c r="X27" s="1248"/>
      <c r="Y27" s="1248"/>
      <c r="Z27" s="1249"/>
    </row>
    <row r="28" spans="1:26" ht="120" customHeight="1" thickBot="1">
      <c r="A28" s="566"/>
      <c r="B28" s="544" t="s">
        <v>241</v>
      </c>
      <c r="C28" s="1053"/>
      <c r="D28" s="1054"/>
      <c r="E28" s="567" t="s">
        <v>242</v>
      </c>
      <c r="F28" s="523" t="s">
        <v>329</v>
      </c>
      <c r="G28" s="523" t="s">
        <v>330</v>
      </c>
      <c r="H28" s="523" t="s">
        <v>243</v>
      </c>
      <c r="I28" s="523" t="s">
        <v>244</v>
      </c>
      <c r="J28" s="523" t="s">
        <v>889</v>
      </c>
      <c r="K28" s="523" t="s">
        <v>578</v>
      </c>
      <c r="L28" s="547"/>
      <c r="M28" s="523" t="s">
        <v>245</v>
      </c>
      <c r="N28" s="523" t="s">
        <v>589</v>
      </c>
      <c r="O28" s="523" t="s">
        <v>579</v>
      </c>
      <c r="P28" s="1265" t="s">
        <v>242</v>
      </c>
      <c r="Q28" s="1266"/>
      <c r="R28" s="14">
        <f>(COUNTA(F28:O28))/9</f>
        <v>1</v>
      </c>
      <c r="S28" s="14"/>
      <c r="U28" s="1247"/>
      <c r="V28" s="1248"/>
      <c r="W28" s="1248"/>
      <c r="X28" s="1248"/>
      <c r="Y28" s="1248"/>
      <c r="Z28" s="1249"/>
    </row>
    <row r="29" spans="1:26" ht="27.95" customHeight="1" thickBot="1">
      <c r="A29" s="568"/>
      <c r="B29" s="569" t="s">
        <v>247</v>
      </c>
      <c r="C29" s="66"/>
      <c r="D29" s="67"/>
      <c r="E29" s="570"/>
      <c r="F29" s="570"/>
      <c r="G29" s="570"/>
      <c r="H29" s="571"/>
      <c r="I29" s="572"/>
      <c r="J29" s="571"/>
      <c r="K29" s="571"/>
      <c r="L29" s="573"/>
      <c r="M29" s="572"/>
      <c r="N29" s="571"/>
      <c r="O29" s="571"/>
      <c r="P29" s="574"/>
      <c r="Q29" s="574"/>
      <c r="R29" s="14"/>
      <c r="S29" s="14"/>
      <c r="U29" s="1247"/>
      <c r="V29" s="1248"/>
      <c r="W29" s="1248"/>
      <c r="X29" s="1248"/>
      <c r="Y29" s="1248"/>
      <c r="Z29" s="1249"/>
    </row>
    <row r="30" spans="1:26" ht="9.9499999999999993" customHeight="1" thickBot="1">
      <c r="A30" s="575"/>
      <c r="B30" s="575"/>
      <c r="C30" s="575"/>
      <c r="D30" s="575"/>
      <c r="E30" s="575"/>
      <c r="F30" s="575"/>
      <c r="G30" s="575"/>
      <c r="H30" s="575"/>
      <c r="I30" s="575"/>
      <c r="J30" s="575"/>
      <c r="K30" s="575"/>
      <c r="L30" s="575"/>
      <c r="M30" s="575"/>
      <c r="N30" s="575"/>
      <c r="O30" s="575"/>
      <c r="P30" s="575"/>
      <c r="Q30" s="575"/>
      <c r="U30" s="1250"/>
      <c r="V30" s="1251"/>
      <c r="W30" s="1251"/>
      <c r="X30" s="1251"/>
      <c r="Y30" s="1251"/>
      <c r="Z30" s="1252"/>
    </row>
    <row r="31" spans="1:26" ht="27.95" customHeight="1">
      <c r="A31" s="576"/>
      <c r="B31" s="577"/>
      <c r="C31" s="577"/>
      <c r="D31" s="578" t="s">
        <v>248</v>
      </c>
      <c r="E31" s="579" t="s">
        <v>249</v>
      </c>
      <c r="F31" s="579" t="s">
        <v>5</v>
      </c>
      <c r="G31" s="579" t="s">
        <v>6</v>
      </c>
      <c r="H31" s="579" t="s">
        <v>250</v>
      </c>
      <c r="I31" s="579" t="s">
        <v>8</v>
      </c>
      <c r="J31" s="579" t="s">
        <v>251</v>
      </c>
      <c r="K31" s="579" t="s">
        <v>252</v>
      </c>
      <c r="L31" s="580" t="s">
        <v>253</v>
      </c>
      <c r="M31" s="579" t="s">
        <v>254</v>
      </c>
      <c r="N31" s="579" t="s">
        <v>13</v>
      </c>
      <c r="O31" s="579" t="s">
        <v>14</v>
      </c>
      <c r="P31" s="579" t="s">
        <v>15</v>
      </c>
      <c r="Q31" s="581" t="s">
        <v>16</v>
      </c>
      <c r="U31" s="1253" t="s">
        <v>255</v>
      </c>
      <c r="V31" s="1254"/>
      <c r="W31" s="1254"/>
      <c r="X31" s="1254"/>
      <c r="Y31" s="1254"/>
      <c r="Z31" s="1255"/>
    </row>
    <row r="32" spans="1:26" ht="27.95" customHeight="1">
      <c r="D32" s="583" t="s">
        <v>256</v>
      </c>
      <c r="E32" s="506" t="s">
        <v>47</v>
      </c>
      <c r="F32" s="499" t="s">
        <v>35</v>
      </c>
      <c r="G32" s="499" t="s">
        <v>112</v>
      </c>
      <c r="H32" s="499" t="s">
        <v>60</v>
      </c>
      <c r="I32" s="502"/>
      <c r="J32" s="502" t="s">
        <v>43</v>
      </c>
      <c r="K32" s="499" t="s">
        <v>260</v>
      </c>
      <c r="L32" s="584"/>
      <c r="M32" s="499"/>
      <c r="N32" s="499" t="s">
        <v>32</v>
      </c>
      <c r="O32" s="499" t="s">
        <v>261</v>
      </c>
      <c r="P32" s="499" t="s">
        <v>115</v>
      </c>
      <c r="Q32" s="585" t="s">
        <v>535</v>
      </c>
      <c r="T32" s="586"/>
      <c r="U32" s="1256"/>
      <c r="V32" s="1257"/>
      <c r="W32" s="1257"/>
      <c r="X32" s="1257"/>
      <c r="Y32" s="1257"/>
      <c r="Z32" s="1258"/>
    </row>
    <row r="33" spans="1:26" s="554" customFormat="1" ht="45.75" customHeight="1">
      <c r="A33" s="491"/>
      <c r="B33" s="582"/>
      <c r="C33" s="582"/>
      <c r="D33" s="587" t="s">
        <v>263</v>
      </c>
      <c r="E33" s="588"/>
      <c r="F33" s="502"/>
      <c r="G33" s="502"/>
      <c r="H33" s="502"/>
      <c r="I33" s="502"/>
      <c r="J33" s="502"/>
      <c r="K33" s="589"/>
      <c r="L33" s="590"/>
      <c r="M33" s="502"/>
      <c r="N33" s="502"/>
      <c r="O33" s="591"/>
      <c r="P33" s="502"/>
      <c r="Q33" s="585"/>
      <c r="R33" s="489"/>
      <c r="S33" s="489"/>
      <c r="T33" s="490"/>
      <c r="U33" s="1256"/>
      <c r="V33" s="1257"/>
      <c r="W33" s="1257"/>
      <c r="X33" s="1257"/>
      <c r="Y33" s="1257"/>
      <c r="Z33" s="1258"/>
    </row>
    <row r="34" spans="1:26" ht="27.95" customHeight="1">
      <c r="D34" s="587" t="s">
        <v>264</v>
      </c>
      <c r="E34" s="499"/>
      <c r="F34" s="502"/>
      <c r="G34" s="502"/>
      <c r="H34" s="499"/>
      <c r="I34" s="502" t="s">
        <v>265</v>
      </c>
      <c r="J34" s="513"/>
      <c r="K34" s="499" t="s">
        <v>331</v>
      </c>
      <c r="L34" s="584"/>
      <c r="M34" s="502"/>
      <c r="N34" s="499"/>
      <c r="O34" s="592" t="s">
        <v>265</v>
      </c>
      <c r="P34" s="513" t="s">
        <v>266</v>
      </c>
      <c r="Q34" s="593"/>
      <c r="U34" s="1256"/>
      <c r="V34" s="1257"/>
      <c r="W34" s="1257"/>
      <c r="X34" s="1257"/>
      <c r="Y34" s="1257"/>
      <c r="Z34" s="1258"/>
    </row>
    <row r="35" spans="1:26" ht="42" customHeight="1" thickBot="1">
      <c r="D35" s="594" t="s">
        <v>268</v>
      </c>
      <c r="E35" s="595"/>
      <c r="F35" s="595" t="s">
        <v>269</v>
      </c>
      <c r="G35" s="595" t="s">
        <v>270</v>
      </c>
      <c r="H35" s="596"/>
      <c r="I35" s="596"/>
      <c r="J35" s="596"/>
      <c r="K35" s="596" t="s">
        <v>271</v>
      </c>
      <c r="L35" s="597"/>
      <c r="M35" s="598" t="s">
        <v>272</v>
      </c>
      <c r="N35" s="595" t="s">
        <v>273</v>
      </c>
      <c r="O35" s="595" t="s">
        <v>211</v>
      </c>
      <c r="P35" s="595" t="s">
        <v>275</v>
      </c>
      <c r="Q35" s="599" t="s">
        <v>276</v>
      </c>
      <c r="U35" s="1259"/>
      <c r="V35" s="1260"/>
      <c r="W35" s="1260"/>
      <c r="X35" s="1260"/>
      <c r="Y35" s="1260"/>
      <c r="Z35" s="1261"/>
    </row>
    <row r="36" spans="1:26" ht="42" customHeight="1">
      <c r="D36" s="600"/>
      <c r="E36" s="601"/>
      <c r="F36" s="602"/>
      <c r="G36" s="600"/>
      <c r="H36" s="600"/>
      <c r="I36" s="600"/>
      <c r="J36" s="600"/>
      <c r="K36" s="600"/>
      <c r="L36" s="603"/>
      <c r="M36" s="600"/>
      <c r="N36" s="600"/>
      <c r="O36" s="600"/>
      <c r="P36" s="600"/>
      <c r="Q36" s="600"/>
    </row>
    <row r="37" spans="1:26" ht="42" customHeight="1">
      <c r="E37" s="490">
        <f t="shared" ref="E37:J37" si="1">COUNTBLANK(E4:E21)</f>
        <v>0</v>
      </c>
      <c r="F37" s="490">
        <f>COUNTBLANK(F4:F21)</f>
        <v>0</v>
      </c>
      <c r="G37" s="490">
        <f t="shared" si="1"/>
        <v>0</v>
      </c>
      <c r="H37" s="490">
        <f>COUNTBLANK(H4:H21)</f>
        <v>0</v>
      </c>
      <c r="I37" s="490">
        <f>COUNTBLANK(I4:I21)</f>
        <v>0</v>
      </c>
      <c r="J37" s="490">
        <f t="shared" si="1"/>
        <v>0</v>
      </c>
      <c r="K37" s="490">
        <f>COUNTBLANK(K4:K22)</f>
        <v>2</v>
      </c>
      <c r="L37" s="490"/>
      <c r="M37" s="490">
        <f>COUNTBLANK(M4:M21)</f>
        <v>2</v>
      </c>
      <c r="N37" s="490">
        <f>COUNTBLANK(N4:N21)</f>
        <v>0</v>
      </c>
      <c r="O37" s="490">
        <f>COUNTBLANK(O4:O21)</f>
        <v>0</v>
      </c>
      <c r="P37" s="490">
        <f>COUNTBLANK(P4:P20)-2</f>
        <v>1</v>
      </c>
      <c r="Q37" s="490">
        <f>COUNTBLANK(Q4:Q20)-2</f>
        <v>1</v>
      </c>
    </row>
    <row r="39" spans="1:26" s="604" customFormat="1">
      <c r="B39" s="582"/>
      <c r="C39" s="582"/>
      <c r="D39" s="582"/>
      <c r="E39" s="490"/>
      <c r="F39" s="490"/>
      <c r="G39" s="490"/>
      <c r="H39" s="490"/>
      <c r="I39" s="490"/>
      <c r="J39" s="490"/>
      <c r="K39" s="490"/>
      <c r="L39" s="605"/>
      <c r="M39" s="490"/>
      <c r="N39" s="490"/>
      <c r="O39" s="490"/>
      <c r="P39" s="490"/>
      <c r="Q39" s="490"/>
      <c r="R39" s="489"/>
      <c r="S39" s="489"/>
      <c r="T39" s="606"/>
    </row>
    <row r="40" spans="1:26" s="604" customFormat="1">
      <c r="B40" s="582"/>
      <c r="C40" s="582"/>
      <c r="D40" s="582"/>
      <c r="E40" s="490"/>
      <c r="F40" s="490"/>
      <c r="G40" s="490"/>
      <c r="H40" s="490"/>
      <c r="I40" s="490"/>
      <c r="J40" s="490"/>
      <c r="K40" s="490"/>
      <c r="L40" s="605"/>
      <c r="M40" s="490"/>
      <c r="N40" s="490"/>
      <c r="O40" s="490"/>
      <c r="P40" s="490"/>
      <c r="Q40" s="490"/>
      <c r="R40" s="489"/>
      <c r="S40" s="489"/>
      <c r="T40" s="606"/>
    </row>
    <row r="41" spans="1:26" s="604" customFormat="1">
      <c r="B41" s="582"/>
      <c r="C41" s="582"/>
      <c r="D41" s="582"/>
      <c r="E41" s="490"/>
      <c r="F41" s="490"/>
      <c r="G41" s="490"/>
      <c r="H41" s="490"/>
      <c r="I41" s="490"/>
      <c r="J41" s="490"/>
      <c r="K41" s="490"/>
      <c r="L41" s="605"/>
      <c r="M41" s="490"/>
      <c r="N41" s="490"/>
      <c r="O41" s="490"/>
      <c r="P41" s="490"/>
      <c r="Q41" s="490"/>
      <c r="R41" s="489"/>
      <c r="S41" s="489"/>
      <c r="T41" s="606"/>
    </row>
    <row r="42" spans="1:26" s="604" customFormat="1">
      <c r="B42" s="607"/>
      <c r="C42" s="608"/>
      <c r="D42" s="608"/>
      <c r="E42" s="606"/>
      <c r="F42" s="609"/>
      <c r="G42" s="609"/>
      <c r="H42" s="609"/>
      <c r="I42" s="609"/>
      <c r="J42" s="609"/>
      <c r="K42" s="609"/>
      <c r="L42" s="610"/>
      <c r="M42" s="609"/>
      <c r="N42" s="609"/>
      <c r="O42" s="609"/>
      <c r="P42" s="609"/>
      <c r="Q42" s="609"/>
      <c r="R42" s="611"/>
      <c r="S42" s="612"/>
      <c r="T42" s="606"/>
    </row>
    <row r="45" spans="1:26">
      <c r="D45" s="1143" t="s">
        <v>277</v>
      </c>
      <c r="E45" s="1143"/>
      <c r="F45" s="1143"/>
      <c r="G45" s="1143"/>
      <c r="H45" s="1143"/>
      <c r="I45" s="11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4"/>
    </row>
    <row r="46" spans="1:26" ht="21">
      <c r="A46" s="582"/>
      <c r="D46" s="103" t="s">
        <v>278</v>
      </c>
      <c r="E46" s="104" t="s">
        <v>249</v>
      </c>
      <c r="F46" s="104" t="s">
        <v>5</v>
      </c>
      <c r="G46" s="104" t="s">
        <v>6</v>
      </c>
      <c r="H46" s="104" t="s">
        <v>250</v>
      </c>
      <c r="I46" s="104" t="s">
        <v>8</v>
      </c>
      <c r="J46" s="104" t="s">
        <v>251</v>
      </c>
      <c r="K46" s="104" t="s">
        <v>252</v>
      </c>
      <c r="L46" s="105" t="s">
        <v>11</v>
      </c>
      <c r="M46" s="104" t="s">
        <v>254</v>
      </c>
      <c r="N46" s="104" t="s">
        <v>279</v>
      </c>
      <c r="O46" s="104" t="s">
        <v>14</v>
      </c>
      <c r="P46" s="104" t="s">
        <v>15</v>
      </c>
      <c r="Q46" s="104" t="s">
        <v>280</v>
      </c>
      <c r="R46" s="104" t="s">
        <v>281</v>
      </c>
      <c r="S46" s="104" t="s">
        <v>282</v>
      </c>
    </row>
    <row r="47" spans="1:26" ht="27.95" customHeight="1">
      <c r="A47" s="582"/>
      <c r="D47" s="106" t="s">
        <v>283</v>
      </c>
      <c r="E47" s="107"/>
      <c r="F47" s="613"/>
      <c r="G47" s="614"/>
      <c r="H47" s="615"/>
      <c r="I47" s="614"/>
      <c r="J47" s="616"/>
      <c r="K47" s="615"/>
      <c r="L47" s="617"/>
      <c r="M47" s="618" t="s">
        <v>284</v>
      </c>
      <c r="N47" s="108"/>
      <c r="O47" s="619" t="s">
        <v>285</v>
      </c>
      <c r="P47" s="109" t="s">
        <v>286</v>
      </c>
      <c r="Q47" s="110"/>
      <c r="R47" s="620"/>
      <c r="S47" s="621"/>
    </row>
    <row r="48" spans="1:26">
      <c r="A48" s="582"/>
      <c r="D48" s="1262" t="s">
        <v>287</v>
      </c>
      <c r="E48" s="1263"/>
      <c r="F48" s="1263"/>
      <c r="G48" s="1263"/>
      <c r="H48" s="1263"/>
      <c r="I48" s="1263"/>
      <c r="J48" s="1263"/>
      <c r="K48" s="1263"/>
      <c r="L48" s="1263"/>
      <c r="M48" s="1263"/>
      <c r="N48" s="1263"/>
      <c r="O48" s="1263"/>
      <c r="P48" s="1263"/>
      <c r="Q48" s="1263"/>
      <c r="R48" s="1263"/>
      <c r="S48" s="1264"/>
      <c r="T48" s="491"/>
    </row>
    <row r="49" spans="1:20" ht="27.95" customHeight="1">
      <c r="A49" s="582"/>
      <c r="D49" s="622" t="s">
        <v>288</v>
      </c>
      <c r="E49" s="623"/>
      <c r="F49" s="624"/>
      <c r="G49" s="623"/>
      <c r="H49" s="623"/>
      <c r="I49" s="623"/>
      <c r="J49" s="623"/>
      <c r="K49" s="111"/>
      <c r="L49" s="112"/>
      <c r="M49" s="624"/>
      <c r="N49" s="625"/>
      <c r="O49" s="624"/>
      <c r="P49" s="623"/>
      <c r="Q49" s="623"/>
      <c r="R49" s="22"/>
      <c r="S49" s="22"/>
      <c r="T49" s="491"/>
    </row>
    <row r="50" spans="1:20" ht="27.95" customHeight="1">
      <c r="A50" s="582"/>
      <c r="D50" s="622" t="s">
        <v>289</v>
      </c>
      <c r="E50" s="624" t="s">
        <v>290</v>
      </c>
      <c r="F50" s="113"/>
      <c r="G50" s="111" t="s">
        <v>291</v>
      </c>
      <c r="H50" s="111"/>
      <c r="I50" s="113"/>
      <c r="J50" s="111"/>
      <c r="K50" s="114"/>
      <c r="L50" s="112"/>
      <c r="M50" s="115"/>
      <c r="N50" s="111"/>
      <c r="O50" s="116" t="s">
        <v>292</v>
      </c>
      <c r="P50" s="111"/>
      <c r="Q50" s="116"/>
      <c r="R50" s="111"/>
      <c r="S50" s="111"/>
      <c r="T50" s="491"/>
    </row>
    <row r="51" spans="1:20" ht="27.95" customHeight="1">
      <c r="A51" s="582"/>
      <c r="D51" s="626" t="s">
        <v>293</v>
      </c>
      <c r="E51" s="627"/>
      <c r="F51" s="627"/>
      <c r="G51" s="627"/>
      <c r="H51" s="628"/>
      <c r="I51" s="628"/>
      <c r="J51" s="627"/>
      <c r="K51" s="629"/>
      <c r="L51" s="112"/>
      <c r="M51" s="630"/>
      <c r="N51" s="630"/>
      <c r="O51" s="630"/>
      <c r="P51" s="628"/>
      <c r="Q51" s="627" t="s">
        <v>294</v>
      </c>
      <c r="R51" s="631"/>
      <c r="S51" s="631"/>
      <c r="T51" s="491"/>
    </row>
    <row r="52" spans="1:20" ht="27.95" customHeight="1">
      <c r="A52" s="582"/>
      <c r="D52" s="632" t="s">
        <v>295</v>
      </c>
      <c r="E52" s="633"/>
      <c r="F52" s="633"/>
      <c r="G52" s="633"/>
      <c r="H52" s="628"/>
      <c r="I52" s="628"/>
      <c r="J52" s="634"/>
      <c r="K52" s="633"/>
      <c r="L52" s="117"/>
      <c r="M52" s="628"/>
      <c r="N52" s="628"/>
      <c r="O52" s="628"/>
      <c r="P52" s="635"/>
      <c r="Q52" s="633"/>
      <c r="R52" s="633"/>
      <c r="S52" s="633"/>
      <c r="T52" s="491"/>
    </row>
    <row r="53" spans="1:20">
      <c r="D53" s="1263" t="s">
        <v>296</v>
      </c>
      <c r="E53" s="1263"/>
      <c r="F53" s="1263"/>
      <c r="G53" s="1263"/>
      <c r="H53" s="1263"/>
      <c r="I53" s="1263"/>
      <c r="J53" s="1263"/>
      <c r="K53" s="1263"/>
      <c r="L53" s="1263"/>
      <c r="M53" s="1263"/>
      <c r="N53" s="1263"/>
      <c r="O53" s="1263"/>
      <c r="P53" s="1263"/>
      <c r="Q53" s="1263"/>
      <c r="R53" s="1263"/>
      <c r="S53" s="1263"/>
    </row>
    <row r="54" spans="1:20" ht="27.95" customHeight="1">
      <c r="D54" s="632" t="s">
        <v>297</v>
      </c>
      <c r="E54" s="631"/>
      <c r="F54" s="631"/>
      <c r="G54" s="631"/>
      <c r="H54" s="633"/>
      <c r="I54" s="631"/>
      <c r="J54" s="631"/>
      <c r="K54" s="636"/>
      <c r="L54" s="631"/>
      <c r="M54" s="628"/>
      <c r="N54" s="633"/>
      <c r="O54" s="637"/>
      <c r="P54" s="628"/>
      <c r="Q54" s="633"/>
      <c r="R54" s="633"/>
      <c r="S54" s="634"/>
    </row>
    <row r="55" spans="1:20" ht="27.95" customHeight="1">
      <c r="D55" s="638" t="s">
        <v>298</v>
      </c>
      <c r="E55" s="623"/>
      <c r="F55" s="639"/>
      <c r="G55" s="627"/>
      <c r="H55" s="623"/>
      <c r="I55" s="623"/>
      <c r="J55" s="640"/>
      <c r="K55" s="641"/>
      <c r="L55" s="630"/>
      <c r="M55" s="639"/>
      <c r="N55" s="627"/>
      <c r="O55" s="639"/>
      <c r="P55" s="630"/>
      <c r="Q55" s="623"/>
      <c r="R55" s="627"/>
      <c r="S55" s="630"/>
    </row>
    <row r="56" spans="1:20">
      <c r="D56" s="1262" t="s">
        <v>299</v>
      </c>
      <c r="E56" s="1263"/>
      <c r="F56" s="1263"/>
      <c r="G56" s="1263"/>
      <c r="H56" s="1263"/>
      <c r="I56" s="1263"/>
      <c r="J56" s="1263"/>
      <c r="K56" s="1263"/>
      <c r="L56" s="1263"/>
      <c r="M56" s="1263"/>
      <c r="N56" s="1263"/>
      <c r="O56" s="1263"/>
      <c r="P56" s="1263"/>
      <c r="Q56" s="1263"/>
      <c r="R56" s="1263"/>
      <c r="S56" s="1264"/>
    </row>
    <row r="57" spans="1:20" ht="27.95" customHeight="1">
      <c r="D57" s="118" t="s">
        <v>300</v>
      </c>
      <c r="E57" s="119"/>
      <c r="F57" s="119"/>
      <c r="G57" s="119"/>
      <c r="H57" s="120"/>
      <c r="I57" s="114"/>
      <c r="J57" s="121" t="s">
        <v>301</v>
      </c>
      <c r="K57" s="121"/>
      <c r="L57" s="120"/>
      <c r="M57" s="642"/>
      <c r="N57" s="122"/>
      <c r="O57" s="123"/>
      <c r="P57" s="123"/>
      <c r="Q57" s="124"/>
      <c r="R57" s="116"/>
      <c r="S57" s="125"/>
    </row>
    <row r="58" spans="1:20" ht="27.95" customHeight="1">
      <c r="D58" s="118" t="s">
        <v>302</v>
      </c>
      <c r="E58" s="120" t="s">
        <v>303</v>
      </c>
      <c r="F58" s="119"/>
      <c r="G58" s="116" t="s">
        <v>304</v>
      </c>
      <c r="H58" s="126"/>
      <c r="I58" s="120"/>
      <c r="J58" s="121" t="s">
        <v>305</v>
      </c>
      <c r="K58" s="120"/>
      <c r="L58" s="120"/>
      <c r="M58" s="116" t="s">
        <v>306</v>
      </c>
      <c r="N58" s="121"/>
      <c r="O58" s="113"/>
      <c r="P58" s="113"/>
      <c r="Q58" s="120"/>
      <c r="R58" s="127"/>
      <c r="S58" s="116"/>
    </row>
    <row r="59" spans="1:20" ht="27.75" customHeight="1">
      <c r="D59" s="128" t="s">
        <v>307</v>
      </c>
      <c r="E59" s="125"/>
      <c r="F59" s="116"/>
      <c r="G59" s="116"/>
      <c r="H59" s="120"/>
      <c r="I59" s="120" t="s">
        <v>308</v>
      </c>
      <c r="J59" s="120"/>
      <c r="K59" s="120"/>
      <c r="L59" s="120"/>
      <c r="M59" s="120"/>
      <c r="N59" s="120"/>
      <c r="O59" s="116"/>
      <c r="P59" s="120"/>
      <c r="Q59" s="120"/>
      <c r="R59" s="116"/>
      <c r="S59" s="120"/>
    </row>
    <row r="60" spans="1:20" ht="9.9499999999999993" customHeight="1">
      <c r="D60" s="643"/>
    </row>
    <row r="61" spans="1:20" ht="27.95" customHeight="1">
      <c r="D61" s="1222" t="s">
        <v>309</v>
      </c>
      <c r="E61" s="129"/>
      <c r="F61" s="11" t="s">
        <v>310</v>
      </c>
      <c r="G61" s="130"/>
      <c r="H61" s="131"/>
      <c r="I61" s="11"/>
      <c r="J61" s="11" t="s">
        <v>311</v>
      </c>
      <c r="K61" s="11"/>
      <c r="L61" s="39" t="s">
        <v>253</v>
      </c>
      <c r="M61" s="130"/>
      <c r="N61" s="130"/>
      <c r="O61" s="11"/>
      <c r="P61" s="11" t="s">
        <v>311</v>
      </c>
      <c r="Q61" s="11"/>
      <c r="R61" s="644"/>
      <c r="S61" s="645"/>
    </row>
    <row r="62" spans="1:20" ht="27.95" customHeight="1">
      <c r="D62" s="1223"/>
      <c r="G62" s="646"/>
      <c r="H62" s="132" t="s">
        <v>312</v>
      </c>
      <c r="I62" s="646"/>
      <c r="J62" s="646"/>
      <c r="K62" s="646"/>
      <c r="M62" s="647"/>
      <c r="N62" s="647"/>
      <c r="O62" s="647"/>
      <c r="P62" s="647"/>
      <c r="Q62" s="646"/>
      <c r="S62" s="648"/>
    </row>
    <row r="64" spans="1:20">
      <c r="F64" s="133"/>
      <c r="G64" s="133"/>
      <c r="H64" s="133"/>
      <c r="I64" s="133"/>
      <c r="J64" s="549"/>
      <c r="K64" s="600"/>
      <c r="L64" s="600"/>
      <c r="M64" s="549"/>
      <c r="N64" s="600"/>
      <c r="O64" s="549"/>
      <c r="P64" s="600"/>
      <c r="Q64" s="600"/>
      <c r="R64" s="600"/>
    </row>
  </sheetData>
  <mergeCells count="24">
    <mergeCell ref="U20:Z20"/>
    <mergeCell ref="U4:Z4"/>
    <mergeCell ref="U5:Z7"/>
    <mergeCell ref="U8:Z8"/>
    <mergeCell ref="U9:Z19"/>
    <mergeCell ref="P12:Q13"/>
    <mergeCell ref="B26:B27"/>
    <mergeCell ref="C26:D28"/>
    <mergeCell ref="P28:Q28"/>
    <mergeCell ref="A1:Q1"/>
    <mergeCell ref="A2:Q2"/>
    <mergeCell ref="C4:D11"/>
    <mergeCell ref="C14:D20"/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7E78-C242-4F48-8971-E35DAA371FD0}">
  <sheetPr>
    <pageSetUpPr fitToPage="1"/>
  </sheetPr>
  <dimension ref="A1:Z64"/>
  <sheetViews>
    <sheetView topLeftCell="A2" zoomScale="85" zoomScaleNormal="85" zoomScalePageLayoutView="80" workbookViewId="0">
      <selection activeCell="O12" sqref="O12"/>
    </sheetView>
  </sheetViews>
  <sheetFormatPr defaultRowHeight="16.5"/>
  <cols>
    <col min="1" max="1" width="3.25" style="651" customWidth="1"/>
    <col min="2" max="2" width="10" style="750" customWidth="1"/>
    <col min="3" max="4" width="11.875" style="750" customWidth="1"/>
    <col min="5" max="11" width="11.875" style="650" customWidth="1"/>
    <col min="12" max="12" width="2.625" style="774" customWidth="1"/>
    <col min="13" max="17" width="11.875" style="650" customWidth="1"/>
    <col min="18" max="18" width="11.875" style="649" hidden="1" customWidth="1"/>
    <col min="19" max="19" width="11.875" style="649" customWidth="1"/>
    <col min="20" max="20" width="1.625" style="650" customWidth="1"/>
    <col min="21" max="26" width="8.125" style="651" customWidth="1"/>
    <col min="27" max="16384" width="9" style="651"/>
  </cols>
  <sheetData>
    <row r="1" spans="1:26" ht="16.5" hidden="1" customHeight="1">
      <c r="A1" s="1350" t="s">
        <v>0</v>
      </c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</row>
    <row r="2" spans="1:26" ht="18" customHeight="1">
      <c r="A2" s="1352" t="s">
        <v>931</v>
      </c>
      <c r="B2" s="1353"/>
      <c r="C2" s="1353"/>
      <c r="D2" s="1353"/>
      <c r="E2" s="1353"/>
      <c r="F2" s="1353"/>
      <c r="G2" s="1353"/>
      <c r="H2" s="1353"/>
      <c r="I2" s="1353"/>
      <c r="J2" s="1353"/>
      <c r="K2" s="1353"/>
      <c r="L2" s="1353"/>
      <c r="M2" s="1353"/>
      <c r="N2" s="1353"/>
      <c r="O2" s="1353"/>
      <c r="P2" s="1353"/>
      <c r="Q2" s="1353"/>
    </row>
    <row r="3" spans="1:26" ht="21" customHeight="1" thickBot="1">
      <c r="A3" s="652"/>
      <c r="B3" s="653" t="s">
        <v>1</v>
      </c>
      <c r="C3" s="654" t="s">
        <v>2</v>
      </c>
      <c r="D3" s="654" t="s">
        <v>3</v>
      </c>
      <c r="E3" s="654" t="s">
        <v>4</v>
      </c>
      <c r="F3" s="654" t="s">
        <v>5</v>
      </c>
      <c r="G3" s="654" t="s">
        <v>6</v>
      </c>
      <c r="H3" s="654" t="s">
        <v>7</v>
      </c>
      <c r="I3" s="654" t="s">
        <v>8</v>
      </c>
      <c r="J3" s="654" t="s">
        <v>9</v>
      </c>
      <c r="K3" s="654" t="s">
        <v>10</v>
      </c>
      <c r="L3" s="655" t="s">
        <v>11</v>
      </c>
      <c r="M3" s="654" t="s">
        <v>12</v>
      </c>
      <c r="N3" s="654" t="s">
        <v>13</v>
      </c>
      <c r="O3" s="654" t="s">
        <v>14</v>
      </c>
      <c r="P3" s="654" t="s">
        <v>15</v>
      </c>
      <c r="Q3" s="654" t="s">
        <v>16</v>
      </c>
      <c r="R3" s="656">
        <f>AVERAGE(R4:R28)</f>
        <v>1</v>
      </c>
      <c r="S3" s="656"/>
    </row>
    <row r="4" spans="1:26" ht="27.95" customHeight="1" thickBot="1">
      <c r="A4" s="657">
        <v>1</v>
      </c>
      <c r="B4" s="658" t="s">
        <v>17</v>
      </c>
      <c r="C4" s="1354"/>
      <c r="D4" s="1355"/>
      <c r="E4" s="11" t="s">
        <v>18</v>
      </c>
      <c r="F4" s="659" t="s">
        <v>19</v>
      </c>
      <c r="G4" s="659" t="s">
        <v>20</v>
      </c>
      <c r="H4" s="660" t="s">
        <v>21</v>
      </c>
      <c r="I4" s="659" t="s">
        <v>22</v>
      </c>
      <c r="J4" s="659" t="s">
        <v>23</v>
      </c>
      <c r="K4" s="659" t="s">
        <v>24</v>
      </c>
      <c r="L4" s="659"/>
      <c r="M4" s="659" t="s">
        <v>25</v>
      </c>
      <c r="N4" s="661" t="s">
        <v>912</v>
      </c>
      <c r="O4" s="11" t="s">
        <v>27</v>
      </c>
      <c r="P4" s="11" t="s">
        <v>28</v>
      </c>
      <c r="Q4" s="659" t="s">
        <v>29</v>
      </c>
      <c r="R4" s="14">
        <f>(COUNTA(C4:Q4))/12</f>
        <v>1</v>
      </c>
      <c r="S4" s="14"/>
      <c r="U4" s="1367" t="s">
        <v>30</v>
      </c>
      <c r="V4" s="1368"/>
      <c r="W4" s="1368"/>
      <c r="X4" s="1368"/>
      <c r="Y4" s="1368"/>
      <c r="Z4" s="1369"/>
    </row>
    <row r="5" spans="1:26" ht="27.95" customHeight="1">
      <c r="A5" s="657">
        <v>2</v>
      </c>
      <c r="B5" s="662" t="s">
        <v>31</v>
      </c>
      <c r="C5" s="1356"/>
      <c r="D5" s="1357"/>
      <c r="E5" s="11" t="s">
        <v>32</v>
      </c>
      <c r="F5" s="659" t="s">
        <v>33</v>
      </c>
      <c r="G5" s="659" t="s">
        <v>34</v>
      </c>
      <c r="H5" s="659" t="s">
        <v>35</v>
      </c>
      <c r="I5" s="11" t="s">
        <v>36</v>
      </c>
      <c r="J5" s="11" t="s">
        <v>90</v>
      </c>
      <c r="K5" s="663" t="s">
        <v>37</v>
      </c>
      <c r="L5" s="659"/>
      <c r="M5" s="660" t="s">
        <v>38</v>
      </c>
      <c r="N5" s="664" t="s">
        <v>39</v>
      </c>
      <c r="O5" s="659" t="s">
        <v>40</v>
      </c>
      <c r="P5" s="11" t="s">
        <v>41</v>
      </c>
      <c r="Q5" s="659" t="s">
        <v>574</v>
      </c>
      <c r="R5" s="14">
        <f t="shared" ref="R5:R22" si="0">(COUNTA(C5:Q5))/12</f>
        <v>1</v>
      </c>
      <c r="S5" s="14"/>
      <c r="U5" s="1370" t="s">
        <v>937</v>
      </c>
      <c r="V5" s="1371"/>
      <c r="W5" s="1371"/>
      <c r="X5" s="1371"/>
      <c r="Y5" s="1371"/>
      <c r="Z5" s="1372"/>
    </row>
    <row r="6" spans="1:26" ht="27.75" customHeight="1">
      <c r="A6" s="657">
        <v>3</v>
      </c>
      <c r="B6" s="662" t="s">
        <v>42</v>
      </c>
      <c r="C6" s="1356"/>
      <c r="D6" s="1357"/>
      <c r="E6" s="659" t="s">
        <v>574</v>
      </c>
      <c r="F6" s="11" t="s">
        <v>44</v>
      </c>
      <c r="G6" s="659" t="s">
        <v>45</v>
      </c>
      <c r="H6" s="11" t="s">
        <v>43</v>
      </c>
      <c r="I6" s="659" t="s">
        <v>47</v>
      </c>
      <c r="J6" s="665" t="s">
        <v>586</v>
      </c>
      <c r="K6" s="659" t="s">
        <v>40</v>
      </c>
      <c r="L6" s="659"/>
      <c r="M6" s="11" t="s">
        <v>49</v>
      </c>
      <c r="N6" s="659" t="s">
        <v>320</v>
      </c>
      <c r="O6" s="659" t="s">
        <v>50</v>
      </c>
      <c r="P6" s="659" t="s">
        <v>51</v>
      </c>
      <c r="Q6" s="659" t="s">
        <v>52</v>
      </c>
      <c r="R6" s="14">
        <f t="shared" si="0"/>
        <v>1</v>
      </c>
      <c r="S6" s="14"/>
      <c r="U6" s="1373"/>
      <c r="V6" s="1374"/>
      <c r="W6" s="1374"/>
      <c r="X6" s="1374"/>
      <c r="Y6" s="1374"/>
      <c r="Z6" s="1375"/>
    </row>
    <row r="7" spans="1:26" ht="27.95" customHeight="1" thickBot="1">
      <c r="A7" s="657">
        <v>4</v>
      </c>
      <c r="B7" s="658" t="s">
        <v>53</v>
      </c>
      <c r="C7" s="1356"/>
      <c r="D7" s="1357"/>
      <c r="E7" s="11" t="s">
        <v>54</v>
      </c>
      <c r="F7" s="661" t="s">
        <v>912</v>
      </c>
      <c r="G7" s="659" t="s">
        <v>56</v>
      </c>
      <c r="H7" s="659" t="s">
        <v>57</v>
      </c>
      <c r="I7" s="659" t="s">
        <v>320</v>
      </c>
      <c r="J7" s="659" t="s">
        <v>56</v>
      </c>
      <c r="K7" s="666" t="s">
        <v>938</v>
      </c>
      <c r="L7" s="667"/>
      <c r="M7" s="665" t="s">
        <v>365</v>
      </c>
      <c r="N7" s="11" t="s">
        <v>28</v>
      </c>
      <c r="O7" s="659" t="s">
        <v>60</v>
      </c>
      <c r="P7" s="659" t="s">
        <v>61</v>
      </c>
      <c r="Q7" s="659" t="s">
        <v>62</v>
      </c>
      <c r="R7" s="14">
        <f t="shared" si="0"/>
        <v>1</v>
      </c>
      <c r="S7" s="14"/>
      <c r="U7" s="1376"/>
      <c r="V7" s="1377"/>
      <c r="W7" s="1377"/>
      <c r="X7" s="1377"/>
      <c r="Y7" s="1377"/>
      <c r="Z7" s="1378"/>
    </row>
    <row r="8" spans="1:26" ht="27.95" customHeight="1" thickBot="1">
      <c r="A8" s="657">
        <v>5</v>
      </c>
      <c r="B8" s="668" t="s">
        <v>63</v>
      </c>
      <c r="C8" s="1356"/>
      <c r="D8" s="1357"/>
      <c r="E8" s="659" t="s">
        <v>64</v>
      </c>
      <c r="F8" s="659" t="s">
        <v>584</v>
      </c>
      <c r="G8" s="669" t="s">
        <v>65</v>
      </c>
      <c r="H8" s="659" t="s">
        <v>66</v>
      </c>
      <c r="I8" s="11" t="s">
        <v>18</v>
      </c>
      <c r="J8" s="659" t="s">
        <v>68</v>
      </c>
      <c r="K8" s="670" t="s">
        <v>59</v>
      </c>
      <c r="L8" s="669"/>
      <c r="M8" s="663" t="s">
        <v>70</v>
      </c>
      <c r="N8" s="664" t="s">
        <v>71</v>
      </c>
      <c r="O8" s="671" t="s">
        <v>72</v>
      </c>
      <c r="P8" s="659" t="s">
        <v>73</v>
      </c>
      <c r="Q8" s="665" t="s">
        <v>74</v>
      </c>
      <c r="R8" s="14">
        <f>(COUNTA(C8:Q8))/12</f>
        <v>1</v>
      </c>
      <c r="S8" s="14"/>
      <c r="U8" s="1324" t="s">
        <v>75</v>
      </c>
      <c r="V8" s="1325"/>
      <c r="W8" s="1325"/>
      <c r="X8" s="1325"/>
      <c r="Y8" s="1325"/>
      <c r="Z8" s="1326"/>
    </row>
    <row r="9" spans="1:26" ht="27.95" customHeight="1">
      <c r="A9" s="657">
        <v>6</v>
      </c>
      <c r="B9" s="658" t="s">
        <v>76</v>
      </c>
      <c r="C9" s="1356"/>
      <c r="D9" s="1357"/>
      <c r="E9" s="665" t="s">
        <v>77</v>
      </c>
      <c r="F9" s="659" t="s">
        <v>78</v>
      </c>
      <c r="G9" s="11" t="s">
        <v>27</v>
      </c>
      <c r="H9" s="661" t="s">
        <v>911</v>
      </c>
      <c r="I9" s="11" t="s">
        <v>80</v>
      </c>
      <c r="J9" s="663" t="s">
        <v>24</v>
      </c>
      <c r="K9" s="11" t="s">
        <v>82</v>
      </c>
      <c r="L9" s="659"/>
      <c r="M9" s="664" t="s">
        <v>83</v>
      </c>
      <c r="N9" s="659" t="s">
        <v>20</v>
      </c>
      <c r="O9" s="11" t="s">
        <v>392</v>
      </c>
      <c r="P9" s="659" t="s">
        <v>84</v>
      </c>
      <c r="Q9" s="22" t="s">
        <v>85</v>
      </c>
      <c r="R9" s="14">
        <f>(COUNTA(C9:Q9))/12</f>
        <v>1</v>
      </c>
      <c r="S9" s="14"/>
      <c r="U9" s="1379" t="s">
        <v>930</v>
      </c>
      <c r="V9" s="1380"/>
      <c r="W9" s="1380"/>
      <c r="X9" s="1380"/>
      <c r="Y9" s="1380"/>
      <c r="Z9" s="1381"/>
    </row>
    <row r="10" spans="1:26" ht="27.75" customHeight="1">
      <c r="A10" s="657">
        <v>7</v>
      </c>
      <c r="B10" s="658" t="s">
        <v>86</v>
      </c>
      <c r="C10" s="1356"/>
      <c r="D10" s="1357"/>
      <c r="E10" s="659" t="s">
        <v>317</v>
      </c>
      <c r="F10" s="670" t="s">
        <v>939</v>
      </c>
      <c r="G10" s="11" t="s">
        <v>88</v>
      </c>
      <c r="H10" s="659" t="s">
        <v>46</v>
      </c>
      <c r="I10" s="672" t="s">
        <v>70</v>
      </c>
      <c r="J10" s="673" t="s">
        <v>357</v>
      </c>
      <c r="K10" s="674" t="s">
        <v>900</v>
      </c>
      <c r="L10" s="675"/>
      <c r="M10" s="665" t="s">
        <v>586</v>
      </c>
      <c r="N10" s="11" t="s">
        <v>91</v>
      </c>
      <c r="O10" s="659" t="s">
        <v>20</v>
      </c>
      <c r="P10" s="661" t="s">
        <v>26</v>
      </c>
      <c r="Q10" s="659" t="s">
        <v>94</v>
      </c>
      <c r="R10" s="14">
        <f>(COUNTA(C10:Q10))/12</f>
        <v>1</v>
      </c>
      <c r="S10" s="14"/>
      <c r="U10" s="1382"/>
      <c r="V10" s="1383"/>
      <c r="W10" s="1383"/>
      <c r="X10" s="1383"/>
      <c r="Y10" s="1383"/>
      <c r="Z10" s="1384"/>
    </row>
    <row r="11" spans="1:26" ht="27.95" customHeight="1">
      <c r="A11" s="657">
        <v>8</v>
      </c>
      <c r="B11" s="676" t="s">
        <v>95</v>
      </c>
      <c r="C11" s="1358"/>
      <c r="D11" s="1359"/>
      <c r="E11" s="11" t="s">
        <v>96</v>
      </c>
      <c r="F11" s="11" t="s">
        <v>934</v>
      </c>
      <c r="G11" s="11" t="s">
        <v>52</v>
      </c>
      <c r="H11" s="659" t="s">
        <v>27</v>
      </c>
      <c r="I11" s="659" t="s">
        <v>98</v>
      </c>
      <c r="J11" s="665" t="s">
        <v>96</v>
      </c>
      <c r="K11" s="665" t="s">
        <v>99</v>
      </c>
      <c r="L11" s="659"/>
      <c r="M11" s="659" t="s">
        <v>66</v>
      </c>
      <c r="N11" s="665" t="s">
        <v>55</v>
      </c>
      <c r="O11" s="659" t="s">
        <v>101</v>
      </c>
      <c r="P11" s="659" t="s">
        <v>21</v>
      </c>
      <c r="Q11" s="659" t="s">
        <v>56</v>
      </c>
      <c r="R11" s="14">
        <f>(COUNTA(C11:Q11))/12</f>
        <v>1</v>
      </c>
      <c r="S11" s="14"/>
      <c r="U11" s="1382"/>
      <c r="V11" s="1383"/>
      <c r="W11" s="1383"/>
      <c r="X11" s="1383"/>
      <c r="Y11" s="1383"/>
      <c r="Z11" s="1384"/>
    </row>
    <row r="12" spans="1:26" ht="27.95" customHeight="1">
      <c r="A12" s="657">
        <v>9</v>
      </c>
      <c r="B12" s="662" t="s">
        <v>103</v>
      </c>
      <c r="C12" s="677" t="s">
        <v>324</v>
      </c>
      <c r="D12" s="678" t="s">
        <v>326</v>
      </c>
      <c r="E12" s="11" t="s">
        <v>80</v>
      </c>
      <c r="F12" s="22" t="s">
        <v>105</v>
      </c>
      <c r="G12" s="679" t="s">
        <v>757</v>
      </c>
      <c r="H12" s="22" t="s">
        <v>85</v>
      </c>
      <c r="I12" s="665" t="s">
        <v>107</v>
      </c>
      <c r="J12" s="663" t="s">
        <v>108</v>
      </c>
      <c r="K12" s="659" t="s">
        <v>22</v>
      </c>
      <c r="L12" s="665"/>
      <c r="M12" s="22" t="s">
        <v>109</v>
      </c>
      <c r="N12" s="665" t="s">
        <v>90</v>
      </c>
      <c r="O12" s="18" t="s">
        <v>54</v>
      </c>
      <c r="P12" s="1043"/>
      <c r="Q12" s="1044"/>
      <c r="R12" s="14">
        <f t="shared" si="0"/>
        <v>1</v>
      </c>
      <c r="S12" s="14"/>
      <c r="U12" s="1382"/>
      <c r="V12" s="1383"/>
      <c r="W12" s="1383"/>
      <c r="X12" s="1383"/>
      <c r="Y12" s="1383"/>
      <c r="Z12" s="1384"/>
    </row>
    <row r="13" spans="1:26" ht="27.95" customHeight="1" thickBot="1">
      <c r="A13" s="657">
        <v>10</v>
      </c>
      <c r="B13" s="668" t="s">
        <v>111</v>
      </c>
      <c r="C13" s="680" t="s">
        <v>323</v>
      </c>
      <c r="D13" s="680" t="s">
        <v>325</v>
      </c>
      <c r="E13" s="11" t="s">
        <v>82</v>
      </c>
      <c r="F13" s="681" t="s">
        <v>114</v>
      </c>
      <c r="G13" s="681" t="s">
        <v>115</v>
      </c>
      <c r="H13" s="681" t="s">
        <v>116</v>
      </c>
      <c r="I13" s="682" t="s">
        <v>777</v>
      </c>
      <c r="J13" s="681" t="s">
        <v>112</v>
      </c>
      <c r="K13" s="681" t="s">
        <v>25</v>
      </c>
      <c r="L13" s="26"/>
      <c r="M13" s="27" t="s">
        <v>120</v>
      </c>
      <c r="N13" s="670" t="s">
        <v>630</v>
      </c>
      <c r="O13" s="659" t="s">
        <v>62</v>
      </c>
      <c r="P13" s="1045"/>
      <c r="Q13" s="1046"/>
      <c r="R13" s="14">
        <f t="shared" si="0"/>
        <v>1</v>
      </c>
      <c r="S13" s="14"/>
      <c r="U13" s="1382"/>
      <c r="V13" s="1383"/>
      <c r="W13" s="1383"/>
      <c r="X13" s="1383"/>
      <c r="Y13" s="1383"/>
      <c r="Z13" s="1384"/>
    </row>
    <row r="14" spans="1:26" ht="27.95" customHeight="1">
      <c r="A14" s="683">
        <v>11</v>
      </c>
      <c r="B14" s="684" t="s">
        <v>123</v>
      </c>
      <c r="C14" s="1360"/>
      <c r="D14" s="1361"/>
      <c r="E14" s="685" t="s">
        <v>124</v>
      </c>
      <c r="F14" s="685" t="s">
        <v>125</v>
      </c>
      <c r="G14" s="685" t="s">
        <v>126</v>
      </c>
      <c r="H14" s="671" t="s">
        <v>127</v>
      </c>
      <c r="I14" s="685" t="s">
        <v>128</v>
      </c>
      <c r="J14" s="31" t="s">
        <v>129</v>
      </c>
      <c r="K14" s="665" t="s">
        <v>130</v>
      </c>
      <c r="L14" s="686"/>
      <c r="M14" s="665" t="s">
        <v>131</v>
      </c>
      <c r="N14" s="685" t="s">
        <v>132</v>
      </c>
      <c r="O14" s="686" t="s">
        <v>133</v>
      </c>
      <c r="P14" s="687" t="s">
        <v>134</v>
      </c>
      <c r="Q14" s="685" t="s">
        <v>135</v>
      </c>
      <c r="R14" s="14">
        <f t="shared" si="0"/>
        <v>1</v>
      </c>
      <c r="S14" s="14"/>
      <c r="U14" s="1382"/>
      <c r="V14" s="1383"/>
      <c r="W14" s="1383"/>
      <c r="X14" s="1383"/>
      <c r="Y14" s="1383"/>
      <c r="Z14" s="1384"/>
    </row>
    <row r="15" spans="1:26" ht="27.95" customHeight="1">
      <c r="A15" s="688">
        <v>12</v>
      </c>
      <c r="B15" s="689" t="s">
        <v>136</v>
      </c>
      <c r="C15" s="1320"/>
      <c r="D15" s="1321"/>
      <c r="E15" s="11" t="s">
        <v>131</v>
      </c>
      <c r="F15" s="671" t="s">
        <v>138</v>
      </c>
      <c r="G15" s="660" t="s">
        <v>899</v>
      </c>
      <c r="H15" s="11" t="s">
        <v>140</v>
      </c>
      <c r="I15" s="670" t="s">
        <v>681</v>
      </c>
      <c r="J15" s="11" t="s">
        <v>142</v>
      </c>
      <c r="K15" s="670" t="s">
        <v>216</v>
      </c>
      <c r="L15" s="659"/>
      <c r="M15" s="661" t="s">
        <v>144</v>
      </c>
      <c r="N15" s="659" t="s">
        <v>145</v>
      </c>
      <c r="O15" s="11" t="s">
        <v>146</v>
      </c>
      <c r="P15" s="659" t="s">
        <v>147</v>
      </c>
      <c r="Q15" s="663" t="s">
        <v>148</v>
      </c>
      <c r="R15" s="14">
        <f t="shared" si="0"/>
        <v>1</v>
      </c>
      <c r="S15" s="14"/>
      <c r="U15" s="1382"/>
      <c r="V15" s="1383"/>
      <c r="W15" s="1383"/>
      <c r="X15" s="1383"/>
      <c r="Y15" s="1383"/>
      <c r="Z15" s="1384"/>
    </row>
    <row r="16" spans="1:26" ht="27.95" customHeight="1">
      <c r="A16" s="688">
        <v>13</v>
      </c>
      <c r="B16" s="692" t="s">
        <v>332</v>
      </c>
      <c r="C16" s="1320"/>
      <c r="D16" s="1321"/>
      <c r="E16" s="693" t="s">
        <v>940</v>
      </c>
      <c r="F16" s="694" t="s">
        <v>151</v>
      </c>
      <c r="G16" s="169"/>
      <c r="H16" s="695"/>
      <c r="I16" s="169"/>
      <c r="J16" s="694" t="s">
        <v>152</v>
      </c>
      <c r="K16" s="693" t="s">
        <v>941</v>
      </c>
      <c r="L16" s="695"/>
      <c r="M16" s="693" t="s">
        <v>154</v>
      </c>
      <c r="N16" s="169" t="s">
        <v>155</v>
      </c>
      <c r="O16" s="693" t="s">
        <v>942</v>
      </c>
      <c r="P16" s="189" t="s">
        <v>943</v>
      </c>
      <c r="Q16" s="696" t="s">
        <v>944</v>
      </c>
      <c r="R16" s="14"/>
      <c r="S16" s="14"/>
      <c r="U16" s="1382"/>
      <c r="V16" s="1383"/>
      <c r="W16" s="1383"/>
      <c r="X16" s="1383"/>
      <c r="Y16" s="1383"/>
      <c r="Z16" s="1384"/>
    </row>
    <row r="17" spans="1:26" ht="27.95" customHeight="1">
      <c r="A17" s="688">
        <v>14</v>
      </c>
      <c r="B17" s="697" t="s">
        <v>925</v>
      </c>
      <c r="C17" s="1320"/>
      <c r="D17" s="1321"/>
      <c r="E17" s="698"/>
      <c r="F17" s="169"/>
      <c r="G17" s="696" t="s">
        <v>945</v>
      </c>
      <c r="H17" s="693" t="s">
        <v>162</v>
      </c>
      <c r="I17" s="696" t="s">
        <v>946</v>
      </c>
      <c r="J17" s="699" t="s">
        <v>163</v>
      </c>
      <c r="K17" s="698" t="s">
        <v>164</v>
      </c>
      <c r="L17" s="700"/>
      <c r="M17" s="698" t="s">
        <v>165</v>
      </c>
      <c r="N17" s="701" t="s">
        <v>947</v>
      </c>
      <c r="O17" s="696" t="s">
        <v>948</v>
      </c>
      <c r="P17" s="137"/>
      <c r="Q17" s="702"/>
      <c r="R17" s="14"/>
      <c r="S17" s="14"/>
      <c r="U17" s="1382"/>
      <c r="V17" s="1383"/>
      <c r="W17" s="1383"/>
      <c r="X17" s="1383"/>
      <c r="Y17" s="1383"/>
      <c r="Z17" s="1384"/>
    </row>
    <row r="18" spans="1:26" ht="27.95" customHeight="1">
      <c r="A18" s="688">
        <v>15</v>
      </c>
      <c r="B18" s="668" t="s">
        <v>170</v>
      </c>
      <c r="C18" s="1320"/>
      <c r="D18" s="1321"/>
      <c r="E18" s="659" t="s">
        <v>171</v>
      </c>
      <c r="F18" s="11" t="s">
        <v>172</v>
      </c>
      <c r="G18" s="11" t="s">
        <v>155</v>
      </c>
      <c r="H18" s="661" t="s">
        <v>913</v>
      </c>
      <c r="I18" s="703" t="s">
        <v>587</v>
      </c>
      <c r="J18" s="659" t="s">
        <v>175</v>
      </c>
      <c r="K18" s="659" t="s">
        <v>176</v>
      </c>
      <c r="L18" s="659"/>
      <c r="M18" s="659" t="s">
        <v>177</v>
      </c>
      <c r="N18" s="11" t="s">
        <v>178</v>
      </c>
      <c r="O18" s="659" t="s">
        <v>319</v>
      </c>
      <c r="P18" s="659" t="s">
        <v>179</v>
      </c>
      <c r="Q18" s="335" t="s">
        <v>949</v>
      </c>
      <c r="R18" s="14">
        <f>(COUNTA(C18:Q18))/12</f>
        <v>1</v>
      </c>
      <c r="S18" s="14"/>
      <c r="U18" s="1382"/>
      <c r="V18" s="1383"/>
      <c r="W18" s="1383"/>
      <c r="X18" s="1383"/>
      <c r="Y18" s="1383"/>
      <c r="Z18" s="1384"/>
    </row>
    <row r="19" spans="1:26" ht="27.95" customHeight="1" thickBot="1">
      <c r="A19" s="688">
        <v>16</v>
      </c>
      <c r="B19" s="668" t="s">
        <v>180</v>
      </c>
      <c r="C19" s="1320"/>
      <c r="D19" s="1321"/>
      <c r="E19" s="671" t="s">
        <v>181</v>
      </c>
      <c r="F19" s="155" t="s">
        <v>783</v>
      </c>
      <c r="G19" s="11" t="s">
        <v>183</v>
      </c>
      <c r="H19" s="11" t="s">
        <v>184</v>
      </c>
      <c r="I19" s="663" t="s">
        <v>185</v>
      </c>
      <c r="J19" s="659" t="s">
        <v>575</v>
      </c>
      <c r="K19" s="11" t="s">
        <v>186</v>
      </c>
      <c r="L19" s="39"/>
      <c r="M19" s="659" t="s">
        <v>577</v>
      </c>
      <c r="N19" s="659" t="s">
        <v>187</v>
      </c>
      <c r="O19" s="665" t="s">
        <v>188</v>
      </c>
      <c r="P19" s="670" t="s">
        <v>496</v>
      </c>
      <c r="Q19" s="663" t="s">
        <v>190</v>
      </c>
      <c r="R19" s="14">
        <f t="shared" si="0"/>
        <v>1</v>
      </c>
      <c r="S19" s="14"/>
      <c r="U19" s="1385"/>
      <c r="V19" s="1386"/>
      <c r="W19" s="1386"/>
      <c r="X19" s="1386"/>
      <c r="Y19" s="1386"/>
      <c r="Z19" s="1387"/>
    </row>
    <row r="20" spans="1:26" ht="27.95" customHeight="1" thickBot="1">
      <c r="A20" s="688">
        <v>17</v>
      </c>
      <c r="B20" s="704" t="s">
        <v>328</v>
      </c>
      <c r="C20" s="1362"/>
      <c r="D20" s="1363"/>
      <c r="E20" s="694" t="s">
        <v>187</v>
      </c>
      <c r="F20" s="694"/>
      <c r="G20" s="694"/>
      <c r="H20" s="702" t="s">
        <v>194</v>
      </c>
      <c r="I20" s="694"/>
      <c r="J20" s="698" t="s">
        <v>196</v>
      </c>
      <c r="K20" s="694" t="s">
        <v>175</v>
      </c>
      <c r="L20" s="695"/>
      <c r="M20" s="694"/>
      <c r="N20" s="698"/>
      <c r="O20" s="698" t="s">
        <v>587</v>
      </c>
      <c r="P20" s="694"/>
      <c r="Q20" s="693" t="s">
        <v>950</v>
      </c>
      <c r="R20" s="14"/>
      <c r="S20" s="14"/>
      <c r="U20" s="1364" t="s">
        <v>201</v>
      </c>
      <c r="V20" s="1365"/>
      <c r="W20" s="1365"/>
      <c r="X20" s="1365"/>
      <c r="Y20" s="1365"/>
      <c r="Z20" s="1366"/>
    </row>
    <row r="21" spans="1:26" ht="27.95" customHeight="1">
      <c r="A21" s="688">
        <v>18</v>
      </c>
      <c r="B21" s="689" t="s">
        <v>202</v>
      </c>
      <c r="C21" s="706" t="s">
        <v>327</v>
      </c>
      <c r="D21" s="707" t="s">
        <v>265</v>
      </c>
      <c r="E21" s="659" t="s">
        <v>203</v>
      </c>
      <c r="F21" s="659" t="s">
        <v>576</v>
      </c>
      <c r="G21" s="11" t="s">
        <v>204</v>
      </c>
      <c r="H21" s="11" t="s">
        <v>205</v>
      </c>
      <c r="I21" s="659" t="s">
        <v>161</v>
      </c>
      <c r="J21" s="663" t="s">
        <v>206</v>
      </c>
      <c r="K21" s="671" t="s">
        <v>138</v>
      </c>
      <c r="L21" s="659"/>
      <c r="M21" s="11" t="s">
        <v>921</v>
      </c>
      <c r="N21" s="659" t="s">
        <v>208</v>
      </c>
      <c r="O21" s="659" t="s">
        <v>125</v>
      </c>
      <c r="P21" s="1307"/>
      <c r="Q21" s="1308"/>
      <c r="R21" s="14">
        <f t="shared" si="0"/>
        <v>1</v>
      </c>
      <c r="S21" s="14"/>
      <c r="U21" s="1311" t="s">
        <v>933</v>
      </c>
      <c r="V21" s="1312"/>
      <c r="W21" s="1312"/>
      <c r="X21" s="1312"/>
      <c r="Y21" s="1312"/>
      <c r="Z21" s="1313"/>
    </row>
    <row r="22" spans="1:26" ht="27.95" customHeight="1" thickBot="1">
      <c r="A22" s="708">
        <v>19</v>
      </c>
      <c r="B22" s="709" t="s">
        <v>210</v>
      </c>
      <c r="C22" s="710" t="s">
        <v>481</v>
      </c>
      <c r="D22" s="711" t="s">
        <v>327</v>
      </c>
      <c r="E22" s="27" t="s">
        <v>212</v>
      </c>
      <c r="F22" s="27" t="s">
        <v>213</v>
      </c>
      <c r="G22" s="681" t="s">
        <v>198</v>
      </c>
      <c r="H22" s="27" t="s">
        <v>214</v>
      </c>
      <c r="I22" s="712" t="s">
        <v>215</v>
      </c>
      <c r="J22" s="681" t="s">
        <v>138</v>
      </c>
      <c r="K22" s="713" t="s">
        <v>951</v>
      </c>
      <c r="L22" s="712"/>
      <c r="M22" s="681" t="s">
        <v>217</v>
      </c>
      <c r="N22" s="712" t="s">
        <v>218</v>
      </c>
      <c r="O22" s="681" t="s">
        <v>161</v>
      </c>
      <c r="P22" s="1309"/>
      <c r="Q22" s="1310"/>
      <c r="R22" s="14">
        <f t="shared" si="0"/>
        <v>1</v>
      </c>
      <c r="S22" s="14"/>
      <c r="U22" s="1314"/>
      <c r="V22" s="1315"/>
      <c r="W22" s="1315"/>
      <c r="X22" s="1315"/>
      <c r="Y22" s="1315"/>
      <c r="Z22" s="1316"/>
    </row>
    <row r="23" spans="1:26" ht="27.95" customHeight="1" thickBot="1">
      <c r="A23" s="714" t="s">
        <v>219</v>
      </c>
      <c r="B23" s="705" t="s">
        <v>220</v>
      </c>
      <c r="C23" s="1320"/>
      <c r="D23" s="1321"/>
      <c r="E23" s="665"/>
      <c r="F23" s="659" t="s">
        <v>318</v>
      </c>
      <c r="G23" s="22" t="s">
        <v>221</v>
      </c>
      <c r="H23" s="665"/>
      <c r="I23" s="665" t="s">
        <v>222</v>
      </c>
      <c r="J23" s="715" t="s">
        <v>218</v>
      </c>
      <c r="K23" s="665"/>
      <c r="L23" s="716"/>
      <c r="M23" s="665"/>
      <c r="N23" s="665" t="s">
        <v>175</v>
      </c>
      <c r="O23" s="22" t="s">
        <v>223</v>
      </c>
      <c r="P23" s="717"/>
      <c r="Q23" s="665" t="s">
        <v>163</v>
      </c>
      <c r="R23" s="14">
        <f>(COUNTA(C23:Q23))/7</f>
        <v>1</v>
      </c>
      <c r="S23" s="14"/>
      <c r="U23" s="1317"/>
      <c r="V23" s="1318"/>
      <c r="W23" s="1318"/>
      <c r="X23" s="1318"/>
      <c r="Y23" s="1318"/>
      <c r="Z23" s="1319"/>
    </row>
    <row r="24" spans="1:26" s="721" customFormat="1" ht="27.95" customHeight="1" thickBot="1">
      <c r="A24" s="718"/>
      <c r="B24" s="709" t="s">
        <v>225</v>
      </c>
      <c r="C24" s="1322"/>
      <c r="D24" s="1323"/>
      <c r="E24" s="682" t="s">
        <v>952</v>
      </c>
      <c r="F24" s="665" t="s">
        <v>929</v>
      </c>
      <c r="G24" s="27" t="s">
        <v>166</v>
      </c>
      <c r="H24" s="27" t="s">
        <v>221</v>
      </c>
      <c r="I24" s="681" t="s">
        <v>229</v>
      </c>
      <c r="J24" s="27" t="s">
        <v>230</v>
      </c>
      <c r="K24" s="719" t="s">
        <v>231</v>
      </c>
      <c r="L24" s="681"/>
      <c r="M24" s="27" t="s">
        <v>176</v>
      </c>
      <c r="N24" s="720" t="s">
        <v>227</v>
      </c>
      <c r="O24" s="720" t="s">
        <v>935</v>
      </c>
      <c r="P24" s="665" t="s">
        <v>198</v>
      </c>
      <c r="Q24" s="18" t="s">
        <v>160</v>
      </c>
      <c r="R24" s="14">
        <f>(COUNTA(C24:Q24))/12</f>
        <v>1</v>
      </c>
      <c r="S24" s="14"/>
      <c r="T24" s="650"/>
      <c r="U24" s="1324" t="s">
        <v>233</v>
      </c>
      <c r="V24" s="1325"/>
      <c r="W24" s="1325"/>
      <c r="X24" s="1325"/>
      <c r="Y24" s="1325"/>
      <c r="Z24" s="1326"/>
    </row>
    <row r="25" spans="1:26" ht="9.9499999999999993" customHeight="1" thickBot="1">
      <c r="A25" s="722"/>
      <c r="B25" s="723"/>
      <c r="C25" s="690"/>
      <c r="D25" s="691"/>
      <c r="E25" s="724"/>
      <c r="F25" s="725"/>
      <c r="G25" s="726"/>
      <c r="H25" s="56"/>
      <c r="I25" s="724"/>
      <c r="J25" s="727"/>
      <c r="K25" s="724"/>
      <c r="L25" s="724"/>
      <c r="M25" s="56"/>
      <c r="N25" s="725"/>
      <c r="O25" s="728"/>
      <c r="P25" s="724"/>
      <c r="Q25" s="724"/>
      <c r="U25" s="1327" t="s">
        <v>953</v>
      </c>
      <c r="V25" s="1328"/>
      <c r="W25" s="1328"/>
      <c r="X25" s="1328"/>
      <c r="Y25" s="1328"/>
      <c r="Z25" s="1329"/>
    </row>
    <row r="26" spans="1:26" ht="120" customHeight="1">
      <c r="A26" s="729"/>
      <c r="B26" s="1047" t="s">
        <v>234</v>
      </c>
      <c r="C26" s="1049"/>
      <c r="D26" s="1050"/>
      <c r="E26" s="685" t="s">
        <v>235</v>
      </c>
      <c r="F26" s="685" t="s">
        <v>954</v>
      </c>
      <c r="G26" s="685" t="s">
        <v>581</v>
      </c>
      <c r="H26" s="685" t="s">
        <v>922</v>
      </c>
      <c r="I26" s="685" t="s">
        <v>955</v>
      </c>
      <c r="J26" s="730" t="s">
        <v>918</v>
      </c>
      <c r="K26" s="731" t="s">
        <v>936</v>
      </c>
      <c r="L26" s="732"/>
      <c r="M26" s="685" t="s">
        <v>888</v>
      </c>
      <c r="N26" s="685" t="s">
        <v>923</v>
      </c>
      <c r="O26" s="685" t="s">
        <v>956</v>
      </c>
      <c r="P26" s="685" t="s">
        <v>958</v>
      </c>
      <c r="Q26" s="685" t="s">
        <v>239</v>
      </c>
      <c r="R26" s="14">
        <f>(COUNTA(C26:Q26))/12</f>
        <v>1</v>
      </c>
      <c r="S26" s="14"/>
      <c r="U26" s="1330"/>
      <c r="V26" s="1331"/>
      <c r="W26" s="1331"/>
      <c r="X26" s="1331"/>
      <c r="Y26" s="1331"/>
      <c r="Z26" s="1332"/>
    </row>
    <row r="27" spans="1:26" ht="120" customHeight="1">
      <c r="A27" s="733"/>
      <c r="B27" s="1048"/>
      <c r="C27" s="1051"/>
      <c r="D27" s="1052"/>
      <c r="E27" s="659" t="s">
        <v>926</v>
      </c>
      <c r="F27" s="661" t="s">
        <v>810</v>
      </c>
      <c r="G27" s="659" t="s">
        <v>927</v>
      </c>
      <c r="H27" s="659" t="s">
        <v>588</v>
      </c>
      <c r="I27" s="659" t="s">
        <v>813</v>
      </c>
      <c r="J27" s="659" t="s">
        <v>907</v>
      </c>
      <c r="K27" s="659" t="s">
        <v>240</v>
      </c>
      <c r="L27" s="659"/>
      <c r="M27" s="659" t="s">
        <v>895</v>
      </c>
      <c r="N27" s="659" t="s">
        <v>898</v>
      </c>
      <c r="O27" s="659" t="s">
        <v>590</v>
      </c>
      <c r="P27" s="659" t="s">
        <v>917</v>
      </c>
      <c r="Q27" s="659" t="s">
        <v>908</v>
      </c>
      <c r="U27" s="1330"/>
      <c r="V27" s="1331"/>
      <c r="W27" s="1331"/>
      <c r="X27" s="1331"/>
      <c r="Y27" s="1331"/>
      <c r="Z27" s="1332"/>
    </row>
    <row r="28" spans="1:26" ht="120" customHeight="1" thickBot="1">
      <c r="A28" s="734"/>
      <c r="B28" s="709" t="s">
        <v>241</v>
      </c>
      <c r="C28" s="1053"/>
      <c r="D28" s="1054"/>
      <c r="E28" s="735" t="s">
        <v>242</v>
      </c>
      <c r="F28" s="681" t="s">
        <v>329</v>
      </c>
      <c r="G28" s="720" t="s">
        <v>932</v>
      </c>
      <c r="H28" s="681" t="s">
        <v>243</v>
      </c>
      <c r="I28" s="681" t="s">
        <v>244</v>
      </c>
      <c r="J28" s="681" t="s">
        <v>924</v>
      </c>
      <c r="K28" s="681" t="s">
        <v>578</v>
      </c>
      <c r="L28" s="712"/>
      <c r="M28" s="681" t="s">
        <v>916</v>
      </c>
      <c r="N28" s="720" t="s">
        <v>920</v>
      </c>
      <c r="O28" s="681" t="s">
        <v>579</v>
      </c>
      <c r="P28" s="1348" t="s">
        <v>242</v>
      </c>
      <c r="Q28" s="1349"/>
      <c r="R28" s="14">
        <f>(COUNTA(F28:O28))/9</f>
        <v>1</v>
      </c>
      <c r="S28" s="14"/>
      <c r="U28" s="1330"/>
      <c r="V28" s="1331"/>
      <c r="W28" s="1331"/>
      <c r="X28" s="1331"/>
      <c r="Y28" s="1331"/>
      <c r="Z28" s="1332"/>
    </row>
    <row r="29" spans="1:26" ht="27.95" customHeight="1" thickBot="1">
      <c r="A29" s="736"/>
      <c r="B29" s="737" t="s">
        <v>247</v>
      </c>
      <c r="C29" s="66"/>
      <c r="D29" s="67"/>
      <c r="E29" s="738"/>
      <c r="F29" s="738"/>
      <c r="G29" s="738"/>
      <c r="H29" s="739"/>
      <c r="I29" s="740"/>
      <c r="J29" s="739"/>
      <c r="K29" s="739"/>
      <c r="L29" s="741"/>
      <c r="M29" s="740"/>
      <c r="N29" s="739"/>
      <c r="O29" s="739"/>
      <c r="P29" s="742"/>
      <c r="Q29" s="742"/>
      <c r="R29" s="14"/>
      <c r="S29" s="14"/>
      <c r="U29" s="1330"/>
      <c r="V29" s="1331"/>
      <c r="W29" s="1331"/>
      <c r="X29" s="1331"/>
      <c r="Y29" s="1331"/>
      <c r="Z29" s="1332"/>
    </row>
    <row r="30" spans="1:26" ht="9.9499999999999993" customHeight="1" thickBot="1">
      <c r="A30" s="743"/>
      <c r="B30" s="743"/>
      <c r="C30" s="743"/>
      <c r="D30" s="743"/>
      <c r="E30" s="743"/>
      <c r="F30" s="743"/>
      <c r="G30" s="743"/>
      <c r="H30" s="743"/>
      <c r="I30" s="743"/>
      <c r="J30" s="743"/>
      <c r="K30" s="743"/>
      <c r="L30" s="743"/>
      <c r="M30" s="743"/>
      <c r="N30" s="743"/>
      <c r="O30" s="743"/>
      <c r="P30" s="743"/>
      <c r="Q30" s="743"/>
      <c r="U30" s="1333"/>
      <c r="V30" s="1334"/>
      <c r="W30" s="1334"/>
      <c r="X30" s="1334"/>
      <c r="Y30" s="1334"/>
      <c r="Z30" s="1335"/>
    </row>
    <row r="31" spans="1:26" ht="27.95" customHeight="1">
      <c r="A31" s="744"/>
      <c r="B31" s="745"/>
      <c r="C31" s="745"/>
      <c r="D31" s="746" t="s">
        <v>248</v>
      </c>
      <c r="E31" s="747" t="s">
        <v>249</v>
      </c>
      <c r="F31" s="747" t="s">
        <v>5</v>
      </c>
      <c r="G31" s="747" t="s">
        <v>6</v>
      </c>
      <c r="H31" s="747" t="s">
        <v>250</v>
      </c>
      <c r="I31" s="747" t="s">
        <v>8</v>
      </c>
      <c r="J31" s="747" t="s">
        <v>251</v>
      </c>
      <c r="K31" s="747" t="s">
        <v>252</v>
      </c>
      <c r="L31" s="748" t="s">
        <v>253</v>
      </c>
      <c r="M31" s="747" t="s">
        <v>254</v>
      </c>
      <c r="N31" s="747" t="s">
        <v>13</v>
      </c>
      <c r="O31" s="747" t="s">
        <v>14</v>
      </c>
      <c r="P31" s="747" t="s">
        <v>15</v>
      </c>
      <c r="Q31" s="749" t="s">
        <v>16</v>
      </c>
      <c r="U31" s="1336" t="s">
        <v>255</v>
      </c>
      <c r="V31" s="1337"/>
      <c r="W31" s="1337"/>
      <c r="X31" s="1337"/>
      <c r="Y31" s="1337"/>
      <c r="Z31" s="1338"/>
    </row>
    <row r="32" spans="1:26" ht="27.95" customHeight="1">
      <c r="D32" s="751" t="s">
        <v>256</v>
      </c>
      <c r="E32" s="667" t="s">
        <v>47</v>
      </c>
      <c r="F32" s="659" t="s">
        <v>35</v>
      </c>
      <c r="G32" s="659" t="s">
        <v>112</v>
      </c>
      <c r="H32" s="659" t="s">
        <v>60</v>
      </c>
      <c r="I32" s="663"/>
      <c r="J32" s="663" t="s">
        <v>43</v>
      </c>
      <c r="K32" s="659" t="s">
        <v>260</v>
      </c>
      <c r="L32" s="752"/>
      <c r="M32" s="659"/>
      <c r="N32" s="659" t="s">
        <v>32</v>
      </c>
      <c r="O32" s="659" t="s">
        <v>261</v>
      </c>
      <c r="P32" s="753" t="s">
        <v>115</v>
      </c>
      <c r="Q32" s="754" t="s">
        <v>535</v>
      </c>
      <c r="T32" s="755"/>
      <c r="U32" s="1339"/>
      <c r="V32" s="1340"/>
      <c r="W32" s="1340"/>
      <c r="X32" s="1340"/>
      <c r="Y32" s="1340"/>
      <c r="Z32" s="1341"/>
    </row>
    <row r="33" spans="1:26" s="721" customFormat="1" ht="45.75" customHeight="1">
      <c r="A33" s="651"/>
      <c r="B33" s="750"/>
      <c r="C33" s="750"/>
      <c r="D33" s="756" t="s">
        <v>263</v>
      </c>
      <c r="E33" s="757"/>
      <c r="F33" s="663"/>
      <c r="G33" s="663"/>
      <c r="H33" s="663"/>
      <c r="I33" s="663"/>
      <c r="J33" s="663"/>
      <c r="K33" s="758"/>
      <c r="L33" s="759"/>
      <c r="M33" s="663"/>
      <c r="N33" s="663"/>
      <c r="O33" s="753"/>
      <c r="P33" s="663"/>
      <c r="Q33" s="754"/>
      <c r="R33" s="649"/>
      <c r="S33" s="649"/>
      <c r="T33" s="650"/>
      <c r="U33" s="1339"/>
      <c r="V33" s="1340"/>
      <c r="W33" s="1340"/>
      <c r="X33" s="1340"/>
      <c r="Y33" s="1340"/>
      <c r="Z33" s="1341"/>
    </row>
    <row r="34" spans="1:26" ht="27.95" customHeight="1">
      <c r="D34" s="756" t="s">
        <v>264</v>
      </c>
      <c r="E34" s="659"/>
      <c r="F34" s="663"/>
      <c r="G34" s="663"/>
      <c r="H34" s="659"/>
      <c r="I34" s="663" t="s">
        <v>265</v>
      </c>
      <c r="J34" s="675"/>
      <c r="K34" s="659" t="s">
        <v>331</v>
      </c>
      <c r="L34" s="752"/>
      <c r="M34" s="663"/>
      <c r="N34" s="760" t="s">
        <v>265</v>
      </c>
      <c r="O34" s="675"/>
      <c r="P34" s="675" t="s">
        <v>266</v>
      </c>
      <c r="Q34" s="761"/>
      <c r="U34" s="1339"/>
      <c r="V34" s="1340"/>
      <c r="W34" s="1340"/>
      <c r="X34" s="1340"/>
      <c r="Y34" s="1340"/>
      <c r="Z34" s="1341"/>
    </row>
    <row r="35" spans="1:26" ht="42" customHeight="1" thickBot="1">
      <c r="D35" s="762" t="s">
        <v>268</v>
      </c>
      <c r="E35" s="763"/>
      <c r="F35" s="764" t="s">
        <v>269</v>
      </c>
      <c r="G35" s="763" t="s">
        <v>270</v>
      </c>
      <c r="H35" s="765"/>
      <c r="I35" s="765"/>
      <c r="J35" s="765"/>
      <c r="K35" s="765" t="s">
        <v>271</v>
      </c>
      <c r="L35" s="766"/>
      <c r="M35" s="767" t="s">
        <v>272</v>
      </c>
      <c r="N35" s="763" t="s">
        <v>910</v>
      </c>
      <c r="O35" s="763" t="s">
        <v>211</v>
      </c>
      <c r="P35" s="763" t="s">
        <v>909</v>
      </c>
      <c r="Q35" s="768" t="s">
        <v>276</v>
      </c>
      <c r="U35" s="1342"/>
      <c r="V35" s="1343"/>
      <c r="W35" s="1343"/>
      <c r="X35" s="1343"/>
      <c r="Y35" s="1343"/>
      <c r="Z35" s="1344"/>
    </row>
    <row r="36" spans="1:26" ht="42" customHeight="1">
      <c r="D36" s="769"/>
      <c r="E36" s="770"/>
      <c r="F36" s="771"/>
      <c r="G36" s="769"/>
      <c r="H36" s="769"/>
      <c r="I36" s="769"/>
      <c r="J36" s="769"/>
      <c r="K36" s="769"/>
      <c r="L36" s="772"/>
      <c r="M36" s="769"/>
      <c r="N36" s="769"/>
      <c r="O36" s="769"/>
      <c r="P36" s="769"/>
      <c r="Q36" s="769"/>
    </row>
    <row r="37" spans="1:26" ht="42" customHeight="1">
      <c r="E37" s="650">
        <f t="shared" ref="E37:J37" si="1">COUNTBLANK(E4:E21)</f>
        <v>1</v>
      </c>
      <c r="F37" s="650">
        <f>COUNTBLANK(F4:F21)</f>
        <v>2</v>
      </c>
      <c r="G37" s="650">
        <f t="shared" si="1"/>
        <v>2</v>
      </c>
      <c r="H37" s="650">
        <f>COUNTBLANK(H4:H21)</f>
        <v>1</v>
      </c>
      <c r="I37" s="650">
        <f>COUNTBLANK(I4:I21)</f>
        <v>2</v>
      </c>
      <c r="J37" s="650">
        <f t="shared" si="1"/>
        <v>0</v>
      </c>
      <c r="K37" s="650">
        <f>COUNTBLANK(K4:K22)</f>
        <v>0</v>
      </c>
      <c r="L37" s="650"/>
      <c r="M37" s="650">
        <f>COUNTBLANK(M4:M21)</f>
        <v>1</v>
      </c>
      <c r="N37" s="650">
        <f>COUNTBLANK(N4:N21)</f>
        <v>1</v>
      </c>
      <c r="O37" s="650">
        <f>COUNTBLANK(O4:O21)</f>
        <v>0</v>
      </c>
      <c r="P37" s="650">
        <f>COUNTBLANK(P4:P20)-2</f>
        <v>2</v>
      </c>
      <c r="Q37" s="650">
        <f>COUNTBLANK(Q4:Q20)-2</f>
        <v>1</v>
      </c>
    </row>
    <row r="39" spans="1:26" s="773" customFormat="1">
      <c r="B39" s="750"/>
      <c r="C39" s="750"/>
      <c r="D39" s="750"/>
      <c r="E39" s="650"/>
      <c r="F39" s="650"/>
      <c r="G39" s="650"/>
      <c r="H39" s="650"/>
      <c r="I39" s="650"/>
      <c r="J39" s="650"/>
      <c r="K39" s="650"/>
      <c r="L39" s="774"/>
      <c r="M39" s="650"/>
      <c r="N39" s="650"/>
      <c r="O39" s="650"/>
      <c r="P39" s="650"/>
      <c r="Q39" s="650"/>
      <c r="R39" s="649"/>
      <c r="S39" s="649"/>
      <c r="T39" s="775"/>
    </row>
    <row r="40" spans="1:26" s="773" customFormat="1">
      <c r="B40" s="750"/>
      <c r="C40" s="750"/>
      <c r="D40" s="750"/>
      <c r="E40" s="650"/>
      <c r="F40" s="650"/>
      <c r="G40" s="650"/>
      <c r="H40" s="650"/>
      <c r="I40" s="650"/>
      <c r="J40" s="650"/>
      <c r="K40" s="650"/>
      <c r="L40" s="774"/>
      <c r="M40" s="650"/>
      <c r="O40" s="650"/>
      <c r="P40" s="650"/>
      <c r="Q40" s="650"/>
      <c r="R40" s="649"/>
      <c r="S40" s="649"/>
      <c r="T40" s="775"/>
    </row>
    <row r="41" spans="1:26" s="773" customFormat="1">
      <c r="B41" s="750"/>
      <c r="C41" s="750"/>
      <c r="D41" s="750"/>
      <c r="E41" s="650"/>
      <c r="F41" s="650"/>
      <c r="G41" s="650"/>
      <c r="H41" s="650"/>
      <c r="I41" s="650"/>
      <c r="J41" s="650"/>
      <c r="K41" s="650"/>
      <c r="L41" s="774"/>
      <c r="M41" s="650"/>
      <c r="N41" s="650"/>
      <c r="O41" s="650"/>
      <c r="P41" s="650"/>
      <c r="Q41" s="650"/>
      <c r="R41" s="649"/>
      <c r="S41" s="649"/>
      <c r="T41" s="775"/>
    </row>
    <row r="42" spans="1:26" s="773" customFormat="1">
      <c r="B42" s="776"/>
      <c r="C42" s="777"/>
      <c r="D42" s="777"/>
      <c r="E42" s="775"/>
      <c r="F42" s="778"/>
      <c r="G42" s="778"/>
      <c r="H42" s="778"/>
      <c r="I42" s="778"/>
      <c r="J42" s="778"/>
      <c r="K42" s="778"/>
      <c r="L42" s="779"/>
      <c r="M42" s="778"/>
      <c r="N42" s="778"/>
      <c r="O42" s="778"/>
      <c r="P42" s="778"/>
      <c r="Q42" s="778"/>
      <c r="R42" s="780"/>
      <c r="S42" s="781"/>
      <c r="T42" s="775"/>
    </row>
    <row r="45" spans="1:26">
      <c r="D45" s="1143" t="s">
        <v>277</v>
      </c>
      <c r="E45" s="1143"/>
      <c r="F45" s="1143"/>
      <c r="G45" s="1143"/>
      <c r="H45" s="1143"/>
      <c r="I45" s="11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4"/>
    </row>
    <row r="46" spans="1:26" ht="21">
      <c r="A46" s="750"/>
      <c r="D46" s="103" t="s">
        <v>278</v>
      </c>
      <c r="E46" s="104" t="s">
        <v>249</v>
      </c>
      <c r="F46" s="104" t="s">
        <v>5</v>
      </c>
      <c r="G46" s="104" t="s">
        <v>6</v>
      </c>
      <c r="H46" s="104" t="s">
        <v>250</v>
      </c>
      <c r="I46" s="104" t="s">
        <v>8</v>
      </c>
      <c r="J46" s="104" t="s">
        <v>251</v>
      </c>
      <c r="K46" s="104" t="s">
        <v>252</v>
      </c>
      <c r="L46" s="105" t="s">
        <v>11</v>
      </c>
      <c r="M46" s="104" t="s">
        <v>254</v>
      </c>
      <c r="N46" s="104" t="s">
        <v>279</v>
      </c>
      <c r="O46" s="104" t="s">
        <v>14</v>
      </c>
      <c r="P46" s="104" t="s">
        <v>15</v>
      </c>
      <c r="Q46" s="104" t="s">
        <v>280</v>
      </c>
      <c r="R46" s="104" t="s">
        <v>281</v>
      </c>
      <c r="S46" s="104" t="s">
        <v>282</v>
      </c>
    </row>
    <row r="47" spans="1:26" ht="27.95" customHeight="1">
      <c r="A47" s="750"/>
      <c r="D47" s="106" t="s">
        <v>283</v>
      </c>
      <c r="E47" s="107"/>
      <c r="F47" s="782"/>
      <c r="G47" s="783"/>
      <c r="H47" s="784"/>
      <c r="I47" s="783"/>
      <c r="J47" s="785"/>
      <c r="K47" s="784"/>
      <c r="L47" s="786"/>
      <c r="M47" s="787" t="s">
        <v>284</v>
      </c>
      <c r="N47" s="108"/>
      <c r="O47" s="788" t="s">
        <v>285</v>
      </c>
      <c r="P47" s="109" t="s">
        <v>286</v>
      </c>
      <c r="Q47" s="110"/>
      <c r="R47" s="789"/>
      <c r="S47" s="790"/>
    </row>
    <row r="48" spans="1:26">
      <c r="A48" s="750"/>
      <c r="D48" s="1345" t="s">
        <v>287</v>
      </c>
      <c r="E48" s="1346"/>
      <c r="F48" s="1346"/>
      <c r="G48" s="1346"/>
      <c r="H48" s="1346"/>
      <c r="I48" s="1346"/>
      <c r="J48" s="1346"/>
      <c r="K48" s="1346"/>
      <c r="L48" s="1346"/>
      <c r="M48" s="1346"/>
      <c r="N48" s="1346"/>
      <c r="O48" s="1346"/>
      <c r="P48" s="1346"/>
      <c r="Q48" s="1346"/>
      <c r="R48" s="1346"/>
      <c r="S48" s="1347"/>
      <c r="T48" s="651"/>
    </row>
    <row r="49" spans="1:20" ht="27.95" customHeight="1">
      <c r="A49" s="750"/>
      <c r="D49" s="791" t="s">
        <v>288</v>
      </c>
      <c r="E49" s="792"/>
      <c r="F49" s="793"/>
      <c r="G49" s="792"/>
      <c r="H49" s="792"/>
      <c r="I49" s="792"/>
      <c r="J49" s="792"/>
      <c r="K49" s="111"/>
      <c r="L49" s="112"/>
      <c r="M49" s="793"/>
      <c r="N49" s="794"/>
      <c r="O49" s="793"/>
      <c r="P49" s="792"/>
      <c r="Q49" s="792"/>
      <c r="R49" s="22"/>
      <c r="S49" s="22"/>
      <c r="T49" s="651"/>
    </row>
    <row r="50" spans="1:20" ht="27.95" customHeight="1">
      <c r="A50" s="750"/>
      <c r="D50" s="791" t="s">
        <v>289</v>
      </c>
      <c r="E50" s="793" t="s">
        <v>290</v>
      </c>
      <c r="F50" s="113"/>
      <c r="G50" s="111" t="s">
        <v>291</v>
      </c>
      <c r="H50" s="111"/>
      <c r="I50" s="113"/>
      <c r="J50" s="111"/>
      <c r="K50" s="114"/>
      <c r="L50" s="112"/>
      <c r="M50" s="115"/>
      <c r="N50" s="111"/>
      <c r="O50" s="116" t="s">
        <v>292</v>
      </c>
      <c r="P50" s="111"/>
      <c r="Q50" s="116"/>
      <c r="R50" s="111"/>
      <c r="S50" s="111"/>
      <c r="T50" s="651"/>
    </row>
    <row r="51" spans="1:20" ht="27.95" customHeight="1">
      <c r="A51" s="750"/>
      <c r="D51" s="795" t="s">
        <v>293</v>
      </c>
      <c r="E51" s="796"/>
      <c r="F51" s="796"/>
      <c r="G51" s="796"/>
      <c r="H51" s="797"/>
      <c r="I51" s="797"/>
      <c r="J51" s="796"/>
      <c r="K51" s="798"/>
      <c r="L51" s="112"/>
      <c r="M51" s="799"/>
      <c r="N51" s="799"/>
      <c r="O51" s="799"/>
      <c r="P51" s="797"/>
      <c r="Q51" s="796" t="s">
        <v>294</v>
      </c>
      <c r="R51" s="800"/>
      <c r="S51" s="800"/>
      <c r="T51" s="651"/>
    </row>
    <row r="52" spans="1:20" ht="27.95" customHeight="1">
      <c r="A52" s="750"/>
      <c r="D52" s="801" t="s">
        <v>295</v>
      </c>
      <c r="E52" s="802"/>
      <c r="F52" s="802"/>
      <c r="G52" s="802"/>
      <c r="H52" s="797"/>
      <c r="I52" s="797"/>
      <c r="J52" s="803"/>
      <c r="K52" s="802"/>
      <c r="L52" s="117"/>
      <c r="M52" s="797"/>
      <c r="N52" s="797"/>
      <c r="O52" s="797"/>
      <c r="P52" s="804"/>
      <c r="Q52" s="802"/>
      <c r="R52" s="802"/>
      <c r="S52" s="802"/>
      <c r="T52" s="651"/>
    </row>
    <row r="53" spans="1:20">
      <c r="D53" s="1346" t="s">
        <v>296</v>
      </c>
      <c r="E53" s="1346"/>
      <c r="F53" s="1346"/>
      <c r="G53" s="1346"/>
      <c r="H53" s="1346"/>
      <c r="I53" s="1346"/>
      <c r="J53" s="1346"/>
      <c r="K53" s="1346"/>
      <c r="L53" s="1346"/>
      <c r="M53" s="1346"/>
      <c r="N53" s="1346"/>
      <c r="O53" s="1346"/>
      <c r="P53" s="1346"/>
      <c r="Q53" s="1346"/>
      <c r="R53" s="1346"/>
      <c r="S53" s="1346"/>
    </row>
    <row r="54" spans="1:20" ht="27.95" customHeight="1">
      <c r="D54" s="801" t="s">
        <v>297</v>
      </c>
      <c r="E54" s="800"/>
      <c r="F54" s="800"/>
      <c r="G54" s="800"/>
      <c r="H54" s="802"/>
      <c r="I54" s="800"/>
      <c r="J54" s="800"/>
      <c r="K54" s="805"/>
      <c r="L54" s="800"/>
      <c r="M54" s="797"/>
      <c r="N54" s="802"/>
      <c r="O54" s="806"/>
      <c r="P54" s="797"/>
      <c r="Q54" s="802"/>
      <c r="R54" s="802"/>
      <c r="S54" s="803"/>
    </row>
    <row r="55" spans="1:20" ht="27.95" customHeight="1">
      <c r="D55" s="807" t="s">
        <v>298</v>
      </c>
      <c r="E55" s="792"/>
      <c r="F55" s="808"/>
      <c r="G55" s="796"/>
      <c r="H55" s="792"/>
      <c r="I55" s="792"/>
      <c r="J55" s="809"/>
      <c r="K55" s="810"/>
      <c r="L55" s="799"/>
      <c r="M55" s="808"/>
      <c r="N55" s="796"/>
      <c r="O55" s="808"/>
      <c r="P55" s="799"/>
      <c r="Q55" s="792"/>
      <c r="R55" s="796"/>
      <c r="S55" s="799"/>
    </row>
    <row r="56" spans="1:20">
      <c r="D56" s="1345" t="s">
        <v>299</v>
      </c>
      <c r="E56" s="1346"/>
      <c r="F56" s="1346"/>
      <c r="G56" s="1346"/>
      <c r="H56" s="1346"/>
      <c r="I56" s="1346"/>
      <c r="J56" s="1346"/>
      <c r="K56" s="1346"/>
      <c r="L56" s="1346"/>
      <c r="M56" s="1346"/>
      <c r="N56" s="1346"/>
      <c r="O56" s="1346"/>
      <c r="P56" s="1346"/>
      <c r="Q56" s="1346"/>
      <c r="R56" s="1346"/>
      <c r="S56" s="1347"/>
    </row>
    <row r="57" spans="1:20" ht="27.95" customHeight="1">
      <c r="D57" s="118" t="s">
        <v>300</v>
      </c>
      <c r="E57" s="119"/>
      <c r="F57" s="119"/>
      <c r="G57" s="119"/>
      <c r="H57" s="120"/>
      <c r="I57" s="114"/>
      <c r="J57" s="121" t="s">
        <v>301</v>
      </c>
      <c r="K57" s="121"/>
      <c r="L57" s="120"/>
      <c r="M57" s="811"/>
      <c r="N57" s="122"/>
      <c r="O57" s="123"/>
      <c r="P57" s="123"/>
      <c r="Q57" s="124"/>
      <c r="R57" s="116"/>
      <c r="S57" s="125"/>
    </row>
    <row r="58" spans="1:20" ht="27.95" customHeight="1">
      <c r="D58" s="118" t="s">
        <v>302</v>
      </c>
      <c r="E58" s="120" t="s">
        <v>303</v>
      </c>
      <c r="F58" s="119"/>
      <c r="G58" s="116" t="s">
        <v>304</v>
      </c>
      <c r="H58" s="126"/>
      <c r="I58" s="120"/>
      <c r="J58" s="121" t="s">
        <v>305</v>
      </c>
      <c r="K58" s="120"/>
      <c r="L58" s="120"/>
      <c r="M58" s="116" t="s">
        <v>306</v>
      </c>
      <c r="N58" s="121"/>
      <c r="O58" s="113"/>
      <c r="P58" s="113"/>
      <c r="Q58" s="120"/>
      <c r="R58" s="127"/>
      <c r="S58" s="116"/>
    </row>
    <row r="59" spans="1:20" ht="27.75" customHeight="1">
      <c r="D59" s="128" t="s">
        <v>307</v>
      </c>
      <c r="E59" s="125"/>
      <c r="F59" s="116"/>
      <c r="G59" s="116"/>
      <c r="H59" s="120"/>
      <c r="I59" s="120" t="s">
        <v>308</v>
      </c>
      <c r="J59" s="120"/>
      <c r="K59" s="120"/>
      <c r="L59" s="120"/>
      <c r="M59" s="120"/>
      <c r="N59" s="120"/>
      <c r="O59" s="116"/>
      <c r="P59" s="120"/>
      <c r="Q59" s="120"/>
      <c r="R59" s="116"/>
      <c r="S59" s="120"/>
    </row>
    <row r="60" spans="1:20" ht="9.9499999999999993" customHeight="1">
      <c r="D60" s="812"/>
    </row>
    <row r="61" spans="1:20" ht="27.95" customHeight="1">
      <c r="D61" s="1305" t="s">
        <v>309</v>
      </c>
      <c r="E61" s="129"/>
      <c r="F61" s="11" t="s">
        <v>310</v>
      </c>
      <c r="G61" s="130"/>
      <c r="H61" s="131"/>
      <c r="I61" s="11"/>
      <c r="J61" s="11" t="s">
        <v>311</v>
      </c>
      <c r="K61" s="11"/>
      <c r="L61" s="39" t="s">
        <v>253</v>
      </c>
      <c r="M61" s="130"/>
      <c r="N61" s="130"/>
      <c r="O61" s="11"/>
      <c r="P61" s="11" t="s">
        <v>311</v>
      </c>
      <c r="Q61" s="11"/>
      <c r="R61" s="813"/>
      <c r="S61" s="814"/>
    </row>
    <row r="62" spans="1:20" ht="27.95" customHeight="1">
      <c r="D62" s="1306"/>
      <c r="G62" s="815"/>
      <c r="H62" s="132" t="s">
        <v>312</v>
      </c>
      <c r="I62" s="815"/>
      <c r="J62" s="815"/>
      <c r="K62" s="815"/>
      <c r="M62" s="816"/>
      <c r="N62" s="816"/>
      <c r="O62" s="816"/>
      <c r="P62" s="816"/>
      <c r="Q62" s="815"/>
      <c r="S62" s="817"/>
    </row>
    <row r="64" spans="1:20">
      <c r="F64" s="133"/>
      <c r="G64" s="133"/>
      <c r="H64" s="133"/>
      <c r="I64" s="133"/>
      <c r="J64" s="716"/>
      <c r="K64" s="769"/>
      <c r="L64" s="769"/>
      <c r="M64" s="716"/>
      <c r="N64" s="769"/>
      <c r="O64" s="716"/>
      <c r="P64" s="769"/>
      <c r="Q64" s="769"/>
      <c r="R64" s="769"/>
    </row>
  </sheetData>
  <mergeCells count="24">
    <mergeCell ref="U20:Z20"/>
    <mergeCell ref="U4:Z4"/>
    <mergeCell ref="U5:Z7"/>
    <mergeCell ref="U8:Z8"/>
    <mergeCell ref="U9:Z19"/>
    <mergeCell ref="P12:Q13"/>
    <mergeCell ref="B26:B27"/>
    <mergeCell ref="C26:D28"/>
    <mergeCell ref="P28:Q28"/>
    <mergeCell ref="A1:Q1"/>
    <mergeCell ref="A2:Q2"/>
    <mergeCell ref="C4:D11"/>
    <mergeCell ref="C14:D20"/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83C5-C000-4EE2-A167-B99C726E7D01}">
  <sheetPr>
    <pageSetUpPr fitToPage="1"/>
  </sheetPr>
  <dimension ref="A1:Z44"/>
  <sheetViews>
    <sheetView topLeftCell="A2" zoomScale="85" zoomScaleNormal="85" zoomScalePageLayoutView="80" workbookViewId="0">
      <selection activeCell="F38" sqref="F38"/>
    </sheetView>
  </sheetViews>
  <sheetFormatPr defaultRowHeight="16.5"/>
  <cols>
    <col min="1" max="1" width="3.25" style="838" customWidth="1"/>
    <col min="2" max="2" width="10" style="842" customWidth="1"/>
    <col min="3" max="4" width="11.875" style="842" customWidth="1"/>
    <col min="5" max="11" width="11.875" style="839" customWidth="1"/>
    <col min="12" max="12" width="2.625" style="841" customWidth="1"/>
    <col min="13" max="17" width="11.875" style="839" customWidth="1"/>
    <col min="18" max="18" width="11.875" style="840" hidden="1" customWidth="1"/>
    <col min="19" max="19" width="11.875" style="840" customWidth="1"/>
    <col min="20" max="20" width="1.625" style="839" customWidth="1"/>
    <col min="21" max="26" width="8.125" style="838" customWidth="1"/>
    <col min="27" max="16384" width="9" style="838"/>
  </cols>
  <sheetData>
    <row r="1" spans="1:26" ht="16.5" hidden="1" customHeight="1">
      <c r="A1" s="1428" t="s">
        <v>0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1429"/>
      <c r="P1" s="1429"/>
      <c r="Q1" s="1429"/>
    </row>
    <row r="2" spans="1:26" ht="18" customHeight="1">
      <c r="A2" s="1430" t="s">
        <v>988</v>
      </c>
      <c r="B2" s="1431"/>
      <c r="C2" s="1431"/>
      <c r="D2" s="1431"/>
      <c r="E2" s="1431"/>
      <c r="F2" s="1431"/>
      <c r="G2" s="1431"/>
      <c r="H2" s="1431"/>
      <c r="I2" s="1431"/>
      <c r="J2" s="1431"/>
      <c r="K2" s="1431"/>
      <c r="L2" s="1431"/>
      <c r="M2" s="1431"/>
      <c r="N2" s="1431"/>
      <c r="O2" s="1431"/>
      <c r="P2" s="1431"/>
      <c r="Q2" s="1431"/>
    </row>
    <row r="3" spans="1:26" ht="21" customHeight="1" thickBot="1">
      <c r="A3" s="972"/>
      <c r="B3" s="971" t="s">
        <v>1</v>
      </c>
      <c r="C3" s="969" t="s">
        <v>2</v>
      </c>
      <c r="D3" s="969" t="s">
        <v>3</v>
      </c>
      <c r="E3" s="969" t="s">
        <v>4</v>
      </c>
      <c r="F3" s="969" t="s">
        <v>5</v>
      </c>
      <c r="G3" s="969" t="s">
        <v>6</v>
      </c>
      <c r="H3" s="969" t="s">
        <v>7</v>
      </c>
      <c r="I3" s="969" t="s">
        <v>8</v>
      </c>
      <c r="J3" s="969" t="s">
        <v>9</v>
      </c>
      <c r="K3" s="969" t="s">
        <v>10</v>
      </c>
      <c r="L3" s="970" t="s">
        <v>11</v>
      </c>
      <c r="M3" s="969" t="s">
        <v>12</v>
      </c>
      <c r="N3" s="969" t="s">
        <v>13</v>
      </c>
      <c r="O3" s="969" t="s">
        <v>14</v>
      </c>
      <c r="P3" s="969" t="s">
        <v>15</v>
      </c>
      <c r="Q3" s="969" t="s">
        <v>16</v>
      </c>
      <c r="R3" s="968">
        <f>AVERAGE(R4:R28)</f>
        <v>1</v>
      </c>
      <c r="S3" s="968"/>
    </row>
    <row r="4" spans="1:26" ht="27.95" customHeight="1" thickBot="1">
      <c r="A4" s="954">
        <v>1</v>
      </c>
      <c r="B4" s="963" t="s">
        <v>17</v>
      </c>
      <c r="C4" s="1432"/>
      <c r="D4" s="1433"/>
      <c r="E4" s="11" t="s">
        <v>18</v>
      </c>
      <c r="F4" s="849" t="s">
        <v>19</v>
      </c>
      <c r="G4" s="849" t="s">
        <v>20</v>
      </c>
      <c r="H4" s="946" t="s">
        <v>21</v>
      </c>
      <c r="I4" s="849" t="s">
        <v>22</v>
      </c>
      <c r="J4" s="849" t="s">
        <v>23</v>
      </c>
      <c r="K4" s="849" t="s">
        <v>24</v>
      </c>
      <c r="L4" s="849"/>
      <c r="M4" s="849" t="s">
        <v>25</v>
      </c>
      <c r="N4" s="849" t="s">
        <v>912</v>
      </c>
      <c r="O4" s="11" t="s">
        <v>27</v>
      </c>
      <c r="P4" s="11" t="s">
        <v>28</v>
      </c>
      <c r="Q4" s="849" t="s">
        <v>29</v>
      </c>
      <c r="R4" s="14">
        <f t="shared" ref="R4:R15" si="0">(COUNTA(C4:Q4))/12</f>
        <v>1</v>
      </c>
      <c r="S4" s="14"/>
      <c r="U4" s="1445" t="s">
        <v>30</v>
      </c>
      <c r="V4" s="1446"/>
      <c r="W4" s="1446"/>
      <c r="X4" s="1446"/>
      <c r="Y4" s="1446"/>
      <c r="Z4" s="1447"/>
    </row>
    <row r="5" spans="1:26" ht="27.95" customHeight="1">
      <c r="A5" s="954">
        <v>2</v>
      </c>
      <c r="B5" s="957" t="s">
        <v>31</v>
      </c>
      <c r="C5" s="1434"/>
      <c r="D5" s="1435"/>
      <c r="E5" s="11" t="s">
        <v>32</v>
      </c>
      <c r="F5" s="849" t="s">
        <v>33</v>
      </c>
      <c r="G5" s="849" t="s">
        <v>34</v>
      </c>
      <c r="H5" s="849" t="s">
        <v>35</v>
      </c>
      <c r="I5" s="11" t="s">
        <v>36</v>
      </c>
      <c r="J5" s="11" t="s">
        <v>90</v>
      </c>
      <c r="K5" s="967" t="s">
        <v>1005</v>
      </c>
      <c r="L5" s="849"/>
      <c r="M5" s="946" t="s">
        <v>38</v>
      </c>
      <c r="N5" s="843" t="s">
        <v>39</v>
      </c>
      <c r="O5" s="849" t="s">
        <v>40</v>
      </c>
      <c r="P5" s="11" t="s">
        <v>41</v>
      </c>
      <c r="Q5" s="849" t="s">
        <v>574</v>
      </c>
      <c r="R5" s="14">
        <f t="shared" si="0"/>
        <v>1</v>
      </c>
      <c r="S5" s="14"/>
      <c r="U5" s="1448" t="s">
        <v>986</v>
      </c>
      <c r="V5" s="1449"/>
      <c r="W5" s="1449"/>
      <c r="X5" s="1449"/>
      <c r="Y5" s="1449"/>
      <c r="Z5" s="1450"/>
    </row>
    <row r="6" spans="1:26" ht="27.75" customHeight="1">
      <c r="A6" s="954">
        <v>3</v>
      </c>
      <c r="B6" s="957" t="s">
        <v>42</v>
      </c>
      <c r="C6" s="1434"/>
      <c r="D6" s="1435"/>
      <c r="E6" s="849" t="s">
        <v>574</v>
      </c>
      <c r="F6" s="11" t="s">
        <v>44</v>
      </c>
      <c r="G6" s="849" t="s">
        <v>45</v>
      </c>
      <c r="H6" s="11" t="s">
        <v>43</v>
      </c>
      <c r="I6" s="849" t="s">
        <v>47</v>
      </c>
      <c r="J6" s="913" t="s">
        <v>586</v>
      </c>
      <c r="K6" s="849" t="s">
        <v>40</v>
      </c>
      <c r="L6" s="849"/>
      <c r="M6" s="11" t="s">
        <v>49</v>
      </c>
      <c r="N6" s="849" t="s">
        <v>320</v>
      </c>
      <c r="O6" s="849" t="s">
        <v>50</v>
      </c>
      <c r="P6" s="849" t="s">
        <v>51</v>
      </c>
      <c r="Q6" s="849" t="s">
        <v>52</v>
      </c>
      <c r="R6" s="14">
        <f t="shared" si="0"/>
        <v>1</v>
      </c>
      <c r="S6" s="14"/>
      <c r="U6" s="1451"/>
      <c r="V6" s="1452"/>
      <c r="W6" s="1452"/>
      <c r="X6" s="1452"/>
      <c r="Y6" s="1452"/>
      <c r="Z6" s="1453"/>
    </row>
    <row r="7" spans="1:26" ht="27.95" customHeight="1" thickBot="1">
      <c r="A7" s="954">
        <v>4</v>
      </c>
      <c r="B7" s="963" t="s">
        <v>53</v>
      </c>
      <c r="C7" s="1434"/>
      <c r="D7" s="1435"/>
      <c r="E7" s="11" t="s">
        <v>54</v>
      </c>
      <c r="F7" s="849" t="s">
        <v>912</v>
      </c>
      <c r="G7" s="849" t="s">
        <v>56</v>
      </c>
      <c r="H7" s="849" t="s">
        <v>57</v>
      </c>
      <c r="I7" s="849" t="s">
        <v>320</v>
      </c>
      <c r="J7" s="849" t="s">
        <v>56</v>
      </c>
      <c r="K7" s="849" t="s">
        <v>59</v>
      </c>
      <c r="L7" s="875"/>
      <c r="M7" s="913" t="s">
        <v>365</v>
      </c>
      <c r="N7" s="11" t="s">
        <v>28</v>
      </c>
      <c r="O7" s="849" t="s">
        <v>60</v>
      </c>
      <c r="P7" s="849" t="s">
        <v>61</v>
      </c>
      <c r="Q7" s="849" t="s">
        <v>62</v>
      </c>
      <c r="R7" s="14">
        <f t="shared" si="0"/>
        <v>1</v>
      </c>
      <c r="S7" s="14"/>
      <c r="U7" s="1454"/>
      <c r="V7" s="1455"/>
      <c r="W7" s="1455"/>
      <c r="X7" s="1455"/>
      <c r="Y7" s="1455"/>
      <c r="Z7" s="1456"/>
    </row>
    <row r="8" spans="1:26" ht="27.95" customHeight="1" thickBot="1">
      <c r="A8" s="954">
        <v>5</v>
      </c>
      <c r="B8" s="939" t="s">
        <v>63</v>
      </c>
      <c r="C8" s="1434"/>
      <c r="D8" s="1435"/>
      <c r="E8" s="849" t="s">
        <v>64</v>
      </c>
      <c r="F8" s="849" t="s">
        <v>584</v>
      </c>
      <c r="G8" s="966" t="s">
        <v>985</v>
      </c>
      <c r="H8" s="849" t="s">
        <v>66</v>
      </c>
      <c r="I8" s="11" t="s">
        <v>18</v>
      </c>
      <c r="J8" s="849" t="s">
        <v>68</v>
      </c>
      <c r="K8" s="849" t="s">
        <v>69</v>
      </c>
      <c r="L8" s="965"/>
      <c r="M8" s="866" t="s">
        <v>70</v>
      </c>
      <c r="N8" s="843" t="s">
        <v>71</v>
      </c>
      <c r="O8" s="916" t="s">
        <v>1004</v>
      </c>
      <c r="P8" s="964" t="s">
        <v>886</v>
      </c>
      <c r="Q8" s="913" t="s">
        <v>74</v>
      </c>
      <c r="R8" s="14">
        <f t="shared" si="0"/>
        <v>1</v>
      </c>
      <c r="S8" s="14"/>
      <c r="U8" s="1414" t="s">
        <v>75</v>
      </c>
      <c r="V8" s="1415"/>
      <c r="W8" s="1415"/>
      <c r="X8" s="1415"/>
      <c r="Y8" s="1415"/>
      <c r="Z8" s="1416"/>
    </row>
    <row r="9" spans="1:26" ht="27.95" customHeight="1">
      <c r="A9" s="954">
        <v>6</v>
      </c>
      <c r="B9" s="963" t="s">
        <v>76</v>
      </c>
      <c r="C9" s="1434"/>
      <c r="D9" s="1435"/>
      <c r="E9" s="913" t="s">
        <v>77</v>
      </c>
      <c r="F9" s="849" t="s">
        <v>78</v>
      </c>
      <c r="G9" s="11" t="s">
        <v>27</v>
      </c>
      <c r="H9" s="849" t="s">
        <v>911</v>
      </c>
      <c r="I9" s="11" t="s">
        <v>80</v>
      </c>
      <c r="J9" s="866" t="s">
        <v>24</v>
      </c>
      <c r="K9" s="11" t="s">
        <v>82</v>
      </c>
      <c r="L9" s="849"/>
      <c r="M9" s="964" t="s">
        <v>55</v>
      </c>
      <c r="N9" s="849" t="s">
        <v>20</v>
      </c>
      <c r="O9" s="11" t="s">
        <v>392</v>
      </c>
      <c r="P9" s="849" t="s">
        <v>84</v>
      </c>
      <c r="Q9" s="22" t="s">
        <v>85</v>
      </c>
      <c r="R9" s="14">
        <f t="shared" si="0"/>
        <v>1</v>
      </c>
      <c r="S9" s="14"/>
      <c r="U9" s="1457" t="s">
        <v>987</v>
      </c>
      <c r="V9" s="1458"/>
      <c r="W9" s="1458"/>
      <c r="X9" s="1458"/>
      <c r="Y9" s="1458"/>
      <c r="Z9" s="1459"/>
    </row>
    <row r="10" spans="1:26" ht="27.75" customHeight="1">
      <c r="A10" s="954">
        <v>7</v>
      </c>
      <c r="B10" s="963" t="s">
        <v>86</v>
      </c>
      <c r="C10" s="1434"/>
      <c r="D10" s="1435"/>
      <c r="E10" s="849" t="s">
        <v>317</v>
      </c>
      <c r="F10" s="849" t="s">
        <v>87</v>
      </c>
      <c r="G10" s="11" t="s">
        <v>88</v>
      </c>
      <c r="H10" s="849" t="s">
        <v>46</v>
      </c>
      <c r="I10" s="962" t="s">
        <v>70</v>
      </c>
      <c r="J10" s="961" t="s">
        <v>357</v>
      </c>
      <c r="K10" s="960" t="s">
        <v>900</v>
      </c>
      <c r="L10" s="864"/>
      <c r="M10" s="913" t="s">
        <v>586</v>
      </c>
      <c r="N10" s="11" t="s">
        <v>91</v>
      </c>
      <c r="O10" s="849" t="s">
        <v>20</v>
      </c>
      <c r="P10" s="849" t="s">
        <v>26</v>
      </c>
      <c r="Q10" s="849" t="s">
        <v>94</v>
      </c>
      <c r="R10" s="14">
        <f t="shared" si="0"/>
        <v>1</v>
      </c>
      <c r="S10" s="14"/>
      <c r="U10" s="1460"/>
      <c r="V10" s="1461"/>
      <c r="W10" s="1461"/>
      <c r="X10" s="1461"/>
      <c r="Y10" s="1461"/>
      <c r="Z10" s="1462"/>
    </row>
    <row r="11" spans="1:26" ht="27.95" customHeight="1">
      <c r="A11" s="954">
        <v>8</v>
      </c>
      <c r="B11" s="959" t="s">
        <v>95</v>
      </c>
      <c r="C11" s="1436"/>
      <c r="D11" s="1437"/>
      <c r="E11" s="11" t="s">
        <v>96</v>
      </c>
      <c r="F11" s="11" t="s">
        <v>183</v>
      </c>
      <c r="G11" s="11" t="s">
        <v>52</v>
      </c>
      <c r="H11" s="849" t="s">
        <v>27</v>
      </c>
      <c r="I11" s="849" t="s">
        <v>98</v>
      </c>
      <c r="J11" s="913" t="s">
        <v>96</v>
      </c>
      <c r="K11" s="913" t="s">
        <v>99</v>
      </c>
      <c r="L11" s="849"/>
      <c r="M11" s="849" t="s">
        <v>66</v>
      </c>
      <c r="N11" s="916" t="s">
        <v>630</v>
      </c>
      <c r="O11" s="958" t="s">
        <v>586</v>
      </c>
      <c r="P11" s="849" t="s">
        <v>21</v>
      </c>
      <c r="Q11" s="849" t="s">
        <v>56</v>
      </c>
      <c r="R11" s="14">
        <f t="shared" si="0"/>
        <v>1</v>
      </c>
      <c r="S11" s="14"/>
      <c r="U11" s="1460"/>
      <c r="V11" s="1461"/>
      <c r="W11" s="1461"/>
      <c r="X11" s="1461"/>
      <c r="Y11" s="1461"/>
      <c r="Z11" s="1462"/>
    </row>
    <row r="12" spans="1:26" ht="27.95" customHeight="1">
      <c r="A12" s="954">
        <v>9</v>
      </c>
      <c r="B12" s="957" t="s">
        <v>103</v>
      </c>
      <c r="C12" s="956" t="s">
        <v>324</v>
      </c>
      <c r="D12" s="955" t="s">
        <v>326</v>
      </c>
      <c r="E12" s="11" t="s">
        <v>80</v>
      </c>
      <c r="F12" s="22" t="s">
        <v>105</v>
      </c>
      <c r="G12" s="22" t="s">
        <v>106</v>
      </c>
      <c r="H12" s="22" t="s">
        <v>85</v>
      </c>
      <c r="I12" s="913" t="s">
        <v>107</v>
      </c>
      <c r="J12" s="866" t="s">
        <v>108</v>
      </c>
      <c r="K12" s="849" t="s">
        <v>22</v>
      </c>
      <c r="L12" s="913"/>
      <c r="M12" s="22" t="s">
        <v>109</v>
      </c>
      <c r="N12" s="913" t="s">
        <v>90</v>
      </c>
      <c r="O12" s="11" t="s">
        <v>54</v>
      </c>
      <c r="P12" s="1043"/>
      <c r="Q12" s="1044"/>
      <c r="R12" s="14">
        <f t="shared" si="0"/>
        <v>1</v>
      </c>
      <c r="S12" s="14"/>
      <c r="U12" s="1460"/>
      <c r="V12" s="1461"/>
      <c r="W12" s="1461"/>
      <c r="X12" s="1461"/>
      <c r="Y12" s="1461"/>
      <c r="Z12" s="1462"/>
    </row>
    <row r="13" spans="1:26" ht="27.95" customHeight="1" thickBot="1">
      <c r="A13" s="954">
        <v>10</v>
      </c>
      <c r="B13" s="939" t="s">
        <v>111</v>
      </c>
      <c r="C13" s="953" t="s">
        <v>323</v>
      </c>
      <c r="D13" s="953" t="s">
        <v>325</v>
      </c>
      <c r="E13" s="11" t="s">
        <v>82</v>
      </c>
      <c r="F13" s="892" t="s">
        <v>114</v>
      </c>
      <c r="G13" s="892" t="s">
        <v>115</v>
      </c>
      <c r="H13" s="892" t="s">
        <v>116</v>
      </c>
      <c r="I13" s="892" t="s">
        <v>69</v>
      </c>
      <c r="J13" s="892" t="s">
        <v>112</v>
      </c>
      <c r="K13" s="892" t="s">
        <v>25</v>
      </c>
      <c r="L13" s="26"/>
      <c r="M13" s="27" t="s">
        <v>120</v>
      </c>
      <c r="N13" s="849" t="s">
        <v>106</v>
      </c>
      <c r="O13" s="849" t="s">
        <v>62</v>
      </c>
      <c r="P13" s="1045"/>
      <c r="Q13" s="1046"/>
      <c r="R13" s="14">
        <f t="shared" si="0"/>
        <v>1</v>
      </c>
      <c r="S13" s="14"/>
      <c r="U13" s="1460"/>
      <c r="V13" s="1461"/>
      <c r="W13" s="1461"/>
      <c r="X13" s="1461"/>
      <c r="Y13" s="1461"/>
      <c r="Z13" s="1462"/>
    </row>
    <row r="14" spans="1:26" ht="27.95" customHeight="1">
      <c r="A14" s="952">
        <v>11</v>
      </c>
      <c r="B14" s="951" t="s">
        <v>123</v>
      </c>
      <c r="C14" s="1438"/>
      <c r="D14" s="1439"/>
      <c r="E14" s="899" t="s">
        <v>124</v>
      </c>
      <c r="F14" s="899" t="s">
        <v>125</v>
      </c>
      <c r="G14" s="950" t="s">
        <v>886</v>
      </c>
      <c r="H14" s="949" t="s">
        <v>127</v>
      </c>
      <c r="I14" s="899" t="s">
        <v>128</v>
      </c>
      <c r="J14" s="31" t="s">
        <v>129</v>
      </c>
      <c r="K14" s="913" t="s">
        <v>130</v>
      </c>
      <c r="L14" s="948"/>
      <c r="M14" s="913" t="s">
        <v>131</v>
      </c>
      <c r="N14" s="899" t="s">
        <v>132</v>
      </c>
      <c r="O14" s="948" t="s">
        <v>133</v>
      </c>
      <c r="P14" s="947" t="s">
        <v>134</v>
      </c>
      <c r="Q14" s="899" t="s">
        <v>135</v>
      </c>
      <c r="R14" s="14">
        <f t="shared" si="0"/>
        <v>1</v>
      </c>
      <c r="S14" s="14"/>
      <c r="U14" s="1460"/>
      <c r="V14" s="1461"/>
      <c r="W14" s="1461"/>
      <c r="X14" s="1461"/>
      <c r="Y14" s="1461"/>
      <c r="Z14" s="1462"/>
    </row>
    <row r="15" spans="1:26" ht="27.95" customHeight="1">
      <c r="A15" s="931">
        <v>12</v>
      </c>
      <c r="B15" s="930" t="s">
        <v>136</v>
      </c>
      <c r="C15" s="1410"/>
      <c r="D15" s="1411"/>
      <c r="E15" s="11" t="s">
        <v>131</v>
      </c>
      <c r="F15" s="938" t="s">
        <v>443</v>
      </c>
      <c r="G15" s="946" t="s">
        <v>899</v>
      </c>
      <c r="H15" s="11" t="s">
        <v>140</v>
      </c>
      <c r="I15" s="849" t="s">
        <v>141</v>
      </c>
      <c r="J15" s="11" t="s">
        <v>142</v>
      </c>
      <c r="K15" s="849" t="s">
        <v>143</v>
      </c>
      <c r="L15" s="849"/>
      <c r="M15" s="849" t="s">
        <v>144</v>
      </c>
      <c r="N15" s="849" t="s">
        <v>145</v>
      </c>
      <c r="O15" s="11" t="s">
        <v>146</v>
      </c>
      <c r="P15" s="849" t="s">
        <v>147</v>
      </c>
      <c r="Q15" s="866" t="s">
        <v>148</v>
      </c>
      <c r="R15" s="14">
        <f t="shared" si="0"/>
        <v>1</v>
      </c>
      <c r="S15" s="14"/>
      <c r="U15" s="1460"/>
      <c r="V15" s="1461"/>
      <c r="W15" s="1461"/>
      <c r="X15" s="1461"/>
      <c r="Y15" s="1461"/>
      <c r="Z15" s="1462"/>
    </row>
    <row r="16" spans="1:26" ht="27.95" customHeight="1">
      <c r="A16" s="931">
        <v>13</v>
      </c>
      <c r="B16" s="945" t="s">
        <v>332</v>
      </c>
      <c r="C16" s="1410"/>
      <c r="D16" s="1411"/>
      <c r="E16" s="935" t="s">
        <v>940</v>
      </c>
      <c r="F16" s="932" t="s">
        <v>151</v>
      </c>
      <c r="G16" s="169"/>
      <c r="H16" s="935" t="s">
        <v>1003</v>
      </c>
      <c r="I16" s="169" t="s">
        <v>135</v>
      </c>
      <c r="J16" s="932" t="s">
        <v>152</v>
      </c>
      <c r="K16" s="932"/>
      <c r="L16" s="933"/>
      <c r="M16" s="932"/>
      <c r="N16" s="189" t="s">
        <v>1002</v>
      </c>
      <c r="O16" s="932"/>
      <c r="P16" s="189" t="s">
        <v>1001</v>
      </c>
      <c r="Q16" s="934" t="s">
        <v>198</v>
      </c>
      <c r="R16" s="14"/>
      <c r="S16" s="14"/>
      <c r="U16" s="1460"/>
      <c r="V16" s="1461"/>
      <c r="W16" s="1461"/>
      <c r="X16" s="1461"/>
      <c r="Y16" s="1461"/>
      <c r="Z16" s="1462"/>
    </row>
    <row r="17" spans="1:26" ht="27.95" customHeight="1">
      <c r="A17" s="931">
        <v>14</v>
      </c>
      <c r="B17" s="944" t="s">
        <v>925</v>
      </c>
      <c r="C17" s="1410"/>
      <c r="D17" s="1411"/>
      <c r="E17" s="934"/>
      <c r="F17" s="169" t="s">
        <v>160</v>
      </c>
      <c r="G17" s="941" t="s">
        <v>945</v>
      </c>
      <c r="H17" s="932"/>
      <c r="I17" s="934" t="s">
        <v>125</v>
      </c>
      <c r="J17" s="943" t="s">
        <v>163</v>
      </c>
      <c r="K17" s="934"/>
      <c r="L17" s="942"/>
      <c r="M17" s="941" t="s">
        <v>1000</v>
      </c>
      <c r="N17" s="940" t="s">
        <v>166</v>
      </c>
      <c r="O17" s="934"/>
      <c r="P17" s="169" t="s">
        <v>168</v>
      </c>
      <c r="Q17" s="936" t="s">
        <v>169</v>
      </c>
      <c r="R17" s="14"/>
      <c r="S17" s="14"/>
      <c r="U17" s="1460"/>
      <c r="V17" s="1461"/>
      <c r="W17" s="1461"/>
      <c r="X17" s="1461"/>
      <c r="Y17" s="1461"/>
      <c r="Z17" s="1462"/>
    </row>
    <row r="18" spans="1:26" ht="27.95" customHeight="1">
      <c r="A18" s="931">
        <v>15</v>
      </c>
      <c r="B18" s="939" t="s">
        <v>170</v>
      </c>
      <c r="C18" s="1410"/>
      <c r="D18" s="1411"/>
      <c r="E18" s="849" t="s">
        <v>171</v>
      </c>
      <c r="F18" s="11" t="s">
        <v>172</v>
      </c>
      <c r="G18" s="11" t="s">
        <v>155</v>
      </c>
      <c r="H18" s="849" t="s">
        <v>913</v>
      </c>
      <c r="I18" s="913" t="s">
        <v>587</v>
      </c>
      <c r="J18" s="849" t="s">
        <v>175</v>
      </c>
      <c r="K18" s="849" t="s">
        <v>176</v>
      </c>
      <c r="L18" s="849"/>
      <c r="M18" s="849" t="s">
        <v>177</v>
      </c>
      <c r="N18" s="11" t="s">
        <v>178</v>
      </c>
      <c r="O18" s="849" t="s">
        <v>319</v>
      </c>
      <c r="P18" s="849" t="s">
        <v>179</v>
      </c>
      <c r="Q18" s="335" t="s">
        <v>949</v>
      </c>
      <c r="R18" s="14">
        <f>(COUNTA(C18:Q18))/12</f>
        <v>1</v>
      </c>
      <c r="S18" s="14"/>
      <c r="U18" s="1460"/>
      <c r="V18" s="1461"/>
      <c r="W18" s="1461"/>
      <c r="X18" s="1461"/>
      <c r="Y18" s="1461"/>
      <c r="Z18" s="1462"/>
    </row>
    <row r="19" spans="1:26" ht="27.95" customHeight="1" thickBot="1">
      <c r="A19" s="931">
        <v>16</v>
      </c>
      <c r="B19" s="939" t="s">
        <v>180</v>
      </c>
      <c r="C19" s="1410"/>
      <c r="D19" s="1411"/>
      <c r="E19" s="938" t="s">
        <v>999</v>
      </c>
      <c r="F19" s="11" t="s">
        <v>182</v>
      </c>
      <c r="G19" s="11" t="s">
        <v>183</v>
      </c>
      <c r="H19" s="927" t="s">
        <v>998</v>
      </c>
      <c r="I19" s="866" t="s">
        <v>185</v>
      </c>
      <c r="J19" s="849" t="s">
        <v>575</v>
      </c>
      <c r="K19" s="11" t="s">
        <v>186</v>
      </c>
      <c r="L19" s="39"/>
      <c r="M19" s="849" t="s">
        <v>577</v>
      </c>
      <c r="N19" s="849" t="s">
        <v>187</v>
      </c>
      <c r="O19" s="913" t="s">
        <v>188</v>
      </c>
      <c r="P19" s="849" t="s">
        <v>189</v>
      </c>
      <c r="Q19" s="866" t="s">
        <v>190</v>
      </c>
      <c r="R19" s="14">
        <f>(COUNTA(C19:Q19))/12</f>
        <v>1</v>
      </c>
      <c r="S19" s="14"/>
      <c r="U19" s="1463"/>
      <c r="V19" s="1464"/>
      <c r="W19" s="1464"/>
      <c r="X19" s="1464"/>
      <c r="Y19" s="1464"/>
      <c r="Z19" s="1465"/>
    </row>
    <row r="20" spans="1:26" ht="27.95" customHeight="1" thickBot="1">
      <c r="A20" s="931">
        <v>17</v>
      </c>
      <c r="B20" s="937" t="s">
        <v>328</v>
      </c>
      <c r="C20" s="1440"/>
      <c r="D20" s="1441"/>
      <c r="E20" s="932" t="s">
        <v>187</v>
      </c>
      <c r="F20" s="935" t="s">
        <v>997</v>
      </c>
      <c r="G20" s="935" t="s">
        <v>757</v>
      </c>
      <c r="H20" s="936"/>
      <c r="I20" s="935" t="s">
        <v>996</v>
      </c>
      <c r="J20" s="934" t="s">
        <v>196</v>
      </c>
      <c r="K20" s="932"/>
      <c r="L20" s="933"/>
      <c r="M20" s="932"/>
      <c r="N20" s="934"/>
      <c r="O20" s="169"/>
      <c r="P20" s="933"/>
      <c r="Q20" s="932"/>
      <c r="R20" s="14"/>
      <c r="S20" s="14"/>
      <c r="U20" s="1442" t="s">
        <v>201</v>
      </c>
      <c r="V20" s="1443"/>
      <c r="W20" s="1443"/>
      <c r="X20" s="1443"/>
      <c r="Y20" s="1443"/>
      <c r="Z20" s="1444"/>
    </row>
    <row r="21" spans="1:26" ht="27.95" customHeight="1">
      <c r="A21" s="931">
        <v>18</v>
      </c>
      <c r="B21" s="930" t="s">
        <v>202</v>
      </c>
      <c r="C21" s="929" t="s">
        <v>327</v>
      </c>
      <c r="D21" s="928" t="s">
        <v>265</v>
      </c>
      <c r="E21" s="849" t="s">
        <v>203</v>
      </c>
      <c r="F21" s="849" t="s">
        <v>576</v>
      </c>
      <c r="G21" s="11" t="s">
        <v>204</v>
      </c>
      <c r="H21" s="11" t="s">
        <v>205</v>
      </c>
      <c r="I21" s="849" t="s">
        <v>161</v>
      </c>
      <c r="J21" s="866" t="s">
        <v>206</v>
      </c>
      <c r="K21" s="927" t="s">
        <v>153</v>
      </c>
      <c r="L21" s="849"/>
      <c r="M21" s="11" t="s">
        <v>207</v>
      </c>
      <c r="N21" s="849" t="s">
        <v>208</v>
      </c>
      <c r="O21" s="849" t="s">
        <v>125</v>
      </c>
      <c r="P21" s="1397"/>
      <c r="Q21" s="1398"/>
      <c r="R21" s="14">
        <f>(COUNTA(C21:Q21))/12</f>
        <v>1</v>
      </c>
      <c r="S21" s="14"/>
      <c r="U21" s="1401" t="s">
        <v>989</v>
      </c>
      <c r="V21" s="1402"/>
      <c r="W21" s="1402"/>
      <c r="X21" s="1402"/>
      <c r="Y21" s="1402"/>
      <c r="Z21" s="1403"/>
    </row>
    <row r="22" spans="1:26" ht="27.95" customHeight="1" thickBot="1">
      <c r="A22" s="926">
        <v>19</v>
      </c>
      <c r="B22" s="895" t="s">
        <v>210</v>
      </c>
      <c r="C22" s="925" t="s">
        <v>481</v>
      </c>
      <c r="D22" s="924" t="s">
        <v>327</v>
      </c>
      <c r="E22" s="27" t="s">
        <v>212</v>
      </c>
      <c r="F22" s="27" t="s">
        <v>213</v>
      </c>
      <c r="G22" s="892" t="s">
        <v>198</v>
      </c>
      <c r="H22" s="27" t="s">
        <v>214</v>
      </c>
      <c r="I22" s="922" t="s">
        <v>995</v>
      </c>
      <c r="J22" s="923" t="s">
        <v>465</v>
      </c>
      <c r="K22" s="892" t="s">
        <v>216</v>
      </c>
      <c r="L22" s="893"/>
      <c r="M22" s="892" t="s">
        <v>217</v>
      </c>
      <c r="N22" s="922" t="s">
        <v>994</v>
      </c>
      <c r="O22" s="921" t="s">
        <v>292</v>
      </c>
      <c r="P22" s="1399"/>
      <c r="Q22" s="1400"/>
      <c r="R22" s="14">
        <f>(COUNTA(C22:Q22))/12</f>
        <v>1</v>
      </c>
      <c r="S22" s="14"/>
      <c r="U22" s="1404"/>
      <c r="V22" s="1405"/>
      <c r="W22" s="1405"/>
      <c r="X22" s="1405"/>
      <c r="Y22" s="1405"/>
      <c r="Z22" s="1406"/>
    </row>
    <row r="23" spans="1:26" ht="27.95" customHeight="1" thickBot="1">
      <c r="A23" s="920" t="s">
        <v>219</v>
      </c>
      <c r="B23" s="919" t="s">
        <v>220</v>
      </c>
      <c r="C23" s="1410"/>
      <c r="D23" s="1411"/>
      <c r="E23" s="913"/>
      <c r="F23" s="849" t="s">
        <v>318</v>
      </c>
      <c r="G23" s="22" t="s">
        <v>221</v>
      </c>
      <c r="H23" s="913"/>
      <c r="I23" s="913" t="s">
        <v>222</v>
      </c>
      <c r="J23" s="918" t="s">
        <v>440</v>
      </c>
      <c r="K23" s="913"/>
      <c r="L23" s="917"/>
      <c r="M23" s="913"/>
      <c r="N23" s="913" t="s">
        <v>175</v>
      </c>
      <c r="O23" s="22" t="s">
        <v>223</v>
      </c>
      <c r="P23" s="916"/>
      <c r="Q23" s="913" t="s">
        <v>163</v>
      </c>
      <c r="R23" s="14">
        <f>(COUNTA(C23:Q23))/7</f>
        <v>1</v>
      </c>
      <c r="S23" s="14"/>
      <c r="U23" s="1407"/>
      <c r="V23" s="1408"/>
      <c r="W23" s="1408"/>
      <c r="X23" s="1408"/>
      <c r="Y23" s="1408"/>
      <c r="Z23" s="1409"/>
    </row>
    <row r="24" spans="1:26" s="869" customFormat="1" ht="27.95" customHeight="1" thickBot="1">
      <c r="A24" s="915"/>
      <c r="B24" s="895" t="s">
        <v>225</v>
      </c>
      <c r="C24" s="1412"/>
      <c r="D24" s="1413"/>
      <c r="E24" s="892" t="s">
        <v>226</v>
      </c>
      <c r="F24" s="913" t="s">
        <v>929</v>
      </c>
      <c r="G24" s="27" t="s">
        <v>166</v>
      </c>
      <c r="H24" s="27" t="s">
        <v>221</v>
      </c>
      <c r="I24" s="892" t="s">
        <v>229</v>
      </c>
      <c r="J24" s="27" t="s">
        <v>230</v>
      </c>
      <c r="K24" s="914" t="s">
        <v>231</v>
      </c>
      <c r="L24" s="892"/>
      <c r="M24" s="27" t="s">
        <v>176</v>
      </c>
      <c r="N24" s="892" t="s">
        <v>227</v>
      </c>
      <c r="O24" s="892" t="s">
        <v>914</v>
      </c>
      <c r="P24" s="913" t="s">
        <v>198</v>
      </c>
      <c r="Q24" s="11" t="s">
        <v>160</v>
      </c>
      <c r="R24" s="14">
        <f>(COUNTA(C24:Q24))/12</f>
        <v>1</v>
      </c>
      <c r="S24" s="14"/>
      <c r="T24" s="839"/>
      <c r="U24" s="1414" t="s">
        <v>233</v>
      </c>
      <c r="V24" s="1415"/>
      <c r="W24" s="1415"/>
      <c r="X24" s="1415"/>
      <c r="Y24" s="1415"/>
      <c r="Z24" s="1416"/>
    </row>
    <row r="25" spans="1:26" ht="9.9499999999999993" customHeight="1" thickBot="1">
      <c r="A25" s="912"/>
      <c r="B25" s="911"/>
      <c r="C25" s="910"/>
      <c r="D25" s="909"/>
      <c r="E25" s="904"/>
      <c r="F25" s="906"/>
      <c r="G25" s="908"/>
      <c r="H25" s="56"/>
      <c r="I25" s="904"/>
      <c r="J25" s="907"/>
      <c r="K25" s="904"/>
      <c r="L25" s="904"/>
      <c r="M25" s="56"/>
      <c r="N25" s="906"/>
      <c r="O25" s="905"/>
      <c r="P25" s="904"/>
      <c r="Q25" s="904"/>
      <c r="U25" s="1417" t="s">
        <v>993</v>
      </c>
      <c r="V25" s="1418"/>
      <c r="W25" s="1418"/>
      <c r="X25" s="1418"/>
      <c r="Y25" s="1418"/>
      <c r="Z25" s="1419"/>
    </row>
    <row r="26" spans="1:26" ht="120" customHeight="1">
      <c r="A26" s="903"/>
      <c r="B26" s="1047" t="s">
        <v>234</v>
      </c>
      <c r="C26" s="1049"/>
      <c r="D26" s="1050"/>
      <c r="E26" s="899" t="s">
        <v>1007</v>
      </c>
      <c r="F26" s="902" t="s">
        <v>961</v>
      </c>
      <c r="G26" s="899" t="s">
        <v>581</v>
      </c>
      <c r="H26" s="899" t="s">
        <v>887</v>
      </c>
      <c r="I26" s="899" t="s">
        <v>963</v>
      </c>
      <c r="J26" s="902" t="s">
        <v>1006</v>
      </c>
      <c r="K26" s="901" t="s">
        <v>915</v>
      </c>
      <c r="L26" s="900"/>
      <c r="M26" s="899" t="s">
        <v>888</v>
      </c>
      <c r="N26" s="899" t="s">
        <v>316</v>
      </c>
      <c r="O26" s="899" t="s">
        <v>806</v>
      </c>
      <c r="P26" s="899" t="s">
        <v>957</v>
      </c>
      <c r="Q26" s="899" t="s">
        <v>506</v>
      </c>
      <c r="R26" s="14">
        <f>(COUNTA(C26:Q26))/12</f>
        <v>1</v>
      </c>
      <c r="S26" s="14"/>
      <c r="U26" s="1420"/>
      <c r="V26" s="1421"/>
      <c r="W26" s="1421"/>
      <c r="X26" s="1421"/>
      <c r="Y26" s="1421"/>
      <c r="Z26" s="1422"/>
    </row>
    <row r="27" spans="1:26" ht="120" customHeight="1">
      <c r="A27" s="898"/>
      <c r="B27" s="1048"/>
      <c r="C27" s="1051"/>
      <c r="D27" s="1052"/>
      <c r="E27" s="849" t="s">
        <v>926</v>
      </c>
      <c r="F27" s="849" t="s">
        <v>810</v>
      </c>
      <c r="G27" s="849" t="s">
        <v>927</v>
      </c>
      <c r="H27" s="849" t="s">
        <v>588</v>
      </c>
      <c r="I27" s="897" t="s">
        <v>965</v>
      </c>
      <c r="J27" s="849" t="s">
        <v>907</v>
      </c>
      <c r="K27" s="849" t="s">
        <v>240</v>
      </c>
      <c r="L27" s="849"/>
      <c r="M27" s="849" t="s">
        <v>895</v>
      </c>
      <c r="N27" s="849" t="s">
        <v>962</v>
      </c>
      <c r="O27" s="849" t="s">
        <v>964</v>
      </c>
      <c r="P27" s="849" t="s">
        <v>917</v>
      </c>
      <c r="Q27" s="849" t="s">
        <v>960</v>
      </c>
      <c r="U27" s="1420"/>
      <c r="V27" s="1421"/>
      <c r="W27" s="1421"/>
      <c r="X27" s="1421"/>
      <c r="Y27" s="1421"/>
      <c r="Z27" s="1422"/>
    </row>
    <row r="28" spans="1:26" ht="120" customHeight="1" thickBot="1">
      <c r="A28" s="896"/>
      <c r="B28" s="895" t="s">
        <v>241</v>
      </c>
      <c r="C28" s="1053"/>
      <c r="D28" s="1054"/>
      <c r="E28" s="894" t="s">
        <v>242</v>
      </c>
      <c r="F28" s="892" t="s">
        <v>329</v>
      </c>
      <c r="G28" s="892" t="s">
        <v>928</v>
      </c>
      <c r="H28" s="892" t="s">
        <v>243</v>
      </c>
      <c r="I28" s="892" t="s">
        <v>244</v>
      </c>
      <c r="J28" s="892" t="s">
        <v>919</v>
      </c>
      <c r="K28" s="892" t="s">
        <v>578</v>
      </c>
      <c r="L28" s="893"/>
      <c r="M28" s="892" t="s">
        <v>916</v>
      </c>
      <c r="N28" s="892" t="s">
        <v>589</v>
      </c>
      <c r="O28" s="891" t="s">
        <v>992</v>
      </c>
      <c r="P28" s="1426" t="s">
        <v>242</v>
      </c>
      <c r="Q28" s="1427"/>
      <c r="R28" s="14">
        <f>(COUNTA(F28:O28))/9</f>
        <v>1</v>
      </c>
      <c r="S28" s="14"/>
      <c r="U28" s="1420"/>
      <c r="V28" s="1421"/>
      <c r="W28" s="1421"/>
      <c r="X28" s="1421"/>
      <c r="Y28" s="1421"/>
      <c r="Z28" s="1422"/>
    </row>
    <row r="29" spans="1:26" ht="27.95" customHeight="1" thickBot="1">
      <c r="A29" s="890"/>
      <c r="B29" s="889" t="s">
        <v>247</v>
      </c>
      <c r="C29" s="66"/>
      <c r="D29" s="67"/>
      <c r="E29" s="888"/>
      <c r="F29" s="888"/>
      <c r="G29" s="888"/>
      <c r="H29" s="885"/>
      <c r="I29" s="886"/>
      <c r="J29" s="885"/>
      <c r="K29" s="885"/>
      <c r="L29" s="887"/>
      <c r="M29" s="886"/>
      <c r="N29" s="885"/>
      <c r="O29" s="885"/>
      <c r="P29" s="884"/>
      <c r="Q29" s="884"/>
      <c r="R29" s="14"/>
      <c r="S29" s="14"/>
      <c r="U29" s="1420"/>
      <c r="V29" s="1421"/>
      <c r="W29" s="1421"/>
      <c r="X29" s="1421"/>
      <c r="Y29" s="1421"/>
      <c r="Z29" s="1422"/>
    </row>
    <row r="30" spans="1:26" ht="9.9499999999999993" customHeight="1" thickBot="1">
      <c r="A30" s="883"/>
      <c r="B30" s="883"/>
      <c r="C30" s="883"/>
      <c r="D30" s="883"/>
      <c r="E30" s="883"/>
      <c r="F30" s="883"/>
      <c r="G30" s="883"/>
      <c r="H30" s="883"/>
      <c r="I30" s="883"/>
      <c r="J30" s="883"/>
      <c r="K30" s="883"/>
      <c r="L30" s="883"/>
      <c r="M30" s="883"/>
      <c r="N30" s="883"/>
      <c r="O30" s="883"/>
      <c r="P30" s="883"/>
      <c r="Q30" s="883"/>
      <c r="U30" s="1423"/>
      <c r="V30" s="1424"/>
      <c r="W30" s="1424"/>
      <c r="X30" s="1424"/>
      <c r="Y30" s="1424"/>
      <c r="Z30" s="1425"/>
    </row>
    <row r="31" spans="1:26" ht="27.95" customHeight="1">
      <c r="A31" s="882"/>
      <c r="B31" s="881"/>
      <c r="C31" s="881"/>
      <c r="D31" s="880" t="s">
        <v>248</v>
      </c>
      <c r="E31" s="878" t="s">
        <v>249</v>
      </c>
      <c r="F31" s="878" t="s">
        <v>5</v>
      </c>
      <c r="G31" s="878" t="s">
        <v>6</v>
      </c>
      <c r="H31" s="878" t="s">
        <v>250</v>
      </c>
      <c r="I31" s="878" t="s">
        <v>8</v>
      </c>
      <c r="J31" s="878" t="s">
        <v>251</v>
      </c>
      <c r="K31" s="878" t="s">
        <v>252</v>
      </c>
      <c r="L31" s="879" t="s">
        <v>253</v>
      </c>
      <c r="M31" s="878" t="s">
        <v>254</v>
      </c>
      <c r="N31" s="878" t="s">
        <v>13</v>
      </c>
      <c r="O31" s="878" t="s">
        <v>14</v>
      </c>
      <c r="P31" s="878" t="s">
        <v>15</v>
      </c>
      <c r="Q31" s="877" t="s">
        <v>16</v>
      </c>
      <c r="U31" s="1388" t="s">
        <v>255</v>
      </c>
      <c r="V31" s="1389"/>
      <c r="W31" s="1389"/>
      <c r="X31" s="1389"/>
      <c r="Y31" s="1389"/>
      <c r="Z31" s="1390"/>
    </row>
    <row r="32" spans="1:26" ht="27.95" customHeight="1">
      <c r="D32" s="876" t="s">
        <v>256</v>
      </c>
      <c r="E32" s="875" t="s">
        <v>47</v>
      </c>
      <c r="F32" s="849" t="s">
        <v>35</v>
      </c>
      <c r="G32" s="849" t="s">
        <v>112</v>
      </c>
      <c r="H32" s="849" t="s">
        <v>60</v>
      </c>
      <c r="I32" s="866"/>
      <c r="J32" s="866"/>
      <c r="K32" s="849" t="s">
        <v>260</v>
      </c>
      <c r="L32" s="867"/>
      <c r="M32" s="849" t="s">
        <v>991</v>
      </c>
      <c r="N32" s="849"/>
      <c r="O32" s="849" t="s">
        <v>44</v>
      </c>
      <c r="P32" s="871" t="s">
        <v>115</v>
      </c>
      <c r="Q32" s="870" t="s">
        <v>535</v>
      </c>
      <c r="T32" s="874"/>
      <c r="U32" s="1391"/>
      <c r="V32" s="1392"/>
      <c r="W32" s="1392"/>
      <c r="X32" s="1392"/>
      <c r="Y32" s="1392"/>
      <c r="Z32" s="1393"/>
    </row>
    <row r="33" spans="1:26" s="869" customFormat="1" ht="45.75" customHeight="1">
      <c r="A33" s="838"/>
      <c r="B33" s="842"/>
      <c r="C33" s="842"/>
      <c r="D33" s="868" t="s">
        <v>263</v>
      </c>
      <c r="E33" s="873"/>
      <c r="F33" s="866"/>
      <c r="G33" s="866"/>
      <c r="H33" s="866"/>
      <c r="I33" s="866"/>
      <c r="J33" s="866"/>
      <c r="K33" s="872"/>
      <c r="L33" s="846"/>
      <c r="M33" s="866"/>
      <c r="N33" s="866"/>
      <c r="O33" s="871"/>
      <c r="P33" s="866"/>
      <c r="Q33" s="870"/>
      <c r="R33" s="840"/>
      <c r="S33" s="840"/>
      <c r="T33" s="839"/>
      <c r="U33" s="1391"/>
      <c r="V33" s="1392"/>
      <c r="W33" s="1392"/>
      <c r="X33" s="1392"/>
      <c r="Y33" s="1392"/>
      <c r="Z33" s="1393"/>
    </row>
    <row r="34" spans="1:26" ht="27.95" customHeight="1">
      <c r="D34" s="868" t="s">
        <v>264</v>
      </c>
      <c r="E34" s="849"/>
      <c r="F34" s="866"/>
      <c r="G34" s="866"/>
      <c r="H34" s="849"/>
      <c r="I34" s="866" t="s">
        <v>265</v>
      </c>
      <c r="J34" s="864"/>
      <c r="K34" s="849" t="s">
        <v>331</v>
      </c>
      <c r="L34" s="867"/>
      <c r="M34" s="866"/>
      <c r="N34" s="865" t="s">
        <v>265</v>
      </c>
      <c r="O34" s="864"/>
      <c r="P34" s="864" t="s">
        <v>266</v>
      </c>
      <c r="Q34" s="863"/>
      <c r="U34" s="1391"/>
      <c r="V34" s="1392"/>
      <c r="W34" s="1392"/>
      <c r="X34" s="1392"/>
      <c r="Y34" s="1392"/>
      <c r="Z34" s="1393"/>
    </row>
    <row r="35" spans="1:26" ht="42" customHeight="1" thickBot="1">
      <c r="D35" s="862" t="s">
        <v>268</v>
      </c>
      <c r="E35" s="858"/>
      <c r="F35" s="858" t="s">
        <v>269</v>
      </c>
      <c r="G35" s="858" t="s">
        <v>270</v>
      </c>
      <c r="H35" s="861"/>
      <c r="I35" s="861"/>
      <c r="J35" s="861"/>
      <c r="K35" s="861" t="s">
        <v>271</v>
      </c>
      <c r="L35" s="860"/>
      <c r="M35" s="859" t="s">
        <v>272</v>
      </c>
      <c r="N35" s="858" t="s">
        <v>910</v>
      </c>
      <c r="O35" s="858" t="s">
        <v>211</v>
      </c>
      <c r="P35" s="858" t="s">
        <v>909</v>
      </c>
      <c r="Q35" s="857" t="s">
        <v>276</v>
      </c>
      <c r="U35" s="1394"/>
      <c r="V35" s="1395"/>
      <c r="W35" s="1395"/>
      <c r="X35" s="1395"/>
      <c r="Y35" s="1395"/>
      <c r="Z35" s="1396"/>
    </row>
    <row r="36" spans="1:26" ht="42" customHeight="1">
      <c r="D36" s="853"/>
      <c r="E36" s="856"/>
      <c r="F36" s="855"/>
      <c r="G36" s="853"/>
      <c r="H36" s="853"/>
      <c r="I36" s="853"/>
      <c r="J36" s="853"/>
      <c r="K36" s="853"/>
      <c r="L36" s="854"/>
      <c r="M36" s="853"/>
      <c r="N36" s="853"/>
      <c r="O36" s="853"/>
      <c r="P36" s="853"/>
      <c r="Q36" s="853"/>
    </row>
    <row r="37" spans="1:26" ht="24">
      <c r="D37" s="830"/>
      <c r="E37" s="852" t="s">
        <v>972</v>
      </c>
      <c r="F37" s="832" t="s">
        <v>5</v>
      </c>
      <c r="G37" s="832" t="s">
        <v>6</v>
      </c>
      <c r="H37" s="832" t="s">
        <v>250</v>
      </c>
      <c r="I37" s="832" t="s">
        <v>8</v>
      </c>
      <c r="J37" s="851" t="s">
        <v>251</v>
      </c>
      <c r="K37" s="851" t="s">
        <v>967</v>
      </c>
      <c r="L37" s="851"/>
      <c r="M37" s="851" t="s">
        <v>254</v>
      </c>
      <c r="N37" s="851" t="s">
        <v>13</v>
      </c>
      <c r="O37" s="851" t="s">
        <v>14</v>
      </c>
      <c r="P37" s="851" t="s">
        <v>15</v>
      </c>
      <c r="Q37" s="851" t="s">
        <v>16</v>
      </c>
      <c r="R37" s="851" t="s">
        <v>281</v>
      </c>
      <c r="S37" s="851" t="s">
        <v>984</v>
      </c>
    </row>
    <row r="38" spans="1:26">
      <c r="D38" s="848" t="s">
        <v>309</v>
      </c>
      <c r="E38" s="843"/>
      <c r="F38" s="850" t="s">
        <v>973</v>
      </c>
      <c r="G38" s="843"/>
      <c r="H38" s="843"/>
      <c r="I38" s="843"/>
      <c r="J38" s="843" t="s">
        <v>974</v>
      </c>
      <c r="K38" s="843"/>
      <c r="L38" s="846"/>
      <c r="M38" s="843"/>
      <c r="N38" s="843"/>
      <c r="O38" s="843"/>
      <c r="P38" s="843" t="s">
        <v>974</v>
      </c>
      <c r="Q38" s="843"/>
      <c r="R38" s="843"/>
      <c r="S38" s="843"/>
    </row>
    <row r="39" spans="1:26">
      <c r="D39" s="848" t="s">
        <v>968</v>
      </c>
      <c r="E39" s="843"/>
      <c r="F39" s="843"/>
      <c r="G39" s="843"/>
      <c r="H39" s="843"/>
      <c r="I39" s="843"/>
      <c r="J39" s="843"/>
      <c r="K39" s="843"/>
      <c r="L39" s="846"/>
      <c r="M39" s="843"/>
      <c r="N39" s="843"/>
      <c r="O39" s="843"/>
      <c r="P39" s="843"/>
      <c r="Q39" s="843"/>
      <c r="R39" s="843"/>
      <c r="S39" s="843"/>
    </row>
    <row r="40" spans="1:26" ht="24.95" customHeight="1">
      <c r="D40" s="848" t="s">
        <v>969</v>
      </c>
      <c r="E40" s="848" t="s">
        <v>979</v>
      </c>
      <c r="F40" s="848"/>
      <c r="G40" s="130" t="s">
        <v>990</v>
      </c>
      <c r="H40" s="843"/>
      <c r="I40" s="829" t="s">
        <v>308</v>
      </c>
      <c r="J40" s="848" t="s">
        <v>975</v>
      </c>
      <c r="K40" s="848"/>
      <c r="L40" s="846"/>
      <c r="M40" s="130" t="s">
        <v>306</v>
      </c>
      <c r="N40" s="843"/>
      <c r="O40" s="843" t="s">
        <v>981</v>
      </c>
      <c r="P40" s="843"/>
      <c r="Q40" s="843"/>
      <c r="R40" s="843"/>
      <c r="S40" s="843"/>
    </row>
    <row r="41" spans="1:26">
      <c r="D41" s="848" t="s">
        <v>970</v>
      </c>
      <c r="E41" s="843"/>
      <c r="F41" s="843"/>
      <c r="G41" s="843"/>
      <c r="H41" s="843"/>
      <c r="I41" s="843"/>
      <c r="J41" s="843"/>
      <c r="K41" s="843"/>
      <c r="L41" s="846"/>
      <c r="M41" s="843"/>
      <c r="N41" s="843"/>
      <c r="O41" s="843"/>
      <c r="P41" s="843"/>
      <c r="Q41" s="843"/>
      <c r="R41" s="843"/>
      <c r="S41" s="843"/>
    </row>
    <row r="42" spans="1:26">
      <c r="D42" s="848" t="s">
        <v>971</v>
      </c>
      <c r="E42" s="843"/>
      <c r="F42" s="843"/>
      <c r="G42" s="843"/>
      <c r="H42" s="843"/>
      <c r="I42" s="843"/>
      <c r="J42" s="843"/>
      <c r="K42" s="843"/>
      <c r="L42" s="846"/>
      <c r="M42" s="843" t="s">
        <v>976</v>
      </c>
      <c r="N42" s="843"/>
      <c r="O42" s="843"/>
      <c r="P42" s="843"/>
      <c r="Q42" s="843"/>
      <c r="R42" s="843"/>
      <c r="S42" s="843"/>
    </row>
    <row r="43" spans="1:26">
      <c r="D43" s="848" t="s">
        <v>977</v>
      </c>
      <c r="E43" s="843"/>
      <c r="F43" s="843"/>
      <c r="G43" s="843"/>
      <c r="H43" s="843"/>
      <c r="I43" s="843"/>
      <c r="J43" s="843"/>
      <c r="K43" s="843" t="s">
        <v>978</v>
      </c>
      <c r="L43" s="846"/>
      <c r="M43" s="843"/>
      <c r="N43" s="843"/>
      <c r="O43" s="843"/>
      <c r="P43" s="843"/>
      <c r="Q43" s="849" t="s">
        <v>294</v>
      </c>
      <c r="R43" s="843"/>
      <c r="S43" s="843"/>
    </row>
    <row r="44" spans="1:26">
      <c r="D44" s="848" t="s">
        <v>982</v>
      </c>
      <c r="E44" s="847" t="s">
        <v>983</v>
      </c>
      <c r="F44" s="843"/>
      <c r="G44" s="843"/>
      <c r="H44" s="843"/>
      <c r="I44" s="843"/>
      <c r="J44" s="843"/>
      <c r="K44" s="843"/>
      <c r="L44" s="846"/>
      <c r="M44" s="844"/>
      <c r="N44" s="829"/>
      <c r="O44" s="845" t="s">
        <v>285</v>
      </c>
      <c r="P44" s="843"/>
      <c r="Q44" s="844"/>
      <c r="R44" s="843"/>
      <c r="S44" s="843"/>
    </row>
  </sheetData>
  <mergeCells count="19">
    <mergeCell ref="U20:Z20"/>
    <mergeCell ref="U4:Z4"/>
    <mergeCell ref="U5:Z7"/>
    <mergeCell ref="U8:Z8"/>
    <mergeCell ref="U9:Z19"/>
    <mergeCell ref="B26:B27"/>
    <mergeCell ref="C26:D28"/>
    <mergeCell ref="P28:Q28"/>
    <mergeCell ref="A1:Q1"/>
    <mergeCell ref="A2:Q2"/>
    <mergeCell ref="C4:D11"/>
    <mergeCell ref="C14:D20"/>
    <mergeCell ref="P12:Q13"/>
    <mergeCell ref="U31:Z35"/>
    <mergeCell ref="P21:Q22"/>
    <mergeCell ref="U21:Z23"/>
    <mergeCell ref="C23:D24"/>
    <mergeCell ref="U24:Z24"/>
    <mergeCell ref="U25:Z30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0C3C-F3F3-4F51-9222-9D228D512E0B}">
  <sheetPr>
    <pageSetUpPr fitToPage="1"/>
  </sheetPr>
  <dimension ref="A1:Z44"/>
  <sheetViews>
    <sheetView tabSelected="1" topLeftCell="A2" zoomScale="85" zoomScaleNormal="85" zoomScalePageLayoutView="80" workbookViewId="0">
      <selection activeCell="J12" sqref="J12"/>
    </sheetView>
  </sheetViews>
  <sheetFormatPr defaultRowHeight="16.5"/>
  <cols>
    <col min="1" max="1" width="3.25" style="3" customWidth="1"/>
    <col min="2" max="2" width="10" style="80" customWidth="1"/>
    <col min="3" max="4" width="11.875" style="80" customWidth="1"/>
    <col min="5" max="11" width="11.875" style="2" customWidth="1"/>
    <col min="12" max="12" width="2.625" style="102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26" ht="16.5" hidden="1" customHeight="1">
      <c r="A1" s="991" t="s">
        <v>0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2"/>
    </row>
    <row r="2" spans="1:26" ht="18" customHeight="1">
      <c r="A2" s="993" t="s">
        <v>1026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4"/>
    </row>
    <row r="3" spans="1:26" ht="21" customHeight="1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>
        <f>AVERAGE(R4:R28)</f>
        <v>0.9539337474120082</v>
      </c>
      <c r="S3" s="8"/>
    </row>
    <row r="4" spans="1:26" ht="27.95" customHeight="1" thickBot="1">
      <c r="A4" s="9">
        <v>1</v>
      </c>
      <c r="B4" s="10" t="s">
        <v>17</v>
      </c>
      <c r="C4" s="995"/>
      <c r="D4" s="996"/>
      <c r="E4" s="11" t="s">
        <v>18</v>
      </c>
      <c r="F4" s="12" t="s">
        <v>19</v>
      </c>
      <c r="G4" s="975" t="s">
        <v>985</v>
      </c>
      <c r="H4" s="990"/>
      <c r="I4" s="12" t="s">
        <v>22</v>
      </c>
      <c r="J4" s="12" t="s">
        <v>23</v>
      </c>
      <c r="K4" s="12" t="s">
        <v>24</v>
      </c>
      <c r="L4" s="12"/>
      <c r="M4" s="12" t="s">
        <v>25</v>
      </c>
      <c r="N4" s="12" t="s">
        <v>912</v>
      </c>
      <c r="O4" s="11" t="s">
        <v>27</v>
      </c>
      <c r="P4" s="11" t="s">
        <v>28</v>
      </c>
      <c r="Q4" s="12" t="s">
        <v>29</v>
      </c>
      <c r="R4" s="14">
        <f>(COUNTA(C4:Q4))/12</f>
        <v>0.91666666666666663</v>
      </c>
      <c r="S4" s="14"/>
      <c r="U4" s="1010" t="s">
        <v>30</v>
      </c>
      <c r="V4" s="1011"/>
      <c r="W4" s="1011"/>
      <c r="X4" s="1011"/>
      <c r="Y4" s="1011"/>
      <c r="Z4" s="1012"/>
    </row>
    <row r="5" spans="1:26" ht="27.95" customHeight="1">
      <c r="A5" s="9">
        <v>2</v>
      </c>
      <c r="B5" s="15" t="s">
        <v>31</v>
      </c>
      <c r="C5" s="997"/>
      <c r="D5" s="998"/>
      <c r="E5" s="11" t="s">
        <v>32</v>
      </c>
      <c r="F5" s="12" t="s">
        <v>33</v>
      </c>
      <c r="G5" s="12" t="s">
        <v>34</v>
      </c>
      <c r="H5" s="12" t="s">
        <v>35</v>
      </c>
      <c r="I5" s="11" t="s">
        <v>36</v>
      </c>
      <c r="J5" s="18" t="s">
        <v>1022</v>
      </c>
      <c r="K5" s="984" t="s">
        <v>21</v>
      </c>
      <c r="L5" s="12"/>
      <c r="M5" s="13" t="s">
        <v>38</v>
      </c>
      <c r="N5" s="818" t="s">
        <v>39</v>
      </c>
      <c r="O5" s="12" t="s">
        <v>40</v>
      </c>
      <c r="P5" s="11" t="s">
        <v>41</v>
      </c>
      <c r="Q5" s="12" t="s">
        <v>574</v>
      </c>
      <c r="R5" s="14">
        <f t="shared" ref="R5:R22" si="0">(COUNTA(C5:Q5))/12</f>
        <v>1</v>
      </c>
      <c r="S5" s="14"/>
      <c r="U5" s="1013" t="s">
        <v>1048</v>
      </c>
      <c r="V5" s="1014"/>
      <c r="W5" s="1014"/>
      <c r="X5" s="1014"/>
      <c r="Y5" s="1014"/>
      <c r="Z5" s="1015"/>
    </row>
    <row r="6" spans="1:26" ht="27.75" customHeight="1">
      <c r="A6" s="9">
        <v>3</v>
      </c>
      <c r="B6" s="977" t="s">
        <v>1056</v>
      </c>
      <c r="C6" s="997"/>
      <c r="D6" s="998"/>
      <c r="E6" s="1534" t="s">
        <v>574</v>
      </c>
      <c r="F6" s="137" t="s">
        <v>44</v>
      </c>
      <c r="G6" s="1534" t="s">
        <v>45</v>
      </c>
      <c r="H6" s="137" t="s">
        <v>43</v>
      </c>
      <c r="I6" s="1534" t="s">
        <v>47</v>
      </c>
      <c r="J6" s="1533" t="s">
        <v>586</v>
      </c>
      <c r="K6" s="1534" t="s">
        <v>40</v>
      </c>
      <c r="L6" s="1534"/>
      <c r="M6" s="137" t="s">
        <v>49</v>
      </c>
      <c r="N6" s="1534" t="s">
        <v>320</v>
      </c>
      <c r="O6" s="1534" t="s">
        <v>50</v>
      </c>
      <c r="P6" s="1534" t="s">
        <v>51</v>
      </c>
      <c r="Q6" s="1534" t="s">
        <v>52</v>
      </c>
      <c r="R6" s="14">
        <f t="shared" si="0"/>
        <v>1</v>
      </c>
      <c r="S6" s="14"/>
      <c r="U6" s="1016"/>
      <c r="V6" s="1017"/>
      <c r="W6" s="1017"/>
      <c r="X6" s="1017"/>
      <c r="Y6" s="1017"/>
      <c r="Z6" s="1018"/>
    </row>
    <row r="7" spans="1:26" ht="27.95" customHeight="1" thickBot="1">
      <c r="A7" s="9">
        <v>4</v>
      </c>
      <c r="B7" s="10" t="s">
        <v>53</v>
      </c>
      <c r="C7" s="997"/>
      <c r="D7" s="998"/>
      <c r="E7" s="11" t="s">
        <v>54</v>
      </c>
      <c r="F7" s="12" t="s">
        <v>912</v>
      </c>
      <c r="G7" s="12" t="s">
        <v>56</v>
      </c>
      <c r="H7" s="12" t="s">
        <v>57</v>
      </c>
      <c r="I7" s="12" t="s">
        <v>320</v>
      </c>
      <c r="J7" s="12" t="s">
        <v>56</v>
      </c>
      <c r="K7" s="12" t="s">
        <v>59</v>
      </c>
      <c r="L7" s="19"/>
      <c r="M7" s="981" t="s">
        <v>1025</v>
      </c>
      <c r="N7" s="11" t="s">
        <v>28</v>
      </c>
      <c r="O7" s="12" t="s">
        <v>60</v>
      </c>
      <c r="P7" s="12" t="s">
        <v>61</v>
      </c>
      <c r="Q7" s="12" t="s">
        <v>62</v>
      </c>
      <c r="R7" s="14">
        <f t="shared" si="0"/>
        <v>1</v>
      </c>
      <c r="S7" s="14"/>
      <c r="U7" s="1019"/>
      <c r="V7" s="1020"/>
      <c r="W7" s="1020"/>
      <c r="X7" s="1020"/>
      <c r="Y7" s="1020"/>
      <c r="Z7" s="1021"/>
    </row>
    <row r="8" spans="1:26" ht="27.95" customHeight="1" thickBot="1">
      <c r="A8" s="9">
        <v>5</v>
      </c>
      <c r="B8" s="20" t="s">
        <v>63</v>
      </c>
      <c r="C8" s="997"/>
      <c r="D8" s="998"/>
      <c r="E8" s="12" t="s">
        <v>64</v>
      </c>
      <c r="F8" s="12" t="s">
        <v>584</v>
      </c>
      <c r="G8" s="976" t="s">
        <v>65</v>
      </c>
      <c r="H8" s="12" t="s">
        <v>66</v>
      </c>
      <c r="I8" s="11" t="s">
        <v>18</v>
      </c>
      <c r="J8" s="12" t="s">
        <v>68</v>
      </c>
      <c r="K8" s="12" t="s">
        <v>69</v>
      </c>
      <c r="L8" s="819"/>
      <c r="M8" s="16" t="s">
        <v>70</v>
      </c>
      <c r="N8" s="818" t="s">
        <v>71</v>
      </c>
      <c r="O8" s="981" t="s">
        <v>1025</v>
      </c>
      <c r="P8" s="989"/>
      <c r="Q8" s="989"/>
      <c r="R8" s="14">
        <f>(COUNTA(C8:Q8))/12</f>
        <v>0.83333333333333337</v>
      </c>
      <c r="S8" s="14"/>
      <c r="U8" s="1022" t="s">
        <v>75</v>
      </c>
      <c r="V8" s="1023"/>
      <c r="W8" s="1023"/>
      <c r="X8" s="1023"/>
      <c r="Y8" s="1023"/>
      <c r="Z8" s="1024"/>
    </row>
    <row r="9" spans="1:26" ht="27.95" customHeight="1">
      <c r="A9" s="9">
        <v>6</v>
      </c>
      <c r="B9" s="10" t="s">
        <v>76</v>
      </c>
      <c r="C9" s="997"/>
      <c r="D9" s="998"/>
      <c r="E9" s="17" t="s">
        <v>77</v>
      </c>
      <c r="F9" s="12" t="s">
        <v>78</v>
      </c>
      <c r="G9" s="11" t="s">
        <v>27</v>
      </c>
      <c r="H9" s="12" t="s">
        <v>911</v>
      </c>
      <c r="I9" s="11" t="s">
        <v>80</v>
      </c>
      <c r="J9" s="16" t="s">
        <v>24</v>
      </c>
      <c r="K9" s="11" t="s">
        <v>82</v>
      </c>
      <c r="L9" s="12"/>
      <c r="M9" s="818" t="s">
        <v>83</v>
      </c>
      <c r="N9" s="12" t="s">
        <v>20</v>
      </c>
      <c r="O9" s="11" t="s">
        <v>392</v>
      </c>
      <c r="P9" s="12" t="s">
        <v>84</v>
      </c>
      <c r="Q9" s="22" t="s">
        <v>85</v>
      </c>
      <c r="R9" s="14">
        <f>(COUNTA(C9:Q9))/12</f>
        <v>1</v>
      </c>
      <c r="S9" s="14"/>
      <c r="U9" s="1025" t="s">
        <v>1050</v>
      </c>
      <c r="V9" s="1026"/>
      <c r="W9" s="1026"/>
      <c r="X9" s="1026"/>
      <c r="Y9" s="1026"/>
      <c r="Z9" s="1027"/>
    </row>
    <row r="10" spans="1:26" ht="27.75" customHeight="1">
      <c r="A10" s="9">
        <v>7</v>
      </c>
      <c r="B10" s="10" t="s">
        <v>86</v>
      </c>
      <c r="C10" s="997"/>
      <c r="D10" s="998"/>
      <c r="E10" s="12" t="s">
        <v>317</v>
      </c>
      <c r="F10" s="12" t="s">
        <v>87</v>
      </c>
      <c r="G10" s="11" t="s">
        <v>88</v>
      </c>
      <c r="H10" s="12" t="s">
        <v>46</v>
      </c>
      <c r="I10" s="820" t="s">
        <v>70</v>
      </c>
      <c r="J10" s="821" t="s">
        <v>357</v>
      </c>
      <c r="K10" s="822" t="s">
        <v>900</v>
      </c>
      <c r="L10" s="23"/>
      <c r="M10" s="17" t="s">
        <v>586</v>
      </c>
      <c r="N10" s="11" t="s">
        <v>91</v>
      </c>
      <c r="O10" s="12" t="s">
        <v>20</v>
      </c>
      <c r="P10" s="12" t="s">
        <v>26</v>
      </c>
      <c r="Q10" s="12" t="s">
        <v>94</v>
      </c>
      <c r="R10" s="14">
        <f>(COUNTA(C10:Q10))/12</f>
        <v>1</v>
      </c>
      <c r="S10" s="14"/>
      <c r="U10" s="1028"/>
      <c r="V10" s="1029"/>
      <c r="W10" s="1029"/>
      <c r="X10" s="1029"/>
      <c r="Y10" s="1029"/>
      <c r="Z10" s="1030"/>
    </row>
    <row r="11" spans="1:26" ht="27.95" customHeight="1">
      <c r="A11" s="9">
        <v>8</v>
      </c>
      <c r="B11" s="24" t="s">
        <v>95</v>
      </c>
      <c r="C11" s="999"/>
      <c r="D11" s="1000"/>
      <c r="E11" s="11" t="s">
        <v>96</v>
      </c>
      <c r="F11" s="11" t="s">
        <v>183</v>
      </c>
      <c r="G11" s="11" t="s">
        <v>52</v>
      </c>
      <c r="H11" s="12" t="s">
        <v>27</v>
      </c>
      <c r="I11" s="12" t="s">
        <v>98</v>
      </c>
      <c r="J11" s="17" t="s">
        <v>96</v>
      </c>
      <c r="K11" s="17" t="s">
        <v>99</v>
      </c>
      <c r="L11" s="12"/>
      <c r="M11" s="12" t="s">
        <v>66</v>
      </c>
      <c r="N11" s="17" t="s">
        <v>55</v>
      </c>
      <c r="O11" s="12" t="s">
        <v>586</v>
      </c>
      <c r="P11" s="12" t="s">
        <v>21</v>
      </c>
      <c r="Q11" s="12" t="s">
        <v>56</v>
      </c>
      <c r="R11" s="14">
        <f>(COUNTA(C11:Q11))/12</f>
        <v>1</v>
      </c>
      <c r="S11" s="14"/>
      <c r="U11" s="1028"/>
      <c r="V11" s="1029"/>
      <c r="W11" s="1029"/>
      <c r="X11" s="1029"/>
      <c r="Y11" s="1029"/>
      <c r="Z11" s="1030"/>
    </row>
    <row r="12" spans="1:26" ht="27.95" customHeight="1">
      <c r="A12" s="9">
        <v>9</v>
      </c>
      <c r="B12" s="15" t="s">
        <v>103</v>
      </c>
      <c r="C12" s="350" t="s">
        <v>23</v>
      </c>
      <c r="D12" s="351" t="s">
        <v>1035</v>
      </c>
      <c r="E12" s="11" t="s">
        <v>80</v>
      </c>
      <c r="F12" s="22" t="s">
        <v>105</v>
      </c>
      <c r="G12" s="22" t="s">
        <v>106</v>
      </c>
      <c r="H12" s="22" t="s">
        <v>85</v>
      </c>
      <c r="I12" s="17" t="s">
        <v>107</v>
      </c>
      <c r="J12" s="16" t="s">
        <v>108</v>
      </c>
      <c r="K12" s="12" t="s">
        <v>22</v>
      </c>
      <c r="L12" s="17"/>
      <c r="M12" s="22" t="s">
        <v>109</v>
      </c>
      <c r="N12" s="986"/>
      <c r="O12" s="11" t="s">
        <v>54</v>
      </c>
      <c r="P12" s="1043"/>
      <c r="Q12" s="1044"/>
      <c r="R12" s="14">
        <f t="shared" si="0"/>
        <v>0.91666666666666663</v>
      </c>
      <c r="S12" s="14"/>
      <c r="U12" s="1028"/>
      <c r="V12" s="1029"/>
      <c r="W12" s="1029"/>
      <c r="X12" s="1029"/>
      <c r="Y12" s="1029"/>
      <c r="Z12" s="1030"/>
    </row>
    <row r="13" spans="1:26" ht="27.95" customHeight="1" thickBot="1">
      <c r="A13" s="9">
        <v>10</v>
      </c>
      <c r="B13" s="20" t="s">
        <v>111</v>
      </c>
      <c r="C13" s="353" t="s">
        <v>1033</v>
      </c>
      <c r="D13" s="353" t="s">
        <v>1043</v>
      </c>
      <c r="E13" s="11" t="s">
        <v>82</v>
      </c>
      <c r="F13" s="25" t="s">
        <v>114</v>
      </c>
      <c r="G13" s="25" t="s">
        <v>115</v>
      </c>
      <c r="H13" s="25" t="s">
        <v>116</v>
      </c>
      <c r="I13" s="25" t="s">
        <v>69</v>
      </c>
      <c r="J13" s="25" t="s">
        <v>112</v>
      </c>
      <c r="K13" s="25" t="s">
        <v>25</v>
      </c>
      <c r="L13" s="26"/>
      <c r="M13" s="27" t="s">
        <v>120</v>
      </c>
      <c r="N13" s="986"/>
      <c r="O13" s="12" t="s">
        <v>62</v>
      </c>
      <c r="P13" s="1045"/>
      <c r="Q13" s="1046"/>
      <c r="R13" s="14">
        <f t="shared" si="0"/>
        <v>0.91666666666666663</v>
      </c>
      <c r="S13" s="14"/>
      <c r="U13" s="1028"/>
      <c r="V13" s="1029"/>
      <c r="W13" s="1029"/>
      <c r="X13" s="1029"/>
      <c r="Y13" s="1029"/>
      <c r="Z13" s="1030"/>
    </row>
    <row r="14" spans="1:26" ht="27.95" customHeight="1">
      <c r="A14" s="28">
        <v>11</v>
      </c>
      <c r="B14" s="29" t="s">
        <v>123</v>
      </c>
      <c r="C14" s="1001"/>
      <c r="D14" s="1002"/>
      <c r="E14" s="30" t="s">
        <v>124</v>
      </c>
      <c r="F14" s="30" t="s">
        <v>125</v>
      </c>
      <c r="G14" s="30" t="s">
        <v>126</v>
      </c>
      <c r="H14" s="21" t="s">
        <v>127</v>
      </c>
      <c r="I14" s="30" t="s">
        <v>128</v>
      </c>
      <c r="J14" s="31" t="s">
        <v>129</v>
      </c>
      <c r="K14" s="17" t="s">
        <v>130</v>
      </c>
      <c r="L14" s="32"/>
      <c r="M14" s="17" t="s">
        <v>131</v>
      </c>
      <c r="N14" s="30" t="s">
        <v>132</v>
      </c>
      <c r="O14" s="32" t="s">
        <v>133</v>
      </c>
      <c r="P14" s="33" t="s">
        <v>134</v>
      </c>
      <c r="Q14" s="30" t="s">
        <v>135</v>
      </c>
      <c r="R14" s="14">
        <f t="shared" si="0"/>
        <v>1</v>
      </c>
      <c r="S14" s="14"/>
      <c r="U14" s="1028"/>
      <c r="V14" s="1029"/>
      <c r="W14" s="1029"/>
      <c r="X14" s="1029"/>
      <c r="Y14" s="1029"/>
      <c r="Z14" s="1030"/>
    </row>
    <row r="15" spans="1:26" ht="27.95" customHeight="1">
      <c r="A15" s="34">
        <v>12</v>
      </c>
      <c r="B15" s="35" t="s">
        <v>136</v>
      </c>
      <c r="C15" s="1003"/>
      <c r="D15" s="1004"/>
      <c r="E15" s="11" t="s">
        <v>131</v>
      </c>
      <c r="F15" s="21" t="s">
        <v>138</v>
      </c>
      <c r="G15" s="13" t="s">
        <v>899</v>
      </c>
      <c r="H15" s="11" t="s">
        <v>140</v>
      </c>
      <c r="I15" s="12" t="s">
        <v>141</v>
      </c>
      <c r="J15" s="11" t="s">
        <v>142</v>
      </c>
      <c r="K15" s="12" t="s">
        <v>143</v>
      </c>
      <c r="L15" s="12"/>
      <c r="M15" s="12" t="s">
        <v>144</v>
      </c>
      <c r="N15" s="12" t="s">
        <v>145</v>
      </c>
      <c r="O15" s="11" t="s">
        <v>146</v>
      </c>
      <c r="P15" s="12" t="s">
        <v>147</v>
      </c>
      <c r="Q15" s="16" t="s">
        <v>148</v>
      </c>
      <c r="R15" s="14">
        <f t="shared" si="0"/>
        <v>1</v>
      </c>
      <c r="S15" s="14"/>
      <c r="U15" s="1028"/>
      <c r="V15" s="1029"/>
      <c r="W15" s="1029"/>
      <c r="X15" s="1029"/>
      <c r="Y15" s="1029"/>
      <c r="Z15" s="1030"/>
    </row>
    <row r="16" spans="1:26" ht="27.95" customHeight="1">
      <c r="A16" s="34">
        <v>13</v>
      </c>
      <c r="B16" s="978" t="s">
        <v>1019</v>
      </c>
      <c r="C16" s="1003"/>
      <c r="D16" s="1004"/>
      <c r="E16" s="1534" t="s">
        <v>135</v>
      </c>
      <c r="F16" s="1534"/>
      <c r="G16" s="137" t="s">
        <v>131</v>
      </c>
      <c r="H16" s="1534" t="s">
        <v>319</v>
      </c>
      <c r="I16" s="137" t="s">
        <v>135</v>
      </c>
      <c r="J16" s="1534"/>
      <c r="K16" s="1534" t="s">
        <v>153</v>
      </c>
      <c r="L16" s="1534"/>
      <c r="M16" s="1534" t="s">
        <v>154</v>
      </c>
      <c r="N16" s="137" t="s">
        <v>155</v>
      </c>
      <c r="O16" s="1534" t="s">
        <v>156</v>
      </c>
      <c r="P16" s="137" t="s">
        <v>157</v>
      </c>
      <c r="Q16" s="1533"/>
      <c r="R16" s="14">
        <f>(COUNTA(C16:Q16))/12</f>
        <v>0.75</v>
      </c>
      <c r="S16" s="14"/>
      <c r="U16" s="1028"/>
      <c r="V16" s="1029"/>
      <c r="W16" s="1029"/>
      <c r="X16" s="1029"/>
      <c r="Y16" s="1029"/>
      <c r="Z16" s="1030"/>
    </row>
    <row r="17" spans="1:26" ht="27.95" customHeight="1">
      <c r="A17" s="34">
        <v>14</v>
      </c>
      <c r="B17" s="36" t="s">
        <v>158</v>
      </c>
      <c r="C17" s="1003"/>
      <c r="D17" s="1004"/>
      <c r="E17" s="17" t="s">
        <v>159</v>
      </c>
      <c r="F17" s="11" t="s">
        <v>160</v>
      </c>
      <c r="G17" s="17" t="s">
        <v>161</v>
      </c>
      <c r="H17" s="37" t="s">
        <v>162</v>
      </c>
      <c r="I17" s="17" t="s">
        <v>125</v>
      </c>
      <c r="J17" s="13" t="s">
        <v>163</v>
      </c>
      <c r="K17" s="981" t="s">
        <v>1049</v>
      </c>
      <c r="L17" s="38"/>
      <c r="M17" s="17" t="s">
        <v>165</v>
      </c>
      <c r="N17" s="22" t="s">
        <v>166</v>
      </c>
      <c r="O17" s="17" t="s">
        <v>167</v>
      </c>
      <c r="P17" s="11" t="s">
        <v>168</v>
      </c>
      <c r="Q17" s="16" t="s">
        <v>169</v>
      </c>
      <c r="R17" s="14">
        <f t="shared" si="0"/>
        <v>1</v>
      </c>
      <c r="S17" s="14"/>
      <c r="U17" s="1028"/>
      <c r="V17" s="1029"/>
      <c r="W17" s="1029"/>
      <c r="X17" s="1029"/>
      <c r="Y17" s="1029"/>
      <c r="Z17" s="1030"/>
    </row>
    <row r="18" spans="1:26" ht="27.95" customHeight="1">
      <c r="A18" s="34">
        <v>15</v>
      </c>
      <c r="B18" s="20" t="s">
        <v>170</v>
      </c>
      <c r="C18" s="1003"/>
      <c r="D18" s="1004"/>
      <c r="E18" s="12" t="s">
        <v>171</v>
      </c>
      <c r="F18" s="11" t="s">
        <v>172</v>
      </c>
      <c r="G18" s="11" t="s">
        <v>155</v>
      </c>
      <c r="H18" s="12" t="s">
        <v>913</v>
      </c>
      <c r="I18" s="17" t="s">
        <v>587</v>
      </c>
      <c r="J18" s="12" t="s">
        <v>175</v>
      </c>
      <c r="K18" s="12" t="s">
        <v>176</v>
      </c>
      <c r="L18" s="12"/>
      <c r="M18" s="12" t="s">
        <v>177</v>
      </c>
      <c r="N18" s="11" t="s">
        <v>178</v>
      </c>
      <c r="O18" s="12" t="s">
        <v>319</v>
      </c>
      <c r="P18" s="12" t="s">
        <v>179</v>
      </c>
      <c r="Q18" s="11" t="s">
        <v>131</v>
      </c>
      <c r="R18" s="14">
        <f>(COUNTA(C18:Q18))/12</f>
        <v>1</v>
      </c>
      <c r="S18" s="14"/>
      <c r="U18" s="1028"/>
      <c r="V18" s="1029"/>
      <c r="W18" s="1029"/>
      <c r="X18" s="1029"/>
      <c r="Y18" s="1029"/>
      <c r="Z18" s="1030"/>
    </row>
    <row r="19" spans="1:26" ht="27.95" customHeight="1" thickBot="1">
      <c r="A19" s="34">
        <v>16</v>
      </c>
      <c r="B19" s="979" t="s">
        <v>1020</v>
      </c>
      <c r="C19" s="1003"/>
      <c r="D19" s="1004"/>
      <c r="E19" s="1535" t="s">
        <v>181</v>
      </c>
      <c r="F19" s="137" t="s">
        <v>182</v>
      </c>
      <c r="G19" s="137" t="s">
        <v>183</v>
      </c>
      <c r="H19" s="1534" t="s">
        <v>184</v>
      </c>
      <c r="I19" s="1536" t="s">
        <v>185</v>
      </c>
      <c r="J19" s="1534" t="s">
        <v>575</v>
      </c>
      <c r="K19" s="137" t="s">
        <v>186</v>
      </c>
      <c r="L19" s="1537"/>
      <c r="M19" s="1534" t="s">
        <v>577</v>
      </c>
      <c r="N19" s="1534" t="s">
        <v>187</v>
      </c>
      <c r="O19" s="1533" t="s">
        <v>188</v>
      </c>
      <c r="P19" s="1534" t="s">
        <v>1027</v>
      </c>
      <c r="Q19" s="1536" t="s">
        <v>190</v>
      </c>
      <c r="R19" s="14">
        <f t="shared" si="0"/>
        <v>1</v>
      </c>
      <c r="S19" s="14"/>
      <c r="U19" s="1031"/>
      <c r="V19" s="1032"/>
      <c r="W19" s="1032"/>
      <c r="X19" s="1032"/>
      <c r="Y19" s="1032"/>
      <c r="Z19" s="1033"/>
    </row>
    <row r="20" spans="1:26" ht="27.95" customHeight="1" thickBot="1">
      <c r="A20" s="34">
        <v>17</v>
      </c>
      <c r="B20" s="20" t="s">
        <v>191</v>
      </c>
      <c r="C20" s="1005"/>
      <c r="D20" s="1006"/>
      <c r="E20" s="12" t="s">
        <v>187</v>
      </c>
      <c r="F20" s="12" t="s">
        <v>192</v>
      </c>
      <c r="G20" s="12" t="s">
        <v>193</v>
      </c>
      <c r="H20" s="16" t="s">
        <v>194</v>
      </c>
      <c r="I20" s="12" t="s">
        <v>165</v>
      </c>
      <c r="J20" s="17" t="s">
        <v>196</v>
      </c>
      <c r="K20" s="12" t="s">
        <v>175</v>
      </c>
      <c r="L20" s="12"/>
      <c r="M20" s="37" t="s">
        <v>197</v>
      </c>
      <c r="N20" s="981" t="s">
        <v>1049</v>
      </c>
      <c r="O20" s="11" t="s">
        <v>959</v>
      </c>
      <c r="P20" s="12" t="s">
        <v>199</v>
      </c>
      <c r="Q20" s="12" t="s">
        <v>200</v>
      </c>
      <c r="R20" s="14">
        <f>(COUNTA(C20:Q20))/12</f>
        <v>1</v>
      </c>
      <c r="S20" s="14"/>
      <c r="U20" s="1007" t="s">
        <v>201</v>
      </c>
      <c r="V20" s="1008"/>
      <c r="W20" s="1008"/>
      <c r="X20" s="1008"/>
      <c r="Y20" s="1008"/>
      <c r="Z20" s="1009"/>
    </row>
    <row r="21" spans="1:26" ht="27.95" customHeight="1">
      <c r="A21" s="34">
        <v>18</v>
      </c>
      <c r="B21" s="35" t="s">
        <v>202</v>
      </c>
      <c r="C21" s="370" t="s">
        <v>1037</v>
      </c>
      <c r="D21" s="371" t="s">
        <v>1042</v>
      </c>
      <c r="E21" s="12" t="s">
        <v>203</v>
      </c>
      <c r="F21" s="12" t="s">
        <v>576</v>
      </c>
      <c r="G21" s="11" t="s">
        <v>204</v>
      </c>
      <c r="H21" s="11" t="s">
        <v>205</v>
      </c>
      <c r="I21" s="12" t="s">
        <v>161</v>
      </c>
      <c r="J21" s="16" t="s">
        <v>206</v>
      </c>
      <c r="K21" s="21" t="s">
        <v>138</v>
      </c>
      <c r="L21" s="12"/>
      <c r="M21" s="11" t="s">
        <v>207</v>
      </c>
      <c r="N21" s="12" t="s">
        <v>208</v>
      </c>
      <c r="O21" s="12" t="s">
        <v>125</v>
      </c>
      <c r="P21" s="1057"/>
      <c r="Q21" s="1058"/>
      <c r="R21" s="14">
        <f t="shared" si="0"/>
        <v>1</v>
      </c>
      <c r="S21" s="14"/>
      <c r="U21" s="1061" t="s">
        <v>1016</v>
      </c>
      <c r="V21" s="1062"/>
      <c r="W21" s="1062"/>
      <c r="X21" s="1062"/>
      <c r="Y21" s="1062"/>
      <c r="Z21" s="1063"/>
    </row>
    <row r="22" spans="1:26" ht="27.95" customHeight="1" thickBot="1">
      <c r="A22" s="40">
        <v>19</v>
      </c>
      <c r="B22" s="41" t="s">
        <v>210</v>
      </c>
      <c r="C22" s="374" t="s">
        <v>1044</v>
      </c>
      <c r="D22" s="375" t="s">
        <v>1039</v>
      </c>
      <c r="E22" s="27" t="s">
        <v>212</v>
      </c>
      <c r="F22" s="27" t="s">
        <v>213</v>
      </c>
      <c r="G22" s="973" t="s">
        <v>148</v>
      </c>
      <c r="H22" s="988"/>
      <c r="I22" s="982" t="s">
        <v>1023</v>
      </c>
      <c r="J22" s="25" t="s">
        <v>138</v>
      </c>
      <c r="K22" s="25" t="s">
        <v>216</v>
      </c>
      <c r="L22" s="42"/>
      <c r="M22" s="25" t="s">
        <v>217</v>
      </c>
      <c r="N22" s="988"/>
      <c r="O22" s="25" t="s">
        <v>161</v>
      </c>
      <c r="P22" s="1059"/>
      <c r="Q22" s="1060"/>
      <c r="R22" s="14">
        <f t="shared" si="0"/>
        <v>0.83333333333333337</v>
      </c>
      <c r="S22" s="14"/>
      <c r="U22" s="1064"/>
      <c r="V22" s="1065"/>
      <c r="W22" s="1065"/>
      <c r="X22" s="1065"/>
      <c r="Y22" s="1065"/>
      <c r="Z22" s="1066"/>
    </row>
    <row r="23" spans="1:26" ht="27.95" customHeight="1" thickBot="1">
      <c r="A23" s="43" t="s">
        <v>219</v>
      </c>
      <c r="B23" s="980" t="s">
        <v>1021</v>
      </c>
      <c r="C23" s="1003"/>
      <c r="D23" s="1004"/>
      <c r="E23" s="1533"/>
      <c r="F23" s="1534" t="s">
        <v>318</v>
      </c>
      <c r="G23" s="1538" t="s">
        <v>221</v>
      </c>
      <c r="H23" s="1533"/>
      <c r="I23" s="1533" t="s">
        <v>222</v>
      </c>
      <c r="J23" s="1539"/>
      <c r="K23" s="1533"/>
      <c r="L23" s="1540"/>
      <c r="M23" s="1533"/>
      <c r="N23" s="1533" t="s">
        <v>175</v>
      </c>
      <c r="O23" s="1538" t="s">
        <v>223</v>
      </c>
      <c r="P23" s="1533"/>
      <c r="Q23" s="1533" t="s">
        <v>163</v>
      </c>
      <c r="R23" s="14">
        <f>(COUNTA(C23:Q23))/7</f>
        <v>0.8571428571428571</v>
      </c>
      <c r="S23" s="14"/>
      <c r="U23" s="1067"/>
      <c r="V23" s="1068"/>
      <c r="W23" s="1068"/>
      <c r="X23" s="1068"/>
      <c r="Y23" s="1068"/>
      <c r="Z23" s="1069"/>
    </row>
    <row r="24" spans="1:26" s="48" customFormat="1" ht="27.95" customHeight="1" thickBot="1">
      <c r="A24" s="46"/>
      <c r="B24" s="41" t="s">
        <v>225</v>
      </c>
      <c r="C24" s="1070"/>
      <c r="D24" s="1071"/>
      <c r="E24" s="25" t="s">
        <v>226</v>
      </c>
      <c r="F24" s="17" t="s">
        <v>929</v>
      </c>
      <c r="G24" s="27" t="s">
        <v>166</v>
      </c>
      <c r="H24" s="27" t="s">
        <v>221</v>
      </c>
      <c r="I24" s="25" t="s">
        <v>229</v>
      </c>
      <c r="J24" s="27" t="s">
        <v>230</v>
      </c>
      <c r="K24" s="47" t="s">
        <v>231</v>
      </c>
      <c r="L24" s="25"/>
      <c r="M24" s="27" t="s">
        <v>176</v>
      </c>
      <c r="N24" s="25" t="s">
        <v>227</v>
      </c>
      <c r="O24" s="25" t="s">
        <v>914</v>
      </c>
      <c r="P24" s="986"/>
      <c r="Q24" s="11" t="s">
        <v>160</v>
      </c>
      <c r="R24" s="14">
        <f>(COUNTA(C24:Q24))/12</f>
        <v>0.91666666666666663</v>
      </c>
      <c r="S24" s="14"/>
      <c r="T24" s="2"/>
      <c r="U24" s="1022" t="s">
        <v>233</v>
      </c>
      <c r="V24" s="1023"/>
      <c r="W24" s="1023"/>
      <c r="X24" s="1023"/>
      <c r="Y24" s="1023"/>
      <c r="Z24" s="1024"/>
    </row>
    <row r="25" spans="1:26" ht="9.9499999999999993" customHeight="1" thickBot="1">
      <c r="A25" s="49"/>
      <c r="B25" s="50"/>
      <c r="C25" s="51"/>
      <c r="D25" s="52"/>
      <c r="E25" s="53"/>
      <c r="F25" s="54"/>
      <c r="G25" s="55"/>
      <c r="H25" s="56"/>
      <c r="I25" s="53"/>
      <c r="J25" s="57"/>
      <c r="K25" s="53"/>
      <c r="L25" s="53"/>
      <c r="M25" s="56"/>
      <c r="N25" s="54"/>
      <c r="O25" s="58"/>
      <c r="P25" s="53"/>
      <c r="Q25" s="53"/>
      <c r="U25" s="1013" t="s">
        <v>1055</v>
      </c>
      <c r="V25" s="1014"/>
      <c r="W25" s="1014"/>
      <c r="X25" s="1014"/>
      <c r="Y25" s="1014"/>
      <c r="Z25" s="1015"/>
    </row>
    <row r="26" spans="1:26" ht="120" customHeight="1">
      <c r="A26" s="59"/>
      <c r="B26" s="1047" t="s">
        <v>234</v>
      </c>
      <c r="C26" s="1049"/>
      <c r="D26" s="1050"/>
      <c r="E26" s="30" t="s">
        <v>1007</v>
      </c>
      <c r="F26" s="30" t="s">
        <v>966</v>
      </c>
      <c r="G26" s="30" t="s">
        <v>581</v>
      </c>
      <c r="H26" s="30" t="s">
        <v>887</v>
      </c>
      <c r="I26" s="828" t="s">
        <v>1017</v>
      </c>
      <c r="J26" s="828" t="s">
        <v>1006</v>
      </c>
      <c r="K26" s="823" t="s">
        <v>915</v>
      </c>
      <c r="L26" s="60"/>
      <c r="M26" s="30" t="s">
        <v>888</v>
      </c>
      <c r="N26" s="30" t="s">
        <v>316</v>
      </c>
      <c r="O26" s="828" t="s">
        <v>1028</v>
      </c>
      <c r="P26" s="30" t="s">
        <v>957</v>
      </c>
      <c r="Q26" s="30" t="s">
        <v>239</v>
      </c>
      <c r="R26" s="14">
        <f>(COUNTA(C26:Q26))/12</f>
        <v>1</v>
      </c>
      <c r="S26" s="14"/>
      <c r="U26" s="1016"/>
      <c r="V26" s="1017"/>
      <c r="W26" s="1017"/>
      <c r="X26" s="1017"/>
      <c r="Y26" s="1017"/>
      <c r="Z26" s="1018"/>
    </row>
    <row r="27" spans="1:26" ht="120" customHeight="1">
      <c r="A27" s="61"/>
      <c r="B27" s="1048"/>
      <c r="C27" s="1051"/>
      <c r="D27" s="1052"/>
      <c r="E27" s="12" t="s">
        <v>926</v>
      </c>
      <c r="F27" s="12" t="s">
        <v>1009</v>
      </c>
      <c r="G27" s="975" t="s">
        <v>1046</v>
      </c>
      <c r="H27" s="12" t="s">
        <v>588</v>
      </c>
      <c r="I27" s="983" t="s">
        <v>1053</v>
      </c>
      <c r="J27" s="12" t="s">
        <v>907</v>
      </c>
      <c r="K27" s="12" t="s">
        <v>1052</v>
      </c>
      <c r="L27" s="12"/>
      <c r="M27" s="12" t="s">
        <v>1008</v>
      </c>
      <c r="N27" s="12" t="s">
        <v>898</v>
      </c>
      <c r="O27" s="12" t="s">
        <v>1010</v>
      </c>
      <c r="P27" s="12" t="s">
        <v>917</v>
      </c>
      <c r="Q27" s="975" t="s">
        <v>1047</v>
      </c>
      <c r="U27" s="1016"/>
      <c r="V27" s="1017"/>
      <c r="W27" s="1017"/>
      <c r="X27" s="1017"/>
      <c r="Y27" s="1017"/>
      <c r="Z27" s="1018"/>
    </row>
    <row r="28" spans="1:26" ht="120" customHeight="1" thickBot="1">
      <c r="A28" s="62"/>
      <c r="B28" s="41" t="s">
        <v>241</v>
      </c>
      <c r="C28" s="1053"/>
      <c r="D28" s="1054"/>
      <c r="E28" s="63" t="s">
        <v>242</v>
      </c>
      <c r="F28" s="25" t="s">
        <v>329</v>
      </c>
      <c r="G28" s="25" t="s">
        <v>928</v>
      </c>
      <c r="H28" s="973" t="s">
        <v>1012</v>
      </c>
      <c r="I28" s="25" t="s">
        <v>244</v>
      </c>
      <c r="J28" s="25" t="s">
        <v>1011</v>
      </c>
      <c r="K28" s="25" t="s">
        <v>578</v>
      </c>
      <c r="L28" s="42"/>
      <c r="M28" s="25" t="s">
        <v>916</v>
      </c>
      <c r="N28" s="25" t="s">
        <v>920</v>
      </c>
      <c r="O28" s="25" t="s">
        <v>579</v>
      </c>
      <c r="P28" s="1055" t="s">
        <v>242</v>
      </c>
      <c r="Q28" s="1056"/>
      <c r="R28" s="14">
        <f>(COUNTA(F28:O28))/9</f>
        <v>1</v>
      </c>
      <c r="S28" s="14"/>
      <c r="U28" s="1016"/>
      <c r="V28" s="1017"/>
      <c r="W28" s="1017"/>
      <c r="X28" s="1017"/>
      <c r="Y28" s="1017"/>
      <c r="Z28" s="1018"/>
    </row>
    <row r="29" spans="1:26" ht="27.95" customHeight="1" thickBot="1">
      <c r="A29" s="64"/>
      <c r="B29" s="65" t="s">
        <v>247</v>
      </c>
      <c r="C29" s="66"/>
      <c r="D29" s="67"/>
      <c r="E29" s="68"/>
      <c r="F29" s="68"/>
      <c r="G29" s="68"/>
      <c r="H29" s="69"/>
      <c r="I29" s="70"/>
      <c r="J29" s="69"/>
      <c r="K29" s="69"/>
      <c r="L29" s="71"/>
      <c r="M29" s="70"/>
      <c r="N29" s="69"/>
      <c r="O29" s="69"/>
      <c r="P29" s="72"/>
      <c r="Q29" s="72"/>
      <c r="R29" s="14"/>
      <c r="S29" s="14"/>
      <c r="U29" s="1016"/>
      <c r="V29" s="1017"/>
      <c r="W29" s="1017"/>
      <c r="X29" s="1017"/>
      <c r="Y29" s="1017"/>
      <c r="Z29" s="1018"/>
    </row>
    <row r="30" spans="1:26" ht="9.9499999999999993" customHeight="1" thickBo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U30" s="1019"/>
      <c r="V30" s="1020"/>
      <c r="W30" s="1020"/>
      <c r="X30" s="1020"/>
      <c r="Y30" s="1020"/>
      <c r="Z30" s="1021"/>
    </row>
    <row r="31" spans="1:26" ht="27.95" customHeight="1">
      <c r="A31" s="74"/>
      <c r="B31" s="75"/>
      <c r="C31" s="75"/>
      <c r="D31" s="76" t="s">
        <v>248</v>
      </c>
      <c r="E31" s="77" t="s">
        <v>249</v>
      </c>
      <c r="F31" s="77" t="s">
        <v>5</v>
      </c>
      <c r="G31" s="77" t="s">
        <v>6</v>
      </c>
      <c r="H31" s="77" t="s">
        <v>250</v>
      </c>
      <c r="I31" s="77" t="s">
        <v>8</v>
      </c>
      <c r="J31" s="77" t="s">
        <v>251</v>
      </c>
      <c r="K31" s="77" t="s">
        <v>252</v>
      </c>
      <c r="L31" s="78" t="s">
        <v>253</v>
      </c>
      <c r="M31" s="77" t="s">
        <v>254</v>
      </c>
      <c r="N31" s="77" t="s">
        <v>13</v>
      </c>
      <c r="O31" s="77" t="s">
        <v>14</v>
      </c>
      <c r="P31" s="77" t="s">
        <v>15</v>
      </c>
      <c r="Q31" s="79" t="s">
        <v>16</v>
      </c>
      <c r="U31" s="1034" t="s">
        <v>255</v>
      </c>
      <c r="V31" s="1035"/>
      <c r="W31" s="1035"/>
      <c r="X31" s="1035"/>
      <c r="Y31" s="1035"/>
      <c r="Z31" s="1036"/>
    </row>
    <row r="32" spans="1:26" ht="27.95" customHeight="1">
      <c r="D32" s="81" t="s">
        <v>256</v>
      </c>
      <c r="E32" s="19" t="s">
        <v>47</v>
      </c>
      <c r="F32" s="12" t="s">
        <v>35</v>
      </c>
      <c r="G32" s="12" t="s">
        <v>112</v>
      </c>
      <c r="H32" s="12" t="s">
        <v>60</v>
      </c>
      <c r="I32" s="16"/>
      <c r="J32" s="16" t="s">
        <v>43</v>
      </c>
      <c r="K32" s="12" t="s">
        <v>260</v>
      </c>
      <c r="L32" s="83"/>
      <c r="M32" s="12" t="s">
        <v>32</v>
      </c>
      <c r="N32" s="12"/>
      <c r="O32" s="12" t="s">
        <v>261</v>
      </c>
      <c r="P32" s="84" t="s">
        <v>115</v>
      </c>
      <c r="Q32" s="85" t="s">
        <v>535</v>
      </c>
      <c r="T32" s="86"/>
      <c r="U32" s="1037"/>
      <c r="V32" s="1038"/>
      <c r="W32" s="1038"/>
      <c r="X32" s="1038"/>
      <c r="Y32" s="1038"/>
      <c r="Z32" s="1039"/>
    </row>
    <row r="33" spans="1:26" s="48" customFormat="1" ht="45.75" customHeight="1">
      <c r="A33" s="3"/>
      <c r="B33" s="80"/>
      <c r="C33" s="80"/>
      <c r="D33" s="87" t="s">
        <v>263</v>
      </c>
      <c r="E33" s="88"/>
      <c r="F33" s="16"/>
      <c r="G33" s="16"/>
      <c r="H33" s="16"/>
      <c r="I33" s="16"/>
      <c r="J33" s="16"/>
      <c r="K33" s="89"/>
      <c r="L33" s="90"/>
      <c r="M33" s="16"/>
      <c r="N33" s="16"/>
      <c r="O33" s="84"/>
      <c r="P33" s="16"/>
      <c r="Q33" s="85"/>
      <c r="R33" s="1"/>
      <c r="S33" s="1"/>
      <c r="T33" s="2"/>
      <c r="U33" s="1037"/>
      <c r="V33" s="1038"/>
      <c r="W33" s="1038"/>
      <c r="X33" s="1038"/>
      <c r="Y33" s="1038"/>
      <c r="Z33" s="1039"/>
    </row>
    <row r="34" spans="1:26" ht="27.95" customHeight="1">
      <c r="D34" s="87" t="s">
        <v>264</v>
      </c>
      <c r="E34" s="12"/>
      <c r="F34" s="16"/>
      <c r="G34" s="16"/>
      <c r="H34" s="12"/>
      <c r="I34" s="16" t="s">
        <v>265</v>
      </c>
      <c r="J34" s="23"/>
      <c r="K34" s="12" t="s">
        <v>331</v>
      </c>
      <c r="L34" s="83"/>
      <c r="M34" s="16"/>
      <c r="N34" s="82" t="s">
        <v>265</v>
      </c>
      <c r="O34" s="23"/>
      <c r="P34" s="23" t="s">
        <v>266</v>
      </c>
      <c r="Q34" s="91"/>
      <c r="U34" s="1037"/>
      <c r="V34" s="1038"/>
      <c r="W34" s="1038"/>
      <c r="X34" s="1038"/>
      <c r="Y34" s="1038"/>
      <c r="Z34" s="1039"/>
    </row>
    <row r="35" spans="1:26" ht="42" customHeight="1" thickBot="1">
      <c r="D35" s="92" t="s">
        <v>268</v>
      </c>
      <c r="E35" s="93"/>
      <c r="F35" s="93" t="s">
        <v>269</v>
      </c>
      <c r="G35" s="93" t="s">
        <v>270</v>
      </c>
      <c r="H35" s="94"/>
      <c r="I35" s="94"/>
      <c r="J35" s="94"/>
      <c r="K35" s="94" t="s">
        <v>271</v>
      </c>
      <c r="L35" s="95"/>
      <c r="M35" s="96" t="s">
        <v>272</v>
      </c>
      <c r="N35" s="93" t="s">
        <v>910</v>
      </c>
      <c r="O35" s="93" t="s">
        <v>211</v>
      </c>
      <c r="P35" s="93" t="s">
        <v>909</v>
      </c>
      <c r="Q35" s="97" t="s">
        <v>276</v>
      </c>
      <c r="U35" s="1040"/>
      <c r="V35" s="1041"/>
      <c r="W35" s="1041"/>
      <c r="X35" s="1041"/>
      <c r="Y35" s="1041"/>
      <c r="Z35" s="1042"/>
    </row>
    <row r="36" spans="1:26" ht="42" customHeight="1">
      <c r="D36" s="98"/>
      <c r="E36" s="99"/>
      <c r="F36" s="100"/>
      <c r="G36" s="98"/>
      <c r="H36" s="98"/>
      <c r="I36" s="98"/>
      <c r="J36" s="98"/>
      <c r="K36" s="98"/>
      <c r="L36" s="101"/>
      <c r="M36" s="98"/>
      <c r="N36" s="98"/>
      <c r="O36" s="98"/>
      <c r="P36" s="98"/>
      <c r="Q36" s="98"/>
    </row>
    <row r="37" spans="1:26" ht="24">
      <c r="D37" s="830"/>
      <c r="E37" s="831" t="s">
        <v>972</v>
      </c>
      <c r="F37" s="832" t="s">
        <v>5</v>
      </c>
      <c r="G37" s="832" t="s">
        <v>6</v>
      </c>
      <c r="H37" s="832" t="s">
        <v>250</v>
      </c>
      <c r="I37" s="832" t="s">
        <v>8</v>
      </c>
      <c r="J37" s="833" t="s">
        <v>251</v>
      </c>
      <c r="K37" s="833" t="s">
        <v>967</v>
      </c>
      <c r="L37" s="833"/>
      <c r="M37" s="833" t="s">
        <v>254</v>
      </c>
      <c r="N37" s="833" t="s">
        <v>13</v>
      </c>
      <c r="O37" s="833" t="s">
        <v>14</v>
      </c>
      <c r="P37" s="833" t="s">
        <v>15</v>
      </c>
      <c r="Q37" s="833" t="s">
        <v>16</v>
      </c>
      <c r="R37" s="833" t="s">
        <v>281</v>
      </c>
      <c r="S37" s="833" t="s">
        <v>984</v>
      </c>
    </row>
    <row r="38" spans="1:26">
      <c r="D38" s="834" t="s">
        <v>309</v>
      </c>
      <c r="E38" s="818"/>
      <c r="F38" s="818"/>
      <c r="G38" s="818"/>
      <c r="H38" s="818"/>
      <c r="I38" s="818"/>
      <c r="J38" s="818" t="s">
        <v>974</v>
      </c>
      <c r="K38" s="818"/>
      <c r="L38" s="90"/>
      <c r="M38" s="818"/>
      <c r="N38" s="818"/>
      <c r="O38" s="818"/>
      <c r="P38" s="818" t="s">
        <v>974</v>
      </c>
      <c r="Q38" s="818"/>
      <c r="R38" s="818"/>
      <c r="S38" s="818"/>
    </row>
    <row r="39" spans="1:26">
      <c r="D39" s="834" t="s">
        <v>968</v>
      </c>
      <c r="E39" s="818"/>
      <c r="F39" s="818"/>
      <c r="G39" s="818"/>
      <c r="H39" s="818"/>
      <c r="I39" s="818"/>
      <c r="J39" s="818"/>
      <c r="K39" s="818"/>
      <c r="L39" s="90"/>
      <c r="M39" s="818"/>
      <c r="N39" s="818"/>
      <c r="O39" s="818"/>
      <c r="P39" s="818"/>
      <c r="Q39" s="818"/>
      <c r="R39" s="818"/>
      <c r="S39" s="818"/>
    </row>
    <row r="40" spans="1:26" ht="24.95" customHeight="1">
      <c r="D40" s="834" t="s">
        <v>969</v>
      </c>
      <c r="E40" s="834" t="s">
        <v>979</v>
      </c>
      <c r="F40" s="834"/>
      <c r="G40" s="130" t="s">
        <v>980</v>
      </c>
      <c r="H40" s="818"/>
      <c r="I40" s="829" t="s">
        <v>308</v>
      </c>
      <c r="J40" s="834" t="s">
        <v>975</v>
      </c>
      <c r="K40" s="834"/>
      <c r="L40" s="90"/>
      <c r="M40" s="130" t="s">
        <v>306</v>
      </c>
      <c r="N40" s="818"/>
      <c r="O40" s="818" t="s">
        <v>981</v>
      </c>
      <c r="P40" s="818"/>
      <c r="Q40" s="818"/>
      <c r="R40" s="818"/>
      <c r="S40" s="818"/>
    </row>
    <row r="41" spans="1:26">
      <c r="D41" s="834" t="s">
        <v>970</v>
      </c>
      <c r="E41" s="818"/>
      <c r="F41" s="818"/>
      <c r="G41" s="818"/>
      <c r="H41" s="818"/>
      <c r="I41" s="818"/>
      <c r="J41" s="818"/>
      <c r="K41" s="818"/>
      <c r="L41" s="90"/>
      <c r="M41" s="818"/>
      <c r="N41" s="818"/>
      <c r="O41" s="818"/>
      <c r="P41" s="818"/>
      <c r="Q41" s="818"/>
      <c r="R41" s="818"/>
      <c r="S41" s="818"/>
    </row>
    <row r="42" spans="1:26">
      <c r="D42" s="834" t="s">
        <v>971</v>
      </c>
      <c r="E42" s="818"/>
      <c r="F42" s="818"/>
      <c r="G42" s="818"/>
      <c r="H42" s="818"/>
      <c r="I42" s="818"/>
      <c r="J42" s="818"/>
      <c r="K42" s="818"/>
      <c r="L42" s="90"/>
      <c r="M42" s="818" t="s">
        <v>976</v>
      </c>
      <c r="N42" s="818"/>
      <c r="O42" s="818"/>
      <c r="P42" s="818"/>
      <c r="Q42" s="818"/>
      <c r="R42" s="818"/>
      <c r="S42" s="818"/>
    </row>
    <row r="43" spans="1:26">
      <c r="D43" s="834" t="s">
        <v>977</v>
      </c>
      <c r="E43" s="818"/>
      <c r="F43" s="818"/>
      <c r="G43" s="818"/>
      <c r="H43" s="818"/>
      <c r="I43" s="818"/>
      <c r="J43" s="818"/>
      <c r="K43" s="818" t="s">
        <v>978</v>
      </c>
      <c r="L43" s="90"/>
      <c r="M43" s="818"/>
      <c r="N43" s="818"/>
      <c r="O43" s="818"/>
      <c r="P43" s="818"/>
      <c r="Q43" s="12" t="s">
        <v>294</v>
      </c>
      <c r="R43" s="818"/>
      <c r="S43" s="818"/>
    </row>
    <row r="44" spans="1:26">
      <c r="D44" s="834" t="s">
        <v>982</v>
      </c>
      <c r="E44" s="835" t="s">
        <v>983</v>
      </c>
      <c r="F44" s="818"/>
      <c r="G44" s="818"/>
      <c r="H44" s="818"/>
      <c r="I44" s="818"/>
      <c r="J44" s="818"/>
      <c r="K44" s="818"/>
      <c r="L44" s="90"/>
      <c r="M44" s="836"/>
      <c r="N44" s="829"/>
      <c r="O44" s="837" t="s">
        <v>285</v>
      </c>
      <c r="P44" s="818"/>
      <c r="Q44" s="836"/>
      <c r="R44" s="818"/>
      <c r="S44" s="818"/>
    </row>
  </sheetData>
  <mergeCells count="19">
    <mergeCell ref="U31:Z35"/>
    <mergeCell ref="P21:Q22"/>
    <mergeCell ref="U21:Z23"/>
    <mergeCell ref="C23:D24"/>
    <mergeCell ref="U24:Z24"/>
    <mergeCell ref="U25:Z30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9762-04AD-438B-B256-6E125926DA4C}">
  <sheetPr>
    <pageSetUpPr fitToPage="1"/>
  </sheetPr>
  <dimension ref="B1:Q55"/>
  <sheetViews>
    <sheetView zoomScale="85" zoomScaleNormal="85" workbookViewId="0">
      <selection activeCell="H6" sqref="H6:M17"/>
    </sheetView>
  </sheetViews>
  <sheetFormatPr defaultRowHeight="16.5"/>
  <cols>
    <col min="1" max="1" width="3.625" customWidth="1"/>
    <col min="2" max="12" width="10.625" customWidth="1"/>
    <col min="13" max="13" width="15.625" customWidth="1"/>
    <col min="14" max="17" width="10.625" customWidth="1"/>
    <col min="18" max="19" width="3.625" customWidth="1"/>
  </cols>
  <sheetData>
    <row r="1" spans="2:17" ht="17.25" thickBot="1"/>
    <row r="2" spans="2:17" ht="45" customHeight="1" thickBot="1">
      <c r="B2" s="1466" t="s">
        <v>1013</v>
      </c>
      <c r="C2" s="1467"/>
      <c r="D2" s="1467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7"/>
      <c r="P2" s="1467"/>
      <c r="Q2" s="1468"/>
    </row>
    <row r="3" spans="2:17" ht="6.95" customHeight="1" thickBot="1"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pans="2:17" ht="39.950000000000003" customHeight="1">
      <c r="B4" s="1469" t="s">
        <v>313</v>
      </c>
      <c r="C4" s="1470"/>
      <c r="D4" s="1470"/>
      <c r="E4" s="1470"/>
      <c r="F4" s="1470"/>
      <c r="G4" s="1470"/>
      <c r="H4" s="1470"/>
      <c r="I4" s="1471"/>
      <c r="J4" s="1475" t="s">
        <v>314</v>
      </c>
      <c r="K4" s="1476"/>
      <c r="L4" s="1476"/>
      <c r="M4" s="1476"/>
      <c r="N4" s="1476"/>
      <c r="O4" s="1476"/>
      <c r="P4" s="1476"/>
      <c r="Q4" s="1477"/>
    </row>
    <row r="5" spans="2:17" ht="24.95" customHeight="1" thickBot="1">
      <c r="B5" s="1472"/>
      <c r="C5" s="1473"/>
      <c r="D5" s="1473"/>
      <c r="E5" s="1473"/>
      <c r="F5" s="1473"/>
      <c r="G5" s="1473"/>
      <c r="H5" s="1473"/>
      <c r="I5" s="1474"/>
      <c r="J5" s="1478"/>
      <c r="K5" s="1479"/>
      <c r="L5" s="1479"/>
      <c r="M5" s="1479"/>
      <c r="N5" s="1479"/>
      <c r="O5" s="1479"/>
      <c r="P5" s="1479"/>
      <c r="Q5" s="1480"/>
    </row>
    <row r="6" spans="2:17" ht="24.95" customHeight="1">
      <c r="B6" s="1481" t="s">
        <v>30</v>
      </c>
      <c r="C6" s="1482"/>
      <c r="D6" s="1482"/>
      <c r="E6" s="1482"/>
      <c r="F6" s="1482"/>
      <c r="G6" s="1482"/>
      <c r="H6" s="1483" t="s">
        <v>1055</v>
      </c>
      <c r="I6" s="1484"/>
      <c r="J6" s="1484"/>
      <c r="K6" s="1484"/>
      <c r="L6" s="1484"/>
      <c r="M6" s="1484"/>
      <c r="N6" s="1489"/>
      <c r="O6" s="1484"/>
      <c r="P6" s="1484"/>
      <c r="Q6" s="1490"/>
    </row>
    <row r="7" spans="2:17" ht="24.95" customHeight="1">
      <c r="B7" s="1493" t="s">
        <v>1048</v>
      </c>
      <c r="C7" s="1494"/>
      <c r="D7" s="1494"/>
      <c r="E7" s="1494"/>
      <c r="F7" s="1494"/>
      <c r="G7" s="1494"/>
      <c r="H7" s="1485"/>
      <c r="I7" s="1486"/>
      <c r="J7" s="1486"/>
      <c r="K7" s="1486"/>
      <c r="L7" s="1486"/>
      <c r="M7" s="1486"/>
      <c r="N7" s="1485"/>
      <c r="O7" s="1486"/>
      <c r="P7" s="1486"/>
      <c r="Q7" s="1491"/>
    </row>
    <row r="8" spans="2:17" ht="24.95" customHeight="1">
      <c r="B8" s="1495"/>
      <c r="C8" s="1496"/>
      <c r="D8" s="1496"/>
      <c r="E8" s="1496"/>
      <c r="F8" s="1496"/>
      <c r="G8" s="1496"/>
      <c r="H8" s="1485"/>
      <c r="I8" s="1486"/>
      <c r="J8" s="1486"/>
      <c r="K8" s="1486"/>
      <c r="L8" s="1486"/>
      <c r="M8" s="1486"/>
      <c r="N8" s="1485"/>
      <c r="O8" s="1486"/>
      <c r="P8" s="1486"/>
      <c r="Q8" s="1491"/>
    </row>
    <row r="9" spans="2:17" ht="24.95" customHeight="1">
      <c r="B9" s="1495"/>
      <c r="C9" s="1496"/>
      <c r="D9" s="1496"/>
      <c r="E9" s="1496"/>
      <c r="F9" s="1496"/>
      <c r="G9" s="1496"/>
      <c r="H9" s="1485"/>
      <c r="I9" s="1486"/>
      <c r="J9" s="1486"/>
      <c r="K9" s="1486"/>
      <c r="L9" s="1486"/>
      <c r="M9" s="1486"/>
      <c r="N9" s="1485"/>
      <c r="O9" s="1486"/>
      <c r="P9" s="1486"/>
      <c r="Q9" s="1491"/>
    </row>
    <row r="10" spans="2:17" ht="24.95" customHeight="1" thickBot="1">
      <c r="B10" s="1497"/>
      <c r="C10" s="1498"/>
      <c r="D10" s="1498"/>
      <c r="E10" s="1498"/>
      <c r="F10" s="1498"/>
      <c r="G10" s="1498"/>
      <c r="H10" s="1485"/>
      <c r="I10" s="1486"/>
      <c r="J10" s="1486"/>
      <c r="K10" s="1486"/>
      <c r="L10" s="1486"/>
      <c r="M10" s="1486"/>
      <c r="N10" s="1485"/>
      <c r="O10" s="1486"/>
      <c r="P10" s="1486"/>
      <c r="Q10" s="1491"/>
    </row>
    <row r="11" spans="2:17" ht="24.95" customHeight="1">
      <c r="B11" s="1481" t="s">
        <v>75</v>
      </c>
      <c r="C11" s="1482"/>
      <c r="D11" s="1482"/>
      <c r="E11" s="1482"/>
      <c r="F11" s="1482"/>
      <c r="G11" s="1482"/>
      <c r="H11" s="1485"/>
      <c r="I11" s="1486"/>
      <c r="J11" s="1486"/>
      <c r="K11" s="1486"/>
      <c r="L11" s="1486"/>
      <c r="M11" s="1486"/>
      <c r="N11" s="1485"/>
      <c r="O11" s="1486"/>
      <c r="P11" s="1486"/>
      <c r="Q11" s="1491"/>
    </row>
    <row r="12" spans="2:17" ht="39.950000000000003" customHeight="1">
      <c r="B12" s="1493" t="s">
        <v>1050</v>
      </c>
      <c r="C12" s="1494"/>
      <c r="D12" s="1494"/>
      <c r="E12" s="1494"/>
      <c r="F12" s="1494"/>
      <c r="G12" s="1494"/>
      <c r="H12" s="1485"/>
      <c r="I12" s="1486"/>
      <c r="J12" s="1486"/>
      <c r="K12" s="1486"/>
      <c r="L12" s="1486"/>
      <c r="M12" s="1486"/>
      <c r="N12" s="1485"/>
      <c r="O12" s="1486"/>
      <c r="P12" s="1486"/>
      <c r="Q12" s="1491"/>
    </row>
    <row r="13" spans="2:17" ht="39.950000000000003" customHeight="1">
      <c r="B13" s="1495"/>
      <c r="C13" s="1496"/>
      <c r="D13" s="1496"/>
      <c r="E13" s="1496"/>
      <c r="F13" s="1496"/>
      <c r="G13" s="1496"/>
      <c r="H13" s="1485"/>
      <c r="I13" s="1486"/>
      <c r="J13" s="1486"/>
      <c r="K13" s="1486"/>
      <c r="L13" s="1486"/>
      <c r="M13" s="1486"/>
      <c r="N13" s="1485"/>
      <c r="O13" s="1486"/>
      <c r="P13" s="1486"/>
      <c r="Q13" s="1491"/>
    </row>
    <row r="14" spans="2:17" ht="39.950000000000003" customHeight="1">
      <c r="B14" s="1495"/>
      <c r="C14" s="1496"/>
      <c r="D14" s="1496"/>
      <c r="E14" s="1496"/>
      <c r="F14" s="1496"/>
      <c r="G14" s="1496"/>
      <c r="H14" s="1485"/>
      <c r="I14" s="1486"/>
      <c r="J14" s="1486"/>
      <c r="K14" s="1486"/>
      <c r="L14" s="1486"/>
      <c r="M14" s="1486"/>
      <c r="N14" s="1485"/>
      <c r="O14" s="1486"/>
      <c r="P14" s="1486"/>
      <c r="Q14" s="1491"/>
    </row>
    <row r="15" spans="2:17" ht="39.950000000000003" customHeight="1">
      <c r="B15" s="1495"/>
      <c r="C15" s="1496"/>
      <c r="D15" s="1496"/>
      <c r="E15" s="1496"/>
      <c r="F15" s="1496"/>
      <c r="G15" s="1496"/>
      <c r="H15" s="1485"/>
      <c r="I15" s="1486"/>
      <c r="J15" s="1486"/>
      <c r="K15" s="1486"/>
      <c r="L15" s="1486"/>
      <c r="M15" s="1486"/>
      <c r="N15" s="1485"/>
      <c r="O15" s="1486"/>
      <c r="P15" s="1486"/>
      <c r="Q15" s="1491"/>
    </row>
    <row r="16" spans="2:17" ht="39.950000000000003" customHeight="1">
      <c r="B16" s="1495"/>
      <c r="C16" s="1496"/>
      <c r="D16" s="1496"/>
      <c r="E16" s="1496"/>
      <c r="F16" s="1496"/>
      <c r="G16" s="1496"/>
      <c r="H16" s="1485"/>
      <c r="I16" s="1486"/>
      <c r="J16" s="1486"/>
      <c r="K16" s="1486"/>
      <c r="L16" s="1486"/>
      <c r="M16" s="1486"/>
      <c r="N16" s="1485"/>
      <c r="O16" s="1486"/>
      <c r="P16" s="1486"/>
      <c r="Q16" s="1491"/>
    </row>
    <row r="17" spans="2:17" ht="39.950000000000003" customHeight="1" thickBot="1">
      <c r="B17" s="1497"/>
      <c r="C17" s="1498"/>
      <c r="D17" s="1498"/>
      <c r="E17" s="1498"/>
      <c r="F17" s="1498"/>
      <c r="G17" s="1498"/>
      <c r="H17" s="1487"/>
      <c r="I17" s="1488"/>
      <c r="J17" s="1488"/>
      <c r="K17" s="1488"/>
      <c r="L17" s="1488"/>
      <c r="M17" s="1488"/>
      <c r="N17" s="1487"/>
      <c r="O17" s="1488"/>
      <c r="P17" s="1488"/>
      <c r="Q17" s="1492"/>
    </row>
    <row r="18" spans="2:17" ht="45" customHeight="1" thickBot="1">
      <c r="B18" s="1499" t="s">
        <v>1014</v>
      </c>
      <c r="C18" s="1500"/>
      <c r="D18" s="1500"/>
      <c r="E18" s="1500"/>
      <c r="F18" s="1500"/>
      <c r="G18" s="1500"/>
      <c r="H18" s="1500"/>
      <c r="I18" s="1500"/>
      <c r="J18" s="1500"/>
      <c r="K18" s="1500"/>
      <c r="L18" s="1500"/>
      <c r="M18" s="1500"/>
      <c r="N18" s="1500"/>
      <c r="O18" s="1500"/>
      <c r="P18" s="1501"/>
      <c r="Q18" s="1502"/>
    </row>
    <row r="19" spans="2:17" ht="5.0999999999999996" customHeight="1" thickBot="1">
      <c r="B19" s="13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</row>
    <row r="20" spans="2:17" ht="24.95" customHeight="1">
      <c r="B20" s="1503">
        <v>1</v>
      </c>
      <c r="C20" s="1506"/>
      <c r="D20" s="1507"/>
      <c r="E20" s="1507"/>
      <c r="F20" s="1511">
        <v>13</v>
      </c>
      <c r="G20" s="1514"/>
      <c r="H20" s="1511"/>
      <c r="I20" s="1511"/>
      <c r="J20" s="1511">
        <v>25</v>
      </c>
      <c r="K20" s="1514"/>
      <c r="L20" s="1511"/>
      <c r="M20" s="1511"/>
      <c r="N20" s="1511">
        <v>37</v>
      </c>
      <c r="O20" s="1511"/>
      <c r="P20" s="1516"/>
      <c r="Q20" s="1517"/>
    </row>
    <row r="21" spans="2:17" ht="24.95" customHeight="1">
      <c r="B21" s="1504"/>
      <c r="C21" s="1508"/>
      <c r="D21" s="1509"/>
      <c r="E21" s="1509"/>
      <c r="F21" s="1512"/>
      <c r="G21" s="1515"/>
      <c r="H21" s="1512"/>
      <c r="I21" s="1512"/>
      <c r="J21" s="1512"/>
      <c r="K21" s="1515"/>
      <c r="L21" s="1512"/>
      <c r="M21" s="1512"/>
      <c r="N21" s="1512"/>
      <c r="O21" s="1512"/>
      <c r="P21" s="1518"/>
      <c r="Q21" s="1519"/>
    </row>
    <row r="22" spans="2:17" ht="24.95" customHeight="1">
      <c r="B22" s="1505"/>
      <c r="C22" s="1510"/>
      <c r="D22" s="1510"/>
      <c r="E22" s="1510"/>
      <c r="F22" s="1513"/>
      <c r="G22" s="1513"/>
      <c r="H22" s="1513"/>
      <c r="I22" s="1513"/>
      <c r="J22" s="1513"/>
      <c r="K22" s="1513"/>
      <c r="L22" s="1513"/>
      <c r="M22" s="1513"/>
      <c r="N22" s="1513"/>
      <c r="O22" s="1513"/>
      <c r="P22" s="1520"/>
      <c r="Q22" s="1521"/>
    </row>
    <row r="23" spans="2:17" ht="24.95" customHeight="1">
      <c r="B23" s="1522">
        <v>2</v>
      </c>
      <c r="C23" s="1510"/>
      <c r="D23" s="1510"/>
      <c r="E23" s="1510"/>
      <c r="F23" s="1513">
        <v>14</v>
      </c>
      <c r="G23" s="1513"/>
      <c r="H23" s="1513"/>
      <c r="I23" s="1513"/>
      <c r="J23" s="1513">
        <v>26</v>
      </c>
      <c r="K23" s="1513"/>
      <c r="L23" s="1513"/>
      <c r="M23" s="1513"/>
      <c r="N23" s="1513">
        <v>38</v>
      </c>
      <c r="O23" s="1513"/>
      <c r="P23" s="1520"/>
      <c r="Q23" s="1521"/>
    </row>
    <row r="24" spans="2:17" ht="24.95" customHeight="1">
      <c r="B24" s="1522"/>
      <c r="C24" s="1510"/>
      <c r="D24" s="1510"/>
      <c r="E24" s="1510"/>
      <c r="F24" s="1513"/>
      <c r="G24" s="1513"/>
      <c r="H24" s="1513"/>
      <c r="I24" s="1513"/>
      <c r="J24" s="1513"/>
      <c r="K24" s="1513"/>
      <c r="L24" s="1513"/>
      <c r="M24" s="1513"/>
      <c r="N24" s="1513"/>
      <c r="O24" s="1513"/>
      <c r="P24" s="1520"/>
      <c r="Q24" s="1521"/>
    </row>
    <row r="25" spans="2:17" ht="24.95" customHeight="1">
      <c r="B25" s="1522"/>
      <c r="C25" s="1510"/>
      <c r="D25" s="1510"/>
      <c r="E25" s="1510"/>
      <c r="F25" s="1513"/>
      <c r="G25" s="1513"/>
      <c r="H25" s="1513"/>
      <c r="I25" s="1513"/>
      <c r="J25" s="1513"/>
      <c r="K25" s="1513"/>
      <c r="L25" s="1513"/>
      <c r="M25" s="1513"/>
      <c r="N25" s="1513"/>
      <c r="O25" s="1513"/>
      <c r="P25" s="1520"/>
      <c r="Q25" s="1521"/>
    </row>
    <row r="26" spans="2:17" ht="24.95" customHeight="1">
      <c r="B26" s="1522">
        <v>3</v>
      </c>
      <c r="C26" s="1510"/>
      <c r="D26" s="1510"/>
      <c r="E26" s="1510"/>
      <c r="F26" s="1513">
        <v>15</v>
      </c>
      <c r="G26" s="1513"/>
      <c r="H26" s="1513"/>
      <c r="I26" s="1513"/>
      <c r="J26" s="1513">
        <v>27</v>
      </c>
      <c r="K26" s="1513"/>
      <c r="L26" s="1513"/>
      <c r="M26" s="1513"/>
      <c r="N26" s="1513">
        <v>39</v>
      </c>
      <c r="O26" s="1513"/>
      <c r="P26" s="1520"/>
      <c r="Q26" s="1521"/>
    </row>
    <row r="27" spans="2:17" ht="24.95" customHeight="1">
      <c r="B27" s="1522"/>
      <c r="C27" s="1510"/>
      <c r="D27" s="1510"/>
      <c r="E27" s="1510"/>
      <c r="F27" s="1513"/>
      <c r="G27" s="1513"/>
      <c r="H27" s="1513"/>
      <c r="I27" s="1513"/>
      <c r="J27" s="1513"/>
      <c r="K27" s="1513"/>
      <c r="L27" s="1513"/>
      <c r="M27" s="1513"/>
      <c r="N27" s="1513"/>
      <c r="O27" s="1513"/>
      <c r="P27" s="1520"/>
      <c r="Q27" s="1521"/>
    </row>
    <row r="28" spans="2:17" ht="24.95" customHeight="1">
      <c r="B28" s="1522"/>
      <c r="C28" s="1510"/>
      <c r="D28" s="1510"/>
      <c r="E28" s="1510"/>
      <c r="F28" s="1513"/>
      <c r="G28" s="1513"/>
      <c r="H28" s="1513"/>
      <c r="I28" s="1513"/>
      <c r="J28" s="1513"/>
      <c r="K28" s="1513"/>
      <c r="L28" s="1513"/>
      <c r="M28" s="1513"/>
      <c r="N28" s="1513"/>
      <c r="O28" s="1513"/>
      <c r="P28" s="1520"/>
      <c r="Q28" s="1521"/>
    </row>
    <row r="29" spans="2:17" ht="24.95" customHeight="1">
      <c r="B29" s="1522">
        <v>4</v>
      </c>
      <c r="C29" s="1510"/>
      <c r="D29" s="1510"/>
      <c r="E29" s="1510"/>
      <c r="F29" s="1513">
        <v>16</v>
      </c>
      <c r="G29" s="1513"/>
      <c r="H29" s="1513"/>
      <c r="I29" s="1513"/>
      <c r="J29" s="1513">
        <v>28</v>
      </c>
      <c r="K29" s="1513"/>
      <c r="L29" s="1513"/>
      <c r="M29" s="1513"/>
      <c r="N29" s="1513">
        <v>40</v>
      </c>
      <c r="O29" s="1513"/>
      <c r="P29" s="1520"/>
      <c r="Q29" s="1521"/>
    </row>
    <row r="30" spans="2:17" ht="24.95" customHeight="1">
      <c r="B30" s="1522"/>
      <c r="C30" s="1510"/>
      <c r="D30" s="1510"/>
      <c r="E30" s="1510"/>
      <c r="F30" s="1513"/>
      <c r="G30" s="1513"/>
      <c r="H30" s="1513"/>
      <c r="I30" s="1513"/>
      <c r="J30" s="1513"/>
      <c r="K30" s="1513"/>
      <c r="L30" s="1513"/>
      <c r="M30" s="1513"/>
      <c r="N30" s="1513"/>
      <c r="O30" s="1513"/>
      <c r="P30" s="1520"/>
      <c r="Q30" s="1521"/>
    </row>
    <row r="31" spans="2:17" ht="24.95" customHeight="1">
      <c r="B31" s="1522"/>
      <c r="C31" s="1510"/>
      <c r="D31" s="1510"/>
      <c r="E31" s="1510"/>
      <c r="F31" s="1513"/>
      <c r="G31" s="1513"/>
      <c r="H31" s="1513"/>
      <c r="I31" s="1513"/>
      <c r="J31" s="1513"/>
      <c r="K31" s="1513"/>
      <c r="L31" s="1513"/>
      <c r="M31" s="1513"/>
      <c r="N31" s="1513"/>
      <c r="O31" s="1513"/>
      <c r="P31" s="1520"/>
      <c r="Q31" s="1521"/>
    </row>
    <row r="32" spans="2:17" ht="24.95" customHeight="1">
      <c r="B32" s="1522">
        <v>5</v>
      </c>
      <c r="C32" s="1513"/>
      <c r="D32" s="1513"/>
      <c r="E32" s="1513"/>
      <c r="F32" s="1513">
        <v>17</v>
      </c>
      <c r="G32" s="1513"/>
      <c r="H32" s="1513"/>
      <c r="I32" s="1513"/>
      <c r="J32" s="1513">
        <v>29</v>
      </c>
      <c r="K32" s="1513"/>
      <c r="L32" s="1513"/>
      <c r="M32" s="1513"/>
      <c r="N32" s="1513">
        <v>41</v>
      </c>
      <c r="O32" s="1513"/>
      <c r="P32" s="1520"/>
      <c r="Q32" s="1521"/>
    </row>
    <row r="33" spans="2:17" ht="24.95" customHeight="1">
      <c r="B33" s="1522"/>
      <c r="C33" s="1513"/>
      <c r="D33" s="1513"/>
      <c r="E33" s="1513"/>
      <c r="F33" s="1513"/>
      <c r="G33" s="1513"/>
      <c r="H33" s="1513"/>
      <c r="I33" s="1513"/>
      <c r="J33" s="1513"/>
      <c r="K33" s="1513"/>
      <c r="L33" s="1513"/>
      <c r="M33" s="1513"/>
      <c r="N33" s="1513"/>
      <c r="O33" s="1513"/>
      <c r="P33" s="1520"/>
      <c r="Q33" s="1521"/>
    </row>
    <row r="34" spans="2:17" ht="24.95" customHeight="1">
      <c r="B34" s="1522"/>
      <c r="C34" s="1513"/>
      <c r="D34" s="1513"/>
      <c r="E34" s="1513"/>
      <c r="F34" s="1513"/>
      <c r="G34" s="1513"/>
      <c r="H34" s="1513"/>
      <c r="I34" s="1513"/>
      <c r="J34" s="1513"/>
      <c r="K34" s="1513"/>
      <c r="L34" s="1513"/>
      <c r="M34" s="1513"/>
      <c r="N34" s="1513"/>
      <c r="O34" s="1513"/>
      <c r="P34" s="1520"/>
      <c r="Q34" s="1521"/>
    </row>
    <row r="35" spans="2:17" ht="24.95" customHeight="1">
      <c r="B35" s="1522">
        <v>6</v>
      </c>
      <c r="C35" s="1513"/>
      <c r="D35" s="1513"/>
      <c r="E35" s="1513"/>
      <c r="F35" s="1513">
        <v>18</v>
      </c>
      <c r="G35" s="1513"/>
      <c r="H35" s="1513"/>
      <c r="I35" s="1513"/>
      <c r="J35" s="1513">
        <v>30</v>
      </c>
      <c r="K35" s="1513"/>
      <c r="L35" s="1513"/>
      <c r="M35" s="1513"/>
      <c r="N35" s="1513">
        <v>42</v>
      </c>
      <c r="O35" s="1513"/>
      <c r="P35" s="1520"/>
      <c r="Q35" s="1521"/>
    </row>
    <row r="36" spans="2:17" ht="24.95" customHeight="1">
      <c r="B36" s="1522"/>
      <c r="C36" s="1513"/>
      <c r="D36" s="1513"/>
      <c r="E36" s="1513"/>
      <c r="F36" s="1513"/>
      <c r="G36" s="1513"/>
      <c r="H36" s="1513"/>
      <c r="I36" s="1513"/>
      <c r="J36" s="1513"/>
      <c r="K36" s="1513"/>
      <c r="L36" s="1513"/>
      <c r="M36" s="1513"/>
      <c r="N36" s="1513"/>
      <c r="O36" s="1513"/>
      <c r="P36" s="1520"/>
      <c r="Q36" s="1521"/>
    </row>
    <row r="37" spans="2:17" ht="24.95" customHeight="1">
      <c r="B37" s="1522"/>
      <c r="C37" s="1513"/>
      <c r="D37" s="1513"/>
      <c r="E37" s="1513"/>
      <c r="F37" s="1513"/>
      <c r="G37" s="1513"/>
      <c r="H37" s="1513"/>
      <c r="I37" s="1513"/>
      <c r="J37" s="1513"/>
      <c r="K37" s="1513"/>
      <c r="L37" s="1513"/>
      <c r="M37" s="1513"/>
      <c r="N37" s="1513"/>
      <c r="O37" s="1513"/>
      <c r="P37" s="1520"/>
      <c r="Q37" s="1521"/>
    </row>
    <row r="38" spans="2:17" ht="24.95" customHeight="1">
      <c r="B38" s="1522">
        <v>7</v>
      </c>
      <c r="C38" s="1513"/>
      <c r="D38" s="1513"/>
      <c r="E38" s="1513"/>
      <c r="F38" s="1513">
        <v>19</v>
      </c>
      <c r="G38" s="1513"/>
      <c r="H38" s="1513"/>
      <c r="I38" s="1513"/>
      <c r="J38" s="1513">
        <v>31</v>
      </c>
      <c r="K38" s="1513"/>
      <c r="L38" s="1513"/>
      <c r="M38" s="1513"/>
      <c r="N38" s="1513">
        <v>43</v>
      </c>
      <c r="O38" s="1513"/>
      <c r="P38" s="1520"/>
      <c r="Q38" s="1521"/>
    </row>
    <row r="39" spans="2:17" ht="24.95" customHeight="1">
      <c r="B39" s="1522"/>
      <c r="C39" s="1513"/>
      <c r="D39" s="1513"/>
      <c r="E39" s="1513"/>
      <c r="F39" s="1513"/>
      <c r="G39" s="1513"/>
      <c r="H39" s="1513"/>
      <c r="I39" s="1513"/>
      <c r="J39" s="1513"/>
      <c r="K39" s="1513"/>
      <c r="L39" s="1513"/>
      <c r="M39" s="1513"/>
      <c r="N39" s="1513"/>
      <c r="O39" s="1513"/>
      <c r="P39" s="1520"/>
      <c r="Q39" s="1521"/>
    </row>
    <row r="40" spans="2:17" ht="24.95" customHeight="1">
      <c r="B40" s="1522"/>
      <c r="C40" s="1513"/>
      <c r="D40" s="1513"/>
      <c r="E40" s="1513"/>
      <c r="F40" s="1513"/>
      <c r="G40" s="1513"/>
      <c r="H40" s="1513"/>
      <c r="I40" s="1513"/>
      <c r="J40" s="1513"/>
      <c r="K40" s="1513"/>
      <c r="L40" s="1513"/>
      <c r="M40" s="1513"/>
      <c r="N40" s="1513"/>
      <c r="O40" s="1513"/>
      <c r="P40" s="1520"/>
      <c r="Q40" s="1521"/>
    </row>
    <row r="41" spans="2:17" ht="24.95" customHeight="1">
      <c r="B41" s="1522">
        <v>8</v>
      </c>
      <c r="C41" s="1513"/>
      <c r="D41" s="1513"/>
      <c r="E41" s="1513"/>
      <c r="F41" s="1513">
        <v>20</v>
      </c>
      <c r="G41" s="1513"/>
      <c r="H41" s="1513"/>
      <c r="I41" s="1513"/>
      <c r="J41" s="1513">
        <v>32</v>
      </c>
      <c r="K41" s="1513"/>
      <c r="L41" s="1513"/>
      <c r="M41" s="1513"/>
      <c r="N41" s="1513">
        <v>44</v>
      </c>
      <c r="O41" s="1513"/>
      <c r="P41" s="1520"/>
      <c r="Q41" s="1521"/>
    </row>
    <row r="42" spans="2:17" ht="24.95" customHeight="1">
      <c r="B42" s="1522"/>
      <c r="C42" s="1513"/>
      <c r="D42" s="1513"/>
      <c r="E42" s="1513"/>
      <c r="F42" s="1513"/>
      <c r="G42" s="1513"/>
      <c r="H42" s="1513"/>
      <c r="I42" s="1513"/>
      <c r="J42" s="1513"/>
      <c r="K42" s="1513"/>
      <c r="L42" s="1513"/>
      <c r="M42" s="1513"/>
      <c r="N42" s="1513"/>
      <c r="O42" s="1513"/>
      <c r="P42" s="1520"/>
      <c r="Q42" s="1521"/>
    </row>
    <row r="43" spans="2:17" ht="24.95" customHeight="1">
      <c r="B43" s="1522"/>
      <c r="C43" s="1513"/>
      <c r="D43" s="1513"/>
      <c r="E43" s="1513"/>
      <c r="F43" s="1513"/>
      <c r="G43" s="1513"/>
      <c r="H43" s="1513"/>
      <c r="I43" s="1513"/>
      <c r="J43" s="1513"/>
      <c r="K43" s="1513"/>
      <c r="L43" s="1513"/>
      <c r="M43" s="1513"/>
      <c r="N43" s="1513"/>
      <c r="O43" s="1513"/>
      <c r="P43" s="1520"/>
      <c r="Q43" s="1521"/>
    </row>
    <row r="44" spans="2:17" ht="24.95" customHeight="1">
      <c r="B44" s="1522">
        <v>9</v>
      </c>
      <c r="C44" s="1513"/>
      <c r="D44" s="1513"/>
      <c r="E44" s="1513"/>
      <c r="F44" s="1513">
        <v>21</v>
      </c>
      <c r="G44" s="1513"/>
      <c r="H44" s="1513"/>
      <c r="I44" s="1513"/>
      <c r="J44" s="1513">
        <v>33</v>
      </c>
      <c r="K44" s="1513"/>
      <c r="L44" s="1513"/>
      <c r="M44" s="1513"/>
      <c r="N44" s="1513">
        <v>45</v>
      </c>
      <c r="O44" s="1513"/>
      <c r="P44" s="1520"/>
      <c r="Q44" s="1521"/>
    </row>
    <row r="45" spans="2:17" ht="24.95" customHeight="1">
      <c r="B45" s="1522"/>
      <c r="C45" s="1513"/>
      <c r="D45" s="1513"/>
      <c r="E45" s="1513"/>
      <c r="F45" s="1513"/>
      <c r="G45" s="1513"/>
      <c r="H45" s="1513"/>
      <c r="I45" s="1513"/>
      <c r="J45" s="1513"/>
      <c r="K45" s="1513"/>
      <c r="L45" s="1513"/>
      <c r="M45" s="1513"/>
      <c r="N45" s="1513"/>
      <c r="O45" s="1513"/>
      <c r="P45" s="1520"/>
      <c r="Q45" s="1521"/>
    </row>
    <row r="46" spans="2:17" ht="24.95" customHeight="1">
      <c r="B46" s="1522"/>
      <c r="C46" s="1513"/>
      <c r="D46" s="1513"/>
      <c r="E46" s="1513"/>
      <c r="F46" s="1513"/>
      <c r="G46" s="1513"/>
      <c r="H46" s="1513"/>
      <c r="I46" s="1513"/>
      <c r="J46" s="1513"/>
      <c r="K46" s="1513"/>
      <c r="L46" s="1513"/>
      <c r="M46" s="1513"/>
      <c r="N46" s="1513"/>
      <c r="O46" s="1513"/>
      <c r="P46" s="1520"/>
      <c r="Q46" s="1521"/>
    </row>
    <row r="47" spans="2:17" ht="24.95" customHeight="1">
      <c r="B47" s="1522">
        <v>10</v>
      </c>
      <c r="C47" s="1513"/>
      <c r="D47" s="1513"/>
      <c r="E47" s="1513"/>
      <c r="F47" s="1513">
        <v>22</v>
      </c>
      <c r="G47" s="1513"/>
      <c r="H47" s="1513"/>
      <c r="I47" s="1513"/>
      <c r="J47" s="1513">
        <v>34</v>
      </c>
      <c r="K47" s="1513"/>
      <c r="L47" s="1513"/>
      <c r="M47" s="1513"/>
      <c r="N47" s="1513">
        <v>46</v>
      </c>
      <c r="O47" s="1513"/>
      <c r="P47" s="1520"/>
      <c r="Q47" s="1521"/>
    </row>
    <row r="48" spans="2:17" ht="24.95" customHeight="1">
      <c r="B48" s="1522"/>
      <c r="C48" s="1513"/>
      <c r="D48" s="1513"/>
      <c r="E48" s="1513"/>
      <c r="F48" s="1513"/>
      <c r="G48" s="1513"/>
      <c r="H48" s="1513"/>
      <c r="I48" s="1513"/>
      <c r="J48" s="1513"/>
      <c r="K48" s="1513"/>
      <c r="L48" s="1513"/>
      <c r="M48" s="1513"/>
      <c r="N48" s="1513"/>
      <c r="O48" s="1513"/>
      <c r="P48" s="1520"/>
      <c r="Q48" s="1521"/>
    </row>
    <row r="49" spans="2:17" ht="24.95" customHeight="1">
      <c r="B49" s="1522"/>
      <c r="C49" s="1513"/>
      <c r="D49" s="1513"/>
      <c r="E49" s="1513"/>
      <c r="F49" s="1513"/>
      <c r="G49" s="1513"/>
      <c r="H49" s="1513"/>
      <c r="I49" s="1513"/>
      <c r="J49" s="1513"/>
      <c r="K49" s="1513"/>
      <c r="L49" s="1513"/>
      <c r="M49" s="1513"/>
      <c r="N49" s="1513"/>
      <c r="O49" s="1513"/>
      <c r="P49" s="1520"/>
      <c r="Q49" s="1521"/>
    </row>
    <row r="50" spans="2:17" ht="24.95" customHeight="1">
      <c r="B50" s="1522">
        <v>11</v>
      </c>
      <c r="C50" s="1513"/>
      <c r="D50" s="1513"/>
      <c r="E50" s="1513"/>
      <c r="F50" s="1513">
        <v>23</v>
      </c>
      <c r="G50" s="1513"/>
      <c r="H50" s="1513"/>
      <c r="I50" s="1513"/>
      <c r="J50" s="1513">
        <v>35</v>
      </c>
      <c r="K50" s="1513"/>
      <c r="L50" s="1513"/>
      <c r="M50" s="1513"/>
      <c r="N50" s="1513">
        <v>47</v>
      </c>
      <c r="O50" s="1513"/>
      <c r="P50" s="1520"/>
      <c r="Q50" s="1521"/>
    </row>
    <row r="51" spans="2:17" ht="24.95" customHeight="1">
      <c r="B51" s="1522"/>
      <c r="C51" s="1513"/>
      <c r="D51" s="1513"/>
      <c r="E51" s="1513"/>
      <c r="F51" s="1513"/>
      <c r="G51" s="1513"/>
      <c r="H51" s="1513"/>
      <c r="I51" s="1513"/>
      <c r="J51" s="1513"/>
      <c r="K51" s="1513"/>
      <c r="L51" s="1513"/>
      <c r="M51" s="1513"/>
      <c r="N51" s="1513"/>
      <c r="O51" s="1513"/>
      <c r="P51" s="1520"/>
      <c r="Q51" s="1521"/>
    </row>
    <row r="52" spans="2:17" ht="24.95" customHeight="1">
      <c r="B52" s="1522"/>
      <c r="C52" s="1513"/>
      <c r="D52" s="1513"/>
      <c r="E52" s="1513"/>
      <c r="F52" s="1513"/>
      <c r="G52" s="1513"/>
      <c r="H52" s="1513"/>
      <c r="I52" s="1513"/>
      <c r="J52" s="1513"/>
      <c r="K52" s="1513"/>
      <c r="L52" s="1513"/>
      <c r="M52" s="1513"/>
      <c r="N52" s="1513"/>
      <c r="O52" s="1513"/>
      <c r="P52" s="1520"/>
      <c r="Q52" s="1521"/>
    </row>
    <row r="53" spans="2:17" ht="24.95" customHeight="1">
      <c r="B53" s="1522">
        <v>12</v>
      </c>
      <c r="C53" s="1513"/>
      <c r="D53" s="1513"/>
      <c r="E53" s="1513"/>
      <c r="F53" s="1513">
        <v>24</v>
      </c>
      <c r="G53" s="1513"/>
      <c r="H53" s="1513"/>
      <c r="I53" s="1513"/>
      <c r="J53" s="1523">
        <v>36</v>
      </c>
      <c r="K53" s="1513"/>
      <c r="L53" s="1513"/>
      <c r="M53" s="1513"/>
      <c r="N53" s="1513">
        <v>48</v>
      </c>
      <c r="O53" s="1513"/>
      <c r="P53" s="1520"/>
      <c r="Q53" s="1521"/>
    </row>
    <row r="54" spans="2:17" ht="24.95" customHeight="1">
      <c r="B54" s="1529"/>
      <c r="C54" s="1523"/>
      <c r="D54" s="1523"/>
      <c r="E54" s="1523"/>
      <c r="F54" s="1523"/>
      <c r="G54" s="1523"/>
      <c r="H54" s="1523"/>
      <c r="I54" s="1523"/>
      <c r="J54" s="1531"/>
      <c r="K54" s="1523"/>
      <c r="L54" s="1523"/>
      <c r="M54" s="1523"/>
      <c r="N54" s="1523"/>
      <c r="O54" s="1523"/>
      <c r="P54" s="1525"/>
      <c r="Q54" s="1526"/>
    </row>
    <row r="55" spans="2:17" ht="24.95" customHeight="1" thickBot="1">
      <c r="B55" s="1530"/>
      <c r="C55" s="1524"/>
      <c r="D55" s="1524"/>
      <c r="E55" s="1524"/>
      <c r="F55" s="1524"/>
      <c r="G55" s="1524"/>
      <c r="H55" s="1524"/>
      <c r="I55" s="1524"/>
      <c r="J55" s="1532"/>
      <c r="K55" s="1524"/>
      <c r="L55" s="1524"/>
      <c r="M55" s="1524"/>
      <c r="N55" s="1524"/>
      <c r="O55" s="1524"/>
      <c r="P55" s="1527"/>
      <c r="Q55" s="1528"/>
    </row>
  </sheetData>
  <mergeCells count="106">
    <mergeCell ref="N53:N55"/>
    <mergeCell ref="O53:Q55"/>
    <mergeCell ref="B53:B55"/>
    <mergeCell ref="C53:E55"/>
    <mergeCell ref="F53:F55"/>
    <mergeCell ref="G53:I55"/>
    <mergeCell ref="J53:J55"/>
    <mergeCell ref="K53:M55"/>
    <mergeCell ref="B47:B49"/>
    <mergeCell ref="C47:E49"/>
    <mergeCell ref="F47:F49"/>
    <mergeCell ref="G47:I49"/>
    <mergeCell ref="J47:J49"/>
    <mergeCell ref="K47:M49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1:B43"/>
    <mergeCell ref="C41:E43"/>
    <mergeCell ref="F41:F43"/>
    <mergeCell ref="G41:I43"/>
    <mergeCell ref="J41:J43"/>
    <mergeCell ref="K41:M43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35:B37"/>
    <mergeCell ref="C35:E37"/>
    <mergeCell ref="F35:F37"/>
    <mergeCell ref="G35:I37"/>
    <mergeCell ref="J35:J37"/>
    <mergeCell ref="K35:M37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29:B31"/>
    <mergeCell ref="C29:E31"/>
    <mergeCell ref="F29:F31"/>
    <mergeCell ref="G29:I31"/>
    <mergeCell ref="J29:J31"/>
    <mergeCell ref="K29:M31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3:B25"/>
    <mergeCell ref="C23:E25"/>
    <mergeCell ref="F23:F25"/>
    <mergeCell ref="G23:I25"/>
    <mergeCell ref="J23:J25"/>
    <mergeCell ref="K23:M25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18:Q18"/>
    <mergeCell ref="B20:B22"/>
    <mergeCell ref="C20:E22"/>
    <mergeCell ref="F20:F22"/>
    <mergeCell ref="G20:I22"/>
    <mergeCell ref="J20:J22"/>
    <mergeCell ref="K20:M22"/>
    <mergeCell ref="N20:N22"/>
    <mergeCell ref="O20:Q22"/>
    <mergeCell ref="B2:Q2"/>
    <mergeCell ref="B4:I5"/>
    <mergeCell ref="J4:Q5"/>
    <mergeCell ref="B6:G6"/>
    <mergeCell ref="H6:M17"/>
    <mergeCell ref="N6:Q17"/>
    <mergeCell ref="B7:G10"/>
    <mergeCell ref="B11:G11"/>
    <mergeCell ref="B12:G17"/>
  </mergeCells>
  <phoneticPr fontId="3" type="noConversion"/>
  <printOptions horizontalCentered="1" verticalCentered="1"/>
  <pageMargins left="0" right="0" top="0" bottom="0" header="0" footer="0"/>
  <pageSetup paperSize="9" scale="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5층 12월 원본</vt:lpstr>
      <vt:lpstr>12.1</vt:lpstr>
      <vt:lpstr>12.2</vt:lpstr>
      <vt:lpstr>12.3</vt:lpstr>
      <vt:lpstr>12.4</vt:lpstr>
      <vt:lpstr>12.5</vt:lpstr>
      <vt:lpstr>12.8</vt:lpstr>
      <vt:lpstr>HOLD지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2025-12-03T08:34:23Z</cp:lastPrinted>
  <dcterms:created xsi:type="dcterms:W3CDTF">2025-11-27T08:29:19Z</dcterms:created>
  <dcterms:modified xsi:type="dcterms:W3CDTF">2025-12-05T06:42:37Z</dcterms:modified>
</cp:coreProperties>
</file>