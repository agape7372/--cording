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5층 12월 원본" sheetId="1" r:id="rId1"/>
    <sheet name="2층" sheetId="2" r:id="rId2"/>
    <sheet name="원본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1" formatCode="_-* #,##0_-;\-* #,##0_-;_-* &quot;-&quot;_-;_-@_-"/>
    <numFmt numFmtId="42" formatCode="_-&quot;₩&quot;* #,##0_-;\-&quot;₩&quot;* #,##0_-;_-&quot;₩&quot;* &quot;-&quot;_-;_-@_-"/>
    <numFmt numFmtId="56" formatCode="&quot;上午/下午 &quot;hh&quot;時&quot;mm&quot;分&quot;ss&quot;秒 &quot;"/>
    <numFmt numFmtId="176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4"/>
  <sheetViews>
    <sheetView workbookViewId="0"/>
  </sheetViews>
  <sheetData>
    <row r="1">
      <c r="A1" t="str">
        <v>재활센터 시간표     2023. 10. 31 (화)</v>
      </c>
    </row>
    <row r="2">
      <c r="A2" t="str">
        <v>5층 재활센터 시간표     2025. 12.  ()</v>
      </c>
    </row>
    <row r="3" xml:space="preserve">
      <c r="B3" t="str">
        <v xml:space="preserve">           시간    치료사</v>
      </c>
      <c r="C3" t="str" xml:space="preserve">
        <v xml:space="preserve">7:30~_x000d_
8:00</v>
      </c>
      <c r="D3" t="str" xml:space="preserve">
        <v xml:space="preserve">8:00~_x000d_
8:30</v>
      </c>
      <c r="E3" t="str" xml:space="preserve">
        <v xml:space="preserve">8:30~_x000d_
9:35</v>
      </c>
      <c r="F3" t="str" xml:space="preserve">
        <v xml:space="preserve">9:05~_x000d_
9:35</v>
      </c>
      <c r="G3" t="str" xml:space="preserve">
        <v xml:space="preserve">9:40~_x000d_
10:10</v>
      </c>
      <c r="H3" t="str" xml:space="preserve">
        <v xml:space="preserve">10:15~_x000d_
10:45</v>
      </c>
      <c r="I3" t="str" xml:space="preserve">
        <v xml:space="preserve">10:50~_x000d_
11:20</v>
      </c>
      <c r="J3" t="str" xml:space="preserve">
        <v xml:space="preserve">11:25~_x000d_
11:55</v>
      </c>
      <c r="K3" t="str" xml:space="preserve">
        <v xml:space="preserve">12:00~_x000d_
12:30</v>
      </c>
      <c r="L3" t="str">
        <v>점심</v>
      </c>
      <c r="M3" t="str" xml:space="preserve">
        <v xml:space="preserve">13:30~_x000d_
14:00</v>
      </c>
      <c r="N3" t="str" xml:space="preserve">
        <v xml:space="preserve">14:05~_x000d_
14:35</v>
      </c>
      <c r="O3" t="str" xml:space="preserve">
        <v xml:space="preserve">14:40~_x000d_
15:10</v>
      </c>
      <c r="P3" t="str" xml:space="preserve">
        <v xml:space="preserve">15:15~_x000d_
15:45</v>
      </c>
      <c r="Q3" t="str" xml:space="preserve">
        <v xml:space="preserve">15:50~_x000d_
16:20</v>
      </c>
      <c r="R3">
        <f>AVERAGE(R4:R28)</f>
        <v>1</v>
      </c>
    </row>
    <row r="4">
      <c r="A4">
        <v>1</v>
      </c>
      <c r="B4" t="str">
        <v>홍지민</v>
      </c>
      <c r="E4" t="str">
        <v>N서승달</v>
      </c>
      <c r="F4" t="str">
        <v>N박성구</v>
      </c>
      <c r="G4" t="str">
        <v>RM이난주</v>
      </c>
      <c r="H4" t="str">
        <v>RM이팔원</v>
      </c>
      <c r="I4" t="str">
        <v>RG정태두</v>
      </c>
      <c r="J4" t="str">
        <v>N임헌수2</v>
      </c>
      <c r="K4" t="str">
        <v>RM김성자10</v>
      </c>
      <c r="M4" t="str">
        <v>N임종범</v>
      </c>
      <c r="N4" t="str">
        <v>N권용길</v>
      </c>
      <c r="O4" t="str">
        <v>RM김기연5</v>
      </c>
      <c r="P4" t="str">
        <v>N김택중</v>
      </c>
      <c r="Q4" t="str">
        <v>RN전동순</v>
      </c>
      <c r="R4">
        <f>(COUNTA(C4:Q4))/12</f>
        <v>1</v>
      </c>
      <c r="U4" t="str">
        <v>* 신환</v>
      </c>
    </row>
    <row r="5">
      <c r="A5">
        <v>2</v>
      </c>
      <c r="B5" t="str">
        <v>임지현</v>
      </c>
      <c r="E5" t="str">
        <v>N연현숙2</v>
      </c>
      <c r="F5" t="str">
        <v>N7최지선3</v>
      </c>
      <c r="G5" t="str">
        <v>N양병후</v>
      </c>
      <c r="H5" t="str">
        <v>N배성범</v>
      </c>
      <c r="I5" t="str">
        <v>RM이병희3</v>
      </c>
      <c r="J5" t="str">
        <v>RM이진봉</v>
      </c>
      <c r="K5" t="str">
        <v>RN정현숙4</v>
      </c>
      <c r="M5" t="str">
        <v>RN이팔원</v>
      </c>
      <c r="N5" t="str">
        <v>RM김명배3</v>
      </c>
      <c r="O5" t="str">
        <v>RM김석군</v>
      </c>
      <c r="P5" t="str">
        <v>RN우영희2</v>
      </c>
      <c r="Q5" t="str">
        <v>N김명복</v>
      </c>
      <c r="R5">
        <f>(COUNTA(C5:Q5))/12</f>
        <v>1</v>
      </c>
    </row>
    <row r="6">
      <c r="A6">
        <v>3</v>
      </c>
      <c r="B6" t="str">
        <v>김채린</v>
      </c>
      <c r="E6" t="str">
        <v>N김명복</v>
      </c>
      <c r="F6" t="str">
        <v>N황종길</v>
      </c>
      <c r="G6" t="str">
        <v>N최지선3</v>
      </c>
      <c r="H6" t="str">
        <v>N박은용</v>
      </c>
      <c r="I6" t="str">
        <v>N조정자</v>
      </c>
      <c r="J6" t="str">
        <v>RG배영자</v>
      </c>
      <c r="K6" t="str">
        <v>RM김석군</v>
      </c>
      <c r="M6" t="str">
        <v>N7박성구D</v>
      </c>
      <c r="N6" t="str">
        <v>RM김인순3</v>
      </c>
      <c r="O6" t="str">
        <v>N구본창</v>
      </c>
      <c r="P6" t="str">
        <v>N유혜영4</v>
      </c>
      <c r="Q6" t="str">
        <v>N김을언</v>
      </c>
      <c r="R6">
        <f>(COUNTA(C6:Q6))/12</f>
        <v>1</v>
      </c>
    </row>
    <row r="7">
      <c r="A7">
        <v>4</v>
      </c>
      <c r="B7" t="str">
        <v>최예원</v>
      </c>
      <c r="E7" t="str">
        <v>RM김재환2</v>
      </c>
      <c r="F7" t="str">
        <v>RM이병희3</v>
      </c>
      <c r="G7" t="str">
        <v>RG최상근3</v>
      </c>
      <c r="H7" t="str">
        <v>RN윤소희3</v>
      </c>
      <c r="I7" t="str">
        <v>RM김인순3</v>
      </c>
      <c r="J7" t="str">
        <v>RG최상근3</v>
      </c>
      <c r="K7" t="str">
        <v>RN강용수</v>
      </c>
      <c r="M7" t="str">
        <v>RN정경철</v>
      </c>
      <c r="N7" t="str">
        <v>N김택중</v>
      </c>
      <c r="O7" t="str">
        <v>N신연애</v>
      </c>
      <c r="P7" t="str">
        <v>RN홍선화</v>
      </c>
      <c r="Q7" t="str">
        <v>RG정태두</v>
      </c>
      <c r="R7">
        <f>(COUNTA(C7:Q7))/12</f>
        <v>1</v>
      </c>
    </row>
    <row r="8">
      <c r="A8">
        <v>5</v>
      </c>
      <c r="B8" t="str">
        <v>서원빈</v>
      </c>
      <c r="E8" t="str">
        <v>RN김석군</v>
      </c>
      <c r="F8" t="str">
        <v>RM유정순</v>
      </c>
      <c r="G8" t="str">
        <v>N전혜옥</v>
      </c>
      <c r="H8" t="str">
        <v>N지복례</v>
      </c>
      <c r="I8" t="str">
        <v>N서승달</v>
      </c>
      <c r="J8" t="str">
        <v>N우학송</v>
      </c>
      <c r="K8" t="str">
        <v>N신기순2</v>
      </c>
      <c r="M8" t="str">
        <v>RM김명배3</v>
      </c>
      <c r="N8" t="str">
        <v>RM우영희2</v>
      </c>
      <c r="O8" t="str">
        <v>RM임낙규</v>
      </c>
      <c r="P8" t="str">
        <v>RM정현숙4</v>
      </c>
      <c r="Q8" t="str">
        <v>RN이진봉</v>
      </c>
      <c r="R8">
        <f>(COUNTA(C8:Q8))/12</f>
        <v>1</v>
      </c>
      <c r="U8" t="str">
        <v>* 변경사항</v>
      </c>
    </row>
    <row r="9">
      <c r="A9">
        <v>6</v>
      </c>
      <c r="B9" t="str">
        <v>박민경</v>
      </c>
      <c r="E9" t="str">
        <v>RN이병희3</v>
      </c>
      <c r="F9" t="str">
        <v>RM서극원</v>
      </c>
      <c r="G9" t="str">
        <v>RM김기연5</v>
      </c>
      <c r="H9" t="str">
        <v>RN권영순6</v>
      </c>
      <c r="I9" t="str">
        <v>N김시철</v>
      </c>
      <c r="J9" t="str">
        <v>RM김성자10</v>
      </c>
      <c r="K9" t="str">
        <v>RM한경애4</v>
      </c>
      <c r="M9" t="str">
        <v>RN임낙규</v>
      </c>
      <c r="N9" t="str">
        <v>RM이난주</v>
      </c>
      <c r="O9" t="str">
        <v>RN유정순3</v>
      </c>
      <c r="P9" t="str">
        <v>RM강용수</v>
      </c>
      <c r="Q9" t="str">
        <v>N김정규2</v>
      </c>
      <c r="R9">
        <f>(COUNTA(C9:Q9))/12</f>
        <v>1</v>
      </c>
    </row>
    <row r="10">
      <c r="A10">
        <v>7</v>
      </c>
      <c r="B10" t="str">
        <v>임수민</v>
      </c>
      <c r="E10" t="str">
        <v>RN김인순3</v>
      </c>
      <c r="F10" t="str">
        <v>N7김진옥7A</v>
      </c>
      <c r="G10" t="str">
        <v>RN김재환2</v>
      </c>
      <c r="H10" t="str">
        <v>RM전동순</v>
      </c>
      <c r="I10" t="str">
        <v>RM김명배3</v>
      </c>
      <c r="J10" t="str">
        <v>N7유혜영4</v>
      </c>
      <c r="K10" t="str">
        <v>RM서극원</v>
      </c>
      <c r="M10" t="str">
        <v>RG배영자</v>
      </c>
      <c r="N10" t="str">
        <v>N7지복례D</v>
      </c>
      <c r="O10" t="str">
        <v>RM이난주</v>
      </c>
      <c r="P10" t="str">
        <v>RM권영순6</v>
      </c>
      <c r="Q10" t="str">
        <v>N송갑헌</v>
      </c>
      <c r="R10">
        <f>(COUNTA(C10:Q10))/12</f>
        <v>1</v>
      </c>
    </row>
    <row r="11">
      <c r="A11">
        <v>8</v>
      </c>
      <c r="B11" t="str">
        <v>유태현</v>
      </c>
      <c r="E11" t="str">
        <v>RM윤소희3</v>
      </c>
      <c r="F11" t="str">
        <v>RA우영희2</v>
      </c>
      <c r="G11" t="str">
        <v>N김을언</v>
      </c>
      <c r="H11" t="str">
        <v>RM김기연5</v>
      </c>
      <c r="I11" t="str">
        <v>N김종운3</v>
      </c>
      <c r="J11" t="str">
        <v>RM윤소희3</v>
      </c>
      <c r="K11" t="str">
        <v>N송갑헌</v>
      </c>
      <c r="M11" t="str">
        <v>N지복례</v>
      </c>
      <c r="N11" t="str">
        <v>RM이병희3</v>
      </c>
      <c r="O11" t="str">
        <v>RM정현숙4</v>
      </c>
      <c r="P11" t="str">
        <v>RM이팔원</v>
      </c>
      <c r="Q11" t="str">
        <v>RG최상근3</v>
      </c>
      <c r="R11">
        <f>(COUNTA(C11:Q11))/12</f>
        <v>1</v>
      </c>
    </row>
    <row r="12">
      <c r="A12">
        <v>9</v>
      </c>
      <c r="B12" t="str">
        <v>강지영</v>
      </c>
      <c r="C12" t="str">
        <v>N유혜영4</v>
      </c>
      <c r="D12" t="str">
        <v>MM한경애4C</v>
      </c>
      <c r="E12" t="str">
        <v>N김시철</v>
      </c>
      <c r="F12" t="str">
        <v>RN권오운</v>
      </c>
      <c r="G12" t="str">
        <v>N송옥경</v>
      </c>
      <c r="H12" t="str">
        <v>N김정규2</v>
      </c>
      <c r="I12" t="str">
        <v>RN김성자10</v>
      </c>
      <c r="J12" t="str">
        <v>RN김명배3</v>
      </c>
      <c r="K12" t="str">
        <v>RG정태두</v>
      </c>
      <c r="M12" t="str">
        <v>RN한경애4</v>
      </c>
      <c r="N12" t="str">
        <v>RM이진봉</v>
      </c>
      <c r="O12" t="str">
        <v>RM권영순6</v>
      </c>
      <c r="R12">
        <f>(COUNTA(C12:Q12))/12</f>
        <v>1</v>
      </c>
    </row>
    <row r="13">
      <c r="A13">
        <v>10</v>
      </c>
      <c r="B13" t="str">
        <v>장수빈</v>
      </c>
      <c r="C13" t="str">
        <v>MM이진봉T</v>
      </c>
      <c r="D13" t="str">
        <v>MM이팔원C</v>
      </c>
      <c r="E13" t="str">
        <v>RM한경애4</v>
      </c>
      <c r="F13" t="str">
        <v>RN이난주</v>
      </c>
      <c r="G13" t="str">
        <v>N서재학</v>
      </c>
      <c r="H13" t="str">
        <v>N우학송</v>
      </c>
      <c r="I13" t="str">
        <v>N신기순2</v>
      </c>
      <c r="J13" t="str">
        <v>N김진옥7</v>
      </c>
      <c r="K13" t="str">
        <v>N임종범</v>
      </c>
      <c r="M13" t="str">
        <v>RN김기연5</v>
      </c>
      <c r="N13" t="str">
        <v>N송옥경</v>
      </c>
      <c r="O13" t="str">
        <v>RG정태두</v>
      </c>
      <c r="R13">
        <f>(COUNTA(C13:Q13))/12</f>
        <v>1</v>
      </c>
    </row>
    <row r="14" xml:space="preserve">
      <c r="A14">
        <v>11</v>
      </c>
      <c r="B14" t="str">
        <v>장해민</v>
      </c>
      <c r="E14" t="str">
        <v>CA지복례</v>
      </c>
      <c r="F14" t="str">
        <v>RA최상근3</v>
      </c>
      <c r="G14" t="str">
        <v>H7임낙규D</v>
      </c>
      <c r="H14" t="str">
        <v>RA홍선화</v>
      </c>
      <c r="I14" t="str">
        <v>CA서재학</v>
      </c>
      <c r="J14" t="str" xml:space="preserve">
        <v xml:space="preserve">C김을언_x000d_
C김정규2</v>
      </c>
      <c r="K14" t="str">
        <v>RD이병희3</v>
      </c>
      <c r="M14" t="str">
        <v>RA권오운</v>
      </c>
      <c r="N14" t="str">
        <v>CA임종범</v>
      </c>
      <c r="O14" t="str">
        <v>CA유혜영4</v>
      </c>
      <c r="P14" t="str">
        <v>RA정태두</v>
      </c>
      <c r="Q14" t="str">
        <v>RA서극원</v>
      </c>
      <c r="R14">
        <f>(COUNTA(C14:Q14))/12</f>
        <v>1</v>
      </c>
    </row>
    <row r="15">
      <c r="A15">
        <v>12</v>
      </c>
      <c r="B15" t="str">
        <v>장효원</v>
      </c>
      <c r="E15" t="str">
        <v>RA권오운</v>
      </c>
      <c r="F15" t="str">
        <v>RA임낙규</v>
      </c>
      <c r="G15" t="str">
        <v>RD이팔원</v>
      </c>
      <c r="H15" t="str">
        <v>O7구본창D</v>
      </c>
      <c r="I15" t="str">
        <v>CA송옥경</v>
      </c>
      <c r="J15" t="str">
        <v>CA송갑헌</v>
      </c>
      <c r="K15" t="str">
        <v>RS유정순3</v>
      </c>
      <c r="M15" t="str">
        <v>RS김성자10</v>
      </c>
      <c r="N15" t="str">
        <v>S구본창</v>
      </c>
      <c r="O15" t="str">
        <v>O7박은용D</v>
      </c>
      <c r="P15" t="str">
        <v>RS한경애4</v>
      </c>
      <c r="Q15" t="str">
        <v>RA이난주</v>
      </c>
      <c r="R15">
        <f>(COUNTA(C15:Q15))/12</f>
        <v>1</v>
      </c>
    </row>
    <row r="16">
      <c r="A16">
        <v>13</v>
      </c>
      <c r="B16" t="str">
        <v>이경미</v>
      </c>
      <c r="E16" t="str">
        <v>RA서극원</v>
      </c>
      <c r="F16" t="str">
        <v>RD이진봉</v>
      </c>
      <c r="G16" t="str">
        <v>RA권오운</v>
      </c>
      <c r="H16" t="str">
        <v>RA김인순3</v>
      </c>
      <c r="I16" t="str">
        <v>RA서극원</v>
      </c>
      <c r="J16" t="str">
        <v>RS강용수</v>
      </c>
      <c r="K16" t="str">
        <v>CA김진옥7</v>
      </c>
      <c r="M16" t="str">
        <v>CA박은용</v>
      </c>
      <c r="N16" t="str">
        <v>RA한경애4</v>
      </c>
      <c r="O16" t="str">
        <v>H7윤소희A</v>
      </c>
      <c r="P16" t="str">
        <v>RA김재환2</v>
      </c>
      <c r="Q16" t="str">
        <v>RA정경철</v>
      </c>
      <c r="R16">
        <f>(COUNTA(C16:Q16))/12</f>
        <v>1</v>
      </c>
    </row>
    <row r="17">
      <c r="A17">
        <v>14</v>
      </c>
      <c r="B17" t="str">
        <v>장세희</v>
      </c>
      <c r="E17" t="str">
        <v>CA박성구</v>
      </c>
      <c r="F17" t="str">
        <v>RD김재환2</v>
      </c>
      <c r="G17" t="str">
        <v>RA강용수</v>
      </c>
      <c r="H17" t="str">
        <v>D김종운3V</v>
      </c>
      <c r="I17" t="str">
        <v>RA최상근3</v>
      </c>
      <c r="J17" t="str">
        <v>RA이팔원</v>
      </c>
      <c r="K17" t="str">
        <v>RS정경철</v>
      </c>
      <c r="M17" t="str">
        <v>RA윤소희3</v>
      </c>
      <c r="N17" t="str">
        <v>RA유정순3</v>
      </c>
      <c r="O17" t="str">
        <v>CA김을언</v>
      </c>
      <c r="P17" t="str">
        <v>RS권오운</v>
      </c>
      <c r="Q17" t="str">
        <v>RA김명배3</v>
      </c>
      <c r="R17">
        <f>(COUNTA(C17:Q17))/12</f>
        <v>1</v>
      </c>
    </row>
    <row r="18" xml:space="preserve">
      <c r="A18">
        <v>15</v>
      </c>
      <c r="B18" t="str">
        <v>이은지4</v>
      </c>
      <c r="E18" t="str">
        <v>RS홍선화</v>
      </c>
      <c r="F18" t="str">
        <v>RD김기연5</v>
      </c>
      <c r="G18" t="str">
        <v>RA한경애4</v>
      </c>
      <c r="H18" t="str">
        <v>RA정태두</v>
      </c>
      <c r="I18" t="str">
        <v>RS권영순6</v>
      </c>
      <c r="J18" t="str">
        <v>RA홍선화</v>
      </c>
      <c r="K18" t="str">
        <v>RD전동순</v>
      </c>
      <c r="M18" t="str">
        <v>CA김정규2</v>
      </c>
      <c r="N18" t="str">
        <v>RA김기연5</v>
      </c>
      <c r="O18" t="str">
        <v>RA김인순3</v>
      </c>
      <c r="P18" t="str" xml:space="preserve">
        <v xml:space="preserve">C임종범_x000d_
C송갑헌</v>
      </c>
      <c r="Q18" t="str">
        <v>RA권오운</v>
      </c>
      <c r="R18">
        <f>(COUNTA(C18:Q18))/12</f>
        <v>1</v>
      </c>
    </row>
    <row r="19" xml:space="preserve">
      <c r="A19">
        <v>16</v>
      </c>
      <c r="B19" t="str">
        <v>김희수</v>
      </c>
      <c r="E19" t="str">
        <v>RS임낙규</v>
      </c>
      <c r="F19" t="str">
        <v>CA신기순2</v>
      </c>
      <c r="G19" t="str">
        <v>RA우영희2</v>
      </c>
      <c r="H19" t="str">
        <v>CA전혜옥</v>
      </c>
      <c r="I19" t="str">
        <v>CA신연애</v>
      </c>
      <c r="J19" t="str" xml:space="preserve">
        <v xml:space="preserve">C서승달_x000d_
C김명복</v>
      </c>
      <c r="K19" t="str">
        <v>CA서승달</v>
      </c>
      <c r="M19" t="str" xml:space="preserve">
        <v xml:space="preserve">전산화인지_x000d_
김명복</v>
      </c>
      <c r="N19" t="str">
        <v>RA전동순</v>
      </c>
      <c r="O19" t="str">
        <v>RA이병희3</v>
      </c>
      <c r="P19" t="str" xml:space="preserve">
        <v xml:space="preserve">C송옥경_x000d_
C지복례</v>
      </c>
      <c r="Q19" t="str">
        <v>CA김택중</v>
      </c>
      <c r="R19">
        <f>(COUNTA(C19:Q19))/12</f>
        <v>1</v>
      </c>
    </row>
    <row r="20">
      <c r="A20">
        <v>17</v>
      </c>
      <c r="B20" t="str">
        <v>정상환</v>
      </c>
      <c r="E20" t="str">
        <v>RA전동순</v>
      </c>
      <c r="F20" t="str">
        <v>O7우학송A</v>
      </c>
      <c r="G20" t="str">
        <v>RD윤소희3</v>
      </c>
      <c r="H20" t="str">
        <v>RD김명배3</v>
      </c>
      <c r="I20" t="str">
        <v>RA윤소희3</v>
      </c>
      <c r="J20" t="str">
        <v>RS김석군</v>
      </c>
      <c r="K20" t="str">
        <v>RA홍선화</v>
      </c>
      <c r="M20" t="str">
        <v>D김시철V</v>
      </c>
      <c r="N20" t="str">
        <v>RA정경철</v>
      </c>
      <c r="O20" t="str">
        <v>RD김재환2</v>
      </c>
      <c r="P20" t="str">
        <v>CA임헌수2</v>
      </c>
      <c r="Q20" t="str">
        <v>H서재학</v>
      </c>
      <c r="R20">
        <f>(COUNTA(C20:Q20))/12</f>
        <v>1</v>
      </c>
      <c r="U20" t="str">
        <v>* 퇴원 및 HOLD</v>
      </c>
    </row>
    <row r="21" xml:space="preserve">
      <c r="A21">
        <v>18</v>
      </c>
      <c r="B21" t="str">
        <v>김영빈</v>
      </c>
      <c r="C21" t="str">
        <v>MM전동순C</v>
      </c>
      <c r="D21" t="str">
        <v>D유혜영4</v>
      </c>
      <c r="E21" t="str">
        <v>RS이난주</v>
      </c>
      <c r="F21" t="str">
        <v>CA김명복</v>
      </c>
      <c r="G21" t="str">
        <v>CA우학송</v>
      </c>
      <c r="H21" t="str">
        <v>RA김성자10</v>
      </c>
      <c r="I21" t="str">
        <v>RA강용수</v>
      </c>
      <c r="J21" t="str">
        <v>CA권용길</v>
      </c>
      <c r="K21" t="str">
        <v>RA임낙규</v>
      </c>
      <c r="M21" t="str" xml:space="preserve">
        <v xml:space="preserve">C우학송_x000d_
C신기순2</v>
      </c>
      <c r="N21" t="str">
        <v>CA양병후</v>
      </c>
      <c r="O21" t="str">
        <v>RA최상근3</v>
      </c>
      <c r="R21">
        <f>(COUNTA(C21:Q21))/12</f>
        <v>1</v>
      </c>
    </row>
    <row r="22">
      <c r="A22">
        <v>19</v>
      </c>
      <c r="B22" t="str">
        <v>최예은</v>
      </c>
      <c r="C22" t="str">
        <v>C김시철</v>
      </c>
      <c r="D22" t="str">
        <v>MM전동순C</v>
      </c>
      <c r="E22" t="str">
        <v>CA황종길</v>
      </c>
      <c r="F22" t="str">
        <v>CA김시철</v>
      </c>
      <c r="G22" t="str">
        <v>RA정경철</v>
      </c>
      <c r="H22" t="str">
        <v>RA이진봉</v>
      </c>
      <c r="I22" t="str">
        <v>RS정현숙4</v>
      </c>
      <c r="J22" t="str">
        <v>RA임낙규</v>
      </c>
      <c r="K22" t="str">
        <v>H김을언</v>
      </c>
      <c r="M22" t="str">
        <v>RS서극원</v>
      </c>
      <c r="N22" t="str">
        <v>RA정현숙4</v>
      </c>
      <c r="O22" t="str">
        <v>RA강용수</v>
      </c>
      <c r="R22">
        <f>(COUNTA(C22:Q22))/12</f>
        <v>1</v>
      </c>
    </row>
    <row r="23">
      <c r="A23" t="str">
        <v>계장</v>
      </c>
      <c r="B23" t="str">
        <v>강인화</v>
      </c>
      <c r="F23" t="str">
        <v>RS김인순3</v>
      </c>
      <c r="G23" t="str">
        <v>RA김석군</v>
      </c>
      <c r="I23" t="str">
        <v>CA배성범</v>
      </c>
      <c r="J23" t="str">
        <v>RA정현숙4</v>
      </c>
      <c r="N23" t="str">
        <v>RA홍선화</v>
      </c>
      <c r="O23" t="str">
        <v>CA조정자</v>
      </c>
      <c r="Q23" t="str">
        <v>RA이팔원</v>
      </c>
      <c r="R23">
        <f>(COUNTA(C23:Q23))/7</f>
        <v>1</v>
      </c>
    </row>
    <row r="24">
      <c r="B24" t="str">
        <v>김윤종</v>
      </c>
      <c r="E24" t="str">
        <v>H7김진옥7A</v>
      </c>
      <c r="F24" t="str">
        <v>RA김성자10</v>
      </c>
      <c r="G24" t="str">
        <v>RA유정순3</v>
      </c>
      <c r="H24" t="str">
        <v>RA김석군</v>
      </c>
      <c r="I24" t="str">
        <v>CA최지선3</v>
      </c>
      <c r="J24" t="str">
        <v>RS우영희2</v>
      </c>
      <c r="K24" t="str">
        <v>CA연현숙2</v>
      </c>
      <c r="M24" t="str">
        <v>RD전동순</v>
      </c>
      <c r="N24" t="str">
        <v>추가or대체</v>
      </c>
      <c r="O24" t="str">
        <v>추가or대체</v>
      </c>
      <c r="P24" t="str">
        <v>RA정경철</v>
      </c>
      <c r="Q24" t="str">
        <v>RA김재환2</v>
      </c>
      <c r="R24">
        <f>(COUNTA(C24:Q24))/12</f>
        <v>1</v>
      </c>
      <c r="U24" t="str">
        <v>* 당일시간변경</v>
      </c>
    </row>
    <row r="26" xml:space="preserve">
      <c r="B26" t="str">
        <v>박수진</v>
      </c>
      <c r="E26" t="str" xml:space="preserve">
        <v xml:space="preserve">M김을언C_x000d_
C이문찬2CPM</v>
      </c>
      <c r="F26" t="str" xml:space="preserve">
        <v xml:space="preserve">M김을언S_x000d_
M송옥경C_x000d_
M연현숙2C_x000d_
M김종운3Tt</v>
      </c>
      <c r="G26" t="str" xml:space="preserve">
        <v xml:space="preserve">M박성구S_x000d_
M지복례C_x000d_
M김시철T_x000d_
M김명복C_x000d_
C최종성2CPM</v>
      </c>
      <c r="H26" t="str" xml:space="preserve">
        <v xml:space="preserve">M최지선3T_x000d_
M양병후C_x000d_
M황종길C_x000d_
M임헌수2M_x000d_
M서재학C_x000d_
M신기순2S</v>
      </c>
      <c r="I26" t="str" xml:space="preserve">
        <v xml:space="preserve">M김진옥7C_x000d_
M전혜옥S_x000d_
M구본창C_x000d_
M김택중C_x000d_
M권용길S_x000d_
M박은용C_x000d_
M지복례T</v>
      </c>
      <c r="J26" t="str" xml:space="preserve">
        <v xml:space="preserve">M배성범S_x000d_
M신연애C_x000d_
M조정자C_x000d_
M임종범C</v>
      </c>
      <c r="K26" t="str" xml:space="preserve">
        <v xml:space="preserve">M우학송S_x000d_
M김정규2C</v>
      </c>
      <c r="M26" t="str" xml:space="preserve">
        <v xml:space="preserve">M김진옥7S_x000d_
M양병후C_x000d_
M서재학C_x000d_
M황종길C</v>
      </c>
      <c r="N26" t="str" xml:space="preserve">
        <v xml:space="preserve">M조정자C_x000d_
M김시철C_x000d_
M박은용C_x000d_
M신기순2S_x000d_
M박성구C</v>
      </c>
      <c r="O26" t="str" xml:space="preserve">
        <v xml:space="preserve">M전혜옥S_x000d_
M송옥경C_x000d_
M임종범C_x000d_
M권용길C_x000d_
M김택중S_x000d_
M배성범T</v>
      </c>
      <c r="P26" t="str" xml:space="preserve">
        <v xml:space="preserve">M최지선3C_x000d_
Tt김을언Tt_x000d_
M신연애S_x000d_
M김정규2_x000d_
M연현숙2C_x000d_
M김명복S</v>
      </c>
      <c r="Q26" t="str" xml:space="preserve">
        <v xml:space="preserve">M우학송C_x000d_
M임헌수2S</v>
      </c>
      <c r="R26">
        <f>(COUNTA(C26:Q26))/12</f>
        <v>1</v>
      </c>
    </row>
    <row r="27" xml:space="preserve">
      <c r="E27" t="str" xml:space="preserve">
        <v xml:space="preserve"> MM김성자10C_x000d_
MM김기연5C_x000d_
MM최상근3CPM</v>
      </c>
      <c r="F27" t="str" xml:space="preserve">
        <v xml:space="preserve">MM한경애4C_x000d_
MM김석군S_x000d_
MM전동순C_x000d_
MM정경철C_x000d_
MM윤소희3T</v>
      </c>
      <c r="G27" t="str" xml:space="preserve">
        <v xml:space="preserve">MM김명배3Tt_x000d_
MM이병희3_x000d_
_x000d_
MM이진봉S_x000d_
MM김인순3Tt</v>
      </c>
      <c r="H27" t="str" xml:space="preserve">
        <v xml:space="preserve">MM정현숙4S_x000d_
MM김재환2C_x000d_
MM배영자Tt_x000d_
_x000d_
MM강용수C_x000d_
MM권오운Tt</v>
      </c>
      <c r="I27" t="str" xml:space="preserve">
        <v xml:space="preserve">MM임낙규C_x000d_
MM홍선화C</v>
      </c>
      <c r="J27" t="str" xml:space="preserve">
        <v xml:space="preserve">MM이난주T_x000d_
MM권영순6C_x000d_
MM이병희3M_x000d_
MM정태두Tt_x000d_
_x000d_
MM유정순3C_x000d_
MM서극원S</v>
      </c>
      <c r="K27" t="str" xml:space="preserve">
        <v xml:space="preserve">_x000d_
MM이팔원C_x000d_
_x000d_
MM우영희2M</v>
      </c>
      <c r="M27" t="str" xml:space="preserve">
        <v xml:space="preserve">MM이난주C_x000d_
MM홍선화C_x000d_
MM김재환2S_x000d_
_x000d_
MM이진봉T_x000d_
MM김인순3Tt</v>
      </c>
      <c r="N27" t="str" xml:space="preserve">
        <v xml:space="preserve">MM임낙규T_x000d_
MM김석군C_x000d_
MM윤소희3S_x000d_
MM이팔원C_x000d_
MM정태두Tt_x000d_
MM배영자Tt_x000d_
_x000d_
MM권오운Tt</v>
      </c>
      <c r="O27" t="str" xml:space="preserve">
        <v xml:space="preserve">MM한경애4C_x000d_
MM정경철C_x000d_
_x000d_
MM우영희2Tt</v>
      </c>
      <c r="P27" t="str" xml:space="preserve">
        <v xml:space="preserve">MM김기연5C_x000d_
MM전동순C_x000d_
MM김명배3Tt_x000d_
MM최상근3CPM_x000d_
_x000d_
MM서극원C</v>
      </c>
      <c r="Q27" t="str" xml:space="preserve">
        <v xml:space="preserve">MM정현숙4C_x000d_
MM김성자10C_x000d_
MM권영순6C_x000d_
MM유정순C_x000d_
_x000d_
MM강용수T</v>
      </c>
    </row>
    <row r="28" xml:space="preserve">
      <c r="B28" t="str">
        <v>이나예</v>
      </c>
      <c r="E28" t="str">
        <v>단축근무</v>
      </c>
      <c r="F28" t="str" xml:space="preserve">
        <v xml:space="preserve">F지복례_x000d_
F김택중</v>
      </c>
      <c r="G28" t="str" xml:space="preserve">
        <v xml:space="preserve">F배성범_x000d_
F신기순2_x000d_
F김종운3_x000d_
F박은용</v>
      </c>
      <c r="H28" t="str" xml:space="preserve">
        <v xml:space="preserve">F조정자_x000d_
F김시철_x000d_
F권용길</v>
      </c>
      <c r="I28" t="str" xml:space="preserve">
        <v xml:space="preserve">F임헌수2_x000d_
F양병후_x000d_
F우학송_x000d_
F임종범_x000d_
F김정규2</v>
      </c>
      <c r="J28" t="str" xml:space="preserve">
        <v xml:space="preserve">F신기순2_x000d_
F송옥경_x000d_
F서재학_x000d_
F연현숙2</v>
      </c>
      <c r="K28" t="str" xml:space="preserve">
        <v xml:space="preserve">F신연애_x000d_
F유혜영4_x000d_
F김명복</v>
      </c>
      <c r="M28" t="str">
        <v>F서승달</v>
      </c>
      <c r="N28" t="str" xml:space="preserve">
        <v xml:space="preserve">F황종길_x000d_
F김을언_x000d_
F김진옥7_x000d_
F김정규2</v>
      </c>
      <c r="O28" t="str" xml:space="preserve">
        <v xml:space="preserve">F최지선3_x000d_
F박성구_x000d_
F김명복</v>
      </c>
      <c r="P28" t="str">
        <v>단축근무</v>
      </c>
      <c r="R28">
        <f>(COUNTA(F28:O28))/9</f>
        <v>1</v>
      </c>
    </row>
    <row r="29" xml:space="preserve">
      <c r="B29" t="str" xml:space="preserve">
        <v xml:space="preserve">임수민_x000d_
(무급휴직)</v>
      </c>
    </row>
    <row r="31" xml:space="preserve">
      <c r="D31" t="str">
        <v>추가</v>
      </c>
      <c r="E31" t="str" xml:space="preserve">
        <v xml:space="preserve">8:30~_x000d_
9:00</v>
      </c>
      <c r="F31" t="str" xml:space="preserve">
        <v xml:space="preserve">9:05~_x000d_
9:35</v>
      </c>
      <c r="G31" t="str" xml:space="preserve">
        <v xml:space="preserve">9:40~_x000d_
10:10</v>
      </c>
      <c r="H31" t="str" xml:space="preserve">
        <v xml:space="preserve">10:15~_x000d_
10:45</v>
      </c>
      <c r="I31" t="str" xml:space="preserve">
        <v xml:space="preserve">10:50~_x000d_
11:20</v>
      </c>
      <c r="J31" t="str" xml:space="preserve">
        <v xml:space="preserve">11:25~_x000d_
11:55</v>
      </c>
      <c r="K31" t="str" xml:space="preserve">
        <v xml:space="preserve">12:00~ _x000d_
12:30</v>
      </c>
      <c r="L31" t="str">
        <v xml:space="preserve"> </v>
      </c>
      <c r="M31" t="str" xml:space="preserve">
        <v xml:space="preserve">13:30~_x000d_
14:00</v>
      </c>
      <c r="N31" t="str" xml:space="preserve">
        <v xml:space="preserve">14:05~_x000d_
14:35</v>
      </c>
      <c r="O31" t="str" xml:space="preserve">
        <v xml:space="preserve">14:40~_x000d_
15:10</v>
      </c>
      <c r="P31" t="str" xml:space="preserve">
        <v xml:space="preserve">15:15~_x000d_
15:45</v>
      </c>
      <c r="Q31" t="str" xml:space="preserve">
        <v xml:space="preserve">15:50~_x000d_
16:20</v>
      </c>
      <c r="U31" t="str" xml:space="preserve">
        <v xml:space="preserve">추가치료 특이사항_x000d_
유혜영4님 : N1, D2 추가 가능 - 최대 2개까지만!_x000d_
김택중님 : 월, 수, 금은 추가치료 거부_x000d_
유정순3님 : MM2 HOLD, 아침재활 주에는 HOLDX →청구_x000d_
서극원님, 강용수님 언어치료 추가 우선 부탁드립니다._x000d_
양병후님, 전혜옥님 : OT COM, 추가치료는X, 아침재활은O</v>
      </c>
    </row>
    <row r="32" xml:space="preserve">
      <c r="D32" t="str">
        <v>N</v>
      </c>
      <c r="E32" t="str">
        <v>N조정자</v>
      </c>
      <c r="F32" t="str">
        <v>N배성범</v>
      </c>
      <c r="G32" t="str">
        <v>N김진옥7</v>
      </c>
      <c r="H32" t="str">
        <v>N신연애</v>
      </c>
      <c r="J32" t="str">
        <v>N박은용</v>
      </c>
      <c r="K32" t="str" xml:space="preserve">
        <v xml:space="preserve">N양병후_x000d_
N권용길</v>
      </c>
      <c r="N32" t="str">
        <v>N연현숙2</v>
      </c>
      <c r="O32" t="str" xml:space="preserve">
        <v xml:space="preserve">N임헌수2_x000d_
N황종길</v>
      </c>
      <c r="P32" t="str">
        <v>N서재학</v>
      </c>
      <c r="Q32" t="str" xml:space="preserve">
        <v xml:space="preserve">N최지선3_x000d_
N유혜영4</v>
      </c>
    </row>
    <row r="33">
      <c r="D33" t="str">
        <v>CA</v>
      </c>
    </row>
    <row r="34" xml:space="preserve">
      <c r="D34" t="str">
        <v>D</v>
      </c>
      <c r="I34" t="str">
        <v>D유혜영4</v>
      </c>
      <c r="K34" t="str" xml:space="preserve">
        <v xml:space="preserve">D김택중(B)_x000d_
D박은용</v>
      </c>
      <c r="N34" t="str">
        <v>D유혜영4</v>
      </c>
      <c r="P34" t="str">
        <v>D박은용</v>
      </c>
    </row>
    <row r="35" xml:space="preserve">
      <c r="D35" t="str">
        <v>C</v>
      </c>
      <c r="F35" t="str">
        <v xml:space="preserve"> C서재학</v>
      </c>
      <c r="G35" t="str">
        <v>C임헌수2</v>
      </c>
      <c r="K35" t="str">
        <v>C황종길</v>
      </c>
      <c r="M35" t="str">
        <v>C조정자</v>
      </c>
      <c r="N35" t="str">
        <v>C신연애</v>
      </c>
      <c r="O35" t="str">
        <v>C김진옥7</v>
      </c>
      <c r="P35" t="str" xml:space="preserve">
        <v xml:space="preserve">C배성범_x000d_
C권용길</v>
      </c>
      <c r="Q35" t="str">
        <v>C연현숙2</v>
      </c>
    </row>
    <row r="37">
      <c r="E37">
        <f>COUNTBLANK(E4:E21)</f>
        <v>0</v>
      </c>
      <c r="F37">
        <f>COUNTBLANK(F4:F21)</f>
        <v>0</v>
      </c>
      <c r="G37">
        <f>COUNTBLANK(G4:G21)</f>
        <v>0</v>
      </c>
      <c r="H37">
        <f>COUNTBLANK(H4:H21)</f>
        <v>0</v>
      </c>
      <c r="I37">
        <f>COUNTBLANK(I4:I21)</f>
        <v>0</v>
      </c>
      <c r="J37">
        <f>COUNTBLANK(J4:J21)</f>
        <v>0</v>
      </c>
      <c r="K37">
        <f>COUNTBLANK(K4:K22)</f>
        <v>0</v>
      </c>
      <c r="M37">
        <f>COUNTBLANK(M4:M21)</f>
        <v>0</v>
      </c>
      <c r="N37">
        <f>COUNTBLANK(N4:N21)</f>
        <v>0</v>
      </c>
      <c r="O37">
        <f>COUNTBLANK(O4:O21)</f>
        <v>0</v>
      </c>
      <c r="P37">
        <f>COUNTBLANK(P4:P20)-2</f>
        <v>0</v>
      </c>
      <c r="Q37">
        <f>COUNTBLANK(Q4:Q20)-2</f>
        <v>0</v>
      </c>
    </row>
    <row r="38">
      <c r="I38" t="str">
        <v>RA배영자</v>
      </c>
      <c r="O38" t="str">
        <v>RA배영자</v>
      </c>
    </row>
    <row r="45">
      <c r="D45" t="str">
        <v>수중재활 스케줄</v>
      </c>
    </row>
    <row r="46" xml:space="preserve">
      <c r="D46" t="str" xml:space="preserve">
        <v xml:space="preserve">           시간    _x000d_
치료사</v>
      </c>
      <c r="E46" t="str" xml:space="preserve">
        <v xml:space="preserve">8:30~_x000d_
9:00</v>
      </c>
      <c r="F46" t="str" xml:space="preserve">
        <v xml:space="preserve">9:05~_x000d_
9:35</v>
      </c>
      <c r="G46" t="str" xml:space="preserve">
        <v xml:space="preserve">9:40~_x000d_
10:10</v>
      </c>
      <c r="H46" t="str" xml:space="preserve">
        <v xml:space="preserve">10:15~_x000d_
10:45</v>
      </c>
      <c r="I46" t="str" xml:space="preserve">
        <v xml:space="preserve">10:50~_x000d_
11:20</v>
      </c>
      <c r="J46" t="str" xml:space="preserve">
        <v xml:space="preserve">11:25~_x000d_
11:55</v>
      </c>
      <c r="K46" t="str" xml:space="preserve">
        <v xml:space="preserve">12:00~ _x000d_
12:30</v>
      </c>
      <c r="L46" t="str">
        <v>점심</v>
      </c>
      <c r="M46" t="str" xml:space="preserve">
        <v xml:space="preserve">13:30~_x000d_
14:00</v>
      </c>
      <c r="N46" t="str" xml:space="preserve">
        <v xml:space="preserve">14:05~_x000d_
14:35</v>
      </c>
      <c r="O46" t="str" xml:space="preserve">
        <v xml:space="preserve">14:40~_x000d_
15:10</v>
      </c>
      <c r="P46" t="str" xml:space="preserve">
        <v xml:space="preserve">15:15~_x000d_
15:45</v>
      </c>
      <c r="Q46" t="str" xml:space="preserve">
        <v xml:space="preserve">15:50~_x000d_
16:20</v>
      </c>
      <c r="R46" t="str" xml:space="preserve">
        <v xml:space="preserve">16:25~_x000d_
16:55</v>
      </c>
      <c r="S46" t="str" xml:space="preserve">
        <v xml:space="preserve">17:00~_x000d_
17:30</v>
      </c>
    </row>
    <row r="47">
      <c r="D47" t="str">
        <v>수중재활</v>
      </c>
      <c r="M47" t="str">
        <v>P배성범B</v>
      </c>
      <c r="O47" t="str">
        <v>P우학송D</v>
      </c>
      <c r="P47" t="str">
        <v xml:space="preserve"> </v>
      </c>
    </row>
    <row r="48">
      <c r="D48" t="str">
        <v>RTMS &amp; HAND &amp; 호흡 &amp; 바이오피드백 시간표</v>
      </c>
    </row>
    <row r="49">
      <c r="D49" t="str">
        <v>RTMS</v>
      </c>
    </row>
    <row r="50">
      <c r="D50" t="str">
        <v>HAND</v>
      </c>
      <c r="E50" t="str">
        <v>김진옥7A</v>
      </c>
      <c r="G50" t="str">
        <v>임낙규D</v>
      </c>
      <c r="O50" t="str">
        <v>H7윤소희A</v>
      </c>
    </row>
    <row r="51">
      <c r="D51" t="str">
        <v>호흡치료</v>
      </c>
      <c r="Q51" t="str">
        <v>서재학</v>
      </c>
    </row>
    <row r="52" xml:space="preserve">
      <c r="D52" t="str" xml:space="preserve">
        <v xml:space="preserve">바이오_x000d_
피드백</v>
      </c>
    </row>
    <row r="53">
      <c r="D53" t="str">
        <v>전산화인지치료 시간표</v>
      </c>
    </row>
    <row r="54">
      <c r="D54" t="str">
        <v>베러코그(5)</v>
      </c>
    </row>
    <row r="55">
      <c r="D55" t="str">
        <v>스마트보드</v>
      </c>
    </row>
    <row r="56">
      <c r="D56" t="str">
        <v>R-TMS &amp; WALKBOT &amp; MORNING WALK &amp; R-BOT 시간표</v>
      </c>
    </row>
    <row r="57">
      <c r="D57" t="str">
        <v>모닝워크</v>
      </c>
      <c r="J57" t="str">
        <v>W한경애4A</v>
      </c>
    </row>
    <row r="58">
      <c r="D58" t="str">
        <v>워크봇</v>
      </c>
      <c r="E58" t="str">
        <v>이팔원</v>
      </c>
      <c r="G58" t="str">
        <v>W권용길B</v>
      </c>
      <c r="J58" t="str">
        <v>W전동순B</v>
      </c>
      <c r="M58" t="str">
        <v>W김택중A</v>
      </c>
    </row>
    <row r="59">
      <c r="D59" t="str">
        <v>알봇</v>
      </c>
      <c r="I59" t="str">
        <v>W권오운D</v>
      </c>
    </row>
    <row r="61">
      <c r="D61" t="str">
        <v>통증</v>
      </c>
      <c r="F61" t="str">
        <v>*전혜옥</v>
      </c>
      <c r="J61" t="str">
        <v>*이문찬2</v>
      </c>
      <c r="L61" t="str">
        <v xml:space="preserve"> </v>
      </c>
      <c r="P61" t="str">
        <v>*이문찬2</v>
      </c>
    </row>
    <row r="62">
      <c r="H62" t="str">
        <v>ESWT5한경애4(목)</v>
      </c>
    </row>
  </sheetData>
  <mergeCells count="24">
    <mergeCell ref="D61:D62"/>
    <mergeCell ref="P21:Q22"/>
    <mergeCell ref="U21:Z23"/>
    <mergeCell ref="C23:D24"/>
    <mergeCell ref="U24:Z24"/>
    <mergeCell ref="U25:Z30"/>
    <mergeCell ref="U31:Z35"/>
    <mergeCell ref="D45:S45"/>
    <mergeCell ref="D48:S48"/>
    <mergeCell ref="D53:S53"/>
    <mergeCell ref="D56:S56"/>
    <mergeCell ref="P12:Q13"/>
    <mergeCell ref="B26:B27"/>
    <mergeCell ref="C26:D28"/>
    <mergeCell ref="P28:Q28"/>
    <mergeCell ref="A1:Q1"/>
    <mergeCell ref="A2:Q2"/>
    <mergeCell ref="C4:D11"/>
    <mergeCell ref="C14:D20"/>
    <mergeCell ref="U20:Z20"/>
    <mergeCell ref="U4:Z4"/>
    <mergeCell ref="U5:Z7"/>
    <mergeCell ref="U8:Z8"/>
    <mergeCell ref="U9:Z19"/>
  </mergeCells>
  <pageMargins left="0" right="0" top="0" bottom="0" header="0" footer="0"/>
  <ignoredErrors>
    <ignoredError numberStoredAsText="1" sqref="A1:Z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1"/>
  <sheetViews>
    <sheetView workbookViewId="0"/>
  </sheetViews>
  <sheetData>
    <row r="1">
      <c r="A1" t="str">
        <v xml:space="preserve">          2층 근골격/특수재활센터 시간표  2025. 12. 3 (수)</v>
      </c>
    </row>
    <row r="2" xml:space="preserve">
      <c r="B2" t="str">
        <v xml:space="preserve">           시간    치료사</v>
      </c>
      <c r="C2" t="str" xml:space="preserve">
        <v xml:space="preserve">8:30~_x000d_
9:00</v>
      </c>
      <c r="D2" t="str" xml:space="preserve">
        <v xml:space="preserve">9:05~_x000d_
9:35</v>
      </c>
      <c r="E2" t="str" xml:space="preserve">
        <v xml:space="preserve">9:40~_x000d_
10:10</v>
      </c>
      <c r="F2" t="str" xml:space="preserve">
        <v xml:space="preserve">10:15~_x000d_
10:45</v>
      </c>
      <c r="G2" t="str" xml:space="preserve">
        <v xml:space="preserve">10:50~_x000d_
11:20</v>
      </c>
      <c r="H2" t="str" xml:space="preserve">
        <v xml:space="preserve">11:25~_x000d_
11:55</v>
      </c>
      <c r="I2" t="str" xml:space="preserve">
        <v xml:space="preserve">12:00~ _x000d_
12:30</v>
      </c>
      <c r="J2" t="str">
        <v>점심</v>
      </c>
      <c r="K2" t="str" xml:space="preserve">
        <v xml:space="preserve">13:30~_x000d_
14:00</v>
      </c>
      <c r="L2" t="str" xml:space="preserve">
        <v xml:space="preserve">14:05~_x000d_
14:35</v>
      </c>
      <c r="M2" t="str" xml:space="preserve">
        <v xml:space="preserve">14:40~_x000d_
15:10</v>
      </c>
      <c r="N2" t="str" xml:space="preserve">
        <v xml:space="preserve">15:15~_x000d_
15:45</v>
      </c>
      <c r="O2" t="str" xml:space="preserve">
        <v xml:space="preserve">15:50~_x000d_
16:20</v>
      </c>
      <c r="P2" t="str" xml:space="preserve">
        <v xml:space="preserve">16:25~_x000d_
16:55</v>
      </c>
      <c r="Q2" t="str" xml:space="preserve">
        <v xml:space="preserve">17:00~_x000d_
17:30</v>
      </c>
    </row>
    <row r="3" xml:space="preserve">
      <c r="A3">
        <v>1</v>
      </c>
      <c r="B3" t="str">
        <v>연제건</v>
      </c>
      <c r="D3" t="str" xml:space="preserve">
        <v xml:space="preserve">M15백정희(수12/10)_x000d_
김선엽D_x000d_
산재재활-하지</v>
      </c>
      <c r="E3" t="str" xml:space="preserve">
        <v xml:space="preserve">김상훈9_x000d_
산재재활-하지D(12/3미내원)_x000d_
M15백정희(수12/10)</v>
      </c>
      <c r="F3" t="str">
        <v>M7김한기2(매 수)</v>
      </c>
      <c r="G3" t="str">
        <v>M7민경환2(매월,수)</v>
      </c>
      <c r="H3" t="str">
        <v>M15유향숙(12.3수)</v>
      </c>
      <c r="I3" t="str">
        <v>M15유향숙(12.3수)</v>
      </c>
      <c r="L3" t="str">
        <v xml:space="preserve">M7김상민4(매월) </v>
      </c>
      <c r="M3" t="str" xml:space="preserve">
        <v xml:space="preserve">김성욱D_x000d_
산재재활-하지_x000d_
</v>
      </c>
      <c r="N3" t="str">
        <v>M7김우현2(12/3수)</v>
      </c>
      <c r="O3" t="str">
        <v>M7김혜경10(3, 5, 8, 12, 15 , 17 )</v>
      </c>
      <c r="P3" t="str">
        <v xml:space="preserve">M7이우찬2(매수) </v>
      </c>
      <c r="S3">
        <f>COUNTA(C3:Q3)</f>
        <v>11</v>
      </c>
      <c r="U3" t="str" xml:space="preserve">
        <v xml:space="preserve">_x000d_
* 외래 최승섭님 12/3 HOLD_x000d_
_x000d_
* 외래 이미선7님 12/3, 12/5 HOLD_x000d_
_x000d_
* 외래 최중범님 12/4 HOLD_x000d_
_x000d_
* 외래 유훈종2님 12/4 HOLD_x000d_
_x000d_
* 외래 조남인2님 12/5, 12/8 HOLD_x000d_
_x000d_
* 외래 방상윤님 12/5 HOLD_x000d_
_x000d_
* 외래 권오식2님 12/5, 12/8 HOLD_x000d_
_x000d_
* 외래 이건식2님 12/8 HOLD_x000d_
_x000d_
* 외래 원동현님 2/12일까지 HOLD_x000d_
_x000d_
* 외래 조광복님 12/8, 15, 22, 29 HOLD_x000d_
_x000d_
* 외래 김소재님 A → B 스케줄 변경 희망 (오전/오후상관없으심)_x000d_
_x000d_
* 외래 박양숙님 B → A 스케줄 자리나면 바로 변경희망_x000d_
_x000d_
* 매주 수요일 1년차 선생님들 5시 교육 진행예정!!!!!_x000d_
_x000d_
* 김기천님 코끼리로 변경 희망하심_x000d_
_x000d_
* 김미순3님 코끼리로 기구변경희망하심_x000d_
_x000d_
* 외래 송우섭님 1월부터 A오전스케줄 희망하심</v>
      </c>
    </row>
    <row r="4" xml:space="preserve">
      <c r="A4">
        <v>1</v>
      </c>
      <c r="B4" t="str">
        <v>연제건</v>
      </c>
      <c r="D4" t="str" xml:space="preserve">
        <v xml:space="preserve">김선엽D_x000d_
산재재활-하지</v>
      </c>
      <c r="E4" t="str" xml:space="preserve">
        <v xml:space="preserve">김상훈9_x000d_
산재재활-하지D</v>
      </c>
      <c r="H4" t="str">
        <v>M15조세영B</v>
      </c>
      <c r="I4" t="str">
        <v>M15조세영B</v>
      </c>
      <c r="K4" t="str">
        <v>M7김순이5B</v>
      </c>
      <c r="L4" t="str">
        <v>M7신연자B</v>
      </c>
      <c r="M4" t="str" xml:space="preserve">
        <v xml:space="preserve">김성욱D_x000d_
산재재활-하지</v>
      </c>
      <c r="N4" t="str">
        <v>M7송희영B</v>
      </c>
      <c r="O4" t="str" xml:space="preserve">
        <v xml:space="preserve">S반원모(매화)_x000d_
M7김혜경10(12/4, 9, 11, 16)</v>
      </c>
      <c r="S4">
        <f>COUNTA(C4:Q4)</f>
        <v>9</v>
      </c>
    </row>
    <row r="5" xml:space="preserve">
      <c r="A5">
        <v>2</v>
      </c>
      <c r="B5" t="str">
        <v>전지호</v>
      </c>
      <c r="D5" t="str">
        <v>N이남희3A</v>
      </c>
      <c r="G5" t="str" xml:space="preserve">
        <v xml:space="preserve">신동환4(12/19금)_x000d_
신동환4(12/31수)</v>
      </c>
      <c r="H5" t="str" xml:space="preserve">
        <v xml:space="preserve">신동환4(12/19금)_x000d_
신동환4(12/31수)</v>
      </c>
      <c r="L5" t="str">
        <v>M7김영식10A</v>
      </c>
      <c r="M5" t="str">
        <v>M7권오경4A</v>
      </c>
      <c r="N5" t="str" xml:space="preserve">
        <v xml:space="preserve">M7윤미라_x000d_
(12/3)</v>
      </c>
      <c r="O5" t="str">
        <v>S반원모A     M15어성환(3)</v>
      </c>
      <c r="P5" t="str">
        <v>M15어성환(3)</v>
      </c>
      <c r="S5">
        <f>COUNTA(C5:Q5)</f>
        <v>8</v>
      </c>
    </row>
    <row r="6">
      <c r="A6">
        <v>2</v>
      </c>
      <c r="B6" t="str">
        <v>전지호</v>
      </c>
      <c r="J6" t="str">
        <v xml:space="preserve"> </v>
      </c>
      <c r="O6" t="str">
        <v>S반원모(매목)</v>
      </c>
      <c r="P6" t="str">
        <v>M7노하윤2(목4)</v>
      </c>
      <c r="Q6" t="str">
        <v>M7안서현2B</v>
      </c>
      <c r="S6">
        <f>COUNTA(C6:Q6)</f>
        <v>4</v>
      </c>
    </row>
    <row r="7">
      <c r="A7">
        <v>3</v>
      </c>
      <c r="B7" t="str">
        <v>박송이2</v>
      </c>
      <c r="D7" t="str">
        <v>N한은주A</v>
      </c>
      <c r="E7" t="str">
        <v>N임상미2A</v>
      </c>
      <c r="F7" t="str">
        <v>N이경갑A</v>
      </c>
      <c r="G7" t="str">
        <v>N이덕로A</v>
      </c>
      <c r="H7" t="str">
        <v>N배석현A</v>
      </c>
      <c r="I7" t="str">
        <v>N나채용A</v>
      </c>
      <c r="K7" t="str">
        <v>N이태선A</v>
      </c>
      <c r="M7" t="str">
        <v>N박종민6A</v>
      </c>
      <c r="N7" t="str">
        <v>N함도경A</v>
      </c>
      <c r="O7" t="str">
        <v>N유승희3A</v>
      </c>
      <c r="S7">
        <f>COUNTA(C7:Q7)</f>
        <v>10</v>
      </c>
    </row>
    <row r="8">
      <c r="A8">
        <v>3</v>
      </c>
      <c r="B8" t="str">
        <v>박송이2</v>
      </c>
      <c r="C8" t="str">
        <v>N이희B</v>
      </c>
      <c r="D8" t="str">
        <v>N신경순2B</v>
      </c>
      <c r="E8" t="str">
        <v>N이영자15B</v>
      </c>
      <c r="F8" t="str">
        <v>N신연상B</v>
      </c>
      <c r="G8" t="str">
        <v>N김미영13B</v>
      </c>
      <c r="H8" t="str">
        <v>N차종우B</v>
      </c>
      <c r="I8" t="str">
        <v>N김윤서3B</v>
      </c>
      <c r="L8" t="str">
        <v>N김청하B</v>
      </c>
      <c r="M8" t="str">
        <v>N김순이5B</v>
      </c>
      <c r="N8" t="str">
        <v>N임병희B</v>
      </c>
      <c r="S8">
        <f>COUNTA(C8:Q8)</f>
        <v>10</v>
      </c>
    </row>
    <row r="9">
      <c r="A9">
        <v>4</v>
      </c>
      <c r="B9" t="str">
        <v>김수윤</v>
      </c>
      <c r="C9" t="str">
        <v>N연운희A</v>
      </c>
      <c r="D9" t="str">
        <v>N이미선7A</v>
      </c>
      <c r="E9" t="str">
        <v>N고선무A</v>
      </c>
      <c r="F9" t="str">
        <v>N백영진A</v>
      </c>
      <c r="G9" t="str">
        <v>N김은영22A</v>
      </c>
      <c r="H9" t="str">
        <v>N김정원7A</v>
      </c>
      <c r="I9" t="str">
        <v>N조광복A</v>
      </c>
      <c r="K9" t="str">
        <v>N최중범A</v>
      </c>
      <c r="L9" t="str">
        <v>N최승섭A</v>
      </c>
      <c r="M9" t="str">
        <v>N민유준A</v>
      </c>
      <c r="N9" t="str">
        <v>N방상윤A</v>
      </c>
      <c r="O9" t="str">
        <v>N이건식2A</v>
      </c>
      <c r="S9">
        <f>COUNTA(C9:Q9)</f>
        <v>12</v>
      </c>
    </row>
    <row r="10">
      <c r="A10">
        <v>4</v>
      </c>
      <c r="B10" t="str">
        <v>김수윤</v>
      </c>
      <c r="E10" t="str">
        <v>N유준오B</v>
      </c>
      <c r="F10" t="str">
        <v>N권영희3B</v>
      </c>
      <c r="G10" t="str">
        <v>N김수호2B</v>
      </c>
      <c r="H10" t="str">
        <v>N민명식B</v>
      </c>
      <c r="I10" t="str">
        <v>N홍성주2B</v>
      </c>
      <c r="K10" t="str">
        <v>N신순용B</v>
      </c>
      <c r="L10" t="str">
        <v>N박경숙4B</v>
      </c>
      <c r="M10" t="str">
        <v>N송희영B</v>
      </c>
      <c r="N10" t="str">
        <v>N문아영B</v>
      </c>
      <c r="O10" t="str">
        <v>N정광종B</v>
      </c>
      <c r="P10" t="str">
        <v>N한동수2B</v>
      </c>
      <c r="Q10" t="str">
        <v>N조성현3B</v>
      </c>
      <c r="S10">
        <f>COUNTA(C10:Q10)</f>
        <v>12</v>
      </c>
    </row>
    <row r="11">
      <c r="A11">
        <v>5</v>
      </c>
      <c r="B11" t="str">
        <v>강예지</v>
      </c>
      <c r="D11" t="str">
        <v>N강철용A</v>
      </c>
      <c r="E11" t="str">
        <v>N원동현A</v>
      </c>
      <c r="F11" t="str">
        <v>N정호진2A</v>
      </c>
      <c r="G11" t="str">
        <v>N서동출A</v>
      </c>
      <c r="H11" t="str">
        <v>N김대용2A</v>
      </c>
      <c r="K11" t="str">
        <v>N이광영3A</v>
      </c>
      <c r="L11" t="str">
        <v>N반원모A</v>
      </c>
      <c r="M11" t="str">
        <v>N반지환A</v>
      </c>
      <c r="N11" t="str">
        <v>N한동수2A</v>
      </c>
      <c r="O11" t="str">
        <v>N김다연2A</v>
      </c>
      <c r="P11" t="str">
        <v>N조남인2A</v>
      </c>
      <c r="S11">
        <f>COUNTA(C11:Q11)</f>
        <v>11</v>
      </c>
    </row>
    <row r="12" xml:space="preserve">
      <c r="A12">
        <v>5</v>
      </c>
      <c r="B12" t="str">
        <v>강예지</v>
      </c>
      <c r="D12" t="str">
        <v>N김숙자8B</v>
      </c>
      <c r="E12" t="str">
        <v>N차승균B</v>
      </c>
      <c r="F12" t="str">
        <v>N김대용2B</v>
      </c>
      <c r="G12" t="str" xml:space="preserve">
        <v xml:space="preserve">N박양숙B_x000d_
(12/9부터)</v>
      </c>
      <c r="H12" t="str">
        <v>N김진석5B</v>
      </c>
      <c r="I12" t="str">
        <v>N이태선B</v>
      </c>
      <c r="K12" t="str">
        <v>N반지환B</v>
      </c>
      <c r="L12" t="str">
        <v>N반원모B</v>
      </c>
      <c r="M12" t="str">
        <v>N권영례B</v>
      </c>
      <c r="N12" t="str">
        <v>N고영희2B</v>
      </c>
      <c r="O12" t="str">
        <v>N최중범B</v>
      </c>
      <c r="S12">
        <f>COUNTA(C12:Q12)</f>
        <v>11</v>
      </c>
    </row>
    <row r="13">
      <c r="A13">
        <v>6</v>
      </c>
      <c r="B13" t="str">
        <v>황은비</v>
      </c>
      <c r="D13" t="str">
        <v>CA연운희A</v>
      </c>
      <c r="E13" t="str">
        <v>S백영진A</v>
      </c>
      <c r="F13" t="str">
        <v>S한은주A</v>
      </c>
      <c r="G13" t="str">
        <v>H이경갑A</v>
      </c>
      <c r="H13" t="str">
        <v>CA김은영22A</v>
      </c>
      <c r="I13" t="str">
        <v>CA이덕로A</v>
      </c>
      <c r="K13" t="str">
        <v>S이홍섭A</v>
      </c>
      <c r="L13" t="str">
        <v>D박종민6AV</v>
      </c>
      <c r="M13" t="str">
        <v>S김기천A</v>
      </c>
      <c r="N13" t="str">
        <v>S이건식2A</v>
      </c>
      <c r="O13" t="str">
        <v>CA조남인2A</v>
      </c>
      <c r="P13" t="str">
        <v>D곽예성A</v>
      </c>
      <c r="S13">
        <f>COUNTA(C13:Q13)</f>
        <v>12</v>
      </c>
    </row>
    <row r="14" xml:space="preserve">
      <c r="A14">
        <v>6</v>
      </c>
      <c r="B14" t="str">
        <v>황은비</v>
      </c>
      <c r="C14" t="str" xml:space="preserve">
        <v xml:space="preserve">주형준2B_x000d_
산재재활-수부</v>
      </c>
      <c r="D14" t="str">
        <v>S유준오B</v>
      </c>
      <c r="E14" t="str">
        <v xml:space="preserve"> S김숙자8B</v>
      </c>
      <c r="F14" t="str">
        <v>CA민명식B</v>
      </c>
      <c r="G14" t="str">
        <v>S권영희3B</v>
      </c>
      <c r="H14" t="str">
        <v>CA김대용2B</v>
      </c>
      <c r="I14" t="str" xml:space="preserve">
        <v xml:space="preserve">CA박양숙B_x000d_
(12/9부터)</v>
      </c>
      <c r="K14" t="str">
        <v>CA권영례B</v>
      </c>
      <c r="L14" t="str">
        <v>S반지환B</v>
      </c>
      <c r="M14" t="str">
        <v>S임병희B</v>
      </c>
      <c r="N14" t="str">
        <v>S김순이5B</v>
      </c>
      <c r="O14" t="str">
        <v>S송희영B</v>
      </c>
      <c r="S14">
        <f>COUNTA(C14:Q14)</f>
        <v>12</v>
      </c>
    </row>
    <row r="15">
      <c r="A15">
        <v>7</v>
      </c>
      <c r="B15" t="str">
        <v>임수연</v>
      </c>
      <c r="C15" t="str">
        <v>Y원동현A</v>
      </c>
      <c r="D15" t="str">
        <v>S정호진2A</v>
      </c>
      <c r="E15" t="str">
        <v>S김미자10A</v>
      </c>
      <c r="F15" t="str">
        <v>CA김대용2A</v>
      </c>
      <c r="G15" t="str">
        <v>S김미순3A</v>
      </c>
      <c r="H15" t="str">
        <v>S나채용A</v>
      </c>
      <c r="I15" t="str">
        <v>CA최진형A</v>
      </c>
      <c r="K15" t="str">
        <v>S최승섭A</v>
      </c>
      <c r="L15" t="str">
        <v>D한태환2A</v>
      </c>
      <c r="M15" t="str">
        <v>CA한동수2A</v>
      </c>
      <c r="N15" t="str">
        <v>CA박종민6A</v>
      </c>
      <c r="O15" t="str">
        <v>CA곽예성A</v>
      </c>
      <c r="S15">
        <f>COUNTA(C15:Q15)</f>
        <v>12</v>
      </c>
    </row>
    <row r="16">
      <c r="A16">
        <v>7</v>
      </c>
      <c r="B16" t="str">
        <v>임수연</v>
      </c>
      <c r="D16" t="str">
        <v>CA이희B</v>
      </c>
      <c r="E16" t="str">
        <v>CA신연상B</v>
      </c>
      <c r="F16" t="str">
        <v>S신경순2B</v>
      </c>
      <c r="G16" t="str">
        <v>S차종우B</v>
      </c>
      <c r="H16" t="str">
        <v>CA김윤서3B</v>
      </c>
      <c r="I16" t="str">
        <v>CA한홍구B</v>
      </c>
      <c r="K16" t="str">
        <v>S김청하B</v>
      </c>
      <c r="L16" t="str">
        <v>D강병준B</v>
      </c>
      <c r="M16" t="str">
        <v>S반원모B</v>
      </c>
      <c r="N16" t="str">
        <v>CA강병준B</v>
      </c>
      <c r="O16" t="str">
        <v>CA한동수2B</v>
      </c>
      <c r="P16" t="str">
        <v>CA안서현2B</v>
      </c>
      <c r="S16">
        <f>COUNTA(C16:Q16)</f>
        <v>12</v>
      </c>
    </row>
    <row r="17">
      <c r="A17">
        <v>8</v>
      </c>
      <c r="B17" t="str">
        <v>박종규</v>
      </c>
      <c r="C17" t="str">
        <v>S강철용A</v>
      </c>
      <c r="D17" t="str">
        <v>CA김진학</v>
      </c>
      <c r="E17" t="str">
        <v>S이남희3A</v>
      </c>
      <c r="F17" t="str">
        <v>S임상미2A</v>
      </c>
      <c r="G17" t="str">
        <v>S이용출A</v>
      </c>
      <c r="H17" t="str">
        <v>S오도경A</v>
      </c>
      <c r="I17" t="str">
        <v>S배석현A</v>
      </c>
      <c r="K17" t="str">
        <v>CA김기일2A</v>
      </c>
      <c r="L17" t="str">
        <v>CA이광영3A</v>
      </c>
      <c r="M17" t="str">
        <v>S반원모A</v>
      </c>
      <c r="N17" t="str">
        <v>S김소재A</v>
      </c>
      <c r="O17" t="str">
        <v>S함도경A</v>
      </c>
      <c r="S17">
        <f>COUNTA(C17:Q17)</f>
        <v>12</v>
      </c>
    </row>
    <row r="18">
      <c r="A18">
        <v>8</v>
      </c>
      <c r="B18" t="str">
        <v>박종규</v>
      </c>
      <c r="D18" t="str">
        <v>CA김진학</v>
      </c>
      <c r="E18" t="str">
        <v>D조복년B</v>
      </c>
      <c r="F18" t="str">
        <v>CA김수호2B</v>
      </c>
      <c r="G18" t="str">
        <v>S차승균B</v>
      </c>
      <c r="H18" t="str">
        <v>S오도경B</v>
      </c>
      <c r="I18" t="str">
        <v>S김미영13B</v>
      </c>
      <c r="K18" t="str">
        <v>CA홍숙희B</v>
      </c>
      <c r="L18" t="str">
        <v>S송우섭B</v>
      </c>
      <c r="M18" t="str">
        <v>S신순용B</v>
      </c>
      <c r="N18" t="str">
        <v>S손미화B</v>
      </c>
      <c r="O18" t="str">
        <v>CA문아영B</v>
      </c>
      <c r="P18" t="str">
        <v>CA조성현3B</v>
      </c>
      <c r="S18">
        <f>COUNTA(C18:Q18)</f>
        <v>12</v>
      </c>
    </row>
    <row r="19">
      <c r="A19">
        <v>9</v>
      </c>
      <c r="B19" t="str">
        <v>오연수</v>
      </c>
      <c r="C19" t="str">
        <v>CA권오식2A</v>
      </c>
      <c r="D19" t="str">
        <v>D염병숙A</v>
      </c>
      <c r="E19" t="str">
        <v>S이미선7A</v>
      </c>
      <c r="F19" t="str">
        <v>S염병숙A</v>
      </c>
      <c r="G19" t="str">
        <v>CA김정원7A</v>
      </c>
      <c r="H19" t="str">
        <v>S이경갑A</v>
      </c>
      <c r="I19" t="str">
        <v>S서동출A</v>
      </c>
      <c r="K19" t="str">
        <v>S반지환A</v>
      </c>
      <c r="L19" t="str">
        <v>CA홍숙희A</v>
      </c>
      <c r="M19" t="str">
        <v>S유승희3A</v>
      </c>
      <c r="N19" t="str">
        <v>S나기태A</v>
      </c>
      <c r="O19" t="str">
        <v>CA방상윤A</v>
      </c>
      <c r="S19">
        <f>COUNTA(C19:Q19)</f>
        <v>12</v>
      </c>
    </row>
    <row r="20" xml:space="preserve">
      <c r="A20">
        <v>9</v>
      </c>
      <c r="B20" t="str">
        <v>오연수</v>
      </c>
      <c r="C20" t="str">
        <v>CA이영자15B</v>
      </c>
      <c r="D20" t="str">
        <v>Y신연상B</v>
      </c>
      <c r="E20" t="str">
        <v>D김수호2B</v>
      </c>
      <c r="F20" t="str">
        <v>S배선애B</v>
      </c>
      <c r="G20" t="str">
        <v>D신경순2B</v>
      </c>
      <c r="H20" t="str">
        <v>CA홍성주2B</v>
      </c>
      <c r="I20" t="str" xml:space="preserve">
        <v xml:space="preserve">전산화인지_x000d_
권영희3B</v>
      </c>
      <c r="K20" t="str">
        <v>S유복숙B</v>
      </c>
      <c r="L20" t="str">
        <v>CA정병현B</v>
      </c>
      <c r="M20" t="str">
        <v>S박경숙4B</v>
      </c>
      <c r="N20" t="str">
        <v>S정광종B</v>
      </c>
      <c r="O20" t="str">
        <v>CA고영희2B</v>
      </c>
      <c r="S20">
        <f>COUNTA(C20:Q20)</f>
        <v>12</v>
      </c>
    </row>
    <row r="21">
      <c r="A21">
        <v>10</v>
      </c>
      <c r="B21" t="str">
        <v>김용하</v>
      </c>
      <c r="D21" t="str">
        <v>N권오식2A</v>
      </c>
      <c r="E21" t="str">
        <v>N김미순3A</v>
      </c>
      <c r="F21" t="str">
        <v>N김미자10A</v>
      </c>
      <c r="H21" t="str">
        <v>N최진형A</v>
      </c>
      <c r="I21" t="str">
        <v>M7이문찬2</v>
      </c>
    </row>
    <row r="22">
      <c r="A22">
        <v>10</v>
      </c>
      <c r="B22" t="str">
        <v>김용하</v>
      </c>
      <c r="I22" t="str">
        <v>M7이문찬2</v>
      </c>
    </row>
    <row r="23">
      <c r="A23">
        <v>11</v>
      </c>
      <c r="B23" t="str">
        <v>류연우/장태환B</v>
      </c>
      <c r="C23" t="str">
        <v>입원&amp;외래통증</v>
      </c>
      <c r="K23" t="str">
        <v>N홍숙희A</v>
      </c>
      <c r="L23" t="str">
        <v>N김기일2A</v>
      </c>
      <c r="M23" t="str">
        <v>N나기태A</v>
      </c>
      <c r="N23" t="str">
        <v>N김기천A</v>
      </c>
      <c r="S23">
        <f>COUNTA(C23:Q23)</f>
        <v>5</v>
      </c>
    </row>
    <row r="24">
      <c r="A24">
        <v>11</v>
      </c>
      <c r="B24" t="str">
        <v>류연우/장태환B</v>
      </c>
      <c r="C24" t="str">
        <v>입원&amp;외래통증</v>
      </c>
      <c r="K24" t="str">
        <v>N송우섭B</v>
      </c>
      <c r="L24" t="str">
        <v>N홍숙희B</v>
      </c>
      <c r="M24" t="str">
        <v>N강병준B</v>
      </c>
      <c r="N24" t="str">
        <v>N유훈종2B</v>
      </c>
      <c r="S24">
        <f>COUNTA(D24:Q24)</f>
        <v>4</v>
      </c>
    </row>
    <row r="25">
      <c r="B25" t="str">
        <v>박송이</v>
      </c>
      <c r="C25" t="str">
        <v>단축근무</v>
      </c>
      <c r="D25" t="str">
        <v>입원&amp;외래통증</v>
      </c>
      <c r="O25" t="str">
        <v>단축근무</v>
      </c>
    </row>
    <row r="26">
      <c r="B26" t="str">
        <v>박송이</v>
      </c>
      <c r="C26" t="str">
        <v>단축근무</v>
      </c>
      <c r="D26" t="str">
        <v>입원&amp;외래통증</v>
      </c>
      <c r="O26" t="str">
        <v>단축근무</v>
      </c>
    </row>
    <row r="27" xml:space="preserve">
      <c r="B27" t="str">
        <v>통증</v>
      </c>
      <c r="C27" t="str">
        <v>*김수태</v>
      </c>
      <c r="D27" t="str" xml:space="preserve">
        <v xml:space="preserve">*윤충원_x000d_
TN/TN김동인4_x000d_
TI/TN강옥순</v>
      </c>
      <c r="E27" t="str" xml:space="preserve">
        <v xml:space="preserve">*원종식_x000d_
TH배영자</v>
      </c>
      <c r="F27" t="str">
        <v>*최종성2</v>
      </c>
      <c r="G27" t="str" xml:space="preserve">
        <v xml:space="preserve">*유정순3_x000d_
*한순근_x000d_
*이순선_x000d_
*노수학_x000d_
*김성원4</v>
      </c>
      <c r="H27" t="str">
        <v>*구본창</v>
      </c>
      <c r="I27" t="str" xml:space="preserve">
        <v xml:space="preserve">*권수자_x000d_
*쿠마라게_x000d_
*이문찬2</v>
      </c>
      <c r="J27" t="str">
        <v xml:space="preserve"> </v>
      </c>
      <c r="K27" t="str" xml:space="preserve">
        <v xml:space="preserve">*이상호9_x000d_
*최종성2_x000d_
*송수연2</v>
      </c>
      <c r="L27" t="str" xml:space="preserve">
        <v xml:space="preserve">*노수학_x000d_
*임예수_x000d_
TI/TN강옥순</v>
      </c>
      <c r="M27" t="str" xml:space="preserve">
        <v xml:space="preserve">*쿠마라게_x000d_
*김성원4_x000d_
TN/TN김동인4</v>
      </c>
      <c r="N27" t="str" xml:space="preserve">
        <v xml:space="preserve">*이문찬2_x000d_
TH배영자</v>
      </c>
    </row>
    <row r="28">
      <c r="B28" t="str">
        <v>EST</v>
      </c>
      <c r="D28" t="str">
        <v>*배성준</v>
      </c>
      <c r="E28" t="str">
        <v>ESWT7강옥순(매수)</v>
      </c>
      <c r="H28" t="str">
        <v>*서대성</v>
      </c>
    </row>
    <row r="29" xml:space="preserve">
      <c r="B29" t="str">
        <v>류연우(A)</v>
      </c>
      <c r="E29" t="str">
        <v>F권오식2A</v>
      </c>
      <c r="F29" t="str" xml:space="preserve">
        <v xml:space="preserve">F김은영22A_x000d_
F원동현A</v>
      </c>
      <c r="G29" t="str" xml:space="preserve">
        <v xml:space="preserve">F최진형A_x000d_
F김대용2A</v>
      </c>
      <c r="I29" t="str" xml:space="preserve">
        <v xml:space="preserve">F김정원7A_x000d_
F이용출A</v>
      </c>
      <c r="K29" t="str">
        <v>F박종민6A</v>
      </c>
      <c r="M29" t="str" xml:space="preserve">
        <v xml:space="preserve">F방상윤A_x000d_
F이광영3A</v>
      </c>
      <c r="N29" t="str" xml:space="preserve">
        <v xml:space="preserve">F조남인2A_x000d_
F홍숙희A</v>
      </c>
    </row>
    <row r="30" xml:space="preserve">
      <c r="C30" t="str">
        <v>M이남희3AC</v>
      </c>
      <c r="D30" t="str" xml:space="preserve">
        <v xml:space="preserve">M김미자10ATt_x000d_
M원동현AC</v>
      </c>
      <c r="E30" t="str" xml:space="preserve">
        <v xml:space="preserve">M한은주ACPM(어깨)_x000d_
M염병숙AT_x000d_
M김대용2T_x000d_
M강철용AC_x000d_
M정호진2AC</v>
      </c>
      <c r="F30" t="str" xml:space="preserve">
        <v xml:space="preserve">M오도경DTt_x000d_
M고선무AC_x000d_
M이미선7AC_x000d_
M권오식2AT_x000d_
M최진형AT_x000d_
M김미순3AMA</v>
      </c>
      <c r="G30" t="str" xml:space="preserve">
        <v xml:space="preserve">G백영진AC_x000d_
M나채용AT_x000d_
M배석현Att</v>
      </c>
      <c r="H30" t="str" xml:space="preserve">
        <v xml:space="preserve">M이덕로AC_x000d_
M서동출Att_x000d_
M조광복AT_x000d_
M임상미2AMA</v>
      </c>
      <c r="I30" t="str" xml:space="preserve">
        <v xml:space="preserve">M이용출ATt_x000d_
G이경갑AT_x000d_
M김은영22AC</v>
      </c>
      <c r="K30" t="str">
        <v>M반원모AC</v>
      </c>
      <c r="L30" t="str" xml:space="preserve">
        <v xml:space="preserve">M방상윤AC_x000d_
M최중범Att</v>
      </c>
      <c r="M30" t="str" xml:space="preserve">
        <v xml:space="preserve">M최승섭AC_x000d_
M홍숙희AC_x000d_
G조남인2AT_x000d_
M함도경Att</v>
      </c>
      <c r="N30" t="str" xml:space="preserve">
        <v xml:space="preserve">M유승희3AC_x000d_
M이홍섭Att</v>
      </c>
      <c r="O30" t="str" xml:space="preserve">
        <v xml:space="preserve">M김소재AC_x000d_
G한동수2AT_x000d_
M나기태AC</v>
      </c>
      <c r="P30" t="str" xml:space="preserve">
        <v xml:space="preserve">M이건식2AT_x000d_
G박종민6AT</v>
      </c>
    </row>
    <row r="31" xml:space="preserve">
      <c r="B31" t="str">
        <v>류연우(B)</v>
      </c>
      <c r="C31" t="str">
        <v>F신연상B</v>
      </c>
      <c r="E31" t="str" xml:space="preserve">
        <v xml:space="preserve">F민명식B_x000d_
F이희B</v>
      </c>
      <c r="F31" t="str" xml:space="preserve">
        <v xml:space="preserve">F이영자15B_x000d_
F박양숙B</v>
      </c>
      <c r="G31" t="str" xml:space="preserve">
        <v xml:space="preserve">F홍성주2B_x000d_
F김대용2B</v>
      </c>
      <c r="H31" t="str">
        <v>F한홍구</v>
      </c>
      <c r="I31" t="str">
        <v>F김진석5B</v>
      </c>
      <c r="K31" t="str">
        <v>F유호민B</v>
      </c>
      <c r="L31" t="str">
        <v>F김순이5B</v>
      </c>
      <c r="M31" t="str" xml:space="preserve">
        <v xml:space="preserve">F유훈종2B_x000d_
F고영희2B</v>
      </c>
      <c r="N31" t="str" xml:space="preserve">
        <v xml:space="preserve">F홍숙희B_x000d_
F권영례B</v>
      </c>
    </row>
    <row r="32" xml:space="preserve">
      <c r="C32" t="str">
        <v>M유준오BC</v>
      </c>
      <c r="D32" t="str">
        <v>M이영자15BTt</v>
      </c>
      <c r="E32" t="str" xml:space="preserve">
        <v xml:space="preserve">G신경순2BC_x000d_
M김대용2BT</v>
      </c>
      <c r="F32" t="str" xml:space="preserve">
        <v xml:space="preserve">M오도경DTt_x000d_
M이희BT_x000d_
M차승균BC_x000d_
M김숙자8BC_x000d_
G이경갑BT</v>
      </c>
      <c r="G32" t="str" xml:space="preserve">
        <v xml:space="preserve">M민명식BC_x000d_
M김진석5BT_x000d_
G한홍구BT</v>
      </c>
      <c r="H32" t="str" xml:space="preserve">
        <v xml:space="preserve">M배선애BC_x000d_
M박양숙BC_x000d_
G권영희3BT_x000d_
M김미영13BTt</v>
      </c>
      <c r="I32" t="str">
        <v>M차종우BT</v>
      </c>
      <c r="K32" t="str" xml:space="preserve">
        <v xml:space="preserve">M신연자BTt_x000d_
M박경숙4BC</v>
      </c>
      <c r="L32" t="str" xml:space="preserve">
        <v xml:space="preserve">M신순용BTt_x000d_
M유호민BT_x000d_
G권영례BC_x000d_
M김순이5B</v>
      </c>
      <c r="M32" t="str" xml:space="preserve">
        <v xml:space="preserve">M홍숙희BC_x000d_
G송우섭BC_x000d_
M반지환BTt</v>
      </c>
      <c r="N32" t="str" xml:space="preserve">
        <v xml:space="preserve">M김청하BC_x000d_
M반원모BTt_x000d_
G한동수2BT</v>
      </c>
      <c r="O32" t="str" xml:space="preserve">
        <v xml:space="preserve">M유복숙BCPM_x000d_
(어깨)_x000d_
M임병희BC</v>
      </c>
      <c r="P32" t="str" xml:space="preserve">
        <v xml:space="preserve">M고영희2BC_x000d_
M손미화BT_x000d_
M최중범BTt</v>
      </c>
    </row>
    <row r="33">
      <c r="A33" t="str">
        <v>팀장</v>
      </c>
      <c r="B33" t="str">
        <v>김선우</v>
      </c>
    </row>
    <row r="34">
      <c r="A34" t="str">
        <v>팀장</v>
      </c>
      <c r="B34" t="str">
        <v>김선우</v>
      </c>
    </row>
    <row r="35">
      <c r="A35" t="str">
        <v>계장</v>
      </c>
      <c r="B35" t="str">
        <v>정윤구</v>
      </c>
      <c r="G35" t="str">
        <v>N염병숙A</v>
      </c>
      <c r="H35" t="str">
        <v>N이용출A</v>
      </c>
      <c r="L35" t="str">
        <v>N이홍섭A</v>
      </c>
      <c r="O35" t="str">
        <v>N7이흥식A</v>
      </c>
      <c r="P35" t="str">
        <v>N김소재A</v>
      </c>
      <c r="Q35" t="str">
        <v>통증</v>
      </c>
    </row>
    <row r="36">
      <c r="A36" t="str">
        <v>계장</v>
      </c>
      <c r="B36" t="str">
        <v>정윤구</v>
      </c>
      <c r="F36" t="str">
        <v>N한홍구B</v>
      </c>
      <c r="G36" t="str">
        <v>N배선애B</v>
      </c>
      <c r="L36" t="str">
        <v>N유복숙B</v>
      </c>
      <c r="M36" t="str">
        <v>N유호민B</v>
      </c>
      <c r="O36" t="str">
        <v>N손미화B</v>
      </c>
      <c r="P36" t="str">
        <v>N7이흥식B</v>
      </c>
      <c r="Q36" t="str">
        <v>통증</v>
      </c>
    </row>
    <row r="37">
      <c r="A37" t="str">
        <v>R-TMS &amp; WALKBOT &amp; MORNING WALK &amp; R-BOT 시간표</v>
      </c>
    </row>
    <row r="38" xml:space="preserve">
      <c r="B38" t="str">
        <v xml:space="preserve">           시간    치료장비</v>
      </c>
      <c r="C38" t="str" xml:space="preserve">
        <v xml:space="preserve">8:30~_x000d_
9:00</v>
      </c>
      <c r="D38" t="str" xml:space="preserve">
        <v xml:space="preserve">9:05~_x000d_
9:35</v>
      </c>
      <c r="E38" t="str" xml:space="preserve">
        <v xml:space="preserve">9:40~_x000d_
10:10</v>
      </c>
      <c r="F38" t="str" xml:space="preserve">
        <v xml:space="preserve">10:15~_x000d_
10:45</v>
      </c>
      <c r="G38" t="str" xml:space="preserve">
        <v xml:space="preserve">10:50~_x000d_
11:20</v>
      </c>
      <c r="H38" t="str" xml:space="preserve">
        <v xml:space="preserve">11:25~_x000d_
11:55</v>
      </c>
      <c r="I38" t="str" xml:space="preserve">
        <v xml:space="preserve">12:00~ _x000d_
12:30</v>
      </c>
      <c r="J38" t="str">
        <v xml:space="preserve"> </v>
      </c>
      <c r="K38" t="str" xml:space="preserve">
        <v xml:space="preserve">13:30~_x000d_
14:00</v>
      </c>
      <c r="L38" t="str" xml:space="preserve">
        <v xml:space="preserve">14:05~_x000d_
14:35</v>
      </c>
      <c r="M38" t="str" xml:space="preserve">
        <v xml:space="preserve">14:40~_x000d_
15:10</v>
      </c>
      <c r="N38" t="str" xml:space="preserve">
        <v xml:space="preserve">15:15~_x000d_
15:45</v>
      </c>
      <c r="O38" t="str" xml:space="preserve">
        <v xml:space="preserve">15:50~_x000d_
16:20</v>
      </c>
      <c r="P38" t="str" xml:space="preserve">
        <v xml:space="preserve">16:25~_x000d_
16:55</v>
      </c>
      <c r="Q38" t="str" xml:space="preserve">
        <v xml:space="preserve">17:00~_x000d_
17:30</v>
      </c>
    </row>
    <row r="39" xml:space="preserve">
      <c r="A39">
        <v>12</v>
      </c>
      <c r="B39" t="str" xml:space="preserve">
        <v xml:space="preserve">장태환/_x000d_
류연우A_x000d_
(모닝워크)</v>
      </c>
      <c r="D39" t="str">
        <v>W원종식D</v>
      </c>
      <c r="E39" t="str">
        <v>W이정례3A</v>
      </c>
      <c r="G39" t="str">
        <v>N오도경D</v>
      </c>
      <c r="H39" t="str">
        <v>W정경철A</v>
      </c>
      <c r="I39" t="str">
        <v>W황춘자A</v>
      </c>
      <c r="K39" t="str">
        <v>W임예수A</v>
      </c>
      <c r="L39" t="str">
        <v>M7김기천A</v>
      </c>
      <c r="M39" t="str" xml:space="preserve">
        <v xml:space="preserve">주부동D_x000d_
산재로봇</v>
      </c>
      <c r="N39" t="str" xml:space="preserve">
        <v xml:space="preserve">김서윤5D_x000d_
산재로봇</v>
      </c>
      <c r="O39" t="str">
        <v>RG이정임4R</v>
      </c>
      <c r="S39">
        <f>COUNTA(C39:Q39)</f>
        <v>10</v>
      </c>
    </row>
    <row r="40" xml:space="preserve">
      <c r="A40">
        <v>12</v>
      </c>
      <c r="B40" t="str" xml:space="preserve">
        <v xml:space="preserve">장태환/_x000d_
류연우B_x000d_
(모닝워크)</v>
      </c>
      <c r="D40" t="str">
        <v>W원종식D</v>
      </c>
      <c r="E40" t="str">
        <v>W권용길B</v>
      </c>
      <c r="F40" t="str" xml:space="preserve">
        <v xml:space="preserve">이연숙5B_x000d_
산재로봇</v>
      </c>
      <c r="G40" t="str">
        <v>N오도경D</v>
      </c>
      <c r="I40" t="str">
        <v>W김남규4B</v>
      </c>
      <c r="L40" t="str">
        <v>M7송희영B</v>
      </c>
      <c r="M40" t="str" xml:space="preserve">
        <v xml:space="preserve">주부동D_x000d_
산재로봇</v>
      </c>
      <c r="N40" t="str" xml:space="preserve">
        <v xml:space="preserve">김서윤5D_x000d_
산재로봇</v>
      </c>
      <c r="O40" t="str">
        <v>RG이정임4R</v>
      </c>
      <c r="S40">
        <f>COUNTA(C40:Q40)</f>
        <v>9</v>
      </c>
    </row>
    <row r="41" xml:space="preserve">
      <c r="A41">
        <v>13</v>
      </c>
      <c r="B41" t="str" xml:space="preserve">
        <v xml:space="preserve">이상용_x000d_
(워크봇)</v>
      </c>
      <c r="C41" t="str">
        <v>W이팔원A</v>
      </c>
      <c r="E41" t="str">
        <v>RG채규칠R</v>
      </c>
      <c r="G41" t="str">
        <v>W김봉예A</v>
      </c>
      <c r="H41" t="str">
        <v>W정화구A</v>
      </c>
      <c r="I41" t="str">
        <v>W이순선A</v>
      </c>
      <c r="K41" t="str">
        <v>W김택중A</v>
      </c>
      <c r="L41" t="str">
        <v>M7반지환A</v>
      </c>
      <c r="M41" t="str">
        <v>M7이홍섭A</v>
      </c>
      <c r="N41" t="str">
        <v>M15반원모A</v>
      </c>
      <c r="O41" t="str">
        <v>W주현수2D</v>
      </c>
      <c r="S41">
        <f>COUNTA(C41:Q41)</f>
        <v>10</v>
      </c>
    </row>
    <row r="42" xml:space="preserve">
      <c r="A42">
        <v>13</v>
      </c>
      <c r="B42" t="str" xml:space="preserve">
        <v xml:space="preserve">이상용_x000d_
(워크봇)</v>
      </c>
      <c r="C42" t="str">
        <v>W김인기3B</v>
      </c>
      <c r="E42" t="str">
        <v>RG채규칠R</v>
      </c>
      <c r="F42" t="str">
        <v>W김동윤3B</v>
      </c>
      <c r="G42" t="str">
        <v>W오정아B</v>
      </c>
      <c r="I42" t="str">
        <v>W조영란2B</v>
      </c>
      <c r="K42" t="str">
        <v>M15반원모B</v>
      </c>
      <c r="L42" t="str">
        <v>W윤동석2B</v>
      </c>
      <c r="M42" t="str">
        <v>M7김청하B</v>
      </c>
      <c r="O42" t="str">
        <v>W주현수2D</v>
      </c>
      <c r="S42">
        <f>COUNTA(C42:Q42)</f>
        <v>9</v>
      </c>
    </row>
    <row r="43" xml:space="preserve">
      <c r="A43">
        <v>14</v>
      </c>
      <c r="B43" t="str" xml:space="preserve">
        <v xml:space="preserve">조인호_x000d_
(알봇)</v>
      </c>
      <c r="D43" t="str">
        <v>RG전영석2R</v>
      </c>
      <c r="E43" t="str">
        <v>W김진철4D</v>
      </c>
      <c r="F43" t="str">
        <v>W권수자A</v>
      </c>
      <c r="G43" t="str">
        <v>W권오운D</v>
      </c>
      <c r="H43" t="str">
        <v>W오정아A</v>
      </c>
      <c r="I43" t="str">
        <v>RG윤충원R</v>
      </c>
      <c r="K43" t="str">
        <v>RG우영희2R</v>
      </c>
      <c r="L43" t="str">
        <v>W구예성D</v>
      </c>
      <c r="M43" t="str">
        <v>RG신명숙6R</v>
      </c>
      <c r="N43" t="str">
        <v>W연제순A</v>
      </c>
      <c r="O43" t="str">
        <v>W김복묵A</v>
      </c>
      <c r="P43" t="str">
        <v>RG김을순2R</v>
      </c>
      <c r="S43">
        <f>COUNTA(C43:Q43)</f>
        <v>12</v>
      </c>
    </row>
    <row r="44" xml:space="preserve">
      <c r="A44">
        <v>14</v>
      </c>
      <c r="B44" t="str" xml:space="preserve">
        <v xml:space="preserve">조인호_x000d_
(알봇)</v>
      </c>
      <c r="D44" t="str">
        <v>RG전영석2R</v>
      </c>
      <c r="E44" t="str">
        <v>W김진철4D</v>
      </c>
      <c r="G44" t="str">
        <v>W권오운D</v>
      </c>
      <c r="H44" t="str">
        <v>W배영수B</v>
      </c>
      <c r="I44" t="str">
        <v>RG윤충원R</v>
      </c>
      <c r="K44" t="str">
        <v>RG우영희2R</v>
      </c>
      <c r="L44" t="str">
        <v>W구예성D</v>
      </c>
      <c r="M44" t="str">
        <v>RG신명숙6R</v>
      </c>
      <c r="O44" t="str">
        <v>W이병희3B</v>
      </c>
      <c r="P44" t="str">
        <v>RG김을순2R</v>
      </c>
      <c r="S44">
        <f>COUNTA(C44:Q44)</f>
        <v>10</v>
      </c>
    </row>
  </sheetData>
  <mergeCells count="26">
    <mergeCell ref="P46:Q46"/>
    <mergeCell ref="P45:Q45"/>
    <mergeCell ref="A1:Q1"/>
    <mergeCell ref="C23:I23"/>
    <mergeCell ref="D25:M25"/>
    <mergeCell ref="O25:Q25"/>
    <mergeCell ref="D26:M26"/>
    <mergeCell ref="O26:Q26"/>
    <mergeCell ref="C24:I24"/>
    <mergeCell ref="P24:Q24"/>
    <mergeCell ref="P40:Q40"/>
    <mergeCell ref="P42:Q42"/>
    <mergeCell ref="A29:A30"/>
    <mergeCell ref="B29:B30"/>
    <mergeCell ref="A31:A32"/>
    <mergeCell ref="B31:B32"/>
    <mergeCell ref="A37:Q37"/>
    <mergeCell ref="P39:Q39"/>
    <mergeCell ref="P41:Q41"/>
    <mergeCell ref="U3:Z23"/>
    <mergeCell ref="P9:Q9"/>
    <mergeCell ref="P15:Q15"/>
    <mergeCell ref="P17:Q17"/>
    <mergeCell ref="P19:Q19"/>
    <mergeCell ref="P20:Q20"/>
    <mergeCell ref="P23:Q23"/>
  </mergeCells>
  <pageMargins left="0" right="0" top="0" bottom="0" header="0" footer="0"/>
  <ignoredErrors>
    <ignoredError numberStoredAsText="1" sqref="A1:Z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Z53"/>
  <sheetViews>
    <sheetView workbookViewId="0"/>
  </sheetViews>
  <sheetData>
    <row r="1">
      <c r="A1" t="str">
        <v>재활센터 시간표     2023. 10. 31 (화)</v>
      </c>
    </row>
    <row r="2">
      <c r="A2" t="str">
        <v>소아 재활센터 시간표  2025. 12. 0 ()</v>
      </c>
    </row>
    <row r="3" xml:space="preserve">
      <c r="B3" t="str">
        <v xml:space="preserve">           시간    치료사</v>
      </c>
      <c r="C3" t="str" xml:space="preserve">
        <v xml:space="preserve">8:30~_x000d_
9:00</v>
      </c>
      <c r="D3" t="str" xml:space="preserve">
        <v xml:space="preserve">9:05~_x000d_
9:35</v>
      </c>
      <c r="E3" t="str" xml:space="preserve">
        <v xml:space="preserve">9:40~_x000d_
10:10</v>
      </c>
      <c r="F3" t="str" xml:space="preserve">
        <v xml:space="preserve">10:15~_x000d_
10:45</v>
      </c>
      <c r="G3" t="str" xml:space="preserve">
        <v xml:space="preserve">10:50~_x000d_
11:20</v>
      </c>
      <c r="H3" t="str" xml:space="preserve">
        <v xml:space="preserve">11:25~_x000d_
11:55</v>
      </c>
      <c r="I3" t="str" xml:space="preserve">
        <v xml:space="preserve">12:00~ _x000d_
12:30</v>
      </c>
      <c r="J3" t="str">
        <v>점심</v>
      </c>
      <c r="K3" t="str" xml:space="preserve">
        <v xml:space="preserve">13:30~_x000d_
14:00</v>
      </c>
      <c r="L3" t="str" xml:space="preserve">
        <v xml:space="preserve">14:05~_x000d_
14:35</v>
      </c>
      <c r="M3" t="str" xml:space="preserve">
        <v xml:space="preserve">14:40~_x000d_
15:10</v>
      </c>
      <c r="N3" t="str" xml:space="preserve">
        <v xml:space="preserve">15:15~_x000d_
15:45</v>
      </c>
      <c r="O3" t="str" xml:space="preserve">
        <v xml:space="preserve">15:50~_x000d_
16:20</v>
      </c>
      <c r="P3" t="str" xml:space="preserve">
        <v xml:space="preserve">16:25~_x000d_
16:55</v>
      </c>
      <c r="Q3" t="str" xml:space="preserve">
        <v xml:space="preserve">17:00~_x000d_
17:30</v>
      </c>
      <c r="R3">
        <f>AVERAGE(R4:R20)</f>
        <v>0.6888888888888889</v>
      </c>
    </row>
    <row r="4" xml:space="preserve">
      <c r="A4">
        <v>1</v>
      </c>
      <c r="B4" t="str">
        <v>설지은A</v>
      </c>
      <c r="C4" t="str">
        <v>RN김은오A</v>
      </c>
      <c r="E4" t="str">
        <v>RN김바다2A</v>
      </c>
      <c r="F4" t="str">
        <v>M7에민(월,수)</v>
      </c>
      <c r="H4" t="str">
        <v>RN정도윤A</v>
      </c>
      <c r="I4" t="str">
        <v>RN권나은A</v>
      </c>
      <c r="L4" t="str">
        <v>RN이정담A</v>
      </c>
      <c r="M4" t="str">
        <v>RN장한이A</v>
      </c>
      <c r="N4" t="str">
        <v>RN윤하진2A</v>
      </c>
      <c r="O4" t="str">
        <v>M7정예서(금)</v>
      </c>
      <c r="R4">
        <f>(COUNTA(C4:Q4))/12</f>
        <v>0.75</v>
      </c>
      <c r="T4" t="str" xml:space="preserve">
        <v xml:space="preserve">* 언어 &amp; 특수 스케줄 확인해서 수정해주세요._x000d_
_x000d_
* 2층_x000d_
- _x000d_
_x000d_
* 3층_x000d_
-_x000d_
_x000d_
* 4층 _x000d_
- _x000d_
_x000d_
* 5층 _x000d_
- _x000d_
_x000d_
* 6층 _x000d_
- _x000d_
_x000d_
* 소아_x000d_
- 정도윤님 : 낮병동(A) 스케줄추가 (RN2,RA4,RL2)_x000d_
_x000d_
_x000d_
*치료시간변경_x000d_
_x000d_
*오더변경_x000d_
_x000d_
*외래 오더변경_x000d_
_x000d_
_x000d_
_x000d_
</v>
      </c>
    </row>
    <row r="5">
      <c r="A5">
        <v>1</v>
      </c>
      <c r="B5" t="str">
        <v>설지은A</v>
      </c>
      <c r="C5" t="str">
        <v>RN김민서21B</v>
      </c>
      <c r="D5" t="str">
        <v>RM유서윤B</v>
      </c>
      <c r="E5" t="str">
        <v>RN곽도희B</v>
      </c>
      <c r="F5" t="str">
        <v>RN박지유7B</v>
      </c>
      <c r="G5" t="str">
        <v>RN김연오B</v>
      </c>
      <c r="H5" t="str">
        <v>RN노연서2B</v>
      </c>
      <c r="I5" t="str">
        <v>RN권나은B</v>
      </c>
      <c r="M5" t="str">
        <v>RN김시온3B</v>
      </c>
      <c r="N5" t="str">
        <v>박지유</v>
      </c>
      <c r="O5" t="str">
        <v>RN우예린B</v>
      </c>
      <c r="R5">
        <f>(COUNTA(C5:Q5))/12</f>
        <v>0.8333333333333334</v>
      </c>
    </row>
    <row r="6">
      <c r="A6">
        <v>2</v>
      </c>
      <c r="B6" t="str">
        <v>이한비C</v>
      </c>
      <c r="E6" t="str">
        <v>RM이라함A</v>
      </c>
      <c r="F6" t="str">
        <v>RM권나은A</v>
      </c>
      <c r="G6" t="str">
        <v>RN김민서19A</v>
      </c>
      <c r="H6" t="str">
        <v>RM이수민10A</v>
      </c>
      <c r="K6" t="str">
        <v>RM윤하진2A</v>
      </c>
      <c r="L6" t="str">
        <v>RM정윤호3A</v>
      </c>
      <c r="M6" t="str">
        <v>RM박진우6A</v>
      </c>
      <c r="N6" t="str">
        <v>RM오윤아A</v>
      </c>
      <c r="O6" t="str">
        <v>RM이서우4A</v>
      </c>
      <c r="P6" t="str">
        <v>RN정상우2A</v>
      </c>
      <c r="Q6" t="str">
        <v>RM최지선A</v>
      </c>
      <c r="R6">
        <f>(COUNTA(C6:Q6))/12</f>
        <v>0.9166666666666666</v>
      </c>
    </row>
    <row r="7">
      <c r="A7">
        <v>2</v>
      </c>
      <c r="B7" t="str">
        <v>이한비C</v>
      </c>
      <c r="E7" t="str">
        <v>RM유서연B</v>
      </c>
      <c r="F7" t="str">
        <v>RM권민건B</v>
      </c>
      <c r="G7" t="str">
        <v>RM신예은2B</v>
      </c>
      <c r="H7" t="str">
        <v>RN김바다2B</v>
      </c>
      <c r="K7" t="str">
        <v>RM김나린B</v>
      </c>
      <c r="M7" t="str">
        <v>RM장선우2B</v>
      </c>
      <c r="N7" t="str">
        <v>RN신유진7B</v>
      </c>
      <c r="O7" t="str">
        <v>RM김시온3B</v>
      </c>
      <c r="Q7" t="str">
        <v>RM최세연B</v>
      </c>
      <c r="R7">
        <f>(COUNTA(C7:Q7))/12</f>
        <v>0.75</v>
      </c>
    </row>
    <row r="8">
      <c r="A8">
        <v>3</v>
      </c>
      <c r="B8" t="str">
        <v>정유빈B</v>
      </c>
      <c r="F8" t="str">
        <v>RM신아린2A</v>
      </c>
      <c r="G8" t="str">
        <v>RM권성윤A</v>
      </c>
      <c r="I8" t="str">
        <v>RM김민서19A</v>
      </c>
      <c r="L8" t="str">
        <v>RM박찬빈2A</v>
      </c>
      <c r="N8" t="str">
        <v>RM이정담A</v>
      </c>
      <c r="O8" t="str">
        <v>RM김수호3A</v>
      </c>
      <c r="P8" t="str">
        <v>RM우사랑A</v>
      </c>
      <c r="R8">
        <f>(COUNTA(C8:Q8))/12</f>
        <v>0.5833333333333334</v>
      </c>
    </row>
    <row r="9">
      <c r="A9">
        <v>3</v>
      </c>
      <c r="B9" t="str">
        <v>정유빈B</v>
      </c>
      <c r="D9" t="str">
        <v>RM박지온4B</v>
      </c>
      <c r="E9" t="str">
        <v>RM이라함B</v>
      </c>
      <c r="F9" t="str">
        <v>RM고주하B</v>
      </c>
      <c r="G9" t="str">
        <v>RM권나은B</v>
      </c>
      <c r="H9" t="str">
        <v>RM조하예B</v>
      </c>
      <c r="I9" t="str">
        <v>RM최아인4B</v>
      </c>
      <c r="M9" t="str">
        <v>RM문하성B</v>
      </c>
      <c r="O9" t="str">
        <v>RM신유진7B</v>
      </c>
      <c r="P9" t="str">
        <v>RM양아윤B</v>
      </c>
      <c r="R9">
        <f>(COUNTA(C9:Q9))/12</f>
        <v>0.75</v>
      </c>
    </row>
    <row r="10">
      <c r="A10">
        <v>4</v>
      </c>
      <c r="B10" t="str">
        <v>김지우C</v>
      </c>
      <c r="G10" t="str">
        <v>RA이라함A</v>
      </c>
      <c r="I10" t="str">
        <v>RA권성윤A</v>
      </c>
      <c r="K10" t="str">
        <v>RA이정담A</v>
      </c>
      <c r="M10" t="str">
        <v>RA정윤호3A</v>
      </c>
      <c r="N10" t="str">
        <v>RD김수호3A</v>
      </c>
      <c r="O10" t="str">
        <v>RA정상우2A</v>
      </c>
      <c r="Q10" t="str">
        <v>RA이서우4A</v>
      </c>
      <c r="R10">
        <f>(COUNTA(C10:Q10))/12</f>
        <v>0.5833333333333334</v>
      </c>
    </row>
    <row r="11">
      <c r="A11">
        <v>4</v>
      </c>
      <c r="B11" t="str">
        <v>김지우C</v>
      </c>
      <c r="E11" t="str">
        <v>RA박지온4B</v>
      </c>
      <c r="F11" t="str">
        <v>RA유서윤B</v>
      </c>
      <c r="H11" t="str">
        <v>RA신예은2B</v>
      </c>
      <c r="I11" t="str">
        <v>RA조하예B</v>
      </c>
      <c r="K11" t="str">
        <v>RA이라함B</v>
      </c>
      <c r="N11" t="str">
        <v>RD양아윤B</v>
      </c>
      <c r="O11" t="str">
        <v>RA문하성B</v>
      </c>
      <c r="P11" t="str">
        <v>RA우예린B</v>
      </c>
      <c r="Q11" t="str">
        <v>RA강서준B</v>
      </c>
      <c r="R11">
        <f>(COUNTA(C11:Q11))/12</f>
        <v>0.75</v>
      </c>
    </row>
    <row r="12">
      <c r="A12">
        <v>5</v>
      </c>
      <c r="B12" t="str">
        <v>손솔B</v>
      </c>
      <c r="E12" t="str">
        <v>RA권성윤A</v>
      </c>
      <c r="F12" t="str">
        <v>RA김민서19A</v>
      </c>
      <c r="G12" t="str">
        <v>RA신아린2A</v>
      </c>
      <c r="H12" t="str">
        <v>RA김바다2A</v>
      </c>
      <c r="I12" t="str">
        <v>RA정도윤A</v>
      </c>
      <c r="J12" t="str"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K12" t="str">
        <v>RD정윤호3A</v>
      </c>
      <c r="L12" t="str">
        <v>RA오윤아A</v>
      </c>
      <c r="M12" t="str">
        <v>RA김수호3A</v>
      </c>
      <c r="O12" t="str">
        <v>RA장한이A</v>
      </c>
      <c r="P12" t="str">
        <v>RA최지선A</v>
      </c>
      <c r="R12">
        <f>(COUNTA(C12:Q12))/12</f>
        <v>0.9166666666666666</v>
      </c>
    </row>
    <row r="13">
      <c r="A13">
        <v>5</v>
      </c>
      <c r="B13" t="str">
        <v>손솔B</v>
      </c>
      <c r="D13" t="str">
        <v>RA유서연B</v>
      </c>
      <c r="E13" t="str">
        <v>RA김바다2B</v>
      </c>
      <c r="F13" t="str">
        <v>RA곽도희B</v>
      </c>
      <c r="H13" t="str">
        <v>RD이라함B</v>
      </c>
      <c r="I13" t="str">
        <v>RA노연서2B</v>
      </c>
      <c r="K13" t="str">
        <v>RA최아인4B</v>
      </c>
      <c r="L13" t="str">
        <v>RA신유진7B</v>
      </c>
      <c r="M13" t="str">
        <v>RA양아윤B</v>
      </c>
      <c r="N13" t="str">
        <v>RA문하성B</v>
      </c>
      <c r="P13" t="str">
        <v>RA최세연B</v>
      </c>
      <c r="R13">
        <f>(COUNTA(C13:Q13))/12</f>
        <v>0.8333333333333334</v>
      </c>
    </row>
    <row r="14">
      <c r="A14">
        <v>6</v>
      </c>
      <c r="B14" t="str">
        <v>최인영A</v>
      </c>
      <c r="C14" t="str">
        <v>RA이지오2A</v>
      </c>
      <c r="F14" t="str">
        <v>RA김바다2A</v>
      </c>
      <c r="G14" t="str">
        <v>RA이수민10A</v>
      </c>
      <c r="H14" t="str">
        <v>RD이라함A</v>
      </c>
      <c r="K14" t="str">
        <v>RA박찬빈2A</v>
      </c>
      <c r="N14" t="str">
        <v>RA장한이A</v>
      </c>
      <c r="O14" t="str">
        <v>RA박진우6A</v>
      </c>
      <c r="R14">
        <f>(COUNTA(C14:Q14))/12</f>
        <v>0.5833333333333334</v>
      </c>
    </row>
    <row r="15">
      <c r="A15">
        <v>6</v>
      </c>
      <c r="B15" t="str">
        <v>최인영A</v>
      </c>
      <c r="C15" t="str">
        <v>RA안유빈B</v>
      </c>
      <c r="D15" t="str">
        <v>RA고주하B</v>
      </c>
      <c r="E15" t="str">
        <v>RA윤이현B</v>
      </c>
      <c r="F15" t="str">
        <v>RA김바다2B</v>
      </c>
      <c r="H15" t="str">
        <v>RA김연오B</v>
      </c>
      <c r="K15" t="str">
        <v>RA권나은B</v>
      </c>
      <c r="L15" t="str">
        <v>RA김나린B</v>
      </c>
      <c r="N15" t="str">
        <v>RA장선우2B</v>
      </c>
      <c r="R15">
        <f>(COUNTA(C15:Q15))/12</f>
        <v>0.6666666666666666</v>
      </c>
    </row>
    <row r="16">
      <c r="A16">
        <v>7</v>
      </c>
      <c r="B16" t="str">
        <v>문희연C</v>
      </c>
      <c r="M16" t="str">
        <v>RA이정담A</v>
      </c>
      <c r="N16" t="str">
        <v>RA손단우A</v>
      </c>
      <c r="O16" t="str">
        <v>RA윤하진2A</v>
      </c>
      <c r="Q16" t="str">
        <v>RA우사랑A</v>
      </c>
      <c r="R16">
        <f>(COUNTA(C16:Q16))/12</f>
        <v>0.3333333333333333</v>
      </c>
    </row>
    <row r="17">
      <c r="A17">
        <v>7</v>
      </c>
      <c r="B17" t="str">
        <v>문희연C</v>
      </c>
      <c r="L17" t="str">
        <v>RD장선우2B</v>
      </c>
      <c r="P17" t="str">
        <v>RA신유진7B</v>
      </c>
      <c r="Q17" t="str">
        <v>RA김시온3B</v>
      </c>
      <c r="R17">
        <f>(COUNTA(C17:Q17))/12</f>
        <v>0.25</v>
      </c>
    </row>
    <row r="18">
      <c r="A18" t="str">
        <v>팀장</v>
      </c>
      <c r="B18" t="str">
        <v>이은별</v>
      </c>
      <c r="C18" t="str">
        <v>단축근무</v>
      </c>
      <c r="G18" t="str">
        <v>RA정도윤A</v>
      </c>
      <c r="P18" t="str">
        <v>단축근무</v>
      </c>
    </row>
    <row r="19">
      <c r="A19" t="str">
        <v>팀장</v>
      </c>
      <c r="B19" t="str">
        <v>이은별</v>
      </c>
      <c r="C19" t="str">
        <v>단축근무</v>
      </c>
      <c r="P19" t="str">
        <v>단축근무</v>
      </c>
    </row>
    <row r="20">
      <c r="A20" t="str">
        <v>팀장</v>
      </c>
      <c r="B20" t="str">
        <v>송정민A</v>
      </c>
      <c r="D20" t="str">
        <v xml:space="preserve"> RA김은오A</v>
      </c>
      <c r="E20" t="str">
        <v>RA김민서19A</v>
      </c>
      <c r="G20" t="str">
        <v>RA권나은A</v>
      </c>
      <c r="O20" t="str">
        <v>RD최지선A</v>
      </c>
      <c r="P20" t="str">
        <v xml:space="preserve"> </v>
      </c>
      <c r="R20">
        <f>(COUNTA(C20:Q20))/6</f>
        <v>0.8333333333333334</v>
      </c>
    </row>
    <row r="21">
      <c r="A21" t="str">
        <v>팀장</v>
      </c>
      <c r="B21" t="str">
        <v>송정민A</v>
      </c>
      <c r="D21" t="str">
        <v>RA김민서21B</v>
      </c>
      <c r="E21" t="str">
        <v>RA권민건B</v>
      </c>
      <c r="G21" t="str">
        <v>RA박지유7B</v>
      </c>
      <c r="M21" t="str">
        <v>RD최아인4B</v>
      </c>
      <c r="O21" t="str">
        <v>박지유</v>
      </c>
      <c r="R21">
        <f>(COUNTA(C21:Q21))/6</f>
        <v>0.8333333333333334</v>
      </c>
    </row>
    <row r="22">
      <c r="A22" t="str">
        <v>언어재활 스케줄</v>
      </c>
    </row>
    <row r="23" xml:space="preserve">
      <c r="B23" t="str">
        <v xml:space="preserve">           시간    치료사</v>
      </c>
      <c r="C23" t="str" xml:space="preserve">
        <v xml:space="preserve">8:30~_x000d_
9:00</v>
      </c>
      <c r="D23" t="str" xml:space="preserve">
        <v xml:space="preserve">9:05~_x000d_
9:35</v>
      </c>
      <c r="E23" t="str" xml:space="preserve">
        <v xml:space="preserve">9:40~_x000d_
10:10</v>
      </c>
      <c r="F23" t="str" xml:space="preserve">
        <v xml:space="preserve">10:15~_x000d_
10:45</v>
      </c>
      <c r="G23" t="str" xml:space="preserve">
        <v xml:space="preserve">10:50~_x000d_
11:20</v>
      </c>
      <c r="H23" t="str" xml:space="preserve">
        <v xml:space="preserve">11:25~_x000d_
11:55</v>
      </c>
      <c r="I23" t="str" xml:space="preserve">
        <v xml:space="preserve">12:00~ _x000d_
12:30</v>
      </c>
      <c r="J23" t="str">
        <v>점심</v>
      </c>
      <c r="K23" t="str" xml:space="preserve">
        <v xml:space="preserve">13:30~_x000d_
14:00</v>
      </c>
      <c r="L23" t="str" xml:space="preserve">
        <v xml:space="preserve">14:05~_x000d_
14:35</v>
      </c>
      <c r="M23" t="str" xml:space="preserve">
        <v xml:space="preserve">14:40~_x000d_
15:10</v>
      </c>
      <c r="N23" t="str" xml:space="preserve">
        <v xml:space="preserve">15:15~_x000d_
15:45</v>
      </c>
      <c r="O23" t="str" xml:space="preserve">
        <v xml:space="preserve">15:50~_x000d_
16:20</v>
      </c>
      <c r="P23" t="str" xml:space="preserve">
        <v xml:space="preserve">16:25~_x000d_
16:55</v>
      </c>
      <c r="Q23" t="str" xml:space="preserve">
        <v xml:space="preserve">17:00~_x000d_
17:30</v>
      </c>
    </row>
    <row r="24">
      <c r="A24">
        <v>8</v>
      </c>
      <c r="B24" t="str">
        <v>손종원C</v>
      </c>
      <c r="E24" t="str">
        <v>RL정도윤A</v>
      </c>
      <c r="F24" t="str">
        <v>RL권성윤A</v>
      </c>
      <c r="G24" t="str">
        <v>RL김바다2A</v>
      </c>
      <c r="K24" t="str">
        <v>L7정창래2A</v>
      </c>
      <c r="L24" t="str">
        <v>L7민유준A</v>
      </c>
      <c r="M24" t="str">
        <v>RL윤하진2A</v>
      </c>
      <c r="N24" t="str">
        <v>RL정윤호3A</v>
      </c>
      <c r="O24" t="str">
        <v>RL우사랑A</v>
      </c>
      <c r="P24" t="str">
        <v>L7김다연2A</v>
      </c>
      <c r="Q24" t="str">
        <v>RL정상우2A</v>
      </c>
      <c r="R24">
        <f>(COUNTA(C24:Q24))/12</f>
        <v>0.8333333333333334</v>
      </c>
    </row>
    <row r="25">
      <c r="A25">
        <v>8</v>
      </c>
      <c r="B25" t="str">
        <v>손종원A</v>
      </c>
      <c r="C25" t="str">
        <v>L7김로민B</v>
      </c>
      <c r="D25" t="str">
        <v>L7김로민B</v>
      </c>
      <c r="E25" t="str">
        <v>RL유서윤B</v>
      </c>
      <c r="F25" t="str">
        <v>RL유서연B</v>
      </c>
      <c r="G25" t="str">
        <v>RL조하예B</v>
      </c>
      <c r="H25" t="str">
        <v>RL박지유7B</v>
      </c>
      <c r="K25" t="str">
        <v>L7강병준B</v>
      </c>
      <c r="L25" t="str">
        <v>RL최아인4B</v>
      </c>
      <c r="M25" t="str">
        <v>박지유</v>
      </c>
      <c r="O25" t="str">
        <v>RL최세연B</v>
      </c>
      <c r="R25">
        <f>(COUNTA(C25:Q25))/12</f>
        <v>0.8333333333333334</v>
      </c>
    </row>
    <row r="26">
      <c r="A26">
        <v>9</v>
      </c>
      <c r="B26" t="str">
        <v>이수민A</v>
      </c>
      <c r="E26" t="str">
        <v>RL권나은A</v>
      </c>
      <c r="F26" t="str">
        <v>RL이라함A</v>
      </c>
      <c r="G26" t="str">
        <v>L7주현수2D</v>
      </c>
      <c r="H26" t="str">
        <v>L7김택중A</v>
      </c>
      <c r="I26" t="str">
        <v>L7정화구A</v>
      </c>
      <c r="K26" t="str">
        <v>L(산재)김수태</v>
      </c>
      <c r="L26" t="str">
        <v>RL장한이A</v>
      </c>
      <c r="M26" t="str">
        <v>RL손단우A</v>
      </c>
      <c r="N26" t="str">
        <v>RL박진우6A</v>
      </c>
      <c r="O26" t="str">
        <v>L(산재)박종민6A</v>
      </c>
      <c r="R26">
        <f>(COUNTA(C26:Q26))/12</f>
        <v>0.8333333333333334</v>
      </c>
    </row>
    <row r="27">
      <c r="A27">
        <v>9</v>
      </c>
      <c r="B27" t="str">
        <v>이수민B</v>
      </c>
      <c r="D27" t="str">
        <v>RL권민건B</v>
      </c>
      <c r="E27" t="str">
        <v>RL고주하B</v>
      </c>
      <c r="F27" t="str">
        <v>RL이라함B</v>
      </c>
      <c r="G27" t="str">
        <v>L7주현수2D</v>
      </c>
      <c r="H27" t="str">
        <v>RL권나은B</v>
      </c>
      <c r="I27" t="str">
        <v>RL김바다2B</v>
      </c>
      <c r="K27" t="str">
        <v>L(산재)김수태</v>
      </c>
      <c r="M27" t="str">
        <v>RL김나린B</v>
      </c>
      <c r="N27" t="str">
        <v>RL김시온3B</v>
      </c>
      <c r="O27" t="str">
        <v>RL양아윤B</v>
      </c>
      <c r="P27" t="str">
        <v>RL강서준B</v>
      </c>
      <c r="R27">
        <f>(COUNTA(C27:Q27))/12</f>
        <v>0.9166666666666666</v>
      </c>
    </row>
    <row r="28" xml:space="preserve">
      <c r="A28">
        <v>10</v>
      </c>
      <c r="B28" t="str">
        <v>조수현B</v>
      </c>
      <c r="D28" t="str">
        <v>RL이지오2A</v>
      </c>
      <c r="E28" t="str">
        <v>RL차미영3</v>
      </c>
      <c r="F28" t="str">
        <v>RL이수민10A</v>
      </c>
      <c r="G28" t="str">
        <v>L7임상미2A</v>
      </c>
      <c r="H28" t="str">
        <v>RL유태현3</v>
      </c>
      <c r="I28" t="str">
        <v>RL이진봉</v>
      </c>
      <c r="K28" t="str">
        <v>L7김주식D</v>
      </c>
      <c r="L28" t="str">
        <v>RL김수호3A</v>
      </c>
      <c r="M28" t="str">
        <v>RL이두현</v>
      </c>
      <c r="N28" t="str">
        <v>RL유정순3</v>
      </c>
      <c r="O28" t="str">
        <v>RL오윤아A</v>
      </c>
      <c r="P28" t="str">
        <v>RL이서우4A</v>
      </c>
      <c r="R28">
        <f>(COUNTA(C28:Q28))/12</f>
        <v>1</v>
      </c>
      <c r="T28" t="str" xml:space="preserve">
        <v xml:space="preserve">*회복기 언어명단_x000d_
 (빨간색표시된 분들 우선적으로 넣어주세요!)_x000d_
_x000d_
3층 : 이두현님_x000d_
_x000d_
4층 : 김석기2님 채규칠님 차미영3님 이준구2님 조영란2님_x000d_
_x000d_
5층 : 김인순3님 권오운님 황종길님L(자보) 서극원님_x000d_
       강용수님 이진봉님 유정순3님 우영희2님_x000d_
_x000d_
6층 : 구예성님 진호연님 김영순46님 박종순13님 유태현3님</v>
      </c>
    </row>
    <row r="29">
      <c r="A29">
        <v>10</v>
      </c>
      <c r="B29" t="str">
        <v>조수현A</v>
      </c>
      <c r="C29" t="str">
        <v>RL박지온4B</v>
      </c>
      <c r="D29" t="str">
        <v>RL윤이현B</v>
      </c>
      <c r="E29" t="str">
        <v>RL차미영3</v>
      </c>
      <c r="F29" t="str">
        <v>RL김연오B</v>
      </c>
      <c r="H29" t="str">
        <v>RL유태현3</v>
      </c>
      <c r="I29" t="str">
        <v>RL이진봉</v>
      </c>
      <c r="K29" t="str">
        <v>L7김주식D</v>
      </c>
      <c r="L29" t="str">
        <v>RL문하성B</v>
      </c>
      <c r="M29" t="str">
        <v>RL이두현</v>
      </c>
      <c r="N29" t="str">
        <v>RL유정순3</v>
      </c>
      <c r="O29" t="str">
        <v>RL장선우2B</v>
      </c>
      <c r="R29">
        <f>(COUNTA(C29:Q29))/12</f>
        <v>0.9166666666666666</v>
      </c>
    </row>
    <row r="30">
      <c r="A30">
        <v>11</v>
      </c>
      <c r="B30" t="str">
        <v>김아영A</v>
      </c>
      <c r="E30" t="str">
        <v>RL신아린2A</v>
      </c>
      <c r="R30">
        <f>(COUNTA(C30:Q30))/12</f>
        <v>0.08333333333333333</v>
      </c>
    </row>
    <row r="31">
      <c r="A31">
        <v>11</v>
      </c>
      <c r="B31" t="str">
        <v>김아영A</v>
      </c>
      <c r="D31" t="str">
        <v>RL안유빈B</v>
      </c>
      <c r="R31">
        <f>(COUNTA(C31:Q31))/12</f>
        <v>0.08333333333333333</v>
      </c>
    </row>
    <row r="32">
      <c r="B32" t="str">
        <v>박하은</v>
      </c>
    </row>
    <row r="33">
      <c r="A33" t="str">
        <v>수중재활 스케줄</v>
      </c>
    </row>
    <row r="34" xml:space="preserve">
      <c r="B34" t="str">
        <v xml:space="preserve">           시간    치료사</v>
      </c>
      <c r="C34" t="str" xml:space="preserve">
        <v xml:space="preserve">8:30~_x000d_
9:00</v>
      </c>
      <c r="D34" t="str" xml:space="preserve">
        <v xml:space="preserve">9:05~_x000d_
9:35</v>
      </c>
      <c r="E34" t="str" xml:space="preserve">
        <v xml:space="preserve">9:40~_x000d_
10:10</v>
      </c>
      <c r="F34" t="str" xml:space="preserve">
        <v xml:space="preserve">10:15~_x000d_
10:45</v>
      </c>
      <c r="G34" t="str" xml:space="preserve">
        <v xml:space="preserve">10:50~_x000d_
11:20</v>
      </c>
      <c r="H34" t="str" xml:space="preserve">
        <v xml:space="preserve">11:25~_x000d_
11:55</v>
      </c>
      <c r="I34" t="str" xml:space="preserve">
        <v xml:space="preserve">12:00~ _x000d_
12:30</v>
      </c>
      <c r="J34" t="str">
        <v>점심</v>
      </c>
      <c r="K34" t="str" xml:space="preserve">
        <v xml:space="preserve">13:30~_x000d_
14:00</v>
      </c>
      <c r="L34" t="str" xml:space="preserve">
        <v xml:space="preserve">14:05~_x000d_
14:35</v>
      </c>
      <c r="M34" t="str" xml:space="preserve">
        <v xml:space="preserve">14:40~_x000d_
15:10</v>
      </c>
      <c r="N34" t="str" xml:space="preserve">
        <v xml:space="preserve">15:15~_x000d_
15:45</v>
      </c>
      <c r="O34" t="str" xml:space="preserve">
        <v xml:space="preserve">15:50~_x000d_
16:20</v>
      </c>
      <c r="P34" t="str" xml:space="preserve">
        <v xml:space="preserve">16:25~_x000d_
16:55</v>
      </c>
      <c r="Q34" t="str" xml:space="preserve">
        <v xml:space="preserve">17:00~_x000d_
17:30</v>
      </c>
    </row>
    <row r="35">
      <c r="B35" t="str">
        <v>월수금</v>
      </c>
      <c r="K35" t="str">
        <v>RP박진우6A</v>
      </c>
      <c r="P35" t="str">
        <v>RP오윤아A</v>
      </c>
    </row>
    <row r="36">
      <c r="B36" t="str">
        <v>화목</v>
      </c>
    </row>
    <row r="40" xml:space="preserve">
      <c r="T40" t="str" xml:space="preserve">
        <v xml:space="preserve">정화구님 : L7(A&gt;D) 변경 대기_x000d_
서극원님 : 언어 회복기 추가 대기_x000d_
강용수님 : 언어 회복기 추가 대기_x000d_
이준구2님 : 언어 회복기 추가 대기_x000d_
김정숙31님 : L(자보) 추가 대기_x000d_
_x000d_
12월1일 : 김로민 OPD(B) L7스케줄추가 (8:30~9:05)</v>
      </c>
    </row>
  </sheetData>
  <mergeCells count="28">
    <mergeCell ref="T40:X47"/>
    <mergeCell ref="A22:Q22"/>
    <mergeCell ref="C24:D24"/>
    <mergeCell ref="P26:Q26"/>
    <mergeCell ref="T28:X38"/>
    <mergeCell ref="P30:Q30"/>
    <mergeCell ref="P31:Q31"/>
    <mergeCell ref="A33:Q33"/>
    <mergeCell ref="A35:A36"/>
    <mergeCell ref="J35:J36"/>
    <mergeCell ref="T4:X27"/>
    <mergeCell ref="P25:Q25"/>
    <mergeCell ref="C19:D19"/>
    <mergeCell ref="P19:Q19"/>
    <mergeCell ref="C7:D7"/>
    <mergeCell ref="C10:D10"/>
    <mergeCell ref="A1:Q1"/>
    <mergeCell ref="A2:Q2"/>
    <mergeCell ref="P4:Q4"/>
    <mergeCell ref="P5:Q5"/>
    <mergeCell ref="C6:D6"/>
    <mergeCell ref="C18:D18"/>
    <mergeCell ref="P18:Q18"/>
    <mergeCell ref="C11:D11"/>
    <mergeCell ref="P14:Q14"/>
    <mergeCell ref="P15:Q15"/>
    <mergeCell ref="C16:D16"/>
    <mergeCell ref="C17:D17"/>
  </mergeCells>
  <pageMargins left="0" right="0" top="0" bottom="0" header="0" footer="0"/>
  <ignoredErrors>
    <ignoredError numberStoredAsText="1" sqref="A1:BZ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5층 12월 원본</vt:lpstr>
      <vt:lpstr>2층</vt:lpstr>
      <vt:lpstr>원본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