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층 12월 원본" state="visible" r:id="rId4"/>
    <sheet sheetId="2" name="2층" state="visible" r:id="rId5"/>
    <sheet sheetId="3" name="원본" state="visible" r:id="rId6"/>
  </sheets>
  <calcPr calcId="171027"/>
</workbook>
</file>

<file path=xl/sharedStrings.xml><?xml version="1.0" encoding="utf-8"?>
<sst xmlns="http://schemas.openxmlformats.org/spreadsheetml/2006/main" count="1130" uniqueCount="846">
  <si>
    <t>재활센터 시간표     2023. 10. 31 (화)</t>
  </si>
  <si>
    <t>5층 재활센터 시간표     2025. 12.  ()</t>
  </si>
  <si>
    <t xml:space="preserve">           시간    치료사</t>
  </si>
  <si>
    <t xml:space="preserve">7:30~
8:00</t>
  </si>
  <si>
    <t xml:space="preserve">8:00~
8:30</t>
  </si>
  <si>
    <t xml:space="preserve">8:30~
9:35</t>
  </si>
  <si>
    <t xml:space="preserve">9:05~
9:35</t>
  </si>
  <si>
    <t xml:space="preserve">9:40~
10:10</t>
  </si>
  <si>
    <t xml:space="preserve">10:15~
10:45</t>
  </si>
  <si>
    <t xml:space="preserve">10:50~
11:20</t>
  </si>
  <si>
    <t xml:space="preserve">11:25~
11:55</t>
  </si>
  <si>
    <t xml:space="preserve">12:00~
12:30</t>
  </si>
  <si>
    <t>점심</t>
  </si>
  <si>
    <t xml:space="preserve">13:30~
14:00</t>
  </si>
  <si>
    <t xml:space="preserve">14:05~
14:35</t>
  </si>
  <si>
    <t xml:space="preserve">14:40~
15:10</t>
  </si>
  <si>
    <t xml:space="preserve">15:15~
15:45</t>
  </si>
  <si>
    <t xml:space="preserve">15:50~
16:20</t>
  </si>
  <si>
    <t>홍지민</t>
  </si>
  <si>
    <t>N서승달</t>
  </si>
  <si>
    <t>N박성구</t>
  </si>
  <si>
    <t>RM이난주</t>
  </si>
  <si>
    <t>RM이팔원</t>
  </si>
  <si>
    <t>RG정태두</t>
  </si>
  <si>
    <t>N임헌수2</t>
  </si>
  <si>
    <t>RM김성자10</t>
  </si>
  <si>
    <t>N임종범</t>
  </si>
  <si>
    <t>N권용길</t>
  </si>
  <si>
    <t>RM김기연5</t>
  </si>
  <si>
    <t>N김택중</t>
  </si>
  <si>
    <t>RN전동순</t>
  </si>
  <si>
    <t>* 신환</t>
  </si>
  <si>
    <t>임지현</t>
  </si>
  <si>
    <t>N연현숙2</t>
  </si>
  <si>
    <t>N7최지선3</t>
  </si>
  <si>
    <t>N양병후</t>
  </si>
  <si>
    <t>N배성범</t>
  </si>
  <si>
    <t>RM이병희3</t>
  </si>
  <si>
    <t>RM이진봉</t>
  </si>
  <si>
    <t>RN정현숙4</t>
  </si>
  <si>
    <t>RN이팔원</t>
  </si>
  <si>
    <t>RM김명배3</t>
  </si>
  <si>
    <t>RM김석군</t>
  </si>
  <si>
    <t>RN우영희2</t>
  </si>
  <si>
    <t>N김명복</t>
  </si>
  <si>
    <t>김채린</t>
  </si>
  <si>
    <t>N황종길</t>
  </si>
  <si>
    <t>N최지선3</t>
  </si>
  <si>
    <t>N박은용</t>
  </si>
  <si>
    <t>N조정자</t>
  </si>
  <si>
    <t>RG배영자</t>
  </si>
  <si>
    <t>N7박성구D</t>
  </si>
  <si>
    <t>RM김인순3</t>
  </si>
  <si>
    <t>N구본창</t>
  </si>
  <si>
    <t>N유혜영4</t>
  </si>
  <si>
    <t>N김을언</t>
  </si>
  <si>
    <t>최예원</t>
  </si>
  <si>
    <t>RM김재환2</t>
  </si>
  <si>
    <t>RG최상근3</t>
  </si>
  <si>
    <t>RN윤소희3</t>
  </si>
  <si>
    <t>RN강용수</t>
  </si>
  <si>
    <t>RN정경철</t>
  </si>
  <si>
    <t>N신연애</t>
  </si>
  <si>
    <t>RN홍선화</t>
  </si>
  <si>
    <t>서원빈</t>
  </si>
  <si>
    <t>RN김석군</t>
  </si>
  <si>
    <t>RM유정순</t>
  </si>
  <si>
    <t>N전혜옥</t>
  </si>
  <si>
    <t>N지복례</t>
  </si>
  <si>
    <t>N우학송</t>
  </si>
  <si>
    <t>N신기순2</t>
  </si>
  <si>
    <t>RM우영희2</t>
  </si>
  <si>
    <t>RM임낙규</t>
  </si>
  <si>
    <t>RM정현숙4</t>
  </si>
  <si>
    <t>RN이진봉</t>
  </si>
  <si>
    <t>* 변경사항</t>
  </si>
  <si>
    <t>박민경</t>
  </si>
  <si>
    <t>RN이병희3</t>
  </si>
  <si>
    <t>RM서극원</t>
  </si>
  <si>
    <t>RN권영순6</t>
  </si>
  <si>
    <t>N김시철</t>
  </si>
  <si>
    <t>RM한경애4</t>
  </si>
  <si>
    <t>RN임낙규</t>
  </si>
  <si>
    <t>RN유정순3</t>
  </si>
  <si>
    <t>RM강용수</t>
  </si>
  <si>
    <t>N김정규2</t>
  </si>
  <si>
    <t>임수민</t>
  </si>
  <si>
    <t>RN김인순3</t>
  </si>
  <si>
    <t>N7김진옥7A</t>
  </si>
  <si>
    <t>RN김재환2</t>
  </si>
  <si>
    <t>RM전동순</t>
  </si>
  <si>
    <t>N7유혜영4</t>
  </si>
  <si>
    <t>N7지복례D</t>
  </si>
  <si>
    <t>RM권영순6</t>
  </si>
  <si>
    <t>N송갑헌</t>
  </si>
  <si>
    <t>유태현</t>
  </si>
  <si>
    <t>RM윤소희3</t>
  </si>
  <si>
    <t>RA우영희2</t>
  </si>
  <si>
    <t>N김종운3</t>
  </si>
  <si>
    <t>강지영</t>
  </si>
  <si>
    <t>MM한경애4C</t>
  </si>
  <si>
    <t>RN권오운</t>
  </si>
  <si>
    <t>N송옥경</t>
  </si>
  <si>
    <t>RN김성자10</t>
  </si>
  <si>
    <t>RN김명배3</t>
  </si>
  <si>
    <t>RN한경애4</t>
  </si>
  <si>
    <t>장수빈</t>
  </si>
  <si>
    <t>MM이진봉T</t>
  </si>
  <si>
    <t>MM이팔원C</t>
  </si>
  <si>
    <t>RN이난주</t>
  </si>
  <si>
    <t>N서재학</t>
  </si>
  <si>
    <t>N김진옥7</t>
  </si>
  <si>
    <t>RN김기연5</t>
  </si>
  <si>
    <t>장해민</t>
  </si>
  <si>
    <t>CA지복례</t>
  </si>
  <si>
    <t>RA최상근3</t>
  </si>
  <si>
    <t>H7임낙규D</t>
  </si>
  <si>
    <t>RA홍선화</t>
  </si>
  <si>
    <t>CA서재학</t>
  </si>
  <si>
    <t xml:space="preserve">C김을언
C김정규2</t>
  </si>
  <si>
    <t>RD이병희3</t>
  </si>
  <si>
    <t>RA권오운</t>
  </si>
  <si>
    <t>CA임종범</t>
  </si>
  <si>
    <t>CA유혜영4</t>
  </si>
  <si>
    <t>RA정태두</t>
  </si>
  <si>
    <t>RA서극원</t>
  </si>
  <si>
    <t>장효원</t>
  </si>
  <si>
    <t>RA임낙규</t>
  </si>
  <si>
    <t>RD이팔원</t>
  </si>
  <si>
    <t>O7구본창D</t>
  </si>
  <si>
    <t>CA송옥경</t>
  </si>
  <si>
    <t>CA송갑헌</t>
  </si>
  <si>
    <t>RS유정순3</t>
  </si>
  <si>
    <t>RS김성자10</t>
  </si>
  <si>
    <t>S구본창</t>
  </si>
  <si>
    <t>O7박은용D</t>
  </si>
  <si>
    <t>RS한경애4</t>
  </si>
  <si>
    <t>RA이난주</t>
  </si>
  <si>
    <t>이경미</t>
  </si>
  <si>
    <t>RD이진봉</t>
  </si>
  <si>
    <t>RA김인순3</t>
  </si>
  <si>
    <t>RS강용수</t>
  </si>
  <si>
    <t>CA김진옥7</t>
  </si>
  <si>
    <t>CA박은용</t>
  </si>
  <si>
    <t>RA한경애4</t>
  </si>
  <si>
    <t>H7윤소희A</t>
  </si>
  <si>
    <t>RA김재환2</t>
  </si>
  <si>
    <t>RA정경철</t>
  </si>
  <si>
    <t>장세희</t>
  </si>
  <si>
    <t>CA박성구</t>
  </si>
  <si>
    <t>RD김재환2</t>
  </si>
  <si>
    <t>RA강용수</t>
  </si>
  <si>
    <t>D김종운3V</t>
  </si>
  <si>
    <t>RA이팔원</t>
  </si>
  <si>
    <t>RS정경철</t>
  </si>
  <si>
    <t>RA윤소희3</t>
  </si>
  <si>
    <t>RA유정순3</t>
  </si>
  <si>
    <t>CA김을언</t>
  </si>
  <si>
    <t>RS권오운</t>
  </si>
  <si>
    <t>RA김명배3</t>
  </si>
  <si>
    <t>이은지4</t>
  </si>
  <si>
    <t>RS홍선화</t>
  </si>
  <si>
    <t>RD김기연5</t>
  </si>
  <si>
    <t>RS권영순6</t>
  </si>
  <si>
    <t>RD전동순</t>
  </si>
  <si>
    <t>CA김정규2</t>
  </si>
  <si>
    <t>RA김기연5</t>
  </si>
  <si>
    <t xml:space="preserve">C임종범
C송갑헌</t>
  </si>
  <si>
    <t>김희수</t>
  </si>
  <si>
    <t>RS임낙규</t>
  </si>
  <si>
    <t>CA신기순2</t>
  </si>
  <si>
    <t>CA전혜옥</t>
  </si>
  <si>
    <t>CA신연애</t>
  </si>
  <si>
    <t xml:space="preserve">C서승달
C김명복</t>
  </si>
  <si>
    <t>CA서승달</t>
  </si>
  <si>
    <t xml:space="preserve">전산화인지
김명복</t>
  </si>
  <si>
    <t>RA전동순</t>
  </si>
  <si>
    <t>RA이병희3</t>
  </si>
  <si>
    <t xml:space="preserve">C송옥경
C지복례</t>
  </si>
  <si>
    <t>CA김택중</t>
  </si>
  <si>
    <t>정상환</t>
  </si>
  <si>
    <t>O7우학송A</t>
  </si>
  <si>
    <t>RD윤소희3</t>
  </si>
  <si>
    <t>RD김명배3</t>
  </si>
  <si>
    <t>RS김석군</t>
  </si>
  <si>
    <t>D김시철V</t>
  </si>
  <si>
    <t>CA임헌수2</t>
  </si>
  <si>
    <t>H서재학</t>
  </si>
  <si>
    <t>* 퇴원 및 HOLD</t>
  </si>
  <si>
    <t>김영빈</t>
  </si>
  <si>
    <t>MM전동순C</t>
  </si>
  <si>
    <t>D유혜영4</t>
  </si>
  <si>
    <t>RS이난주</t>
  </si>
  <si>
    <t>CA김명복</t>
  </si>
  <si>
    <t>CA우학송</t>
  </si>
  <si>
    <t>RA김성자10</t>
  </si>
  <si>
    <t>CA권용길</t>
  </si>
  <si>
    <t xml:space="preserve">C우학송
C신기순2</t>
  </si>
  <si>
    <t>CA양병후</t>
  </si>
  <si>
    <t>최예은</t>
  </si>
  <si>
    <t>C김시철</t>
  </si>
  <si>
    <t>CA황종길</t>
  </si>
  <si>
    <t>CA김시철</t>
  </si>
  <si>
    <t>RA이진봉</t>
  </si>
  <si>
    <t>RS정현숙4</t>
  </si>
  <si>
    <t>H김을언</t>
  </si>
  <si>
    <t>RS서극원</t>
  </si>
  <si>
    <t>RA정현숙4</t>
  </si>
  <si>
    <t>계장</t>
  </si>
  <si>
    <t>강인화</t>
  </si>
  <si>
    <t>RS김인순3</t>
  </si>
  <si>
    <t>RA김석군</t>
  </si>
  <si>
    <t>CA배성범</t>
  </si>
  <si>
    <t>CA조정자</t>
  </si>
  <si>
    <t>김윤종</t>
  </si>
  <si>
    <t>H7김진옥7A</t>
  </si>
  <si>
    <t>CA최지선3</t>
  </si>
  <si>
    <t>RS우영희2</t>
  </si>
  <si>
    <t>CA연현숙2</t>
  </si>
  <si>
    <t>추가or대체</t>
  </si>
  <si>
    <t>* 당일시간변경</t>
  </si>
  <si>
    <t>박수진</t>
  </si>
  <si>
    <t xml:space="preserve">M김을언C
C이문찬2CPM</t>
  </si>
  <si>
    <t xml:space="preserve">M김을언S
M송옥경C
M연현숙2C
M김종운3Tt</t>
  </si>
  <si>
    <t xml:space="preserve">M박성구S
M지복례C
M김시철T
M김명복C
C최종성2CPM</t>
  </si>
  <si>
    <t xml:space="preserve">M최지선3T
M양병후C
M황종길C
M임헌수2M
M서재학C
M신기순2S</t>
  </si>
  <si>
    <t xml:space="preserve">M김진옥7C
M전혜옥S
M구본창C
M김택중C
M권용길S
M박은용C
M지복례T</t>
  </si>
  <si>
    <t xml:space="preserve">M배성범S
M신연애C
M조정자C
M임종범C</t>
  </si>
  <si>
    <t xml:space="preserve">M우학송S
M김정규2C</t>
  </si>
  <si>
    <t xml:space="preserve">M김진옥7S
M양병후C
M서재학C
M황종길C</t>
  </si>
  <si>
    <t xml:space="preserve">M조정자C
M김시철C
M박은용C
M신기순2S
M박성구C</t>
  </si>
  <si>
    <t xml:space="preserve">M전혜옥S
M송옥경C
M임종범C
M권용길C
M김택중S
M배성범T</t>
  </si>
  <si>
    <t xml:space="preserve">M최지선3C
Tt김을언Tt
M신연애S
M김정규2
M연현숙2C
M김명복S</t>
  </si>
  <si>
    <t xml:space="preserve">M우학송C
M임헌수2S</t>
  </si>
  <si>
    <t xml:space="preserve"> MM김성자10C
MM김기연5C
MM최상근3CPM</t>
  </si>
  <si>
    <r>
      <rPr>
        <u/>
        <charset val="129"/>
        <family val="3"/>
        <sz val="10"/>
        <rFont val="돋움"/>
      </rPr>
      <t>MM한경애4C</t>
    </r>
    <r>
      <rPr>
        <charset val="129"/>
        <family val="3"/>
        <sz val="10"/>
        <rFont val="돋움"/>
      </rPr>
      <t xml:space="preserve">
MM김석군S
</t>
    </r>
    <r>
      <rPr>
        <u/>
        <charset val="129"/>
        <family val="3"/>
        <sz val="10"/>
        <rFont val="돋움"/>
      </rPr>
      <t>MM전동순C</t>
    </r>
    <r>
      <rPr>
        <charset val="129"/>
        <family val="3"/>
        <sz val="10"/>
        <rFont val="돋움"/>
      </rPr>
      <t xml:space="preserve">
MM정경철C
MM윤소희3T</t>
    </r>
  </si>
  <si>
    <t xml:space="preserve">MM김명배3Tt
MM이병희3
MM이진봉S
MM김인순3Tt</t>
  </si>
  <si>
    <t xml:space="preserve">MM정현숙4S
MM김재환2C
MM배영자Tt
MM강용수C
MM권오운Tt</t>
  </si>
  <si>
    <t xml:space="preserve">MM임낙규C
MM홍선화C</t>
  </si>
  <si>
    <t xml:space="preserve">MM이난주T
MM권영순6C
MM이병희3M
MM정태두Tt
MM유정순3C
MM서극원S</t>
  </si>
  <si>
    <t xml:space="preserve">
MM이팔원C
MM우영희2M</t>
  </si>
  <si>
    <r>
      <t xml:space="preserve">MM이난주C
MM홍선화C
MM김재환2S
</t>
    </r>
    <r>
      <rPr>
        <u/>
        <charset val="129"/>
        <family val="3"/>
        <sz val="10"/>
        <rFont val="돋움"/>
      </rPr>
      <t>MM이진봉T</t>
    </r>
    <r>
      <rPr>
        <charset val="129"/>
        <family val="3"/>
        <sz val="10"/>
        <rFont val="돋움"/>
      </rPr>
      <t xml:space="preserve">
MM김인순3Tt</t>
    </r>
  </si>
  <si>
    <r>
      <t xml:space="preserve">MM임낙규T
MM김석군C
MM윤소희3S
</t>
    </r>
    <r>
      <rPr>
        <u/>
        <charset val="129"/>
        <family val="3"/>
        <sz val="10"/>
        <rFont val="돋움"/>
      </rPr>
      <t>MM이팔원C</t>
    </r>
    <r>
      <rPr>
        <charset val="129"/>
        <family val="3"/>
        <sz val="10"/>
        <rFont val="돋움"/>
      </rPr>
      <t xml:space="preserve">
MM정태두Tt
MM배영자Tt
MM권오운Tt</t>
    </r>
  </si>
  <si>
    <t xml:space="preserve">MM한경애4C
MM정경철C
MM우영희2Tt</t>
  </si>
  <si>
    <r>
      <t xml:space="preserve">MM김기연5C
</t>
    </r>
    <r>
      <rPr>
        <u/>
        <charset val="129"/>
        <family val="3"/>
        <sz val="10"/>
        <rFont val="돋움"/>
      </rPr>
      <t>MM전동순C</t>
    </r>
    <r>
      <rPr>
        <charset val="129"/>
        <family val="3"/>
        <sz val="10"/>
        <rFont val="돋움"/>
      </rPr>
      <t xml:space="preserve">
MM김명배3Tt
MM최상근3CPM
MM서극원C</t>
    </r>
  </si>
  <si>
    <t xml:space="preserve">MM정현숙4C
MM김성자10C
MM권영순6C
MM유정순C
MM강용수T</t>
  </si>
  <si>
    <t>이나예</t>
  </si>
  <si>
    <t>단축근무</t>
  </si>
  <si>
    <t xml:space="preserve">F지복례
F김택중</t>
  </si>
  <si>
    <t xml:space="preserve">F배성범
F신기순2
F김종운3
F박은용</t>
  </si>
  <si>
    <t xml:space="preserve">F조정자
F김시철
F권용길</t>
  </si>
  <si>
    <t xml:space="preserve">F임헌수2
F양병후
F우학송
F임종범
F김정규2</t>
  </si>
  <si>
    <t xml:space="preserve">F신기순2
F송옥경
F서재학
F연현숙2</t>
  </si>
  <si>
    <t xml:space="preserve">F신연애
F유혜영4
F김명복</t>
  </si>
  <si>
    <t>F서승달</t>
  </si>
  <si>
    <t xml:space="preserve">F황종길
F김을언
F김진옥7
F김정규2</t>
  </si>
  <si>
    <t xml:space="preserve">F최지선3
F박성구
F김명복</t>
  </si>
  <si>
    <t xml:space="preserve">임수민
(무급휴직)</t>
  </si>
  <si>
    <t>추가</t>
  </si>
  <si>
    <t xml:space="preserve">8:30~
9:00</t>
  </si>
  <si>
    <t xml:space="preserve">12:00~ 
12:30</t>
  </si>
  <si>
    <t xml:space="preserve"> </t>
  </si>
  <si>
    <t xml:space="preserve"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</si>
  <si>
    <t>N</t>
  </si>
  <si>
    <t xml:space="preserve">N양병후
N권용길</t>
  </si>
  <si>
    <t xml:space="preserve">N임헌수2
N황종길</t>
  </si>
  <si>
    <r>
      <t xml:space="preserve">N최지선3
</t>
    </r>
    <r>
      <rPr>
        <u/>
        <charset val="129"/>
        <family val="3"/>
        <sz val="10"/>
        <rFont val="돋움"/>
      </rPr>
      <t>N유혜영4</t>
    </r>
  </si>
  <si>
    <t>CA</t>
  </si>
  <si>
    <t>D</t>
  </si>
  <si>
    <t xml:space="preserve">D김택중(B)
D박은용</t>
  </si>
  <si>
    <t>D박은용</t>
  </si>
  <si>
    <t>C</t>
  </si>
  <si>
    <t xml:space="preserve"> C서재학</t>
  </si>
  <si>
    <t>C임헌수2</t>
  </si>
  <si>
    <t>C황종길</t>
  </si>
  <si>
    <t>C조정자</t>
  </si>
  <si>
    <t>C신연애</t>
  </si>
  <si>
    <t>C김진옥7</t>
  </si>
  <si>
    <t xml:space="preserve">C배성범
C권용길</t>
  </si>
  <si>
    <t>C연현숙2</t>
  </si>
  <si>
    <t>RA배영자</t>
  </si>
  <si>
    <t>수중재활 스케줄</t>
  </si>
  <si>
    <t xml:space="preserve">           시간    
치료사</t>
  </si>
  <si>
    <t xml:space="preserve">16:25~
16:55</t>
  </si>
  <si>
    <t xml:space="preserve">17:00~
17:30</t>
  </si>
  <si>
    <t>수중재활</t>
  </si>
  <si>
    <t>P배성범B</t>
  </si>
  <si>
    <t>P우학송D</t>
  </si>
  <si>
    <t>RTMS &amp; HAND &amp; 호흡 &amp; 바이오피드백 시간표</t>
  </si>
  <si>
    <t>RTMS</t>
  </si>
  <si>
    <t>HAND</t>
  </si>
  <si>
    <t>김진옥7A</t>
  </si>
  <si>
    <t>임낙규D</t>
  </si>
  <si>
    <t>호흡치료</t>
  </si>
  <si>
    <t>서재학</t>
  </si>
  <si>
    <t xml:space="preserve">바이오
피드백</t>
  </si>
  <si>
    <t>전산화인지치료 시간표</t>
  </si>
  <si>
    <t>베러코그(5)</t>
  </si>
  <si>
    <t>스마트보드</t>
  </si>
  <si>
    <t>R-TMS &amp; WALKBOT &amp; MORNING WALK &amp; R-BOT 시간표</t>
  </si>
  <si>
    <t>모닝워크</t>
  </si>
  <si>
    <t>W한경애4A</t>
  </si>
  <si>
    <t>워크봇</t>
  </si>
  <si>
    <t>이팔원</t>
  </si>
  <si>
    <t>W권용길B</t>
  </si>
  <si>
    <t>W전동순B</t>
  </si>
  <si>
    <t>W김택중A</t>
  </si>
  <si>
    <t>알봇</t>
  </si>
  <si>
    <t>W권오운D</t>
  </si>
  <si>
    <t>통증</t>
  </si>
  <si>
    <t>*전혜옥</t>
  </si>
  <si>
    <t>*이문찬2</t>
  </si>
  <si>
    <t>ESWT5한경애4(목)</t>
  </si>
  <si>
    <t xml:space="preserve">          2층 근골격/특수재활센터 시간표  2025. 12. 3 (수)</t>
  </si>
  <si>
    <t>연제건</t>
  </si>
  <si>
    <t xml:space="preserve">M15백정희(수12/10)
김선엽D
산재재활-하지</t>
  </si>
  <si>
    <t xml:space="preserve">김상훈9
산재재활-하지D(12/3미내원)
M15백정희(수12/10)</t>
  </si>
  <si>
    <t>M7김한기2(매 수)</t>
  </si>
  <si>
    <t>M7민경환2(매월,수)</t>
  </si>
  <si>
    <t>M15유향숙(12.3수)</t>
  </si>
  <si>
    <t xml:space="preserve">M7김상민4(매월) </t>
  </si>
  <si>
    <t xml:space="preserve">김성욱D
산재재활-하지
</t>
  </si>
  <si>
    <t>M7김우현2(12/3수)</t>
  </si>
  <si>
    <t>M7김혜경10(3, 5, 8, 12, 15 , 17 )</t>
  </si>
  <si>
    <t xml:space="preserve">M7이우찬2(매수) </t>
  </si>
  <si>
    <t xml:space="preserve">
* 외래 최승섭님 12/3 HOLD
* 외래 이미선7님 12/3, 12/5 HOLD
* 외래 최중범님 12/4 HOLD
* 외래 유훈종2님 12/4 HOLD
* 외래 조남인2님 12/5, 12/8 HOLD
* 외래 방상윤님 12/5 HOLD
* 외래 권오식2님 12/5, 12/8 HOLD
* 외래 이건식2님 12/8 HOLD
* 외래 원동현님 2/12일까지 HOLD
* 외래 조광복님 12/8, 15, 22, 29 HOLD
* 외래 김소재님 A → B 스케줄 변경 희망 (오전/오후상관없으심)
* 외래 박양숙님 B → A 스케줄 자리나면 바로 변경희망
* 매주 수요일 1년차 선생님들 5시 교육 진행예정!!!!!
* 김기천님 코끼리로 변경 희망하심
* 김미순3님 코끼리로 기구변경희망하심
* 외래 송우섭님 1월부터 A오전스케줄 희망하심</t>
  </si>
  <si>
    <t xml:space="preserve">김선엽D
산재재활-하지</t>
  </si>
  <si>
    <t xml:space="preserve">김상훈9
산재재활-하지D</t>
  </si>
  <si>
    <t>M15조세영B</t>
  </si>
  <si>
    <t>M7김순이5B</t>
  </si>
  <si>
    <t>M7신연자B</t>
  </si>
  <si>
    <t xml:space="preserve">김성욱D
산재재활-하지</t>
  </si>
  <si>
    <t>M7송희영B</t>
  </si>
  <si>
    <t xml:space="preserve">S반원모(매화)
M7김혜경10(12/4, 9, 11, 16)</t>
  </si>
  <si>
    <t>전지호</t>
  </si>
  <si>
    <t>N이남희3A</t>
  </si>
  <si>
    <t xml:space="preserve">신동환4(12/19금)
신동환4(12/31수)</t>
  </si>
  <si>
    <t>M7김영식10A</t>
  </si>
  <si>
    <t>M7권오경4A</t>
  </si>
  <si>
    <t xml:space="preserve">M7윤미라
(12/3)</t>
  </si>
  <si>
    <t>S반원모A     M15어성환(3)</t>
  </si>
  <si>
    <t>M15어성환(3)</t>
  </si>
  <si>
    <t>S반원모(매목)</t>
  </si>
  <si>
    <t>M7노하윤2(목4)</t>
  </si>
  <si>
    <t>M7안서현2B</t>
  </si>
  <si>
    <t>박송이2</t>
  </si>
  <si>
    <t>N한은주A</t>
  </si>
  <si>
    <t>N임상미2A</t>
  </si>
  <si>
    <t>N이경갑A</t>
  </si>
  <si>
    <t>N이덕로A</t>
  </si>
  <si>
    <t>N배석현A</t>
  </si>
  <si>
    <t>N나채용A</t>
  </si>
  <si>
    <t>N이태선A</t>
  </si>
  <si>
    <t>N박종민6A</t>
  </si>
  <si>
    <t>N함도경A</t>
  </si>
  <si>
    <t>N유승희3A</t>
  </si>
  <si>
    <t>N이희B</t>
  </si>
  <si>
    <t>N신경순2B</t>
  </si>
  <si>
    <t>N이영자15B</t>
  </si>
  <si>
    <t>N신연상B</t>
  </si>
  <si>
    <t>N김미영13B</t>
  </si>
  <si>
    <t>N차종우B</t>
  </si>
  <si>
    <t>N김윤서3B</t>
  </si>
  <si>
    <t>N김청하B</t>
  </si>
  <si>
    <t>N김순이5B</t>
  </si>
  <si>
    <t>N임병희B</t>
  </si>
  <si>
    <t>김수윤</t>
  </si>
  <si>
    <t>N연운희A</t>
  </si>
  <si>
    <t>N이미선7A</t>
  </si>
  <si>
    <t>N고선무A</t>
  </si>
  <si>
    <t>N백영진A</t>
  </si>
  <si>
    <t>N김은영22A</t>
  </si>
  <si>
    <t>N김정원7A</t>
  </si>
  <si>
    <t>N조광복A</t>
  </si>
  <si>
    <t>N최중범A</t>
  </si>
  <si>
    <t>N최승섭A</t>
  </si>
  <si>
    <t>N민유준A</t>
  </si>
  <si>
    <t>N방상윤A</t>
  </si>
  <si>
    <t>N이건식2A</t>
  </si>
  <si>
    <t>N유준오B</t>
  </si>
  <si>
    <t>N권영희3B</t>
  </si>
  <si>
    <t>N김수호2B</t>
  </si>
  <si>
    <t>N민명식B</t>
  </si>
  <si>
    <t>N홍성주2B</t>
  </si>
  <si>
    <t>N신순용B</t>
  </si>
  <si>
    <t>N박경숙4B</t>
  </si>
  <si>
    <t>N송희영B</t>
  </si>
  <si>
    <t>N문아영B</t>
  </si>
  <si>
    <t>N정광종B</t>
  </si>
  <si>
    <t>N한동수2B</t>
  </si>
  <si>
    <t>N조성현3B</t>
  </si>
  <si>
    <t>강예지</t>
  </si>
  <si>
    <t>N강철용A</t>
  </si>
  <si>
    <t>N원동현A</t>
  </si>
  <si>
    <t>N정호진2A</t>
  </si>
  <si>
    <r>
      <t>N서동출A</t>
    </r>
    <r>
      <rPr>
        <charset val="129"/>
        <family val="3"/>
        <sz val="10"/>
        <rFont val="돋움"/>
      </rPr>
      <t/>
    </r>
  </si>
  <si>
    <t>N김대용2A</t>
  </si>
  <si>
    <t>N이광영3A</t>
  </si>
  <si>
    <t>N반원모A</t>
  </si>
  <si>
    <t>N반지환A</t>
  </si>
  <si>
    <t>N한동수2A</t>
  </si>
  <si>
    <t>N김다연2A</t>
  </si>
  <si>
    <t>N조남인2A</t>
  </si>
  <si>
    <t>N김숙자8B</t>
  </si>
  <si>
    <t>N차승균B</t>
  </si>
  <si>
    <t>N김대용2B</t>
  </si>
  <si>
    <t xml:space="preserve">N박양숙B
(12/9부터)</t>
  </si>
  <si>
    <t>N김진석5B</t>
  </si>
  <si>
    <t>N이태선B</t>
  </si>
  <si>
    <t>N반지환B</t>
  </si>
  <si>
    <t>N반원모B</t>
  </si>
  <si>
    <t>N권영례B</t>
  </si>
  <si>
    <t>N고영희2B</t>
  </si>
  <si>
    <t>N최중범B</t>
  </si>
  <si>
    <t>황은비</t>
  </si>
  <si>
    <t>CA연운희A</t>
  </si>
  <si>
    <t>S백영진A</t>
  </si>
  <si>
    <t>S한은주A</t>
  </si>
  <si>
    <t>H이경갑A</t>
  </si>
  <si>
    <t>CA김은영22A</t>
  </si>
  <si>
    <t>CA이덕로A</t>
  </si>
  <si>
    <t>S이홍섭A</t>
  </si>
  <si>
    <t>D박종민6AV</t>
  </si>
  <si>
    <t>S김기천A</t>
  </si>
  <si>
    <t>S이건식2A</t>
  </si>
  <si>
    <t>CA조남인2A</t>
  </si>
  <si>
    <t>D곽예성A</t>
  </si>
  <si>
    <t xml:space="preserve">주형준2B
산재재활-수부</t>
  </si>
  <si>
    <t>S유준오B</t>
  </si>
  <si>
    <t xml:space="preserve"> S김숙자8B</t>
  </si>
  <si>
    <t>CA민명식B</t>
  </si>
  <si>
    <t>S권영희3B</t>
  </si>
  <si>
    <t>CA김대용2B</t>
  </si>
  <si>
    <t xml:space="preserve">CA박양숙B
(12/9부터)</t>
  </si>
  <si>
    <t>CA권영례B</t>
  </si>
  <si>
    <t>S반지환B</t>
  </si>
  <si>
    <t>S임병희B</t>
  </si>
  <si>
    <t>S김순이5B</t>
  </si>
  <si>
    <t>S송희영B</t>
  </si>
  <si>
    <t>임수연</t>
  </si>
  <si>
    <t>Y원동현A</t>
  </si>
  <si>
    <t>S정호진2A</t>
  </si>
  <si>
    <t>S김미자10A</t>
  </si>
  <si>
    <t>CA김대용2A</t>
  </si>
  <si>
    <t>S김미순3A</t>
  </si>
  <si>
    <t>S나채용A</t>
  </si>
  <si>
    <t>CA최진형A</t>
  </si>
  <si>
    <t>S최승섭A</t>
  </si>
  <si>
    <t>D한태환2A</t>
  </si>
  <si>
    <t>CA한동수2A</t>
  </si>
  <si>
    <t>CA박종민6A</t>
  </si>
  <si>
    <t>CA곽예성A</t>
  </si>
  <si>
    <t>CA이희B</t>
  </si>
  <si>
    <t>CA신연상B</t>
  </si>
  <si>
    <t>S신경순2B</t>
  </si>
  <si>
    <t>S차종우B</t>
  </si>
  <si>
    <t>CA김윤서3B</t>
  </si>
  <si>
    <t>CA한홍구B</t>
  </si>
  <si>
    <t>S김청하B</t>
  </si>
  <si>
    <t>D강병준B</t>
  </si>
  <si>
    <t>S반원모B</t>
  </si>
  <si>
    <t>CA강병준B</t>
  </si>
  <si>
    <t>CA한동수2B</t>
  </si>
  <si>
    <t>CA안서현2B</t>
  </si>
  <si>
    <t>박종규</t>
  </si>
  <si>
    <t>S강철용A</t>
  </si>
  <si>
    <t>CA김진학</t>
  </si>
  <si>
    <t>S이남희3A</t>
  </si>
  <si>
    <t>S임상미2A</t>
  </si>
  <si>
    <t>S이용출A</t>
  </si>
  <si>
    <t>S오도경A</t>
  </si>
  <si>
    <t>S배석현A</t>
  </si>
  <si>
    <t>CA김기일2A</t>
  </si>
  <si>
    <t>CA이광영3A</t>
  </si>
  <si>
    <t>S반원모A</t>
  </si>
  <si>
    <t>S김소재A</t>
  </si>
  <si>
    <t>S함도경A</t>
  </si>
  <si>
    <t>D조복년B</t>
  </si>
  <si>
    <t>CA김수호2B</t>
  </si>
  <si>
    <t>S차승균B</t>
  </si>
  <si>
    <t>S오도경B</t>
  </si>
  <si>
    <t>S김미영13B</t>
  </si>
  <si>
    <t>CA홍숙희B</t>
  </si>
  <si>
    <t>S송우섭B</t>
  </si>
  <si>
    <t>S신순용B</t>
  </si>
  <si>
    <t>S손미화B</t>
  </si>
  <si>
    <t>CA문아영B</t>
  </si>
  <si>
    <t>CA조성현3B</t>
  </si>
  <si>
    <t>오연수</t>
  </si>
  <si>
    <t>CA권오식2A</t>
  </si>
  <si>
    <t>D염병숙A</t>
  </si>
  <si>
    <t>S이미선7A</t>
  </si>
  <si>
    <t>S염병숙A</t>
  </si>
  <si>
    <t>CA김정원7A</t>
  </si>
  <si>
    <t>S이경갑A</t>
  </si>
  <si>
    <t>S서동출A</t>
  </si>
  <si>
    <t>S반지환A</t>
  </si>
  <si>
    <t>CA홍숙희A</t>
  </si>
  <si>
    <t>S유승희3A</t>
  </si>
  <si>
    <t>S나기태A</t>
  </si>
  <si>
    <t>CA방상윤A</t>
  </si>
  <si>
    <t>CA이영자15B</t>
  </si>
  <si>
    <t>Y신연상B</t>
  </si>
  <si>
    <t>D김수호2B</t>
  </si>
  <si>
    <t>S배선애B</t>
  </si>
  <si>
    <t>D신경순2B</t>
  </si>
  <si>
    <t>CA홍성주2B</t>
  </si>
  <si>
    <t xml:space="preserve">전산화인지
권영희3B</t>
  </si>
  <si>
    <t>S유복숙B</t>
  </si>
  <si>
    <t>CA정병현B</t>
  </si>
  <si>
    <t>S박경숙4B</t>
  </si>
  <si>
    <t>S정광종B</t>
  </si>
  <si>
    <t>CA고영희2B</t>
  </si>
  <si>
    <t>김용하</t>
  </si>
  <si>
    <t>N권오식2A</t>
  </si>
  <si>
    <t>N김미순3A</t>
  </si>
  <si>
    <t>N김미자10A</t>
  </si>
  <si>
    <t>N최진형A</t>
  </si>
  <si>
    <t>M7이문찬2</t>
  </si>
  <si>
    <t>류연우/장태환B</t>
  </si>
  <si>
    <t>입원&amp;외래통증</t>
  </si>
  <si>
    <t>N홍숙희A</t>
  </si>
  <si>
    <t>N김기일2A</t>
  </si>
  <si>
    <t>N나기태A</t>
  </si>
  <si>
    <t>N김기천A</t>
  </si>
  <si>
    <t>N송우섭B</t>
  </si>
  <si>
    <t>N홍숙희B</t>
  </si>
  <si>
    <t>N강병준B</t>
  </si>
  <si>
    <t>N유훈종2B</t>
  </si>
  <si>
    <t>박송이</t>
  </si>
  <si>
    <t>*김수태</t>
  </si>
  <si>
    <r>
      <rPr>
        <b/>
        <charset val="129"/>
        <family val="3"/>
        <sz val="10"/>
        <rFont val="돋움"/>
      </rPr>
      <t>*윤충원</t>
    </r>
    <r>
      <rPr>
        <charset val="129"/>
        <family val="3"/>
        <sz val="10"/>
        <rFont val="돋움"/>
      </rPr>
      <t xml:space="preserve">
TN/TN김동인4
TI/TN강옥순</t>
    </r>
  </si>
  <si>
    <t xml:space="preserve">*원종식
TH배영자</t>
  </si>
  <si>
    <t>*최종성2</t>
  </si>
  <si>
    <r>
      <rPr>
        <b/>
        <charset val="129"/>
        <family val="3"/>
        <sz val="10"/>
        <rFont val="돋움"/>
      </rPr>
      <t xml:space="preserve">*유정순3
*한순근
*이순선</t>
    </r>
    <r>
      <rPr>
        <charset val="129"/>
        <family val="3"/>
        <sz val="10"/>
        <rFont val="돋움"/>
      </rPr>
      <t xml:space="preserve">
*노수학
*김성원4</t>
    </r>
  </si>
  <si>
    <t>*구본창</t>
  </si>
  <si>
    <r>
      <rPr>
        <b/>
        <charset val="129"/>
        <family val="3"/>
        <sz val="10"/>
        <rFont val="돋움"/>
      </rPr>
      <t>*권수자</t>
    </r>
    <r>
      <rPr>
        <charset val="129"/>
        <family val="3"/>
        <sz val="10"/>
        <rFont val="돋움"/>
      </rPr>
      <t xml:space="preserve">
*쿠마라게
*이문찬2</t>
    </r>
  </si>
  <si>
    <r>
      <rPr>
        <b/>
        <charset val="129"/>
        <family val="3"/>
        <sz val="10"/>
        <rFont val="돋움"/>
      </rPr>
      <t>*이상호9</t>
    </r>
    <r>
      <rPr>
        <charset val="129"/>
        <family val="3"/>
        <sz val="10"/>
        <rFont val="돋움"/>
      </rPr>
      <t xml:space="preserve">
*최종성2
*송수연2</t>
    </r>
  </si>
  <si>
    <t xml:space="preserve">*노수학
*임예수
TI/TN강옥순</t>
  </si>
  <si>
    <t xml:space="preserve">*쿠마라게
*김성원4
TN/TN김동인4</t>
  </si>
  <si>
    <t xml:space="preserve">*이문찬2
TH배영자</t>
  </si>
  <si>
    <t>EST</t>
  </si>
  <si>
    <t>*배성준</t>
  </si>
  <si>
    <t>ESWT7강옥순(매수)</t>
  </si>
  <si>
    <t>*서대성</t>
  </si>
  <si>
    <t>류연우(A)</t>
  </si>
  <si>
    <t>F권오식2A</t>
  </si>
  <si>
    <t xml:space="preserve">F김은영22A
F원동현A</t>
  </si>
  <si>
    <t xml:space="preserve">F최진형A
F김대용2A</t>
  </si>
  <si>
    <r>
      <rPr>
        <charset val="129"/>
        <color rgb="FF0070C0"/>
        <family val="3"/>
        <sz val="10"/>
        <rFont val="돋움"/>
      </rPr>
      <t>F김정원7A</t>
    </r>
    <r>
      <rPr>
        <b/>
        <charset val="129"/>
        <color rgb="FF0070C0"/>
        <family val="3"/>
        <sz val="10"/>
        <rFont val="돋움"/>
      </rPr>
      <t xml:space="preserve">
F이용출A</t>
    </r>
  </si>
  <si>
    <t>F박종민6A</t>
  </si>
  <si>
    <t xml:space="preserve">F방상윤A
F이광영3A</t>
  </si>
  <si>
    <t xml:space="preserve">F조남인2A
F홍숙희A</t>
  </si>
  <si>
    <t>M이남희3AC</t>
  </si>
  <si>
    <t xml:space="preserve">M김미자10ATt
M원동현AC</t>
  </si>
  <si>
    <t xml:space="preserve">M한은주ACPM(어깨)
M염병숙AT
M김대용2T
M강철용AC
M정호진2AC</t>
  </si>
  <si>
    <t xml:space="preserve">M오도경DTt
M고선무AC
M이미선7AC
M권오식2AT
M최진형AT
M김미순3AMA</t>
  </si>
  <si>
    <t xml:space="preserve">G백영진AC
M나채용AT
M배석현Att</t>
  </si>
  <si>
    <t xml:space="preserve">M이덕로AC
M서동출Att
M조광복AT
M임상미2AMA</t>
  </si>
  <si>
    <r>
      <rPr>
        <b/>
        <charset val="129"/>
        <color rgb="FF0070C0"/>
        <family val="3"/>
        <sz val="10"/>
        <rFont val="돋움"/>
      </rPr>
      <t>M이용출ATt</t>
    </r>
    <r>
      <rPr>
        <charset val="129"/>
        <color rgb="FF0070C0"/>
        <family val="3"/>
        <sz val="10"/>
        <rFont val="돋움"/>
      </rPr>
      <t xml:space="preserve">
G이경갑AT
M김은영22AC</t>
    </r>
  </si>
  <si>
    <t>M반원모AC</t>
  </si>
  <si>
    <t xml:space="preserve">M방상윤AC
M최중범Att</t>
  </si>
  <si>
    <t xml:space="preserve">M최승섭AC
M홍숙희AC
G조남인2AT
M함도경Att</t>
  </si>
  <si>
    <t xml:space="preserve">M유승희3AC
M이홍섭Att</t>
  </si>
  <si>
    <t xml:space="preserve">M김소재AC
G한동수2AT
M나기태AC</t>
  </si>
  <si>
    <t xml:space="preserve">M이건식2AT
G박종민6AT</t>
  </si>
  <si>
    <t>류연우(B)</t>
  </si>
  <si>
    <t>F신연상B</t>
  </si>
  <si>
    <t xml:space="preserve">F민명식B
F이희B</t>
  </si>
  <si>
    <t xml:space="preserve">F이영자15B
F박양숙B</t>
  </si>
  <si>
    <t xml:space="preserve">F홍성주2B
F김대용2B</t>
  </si>
  <si>
    <t>F한홍구</t>
  </si>
  <si>
    <t>F김진석5B</t>
  </si>
  <si>
    <t>F유호민B</t>
  </si>
  <si>
    <t>F김순이5B</t>
  </si>
  <si>
    <t xml:space="preserve">F유훈종2B
F고영희2B</t>
  </si>
  <si>
    <t xml:space="preserve">F홍숙희B
F권영례B</t>
  </si>
  <si>
    <t>M유준오BC</t>
  </si>
  <si>
    <t>M이영자15BTt</t>
  </si>
  <si>
    <t xml:space="preserve">G신경순2BC
M김대용2BT</t>
  </si>
  <si>
    <t xml:space="preserve">M오도경DTt
M이희BT
M차승균BC
M김숙자8BC
G이경갑BT</t>
  </si>
  <si>
    <t xml:space="preserve">M민명식BC
M김진석5BT
G한홍구BT</t>
  </si>
  <si>
    <t xml:space="preserve">M배선애BC
M박양숙BC
G권영희3BT
M김미영13BTt</t>
  </si>
  <si>
    <t>M차종우BT</t>
  </si>
  <si>
    <t xml:space="preserve">M신연자BTt
M박경숙4BC</t>
  </si>
  <si>
    <r>
      <t xml:space="preserve">M신순용BTt
M유호민BT
G권영례BC
</t>
    </r>
    <r>
      <rPr>
        <b/>
        <charset val="129"/>
        <color rgb="FF0070C0"/>
        <family val="3"/>
        <sz val="10"/>
        <rFont val="돋움"/>
      </rPr>
      <t>M김순이5B</t>
    </r>
  </si>
  <si>
    <t xml:space="preserve">M홍숙희BC
G송우섭BC
M반지환BTt</t>
  </si>
  <si>
    <t xml:space="preserve">M김청하BC
M반원모BTt
G한동수2BT</t>
  </si>
  <si>
    <t xml:space="preserve">M유복숙BCPM
(어깨)
M임병희BC</t>
  </si>
  <si>
    <t xml:space="preserve">M고영희2BC
M손미화BT
M최중범BTt</t>
  </si>
  <si>
    <t>팀장</t>
  </si>
  <si>
    <t>김선우</t>
  </si>
  <si>
    <t>정윤구</t>
  </si>
  <si>
    <t>N염병숙A</t>
  </si>
  <si>
    <t>N이용출A</t>
  </si>
  <si>
    <t>N이홍섭A</t>
  </si>
  <si>
    <t>N7이흥식A</t>
  </si>
  <si>
    <t>N김소재A</t>
  </si>
  <si>
    <t>N한홍구B</t>
  </si>
  <si>
    <t>N배선애B</t>
  </si>
  <si>
    <t>N유복숙B</t>
  </si>
  <si>
    <t>N유호민B</t>
  </si>
  <si>
    <t>N손미화B</t>
  </si>
  <si>
    <t>N7이흥식B</t>
  </si>
  <si>
    <t xml:space="preserve">           시간    치료장비</t>
  </si>
  <si>
    <t xml:space="preserve">장태환/
류연우A
(모닝워크)</t>
  </si>
  <si>
    <t>W원종식D</t>
  </si>
  <si>
    <t>W이정례3A</t>
  </si>
  <si>
    <t>N오도경D</t>
  </si>
  <si>
    <t>W정경철A</t>
  </si>
  <si>
    <t>W황춘자A</t>
  </si>
  <si>
    <t>W임예수A</t>
  </si>
  <si>
    <t>M7김기천A</t>
  </si>
  <si>
    <t xml:space="preserve">주부동D
산재로봇</t>
  </si>
  <si>
    <t xml:space="preserve">김서윤5D
산재로봇</t>
  </si>
  <si>
    <t>RG이정임4R</t>
  </si>
  <si>
    <t xml:space="preserve">장태환/
류연우B
(모닝워크)</t>
  </si>
  <si>
    <t xml:space="preserve">이연숙5B
산재로봇</t>
  </si>
  <si>
    <t>W김남규4B</t>
  </si>
  <si>
    <t xml:space="preserve">이상용
(워크봇)</t>
  </si>
  <si>
    <t>W이팔원A</t>
  </si>
  <si>
    <t>RG채규칠R</t>
  </si>
  <si>
    <t>W김봉예A</t>
  </si>
  <si>
    <t>W정화구A</t>
  </si>
  <si>
    <t>W이순선A</t>
  </si>
  <si>
    <t>M7반지환A</t>
  </si>
  <si>
    <t>M7이홍섭A</t>
  </si>
  <si>
    <t>M15반원모A</t>
  </si>
  <si>
    <t>W주현수2D</t>
  </si>
  <si>
    <t>W김인기3B</t>
  </si>
  <si>
    <t>W김동윤3B</t>
  </si>
  <si>
    <t>W오정아B</t>
  </si>
  <si>
    <t>W조영란2B</t>
  </si>
  <si>
    <t>M15반원모B</t>
  </si>
  <si>
    <t>W윤동석2B</t>
  </si>
  <si>
    <t>M7김청하B</t>
  </si>
  <si>
    <t xml:space="preserve">조인호
(알봇)</t>
  </si>
  <si>
    <t>RG전영석2R</t>
  </si>
  <si>
    <t>W김진철4D</t>
  </si>
  <si>
    <t>W권수자A</t>
  </si>
  <si>
    <t>W오정아A</t>
  </si>
  <si>
    <t>RG윤충원R</t>
  </si>
  <si>
    <t>RG우영희2R</t>
  </si>
  <si>
    <t>W구예성D</t>
  </si>
  <si>
    <t>RG신명숙6R</t>
  </si>
  <si>
    <t>W연제순A</t>
  </si>
  <si>
    <t>W김복묵A</t>
  </si>
  <si>
    <t>RG김을순2R</t>
  </si>
  <si>
    <t>W배영수B</t>
  </si>
  <si>
    <t>W이병희3B</t>
  </si>
  <si>
    <t>소아 재활센터 시간표  2025. 12. 0 ()</t>
  </si>
  <si>
    <t>설지은A</t>
  </si>
  <si>
    <t>RN김은오A</t>
  </si>
  <si>
    <t>RN김바다2A</t>
  </si>
  <si>
    <t>M7에민(월,수)</t>
  </si>
  <si>
    <t>RN정도윤A</t>
  </si>
  <si>
    <t>RN권나은A</t>
  </si>
  <si>
    <t>RN이정담A</t>
  </si>
  <si>
    <t>RN장한이A</t>
  </si>
  <si>
    <t>RN윤하진2A</t>
  </si>
  <si>
    <t>M7정예서(금)</t>
  </si>
  <si>
    <r>
      <rPr>
        <charset val="129"/>
        <color rgb="FFFF0000"/>
        <family val="3"/>
        <scheme val="minor"/>
        <sz val="9"/>
        <rFont val="맑은 고딕"/>
      </rPr>
      <t xml:space="preserve">* 언어 &amp; 특수 스케줄 확인해서 수정해주세요.
</t>
    </r>
    <r>
      <rPr>
        <charset val="129"/>
        <color theme="1"/>
        <family val="3"/>
        <scheme val="minor"/>
        <sz val="10"/>
        <rFont val="맑은 고딕"/>
      </rPr>
      <t xml:space="preserve">
* 2층
- 
* 3층
-
* 4층 
- 
* 5층 
- 
* 6층 
- 
* 소아
- 정도윤님 : 낮병동(A) 스케줄추가 (RN2,RA4,RL2)
*치료시간변경
*오더변경
*외래 오더변경
</t>
    </r>
  </si>
  <si>
    <t>RN김민서21B</t>
  </si>
  <si>
    <t>RM유서윤B</t>
  </si>
  <si>
    <t>RN곽도희B</t>
  </si>
  <si>
    <t>RN박지유7B</t>
  </si>
  <si>
    <t>RN김연오B</t>
  </si>
  <si>
    <t>RN노연서2B</t>
  </si>
  <si>
    <t>RN권나은B</t>
  </si>
  <si>
    <t>RN김시온3B</t>
  </si>
  <si>
    <t>박지유</t>
  </si>
  <si>
    <t>RN우예린B</t>
  </si>
  <si>
    <t>이한비C</t>
  </si>
  <si>
    <t>RM이라함A</t>
  </si>
  <si>
    <t>RM권나은A</t>
  </si>
  <si>
    <t>RN김민서19A</t>
  </si>
  <si>
    <t>RM이수민10A</t>
  </si>
  <si>
    <t>RM윤하진2A</t>
  </si>
  <si>
    <t>RM정윤호3A</t>
  </si>
  <si>
    <t>RM박진우6A</t>
  </si>
  <si>
    <t>RM오윤아A</t>
  </si>
  <si>
    <t>RM이서우4A</t>
  </si>
  <si>
    <t>RN정상우2A</t>
  </si>
  <si>
    <t>RM최지선A</t>
  </si>
  <si>
    <t>RM유서연B</t>
  </si>
  <si>
    <t>RM권민건B</t>
  </si>
  <si>
    <t>RM신예은2B</t>
  </si>
  <si>
    <t>RN김바다2B</t>
  </si>
  <si>
    <t>RM김나린B</t>
  </si>
  <si>
    <t>RM장선우2B</t>
  </si>
  <si>
    <t>RN신유진7B</t>
  </si>
  <si>
    <t>RM김시온3B</t>
  </si>
  <si>
    <t>RM최세연B</t>
  </si>
  <si>
    <t>정유빈B</t>
  </si>
  <si>
    <t>RM신아린2A</t>
  </si>
  <si>
    <t>RM권성윤A</t>
  </si>
  <si>
    <t>RM김민서19A</t>
  </si>
  <si>
    <t>RM박찬빈2A</t>
  </si>
  <si>
    <t>RM이정담A</t>
  </si>
  <si>
    <t>RM김수호3A</t>
  </si>
  <si>
    <t>RM우사랑A</t>
  </si>
  <si>
    <t>RM박지온4B</t>
  </si>
  <si>
    <t>RM이라함B</t>
  </si>
  <si>
    <t>RM고주하B</t>
  </si>
  <si>
    <t>RM권나은B</t>
  </si>
  <si>
    <t>RM조하예B</t>
  </si>
  <si>
    <t>RM최아인4B</t>
  </si>
  <si>
    <t>RM문하성B</t>
  </si>
  <si>
    <t>RM신유진7B</t>
  </si>
  <si>
    <t>RM양아윤B</t>
  </si>
  <si>
    <t>김지우C</t>
  </si>
  <si>
    <t>RA이라함A</t>
  </si>
  <si>
    <t>RA권성윤A</t>
  </si>
  <si>
    <t>RA이정담A</t>
  </si>
  <si>
    <t>RA정윤호3A</t>
  </si>
  <si>
    <t>RD김수호3A</t>
  </si>
  <si>
    <t>RA정상우2A</t>
  </si>
  <si>
    <t>RA이서우4A</t>
  </si>
  <si>
    <t>RA박지온4B</t>
  </si>
  <si>
    <t>RA유서윤B</t>
  </si>
  <si>
    <t>RA신예은2B</t>
  </si>
  <si>
    <t>RA조하예B</t>
  </si>
  <si>
    <t>RA이라함B</t>
  </si>
  <si>
    <t>RD양아윤B</t>
  </si>
  <si>
    <t>RA문하성B</t>
  </si>
  <si>
    <t>RA우예린B</t>
  </si>
  <si>
    <t>RA강서준B</t>
  </si>
  <si>
    <t>손솔B</t>
  </si>
  <si>
    <t>RA김민서19A</t>
  </si>
  <si>
    <t>RA신아린2A</t>
  </si>
  <si>
    <t>RA김바다2A</t>
  </si>
  <si>
    <t>RA정도윤A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</si>
  <si>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</si>
  <si>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RD정윤호3A</t>
  </si>
  <si>
    <t>RA오윤아A</t>
  </si>
  <si>
    <t>RA김수호3A</t>
  </si>
  <si>
    <t>RA장한이A</t>
  </si>
  <si>
    <t>RA최지선A</t>
  </si>
  <si>
    <t>RA유서연B</t>
  </si>
  <si>
    <t>RA김바다2B</t>
  </si>
  <si>
    <t>RA곽도희B</t>
  </si>
  <si>
    <t>RD이라함B</t>
  </si>
  <si>
    <t>RA노연서2B</t>
  </si>
  <si>
    <t>RA최아인4B</t>
  </si>
  <si>
    <t>RA신유진7B</t>
  </si>
  <si>
    <t>RA양아윤B</t>
  </si>
  <si>
    <t>RA최세연B</t>
  </si>
  <si>
    <t>최인영A</t>
  </si>
  <si>
    <t>RA이지오2A</t>
  </si>
  <si>
    <t>RA이수민10A</t>
  </si>
  <si>
    <t>RD이라함A</t>
  </si>
  <si>
    <t>RA박찬빈2A</t>
  </si>
  <si>
    <t>RA박진우6A</t>
  </si>
  <si>
    <t>RA안유빈B</t>
  </si>
  <si>
    <t>RA고주하B</t>
  </si>
  <si>
    <t>RA윤이현B</t>
  </si>
  <si>
    <t>RA김연오B</t>
  </si>
  <si>
    <t>RA권나은B</t>
  </si>
  <si>
    <t>RA김나린B</t>
  </si>
  <si>
    <t>RA장선우2B</t>
  </si>
  <si>
    <t>문희연C</t>
  </si>
  <si>
    <t>RA손단우A</t>
  </si>
  <si>
    <t>RA윤하진2A</t>
  </si>
  <si>
    <t>RA우사랑A</t>
  </si>
  <si>
    <t>RD장선우2B</t>
  </si>
  <si>
    <t>RA김시온3B</t>
  </si>
  <si>
    <t>이은별</t>
  </si>
  <si>
    <t>송정민A</t>
  </si>
  <si>
    <t xml:space="preserve"> RA김은오A</t>
  </si>
  <si>
    <t>RA권나은A</t>
  </si>
  <si>
    <t>RD최지선A</t>
  </si>
  <si>
    <t>RA김민서21B</t>
  </si>
  <si>
    <t>RA권민건B</t>
  </si>
  <si>
    <t>RA박지유7B</t>
  </si>
  <si>
    <t>RD최아인4B</t>
  </si>
  <si>
    <t>언어재활 스케줄</t>
  </si>
  <si>
    <t>손종원C</t>
  </si>
  <si>
    <t>RL정도윤A</t>
  </si>
  <si>
    <t>RL권성윤A</t>
  </si>
  <si>
    <t>RL김바다2A</t>
  </si>
  <si>
    <t>L7정창래2A</t>
  </si>
  <si>
    <t>L7민유준A</t>
  </si>
  <si>
    <t>RL윤하진2A</t>
  </si>
  <si>
    <t>RL정윤호3A</t>
  </si>
  <si>
    <t>RL우사랑A</t>
  </si>
  <si>
    <t>L7김다연2A</t>
  </si>
  <si>
    <t>RL정상우2A</t>
  </si>
  <si>
    <t>손종원A</t>
  </si>
  <si>
    <t>L7김로민B</t>
  </si>
  <si>
    <t>RL유서윤B</t>
  </si>
  <si>
    <t>RL유서연B</t>
  </si>
  <si>
    <t>RL조하예B</t>
  </si>
  <si>
    <t>RL박지유7B</t>
  </si>
  <si>
    <t>L7강병준B</t>
  </si>
  <si>
    <t>RL최아인4B</t>
  </si>
  <si>
    <t>RL최세연B</t>
  </si>
  <si>
    <t>이수민A</t>
  </si>
  <si>
    <t>RL권나은A</t>
  </si>
  <si>
    <t>RL이라함A</t>
  </si>
  <si>
    <t>L7주현수2D</t>
  </si>
  <si>
    <t>L7김택중A</t>
  </si>
  <si>
    <t>L7정화구A</t>
  </si>
  <si>
    <t>L(산재)김수태</t>
  </si>
  <si>
    <t>RL장한이A</t>
  </si>
  <si>
    <t>RL손단우A</t>
  </si>
  <si>
    <t>RL박진우6A</t>
  </si>
  <si>
    <t>L(산재)박종민6A</t>
  </si>
  <si>
    <t>이수민B</t>
  </si>
  <si>
    <t>RL권민건B</t>
  </si>
  <si>
    <t>RL고주하B</t>
  </si>
  <si>
    <t>RL이라함B</t>
  </si>
  <si>
    <t>RL권나은B</t>
  </si>
  <si>
    <t>RL김바다2B</t>
  </si>
  <si>
    <t>RL김나린B</t>
  </si>
  <si>
    <t>RL김시온3B</t>
  </si>
  <si>
    <t>RL양아윤B</t>
  </si>
  <si>
    <t>RL강서준B</t>
  </si>
  <si>
    <t>조수현B</t>
  </si>
  <si>
    <t>RL이지오2A</t>
  </si>
  <si>
    <t>RL차미영3</t>
  </si>
  <si>
    <t>RL이수민10A</t>
  </si>
  <si>
    <t>L7임상미2A</t>
  </si>
  <si>
    <t>RL유태현3</t>
  </si>
  <si>
    <t>RL이진봉</t>
  </si>
  <si>
    <t>L7김주식D</t>
  </si>
  <si>
    <t>RL김수호3A</t>
  </si>
  <si>
    <t>RL이두현</t>
  </si>
  <si>
    <t>RL유정순3</t>
  </si>
  <si>
    <t>RL오윤아A</t>
  </si>
  <si>
    <t>RL이서우4A</t>
  </si>
  <si>
    <r>
      <t xml:space="preserve">*회복기 언어명단
 (빨간색표시된 분들 우선적으로 넣어주세요!)
3층 : 이두현님
4층 : </t>
    </r>
    <r>
      <rPr>
        <charset val="129"/>
        <color rgb="FFFF0000"/>
        <family val="3"/>
        <scheme val="minor"/>
        <sz val="9"/>
        <rFont val="맑은 고딕"/>
      </rPr>
      <t xml:space="preserve">김석기2님 채규칠님 </t>
    </r>
    <r>
      <rPr>
        <charset val="129"/>
        <family val="3"/>
        <scheme val="minor"/>
        <sz val="9"/>
        <rFont val="맑은 고딕"/>
      </rPr>
      <t xml:space="preserve">차미영3님 </t>
    </r>
    <r>
      <rPr>
        <charset val="129"/>
        <color rgb="FFFF0000"/>
        <family val="3"/>
        <scheme val="minor"/>
        <sz val="9"/>
        <rFont val="맑은 고딕"/>
      </rPr>
      <t>이준구2님 조영란2님</t>
    </r>
    <r>
      <rPr>
        <charset val="129"/>
        <color theme="1"/>
        <family val="2"/>
        <scheme val="minor"/>
        <sz val="9"/>
        <rFont val="맑은 고딕"/>
      </rPr>
      <t xml:space="preserve">
5층 : </t>
    </r>
    <r>
      <rPr>
        <charset val="129"/>
        <color rgb="FFFF0000"/>
        <family val="3"/>
        <scheme val="minor"/>
        <sz val="9"/>
        <rFont val="맑은 고딕"/>
      </rPr>
      <t xml:space="preserve">김인순3님 권오운님 황종길님L(자보) 서극원님
       강용수님 </t>
    </r>
    <r>
      <rPr>
        <charset val="129"/>
        <family val="3"/>
        <scheme val="minor"/>
        <sz val="9"/>
        <rFont val="맑은 고딕"/>
      </rPr>
      <t xml:space="preserve">이진봉님 유정순3님 </t>
    </r>
    <r>
      <rPr>
        <charset val="129"/>
        <color rgb="FFFF0000"/>
        <family val="3"/>
        <scheme val="minor"/>
        <sz val="9"/>
        <rFont val="맑은 고딕"/>
      </rPr>
      <t>우영희2님</t>
    </r>
    <r>
      <rPr>
        <charset val="129"/>
        <color theme="1"/>
        <family val="2"/>
        <scheme val="minor"/>
        <sz val="9"/>
        <rFont val="맑은 고딕"/>
      </rPr>
      <t xml:space="preserve">
6층 : </t>
    </r>
    <r>
      <rPr>
        <charset val="129"/>
        <color rgb="FFFF0000"/>
        <family val="3"/>
        <scheme val="minor"/>
        <sz val="9"/>
        <rFont val="맑은 고딕"/>
      </rPr>
      <t xml:space="preserve">구예성님 진호연님 김영순46님 박종순13님 </t>
    </r>
    <r>
      <rPr>
        <charset val="129"/>
        <family val="3"/>
        <scheme val="minor"/>
        <sz val="9"/>
        <rFont val="맑은 고딕"/>
      </rPr>
      <t>유태현3님</t>
    </r>
  </si>
  <si>
    <t>조수현A</t>
  </si>
  <si>
    <t>RL박지온4B</t>
  </si>
  <si>
    <t>RL윤이현B</t>
  </si>
  <si>
    <t>RL김연오B</t>
  </si>
  <si>
    <t>RL문하성B</t>
  </si>
  <si>
    <t>RL장선우2B</t>
  </si>
  <si>
    <t>김아영A</t>
  </si>
  <si>
    <t>RL신아린2A</t>
  </si>
  <si>
    <t>RL안유빈B</t>
  </si>
  <si>
    <t>박하은</t>
  </si>
  <si>
    <t>월수금</t>
  </si>
  <si>
    <t>RP박진우6A</t>
  </si>
  <si>
    <t>RP오윤아A</t>
  </si>
  <si>
    <t>화목</t>
  </si>
  <si>
    <t xml:space="preserve">정화구님 : L7(A&gt;D) 변경 대기
서극원님 : 언어 회복기 추가 대기
강용수님 : 언어 회복기 추가 대기
이준구2님 : 언어 회복기 추가 대기
김정숙31님 : L(자보) 추가 대기
12월1일 : 김로민 OPD(B) L7스케줄추가 (8:30~9:05)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</si>
</sst>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5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2"/>
      <name val="돋움"/>
    </font>
    <font>
      <charset val="129"/>
      <color rgb="FF000000"/>
      <family val="3"/>
      <sz val="8"/>
      <name val="돋움"/>
    </font>
    <font>
      <charset val="129"/>
      <family val="3"/>
      <sz val="8"/>
      <name val="돋움"/>
    </font>
    <font>
      <charset val="129"/>
      <color rgb="FF000000"/>
      <family val="3"/>
      <sz val="10"/>
      <name val="돋움"/>
    </font>
    <font>
      <b/>
      <charset val="129"/>
      <family val="3"/>
      <sz val="10"/>
      <name val="돋움"/>
    </font>
    <font>
      <charset val="129"/>
      <family val="3"/>
      <sz val="10"/>
      <name val="돋움"/>
    </font>
    <font>
      <charset val="129"/>
      <color theme="1"/>
      <family val="3"/>
      <sz val="10"/>
      <name val="돋움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rgb="FF000000"/>
      <family val="3"/>
      <sz val="10"/>
      <name val="돋움"/>
    </font>
    <font>
      <charset val="129"/>
      <color theme="1"/>
      <family val="3"/>
      <scheme val="minor"/>
      <sz val="10"/>
      <name val="맑은 고딕"/>
    </font>
    <font>
      <charset val="129"/>
      <family val="2"/>
      <scheme val="minor"/>
      <sz val="10"/>
      <name val="맑은 고딕"/>
    </font>
    <font>
      <u/>
      <charset val="129"/>
      <family val="3"/>
      <sz val="10"/>
      <name val="돋움"/>
    </font>
    <font>
      <b/>
      <charset val="129"/>
      <family val="3"/>
      <sz val="10"/>
      <name val="굴림"/>
    </font>
    <font>
      <charset val="129"/>
      <color rgb="FF000000"/>
      <family val="3"/>
      <sz val="8"/>
      <name val="굴림"/>
    </font>
    <font>
      <charset val="129"/>
      <color rgb="FF00B050"/>
      <family val="3"/>
      <sz val="10"/>
      <name val="돋움"/>
    </font>
    <font>
      <charset val="129"/>
      <color theme="1"/>
      <family val="3"/>
      <scheme val="major"/>
      <sz val="11"/>
      <name val="맑은 고딕"/>
    </font>
    <font>
      <charset val="129"/>
      <color theme="0"/>
      <family val="3"/>
      <sz val="10"/>
      <name val="돋움"/>
    </font>
    <font>
      <b/>
      <charset val="129"/>
      <family val="3"/>
      <sz val="8"/>
      <name val="돋움"/>
    </font>
    <font>
      <charset val="129"/>
      <color rgb="FF000000"/>
      <family val="3"/>
      <sz val="10"/>
      <name val="굴림"/>
    </font>
    <font>
      <charset val="129"/>
      <family val="3"/>
      <sz val="8"/>
      <name val="굴림"/>
    </font>
    <font>
      <charset val="129"/>
      <color theme="0" tint="-0.249977111117893"/>
      <family val="3"/>
      <sz val="10"/>
      <name val="돋움"/>
    </font>
    <font>
      <charset val="129"/>
      <color theme="1"/>
      <family val="2"/>
      <scheme val="minor"/>
      <sz val="8"/>
      <name val="맑은 고딕"/>
    </font>
    <font>
      <charset val="129"/>
      <family val="2"/>
      <scheme val="minor"/>
      <sz val="11"/>
      <name val="맑은 고딕"/>
    </font>
    <font>
      <charset val="129"/>
      <family val="3"/>
      <scheme val="major"/>
      <sz val="11"/>
      <name val="맑은 고딕"/>
    </font>
    <font>
      <charset val="129"/>
      <color rgb="FF0070C0"/>
      <family val="3"/>
      <sz val="10"/>
      <name val="돋움"/>
    </font>
    <font>
      <charset val="129"/>
      <color rgb="FF7030A0"/>
      <family val="3"/>
      <sz val="10"/>
      <name val="돋움"/>
    </font>
    <font>
      <b/>
      <charset val="129"/>
      <color theme="1"/>
      <family val="3"/>
      <sz val="12"/>
      <name val="돋움"/>
    </font>
    <font>
      <b/>
      <charset val="129"/>
      <color rgb="FF000000"/>
      <family val="3"/>
      <sz val="10"/>
      <name val="굴림"/>
    </font>
    <font>
      <charset val="129"/>
      <color theme="1"/>
      <family val="3"/>
      <sz val="10"/>
      <name val="굴림"/>
    </font>
    <font>
      <charset val="129"/>
      <family val="3"/>
      <sz val="10"/>
      <name val="굴림"/>
    </font>
    <font>
      <charset val="129"/>
      <color rgb="FF0070C0"/>
      <family val="3"/>
      <sz val="10"/>
      <name val="굴림"/>
    </font>
    <font>
      <charset val="129"/>
      <color rgb="FFC00000"/>
      <family val="3"/>
      <sz val="10"/>
      <name val="굴림"/>
    </font>
    <font>
      <b/>
      <charset val="129"/>
      <color theme="1"/>
      <family val="3"/>
      <sz val="10"/>
      <name val="굴림"/>
    </font>
    <font>
      <charset val="129"/>
      <color rgb="FFC00000"/>
      <family val="3"/>
      <sz val="10"/>
      <name val="돋움"/>
    </font>
    <font>
      <b/>
      <charset val="129"/>
      <family val="3"/>
      <scheme val="minor"/>
      <sz val="11"/>
      <name val="맑은 고딕"/>
    </font>
    <font>
      <charset val="129"/>
      <family val="3"/>
      <sz val="11"/>
      <name val="돋움"/>
    </font>
    <font>
      <charset val="129"/>
      <color theme="4" tint="-0.249977111117893"/>
      <family val="3"/>
      <sz val="10"/>
      <name val="돋움"/>
    </font>
    <font>
      <b/>
      <charset val="129"/>
      <color rgb="FF0070C0"/>
      <family val="3"/>
      <sz val="10"/>
      <name val="돋움"/>
    </font>
    <font>
      <u/>
      <charset val="129"/>
      <color theme="1"/>
      <family val="3"/>
      <sz val="10"/>
      <name val="돋움"/>
    </font>
    <font>
      <charset val="129"/>
      <color rgb="FF0070C0"/>
      <family val="3"/>
      <sz val="9"/>
      <name val="돋움"/>
    </font>
    <font>
      <charset val="129"/>
      <color theme="1"/>
      <family val="2"/>
      <scheme val="minor"/>
      <sz val="9"/>
      <name val="맑은 고딕"/>
    </font>
    <font>
      <charset val="129"/>
      <family val="3"/>
      <scheme val="minor"/>
      <sz val="9"/>
      <name val="맑은 고딕"/>
    </font>
  </fonts>
  <fills count="11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6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6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 wrapText="1"/>
    </xf>
    <xf numFmtId="0" fontId="28" fillId="7" borderId="18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2" fillId="7" borderId="9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29" fillId="0" borderId="1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3" fillId="7" borderId="9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8" fillId="0" borderId="39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7" fillId="6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1" fillId="0" borderId="9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8" fillId="8" borderId="0" xfId="0" applyFont="1" applyFill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27" fillId="8" borderId="13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8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8" fillId="8" borderId="4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8" fillId="8" borderId="40" xfId="0" applyFont="1" applyFill="1" applyBorder="1" applyAlignment="1">
      <alignment vertical="center"/>
    </xf>
    <xf numFmtId="0" fontId="8" fillId="8" borderId="16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27" fillId="8" borderId="2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 wrapText="1"/>
    </xf>
    <xf numFmtId="49" fontId="27" fillId="0" borderId="13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44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FormatPr defaultRowHeight="15" outlineLevelRow="0" outlineLevelCol="0" x14ac:dyDescent="55"/>
  <cols>
    <col min="1" max="1" width="3.25" customWidth="1"/>
    <col min="2" max="2" width="10" customWidth="1"/>
    <col min="3" max="11" width="11.875" customWidth="1"/>
    <col min="12" max="12" width="2.625" customWidth="1"/>
    <col min="13" max="19" width="11.875" customWidth="1"/>
    <col min="20" max="20" width="1.625" customWidth="1"/>
    <col min="21" max="26" width="8.125" customWidth="1"/>
  </cols>
  <sheetData>
    <row r="1" ht="16.5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" customHeight="1" spans="1:19" x14ac:dyDescent="0.25">
      <c r="A3" s="3"/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7">
        <f>AVERAGE(R4:R28)</f>
        <v>1</v>
      </c>
      <c r="S3" s="7"/>
    </row>
    <row r="4" ht="27.95" customHeight="1" spans="1:26" x14ac:dyDescent="0.25">
      <c r="A4" s="8">
        <v>1</v>
      </c>
      <c r="B4" s="9" t="s">
        <v>18</v>
      </c>
      <c r="C4" s="10"/>
      <c r="D4" s="10"/>
      <c r="E4" s="11" t="s">
        <v>19</v>
      </c>
      <c r="F4" s="11" t="s">
        <v>20</v>
      </c>
      <c r="G4" s="11" t="s">
        <v>21</v>
      </c>
      <c r="H4" s="12" t="s">
        <v>22</v>
      </c>
      <c r="I4" s="11" t="s">
        <v>23</v>
      </c>
      <c r="J4" s="11" t="s">
        <v>24</v>
      </c>
      <c r="K4" s="11" t="s">
        <v>25</v>
      </c>
      <c r="L4" s="11"/>
      <c r="M4" s="11" t="s">
        <v>26</v>
      </c>
      <c r="N4" s="11" t="s">
        <v>27</v>
      </c>
      <c r="O4" s="11" t="s">
        <v>28</v>
      </c>
      <c r="P4" s="11" t="s">
        <v>29</v>
      </c>
      <c r="Q4" s="11" t="s">
        <v>30</v>
      </c>
      <c r="R4" s="13">
        <f>(COUNTA(C4:Q4))/12</f>
        <v>1</v>
      </c>
      <c r="S4" s="13"/>
      <c r="T4" s="14"/>
      <c r="U4" s="15" t="s">
        <v>31</v>
      </c>
      <c r="V4" s="15"/>
      <c r="W4" s="15"/>
      <c r="X4" s="15"/>
      <c r="Y4" s="15"/>
      <c r="Z4" s="15"/>
    </row>
    <row r="5" ht="27.95" customHeight="1" spans="1:26" x14ac:dyDescent="0.25">
      <c r="A5" s="8">
        <v>2</v>
      </c>
      <c r="B5" s="16" t="s">
        <v>32</v>
      </c>
      <c r="C5" s="10"/>
      <c r="D5" s="10"/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7" t="s">
        <v>39</v>
      </c>
      <c r="L5" s="11"/>
      <c r="M5" s="12" t="s">
        <v>40</v>
      </c>
      <c r="N5" s="18" t="s">
        <v>41</v>
      </c>
      <c r="O5" s="11" t="s">
        <v>42</v>
      </c>
      <c r="P5" s="11" t="s">
        <v>43</v>
      </c>
      <c r="Q5" s="11" t="s">
        <v>44</v>
      </c>
      <c r="R5" s="13">
        <f t="shared" ref="R5:R22" si="0">(COUNTA(C5:Q5))/12</f>
        <v>1</v>
      </c>
      <c r="S5" s="13"/>
      <c r="T5" s="14"/>
      <c r="U5" s="19"/>
      <c r="V5" s="19"/>
      <c r="W5" s="19"/>
      <c r="X5" s="19"/>
      <c r="Y5" s="19"/>
      <c r="Z5" s="19"/>
    </row>
    <row r="6" ht="27.75" customHeight="1" spans="1:26" x14ac:dyDescent="0.25">
      <c r="A6" s="8">
        <v>3</v>
      </c>
      <c r="B6" s="16" t="s">
        <v>45</v>
      </c>
      <c r="C6" s="10"/>
      <c r="D6" s="10"/>
      <c r="E6" s="11" t="s">
        <v>44</v>
      </c>
      <c r="F6" s="11" t="s">
        <v>46</v>
      </c>
      <c r="G6" s="11" t="s">
        <v>47</v>
      </c>
      <c r="H6" s="11" t="s">
        <v>48</v>
      </c>
      <c r="I6" s="11" t="s">
        <v>49</v>
      </c>
      <c r="J6" s="20" t="s">
        <v>50</v>
      </c>
      <c r="K6" s="11" t="s">
        <v>42</v>
      </c>
      <c r="L6" s="11"/>
      <c r="M6" s="11" t="s">
        <v>51</v>
      </c>
      <c r="N6" s="11" t="s">
        <v>52</v>
      </c>
      <c r="O6" s="11" t="s">
        <v>53</v>
      </c>
      <c r="P6" s="11" t="s">
        <v>54</v>
      </c>
      <c r="Q6" s="11" t="s">
        <v>55</v>
      </c>
      <c r="R6" s="13">
        <f t="shared" si="0"/>
        <v>1</v>
      </c>
      <c r="S6" s="13"/>
      <c r="T6" s="14"/>
      <c r="U6" s="19"/>
      <c r="V6" s="19"/>
      <c r="W6" s="19"/>
      <c r="X6" s="19"/>
      <c r="Y6" s="19"/>
      <c r="Z6" s="19"/>
    </row>
    <row r="7" ht="27.95" customHeight="1" spans="1:26" x14ac:dyDescent="0.25">
      <c r="A7" s="8">
        <v>4</v>
      </c>
      <c r="B7" s="9" t="s">
        <v>56</v>
      </c>
      <c r="C7" s="10"/>
      <c r="D7" s="10"/>
      <c r="E7" s="11" t="s">
        <v>57</v>
      </c>
      <c r="F7" s="20" t="s">
        <v>37</v>
      </c>
      <c r="G7" s="11" t="s">
        <v>58</v>
      </c>
      <c r="H7" s="11" t="s">
        <v>59</v>
      </c>
      <c r="I7" s="11" t="s">
        <v>52</v>
      </c>
      <c r="J7" s="11" t="s">
        <v>58</v>
      </c>
      <c r="K7" s="11" t="s">
        <v>60</v>
      </c>
      <c r="L7" s="21"/>
      <c r="M7" s="20" t="s">
        <v>61</v>
      </c>
      <c r="N7" s="11" t="s">
        <v>29</v>
      </c>
      <c r="O7" s="11" t="s">
        <v>62</v>
      </c>
      <c r="P7" s="11" t="s">
        <v>63</v>
      </c>
      <c r="Q7" s="11" t="s">
        <v>23</v>
      </c>
      <c r="R7" s="13">
        <f t="shared" si="0"/>
        <v>1</v>
      </c>
      <c r="S7" s="13"/>
      <c r="T7" s="14"/>
      <c r="U7" s="19"/>
      <c r="V7" s="19"/>
      <c r="W7" s="19"/>
      <c r="X7" s="19"/>
      <c r="Y7" s="19"/>
      <c r="Z7" s="19"/>
    </row>
    <row r="8" ht="27.95" customHeight="1" spans="1:26" x14ac:dyDescent="0.25">
      <c r="A8" s="8">
        <v>5</v>
      </c>
      <c r="B8" s="22" t="s">
        <v>64</v>
      </c>
      <c r="C8" s="10"/>
      <c r="D8" s="10"/>
      <c r="E8" s="11" t="s">
        <v>65</v>
      </c>
      <c r="F8" s="11" t="s">
        <v>66</v>
      </c>
      <c r="G8" s="23" t="s">
        <v>67</v>
      </c>
      <c r="H8" s="11" t="s">
        <v>68</v>
      </c>
      <c r="I8" s="11" t="s">
        <v>19</v>
      </c>
      <c r="J8" s="11" t="s">
        <v>69</v>
      </c>
      <c r="K8" s="11" t="s">
        <v>70</v>
      </c>
      <c r="L8" s="23"/>
      <c r="M8" s="17" t="s">
        <v>41</v>
      </c>
      <c r="N8" s="18" t="s">
        <v>71</v>
      </c>
      <c r="O8" s="24" t="s">
        <v>72</v>
      </c>
      <c r="P8" s="11" t="s">
        <v>73</v>
      </c>
      <c r="Q8" s="20" t="s">
        <v>74</v>
      </c>
      <c r="R8" s="13">
        <f>(COUNTA(C8:Q8))/12</f>
        <v>1</v>
      </c>
      <c r="S8" s="13"/>
      <c r="T8" s="14"/>
      <c r="U8" s="25" t="s">
        <v>75</v>
      </c>
      <c r="V8" s="25"/>
      <c r="W8" s="25"/>
      <c r="X8" s="25"/>
      <c r="Y8" s="25"/>
      <c r="Z8" s="25"/>
    </row>
    <row r="9" ht="27.95" customHeight="1" spans="1:26" x14ac:dyDescent="0.25">
      <c r="A9" s="8">
        <v>6</v>
      </c>
      <c r="B9" s="9" t="s">
        <v>76</v>
      </c>
      <c r="C9" s="10"/>
      <c r="D9" s="10"/>
      <c r="E9" s="20" t="s">
        <v>77</v>
      </c>
      <c r="F9" s="11" t="s">
        <v>78</v>
      </c>
      <c r="G9" s="11" t="s">
        <v>28</v>
      </c>
      <c r="H9" s="11" t="s">
        <v>79</v>
      </c>
      <c r="I9" s="11" t="s">
        <v>80</v>
      </c>
      <c r="J9" s="17" t="s">
        <v>25</v>
      </c>
      <c r="K9" s="11" t="s">
        <v>81</v>
      </c>
      <c r="L9" s="11"/>
      <c r="M9" s="18" t="s">
        <v>82</v>
      </c>
      <c r="N9" s="11" t="s">
        <v>21</v>
      </c>
      <c r="O9" s="11" t="s">
        <v>83</v>
      </c>
      <c r="P9" s="11" t="s">
        <v>84</v>
      </c>
      <c r="Q9" s="20" t="s">
        <v>85</v>
      </c>
      <c r="R9" s="13">
        <f>(COUNTA(C9:Q9))/12</f>
        <v>1</v>
      </c>
      <c r="S9" s="13"/>
      <c r="T9" s="14"/>
      <c r="U9" s="26"/>
      <c r="V9" s="26"/>
      <c r="W9" s="26"/>
      <c r="X9" s="26"/>
      <c r="Y9" s="26"/>
      <c r="Z9" s="26"/>
    </row>
    <row r="10" ht="27.75" customHeight="1" spans="1:26" x14ac:dyDescent="0.25">
      <c r="A10" s="8">
        <v>7</v>
      </c>
      <c r="B10" s="9" t="s">
        <v>86</v>
      </c>
      <c r="C10" s="10"/>
      <c r="D10" s="10"/>
      <c r="E10" s="11" t="s">
        <v>87</v>
      </c>
      <c r="F10" s="11" t="s">
        <v>88</v>
      </c>
      <c r="G10" s="11" t="s">
        <v>89</v>
      </c>
      <c r="H10" s="11" t="s">
        <v>90</v>
      </c>
      <c r="I10" s="17" t="s">
        <v>41</v>
      </c>
      <c r="J10" s="21" t="s">
        <v>91</v>
      </c>
      <c r="K10" s="27" t="s">
        <v>78</v>
      </c>
      <c r="L10" s="28"/>
      <c r="M10" s="20" t="s">
        <v>50</v>
      </c>
      <c r="N10" s="11" t="s">
        <v>92</v>
      </c>
      <c r="O10" s="11" t="s">
        <v>21</v>
      </c>
      <c r="P10" s="11" t="s">
        <v>93</v>
      </c>
      <c r="Q10" s="11" t="s">
        <v>94</v>
      </c>
      <c r="R10" s="13">
        <f>(COUNTA(C10:Q10))/12</f>
        <v>1</v>
      </c>
      <c r="S10" s="13"/>
      <c r="T10" s="14"/>
      <c r="U10" s="26"/>
      <c r="V10" s="26"/>
      <c r="W10" s="26"/>
      <c r="X10" s="26"/>
      <c r="Y10" s="26"/>
      <c r="Z10" s="26"/>
    </row>
    <row r="11" ht="27.95" customHeight="1" spans="1:26" x14ac:dyDescent="0.25">
      <c r="A11" s="8">
        <v>8</v>
      </c>
      <c r="B11" s="29" t="s">
        <v>95</v>
      </c>
      <c r="C11" s="10"/>
      <c r="D11" s="10"/>
      <c r="E11" s="11" t="s">
        <v>96</v>
      </c>
      <c r="F11" s="11" t="s">
        <v>97</v>
      </c>
      <c r="G11" s="11" t="s">
        <v>55</v>
      </c>
      <c r="H11" s="11" t="s">
        <v>28</v>
      </c>
      <c r="I11" s="11" t="s">
        <v>98</v>
      </c>
      <c r="J11" s="20" t="s">
        <v>96</v>
      </c>
      <c r="K11" s="20" t="s">
        <v>94</v>
      </c>
      <c r="L11" s="11"/>
      <c r="M11" s="11" t="s">
        <v>68</v>
      </c>
      <c r="N11" s="20" t="s">
        <v>37</v>
      </c>
      <c r="O11" s="11" t="s">
        <v>73</v>
      </c>
      <c r="P11" s="11" t="s">
        <v>22</v>
      </c>
      <c r="Q11" s="11" t="s">
        <v>58</v>
      </c>
      <c r="R11" s="13">
        <f>(COUNTA(C11:Q11))/12</f>
        <v>1</v>
      </c>
      <c r="S11" s="13"/>
      <c r="T11" s="14"/>
      <c r="U11" s="26"/>
      <c r="V11" s="26"/>
      <c r="W11" s="26"/>
      <c r="X11" s="26"/>
      <c r="Y11" s="26"/>
      <c r="Z11" s="26"/>
    </row>
    <row r="12" ht="27.95" customHeight="1" spans="1:26" x14ac:dyDescent="0.25">
      <c r="A12" s="8">
        <v>9</v>
      </c>
      <c r="B12" s="16" t="s">
        <v>99</v>
      </c>
      <c r="C12" s="30" t="s">
        <v>54</v>
      </c>
      <c r="D12" s="31" t="s">
        <v>100</v>
      </c>
      <c r="E12" s="11" t="s">
        <v>80</v>
      </c>
      <c r="F12" s="20" t="s">
        <v>101</v>
      </c>
      <c r="G12" s="20" t="s">
        <v>102</v>
      </c>
      <c r="H12" s="20" t="s">
        <v>85</v>
      </c>
      <c r="I12" s="20" t="s">
        <v>103</v>
      </c>
      <c r="J12" s="17" t="s">
        <v>104</v>
      </c>
      <c r="K12" s="11" t="s">
        <v>23</v>
      </c>
      <c r="L12" s="20"/>
      <c r="M12" s="20" t="s">
        <v>105</v>
      </c>
      <c r="N12" s="20" t="s">
        <v>38</v>
      </c>
      <c r="O12" s="11" t="s">
        <v>93</v>
      </c>
      <c r="P12" s="32"/>
      <c r="Q12" s="32"/>
      <c r="R12" s="13">
        <f t="shared" si="0"/>
        <v>1</v>
      </c>
      <c r="S12" s="13"/>
      <c r="T12" s="14"/>
      <c r="U12" s="26"/>
      <c r="V12" s="26"/>
      <c r="W12" s="26"/>
      <c r="X12" s="26"/>
      <c r="Y12" s="26"/>
      <c r="Z12" s="26"/>
    </row>
    <row r="13" ht="27.95" customHeight="1" spans="1:26" x14ac:dyDescent="0.25">
      <c r="A13" s="8">
        <v>10</v>
      </c>
      <c r="B13" s="22" t="s">
        <v>106</v>
      </c>
      <c r="C13" s="33" t="s">
        <v>107</v>
      </c>
      <c r="D13" s="33" t="s">
        <v>108</v>
      </c>
      <c r="E13" s="11" t="s">
        <v>81</v>
      </c>
      <c r="F13" s="34" t="s">
        <v>109</v>
      </c>
      <c r="G13" s="34" t="s">
        <v>110</v>
      </c>
      <c r="H13" s="34" t="s">
        <v>69</v>
      </c>
      <c r="I13" s="34" t="s">
        <v>70</v>
      </c>
      <c r="J13" s="34" t="s">
        <v>111</v>
      </c>
      <c r="K13" s="34" t="s">
        <v>26</v>
      </c>
      <c r="L13" s="35"/>
      <c r="M13" s="34" t="s">
        <v>112</v>
      </c>
      <c r="N13" s="11" t="s">
        <v>102</v>
      </c>
      <c r="O13" s="11" t="s">
        <v>23</v>
      </c>
      <c r="P13" s="32"/>
      <c r="Q13" s="32"/>
      <c r="R13" s="13">
        <f t="shared" si="0"/>
        <v>1</v>
      </c>
      <c r="S13" s="13"/>
      <c r="T13" s="14"/>
      <c r="U13" s="26"/>
      <c r="V13" s="26"/>
      <c r="W13" s="26"/>
      <c r="X13" s="26"/>
      <c r="Y13" s="26"/>
      <c r="Z13" s="26"/>
    </row>
    <row r="14" ht="27.95" customHeight="1" spans="1:26" x14ac:dyDescent="0.25">
      <c r="A14" s="36">
        <v>11</v>
      </c>
      <c r="B14" s="37" t="s">
        <v>113</v>
      </c>
      <c r="C14" s="38"/>
      <c r="D14" s="38"/>
      <c r="E14" s="39" t="s">
        <v>114</v>
      </c>
      <c r="F14" s="39" t="s">
        <v>115</v>
      </c>
      <c r="G14" s="39" t="s">
        <v>116</v>
      </c>
      <c r="H14" s="24" t="s">
        <v>117</v>
      </c>
      <c r="I14" s="39" t="s">
        <v>118</v>
      </c>
      <c r="J14" s="40" t="s">
        <v>119</v>
      </c>
      <c r="K14" s="20" t="s">
        <v>120</v>
      </c>
      <c r="L14" s="41"/>
      <c r="M14" s="20" t="s">
        <v>121</v>
      </c>
      <c r="N14" s="39" t="s">
        <v>122</v>
      </c>
      <c r="O14" s="41" t="s">
        <v>123</v>
      </c>
      <c r="P14" s="42" t="s">
        <v>124</v>
      </c>
      <c r="Q14" s="39" t="s">
        <v>125</v>
      </c>
      <c r="R14" s="13">
        <f t="shared" si="0"/>
        <v>1</v>
      </c>
      <c r="S14" s="13"/>
      <c r="T14" s="14"/>
      <c r="U14" s="26"/>
      <c r="V14" s="26"/>
      <c r="W14" s="26"/>
      <c r="X14" s="26"/>
      <c r="Y14" s="26"/>
      <c r="Z14" s="26"/>
    </row>
    <row r="15" ht="27.95" customHeight="1" spans="1:26" x14ac:dyDescent="0.25">
      <c r="A15" s="43">
        <v>12</v>
      </c>
      <c r="B15" s="44" t="s">
        <v>126</v>
      </c>
      <c r="C15" s="38"/>
      <c r="D15" s="38"/>
      <c r="E15" s="11" t="s">
        <v>121</v>
      </c>
      <c r="F15" s="24" t="s">
        <v>127</v>
      </c>
      <c r="G15" s="12" t="s">
        <v>128</v>
      </c>
      <c r="H15" s="11" t="s">
        <v>129</v>
      </c>
      <c r="I15" s="11" t="s">
        <v>130</v>
      </c>
      <c r="J15" s="11" t="s">
        <v>131</v>
      </c>
      <c r="K15" s="11" t="s">
        <v>132</v>
      </c>
      <c r="L15" s="11"/>
      <c r="M15" s="11" t="s">
        <v>133</v>
      </c>
      <c r="N15" s="11" t="s">
        <v>134</v>
      </c>
      <c r="O15" s="11" t="s">
        <v>135</v>
      </c>
      <c r="P15" s="11" t="s">
        <v>136</v>
      </c>
      <c r="Q15" s="17" t="s">
        <v>137</v>
      </c>
      <c r="R15" s="13">
        <f t="shared" si="0"/>
        <v>1</v>
      </c>
      <c r="S15" s="13"/>
      <c r="T15" s="14"/>
      <c r="U15" s="26"/>
      <c r="V15" s="26"/>
      <c r="W15" s="26"/>
      <c r="X15" s="26"/>
      <c r="Y15" s="26"/>
      <c r="Z15" s="26"/>
    </row>
    <row r="16" ht="27.95" customHeight="1" spans="1:26" x14ac:dyDescent="0.25">
      <c r="A16" s="43">
        <v>13</v>
      </c>
      <c r="B16" s="44" t="s">
        <v>138</v>
      </c>
      <c r="C16" s="38"/>
      <c r="D16" s="38"/>
      <c r="E16" s="11" t="s">
        <v>125</v>
      </c>
      <c r="F16" s="11" t="s">
        <v>139</v>
      </c>
      <c r="G16" s="11" t="s">
        <v>121</v>
      </c>
      <c r="H16" s="11" t="s">
        <v>140</v>
      </c>
      <c r="I16" s="11" t="s">
        <v>125</v>
      </c>
      <c r="J16" s="11" t="s">
        <v>141</v>
      </c>
      <c r="K16" s="11" t="s">
        <v>142</v>
      </c>
      <c r="L16" s="11"/>
      <c r="M16" s="11" t="s">
        <v>143</v>
      </c>
      <c r="N16" s="11" t="s">
        <v>144</v>
      </c>
      <c r="O16" s="11" t="s">
        <v>145</v>
      </c>
      <c r="P16" s="11" t="s">
        <v>146</v>
      </c>
      <c r="Q16" s="20" t="s">
        <v>147</v>
      </c>
      <c r="R16" s="13">
        <f>(COUNTA(C16:Q16))/12</f>
        <v>1</v>
      </c>
      <c r="S16" s="13"/>
      <c r="T16" s="14"/>
      <c r="U16" s="26"/>
      <c r="V16" s="26"/>
      <c r="W16" s="26"/>
      <c r="X16" s="26"/>
      <c r="Y16" s="26"/>
      <c r="Z16" s="26"/>
    </row>
    <row r="17" ht="27.95" customHeight="1" spans="1:26" x14ac:dyDescent="0.25">
      <c r="A17" s="43">
        <v>14</v>
      </c>
      <c r="B17" s="45" t="s">
        <v>148</v>
      </c>
      <c r="C17" s="38"/>
      <c r="D17" s="38"/>
      <c r="E17" s="20" t="s">
        <v>149</v>
      </c>
      <c r="F17" s="11" t="s">
        <v>150</v>
      </c>
      <c r="G17" s="20" t="s">
        <v>151</v>
      </c>
      <c r="H17" s="46" t="s">
        <v>152</v>
      </c>
      <c r="I17" s="20" t="s">
        <v>115</v>
      </c>
      <c r="J17" s="12" t="s">
        <v>153</v>
      </c>
      <c r="K17" s="20" t="s">
        <v>154</v>
      </c>
      <c r="L17" s="47"/>
      <c r="M17" s="20" t="s">
        <v>155</v>
      </c>
      <c r="N17" s="20" t="s">
        <v>156</v>
      </c>
      <c r="O17" s="20" t="s">
        <v>157</v>
      </c>
      <c r="P17" s="11" t="s">
        <v>158</v>
      </c>
      <c r="Q17" s="17" t="s">
        <v>159</v>
      </c>
      <c r="R17" s="13">
        <f t="shared" si="0"/>
        <v>1</v>
      </c>
      <c r="S17" s="13"/>
      <c r="T17" s="14"/>
      <c r="U17" s="26"/>
      <c r="V17" s="26"/>
      <c r="W17" s="26"/>
      <c r="X17" s="26"/>
      <c r="Y17" s="26"/>
      <c r="Z17" s="26"/>
    </row>
    <row r="18" ht="27.95" customHeight="1" spans="1:26" x14ac:dyDescent="0.25">
      <c r="A18" s="43">
        <v>15</v>
      </c>
      <c r="B18" s="22" t="s">
        <v>160</v>
      </c>
      <c r="C18" s="38"/>
      <c r="D18" s="38"/>
      <c r="E18" s="11" t="s">
        <v>161</v>
      </c>
      <c r="F18" s="11" t="s">
        <v>162</v>
      </c>
      <c r="G18" s="11" t="s">
        <v>144</v>
      </c>
      <c r="H18" s="11" t="s">
        <v>124</v>
      </c>
      <c r="I18" s="11" t="s">
        <v>163</v>
      </c>
      <c r="J18" s="11" t="s">
        <v>117</v>
      </c>
      <c r="K18" s="11" t="s">
        <v>164</v>
      </c>
      <c r="L18" s="11"/>
      <c r="M18" s="11" t="s">
        <v>165</v>
      </c>
      <c r="N18" s="11" t="s">
        <v>166</v>
      </c>
      <c r="O18" s="11" t="s">
        <v>140</v>
      </c>
      <c r="P18" s="11" t="s">
        <v>167</v>
      </c>
      <c r="Q18" s="11" t="s">
        <v>121</v>
      </c>
      <c r="R18" s="13">
        <f>(COUNTA(C18:Q18))/12</f>
        <v>1</v>
      </c>
      <c r="S18" s="13"/>
      <c r="T18" s="14"/>
      <c r="U18" s="26"/>
      <c r="V18" s="26"/>
      <c r="W18" s="26"/>
      <c r="X18" s="26"/>
      <c r="Y18" s="26"/>
      <c r="Z18" s="26"/>
    </row>
    <row r="19" ht="27.95" customHeight="1" spans="1:26" x14ac:dyDescent="0.25">
      <c r="A19" s="43">
        <v>16</v>
      </c>
      <c r="B19" s="22" t="s">
        <v>168</v>
      </c>
      <c r="C19" s="38"/>
      <c r="D19" s="38"/>
      <c r="E19" s="24" t="s">
        <v>169</v>
      </c>
      <c r="F19" s="11" t="s">
        <v>170</v>
      </c>
      <c r="G19" s="11" t="s">
        <v>97</v>
      </c>
      <c r="H19" s="11" t="s">
        <v>171</v>
      </c>
      <c r="I19" s="17" t="s">
        <v>172</v>
      </c>
      <c r="J19" s="11" t="s">
        <v>173</v>
      </c>
      <c r="K19" s="11" t="s">
        <v>174</v>
      </c>
      <c r="L19" s="17"/>
      <c r="M19" s="11" t="s">
        <v>175</v>
      </c>
      <c r="N19" s="11" t="s">
        <v>176</v>
      </c>
      <c r="O19" s="20" t="s">
        <v>177</v>
      </c>
      <c r="P19" s="11" t="s">
        <v>178</v>
      </c>
      <c r="Q19" s="17" t="s">
        <v>179</v>
      </c>
      <c r="R19" s="13">
        <f t="shared" si="0"/>
        <v>1</v>
      </c>
      <c r="S19" s="13"/>
      <c r="T19" s="14"/>
      <c r="U19" s="26"/>
      <c r="V19" s="26"/>
      <c r="W19" s="26"/>
      <c r="X19" s="26"/>
      <c r="Y19" s="26"/>
      <c r="Z19" s="26"/>
    </row>
    <row r="20" ht="27.95" customHeight="1" spans="1:26" x14ac:dyDescent="0.25">
      <c r="A20" s="43">
        <v>17</v>
      </c>
      <c r="B20" s="22" t="s">
        <v>180</v>
      </c>
      <c r="C20" s="38"/>
      <c r="D20" s="38"/>
      <c r="E20" s="11" t="s">
        <v>176</v>
      </c>
      <c r="F20" s="11" t="s">
        <v>181</v>
      </c>
      <c r="G20" s="11" t="s">
        <v>182</v>
      </c>
      <c r="H20" s="17" t="s">
        <v>183</v>
      </c>
      <c r="I20" s="11" t="s">
        <v>155</v>
      </c>
      <c r="J20" s="20" t="s">
        <v>184</v>
      </c>
      <c r="K20" s="11" t="s">
        <v>117</v>
      </c>
      <c r="L20" s="11"/>
      <c r="M20" s="46" t="s">
        <v>185</v>
      </c>
      <c r="N20" s="20" t="s">
        <v>147</v>
      </c>
      <c r="O20" s="11" t="s">
        <v>150</v>
      </c>
      <c r="P20" s="11" t="s">
        <v>186</v>
      </c>
      <c r="Q20" s="11" t="s">
        <v>187</v>
      </c>
      <c r="R20" s="13">
        <f>(COUNTA(C20:Q20))/12</f>
        <v>1</v>
      </c>
      <c r="S20" s="13"/>
      <c r="T20" s="14"/>
      <c r="U20" s="48" t="s">
        <v>188</v>
      </c>
      <c r="V20" s="48"/>
      <c r="W20" s="48"/>
      <c r="X20" s="48"/>
      <c r="Y20" s="48"/>
      <c r="Z20" s="48"/>
    </row>
    <row r="21" ht="27.95" customHeight="1" spans="1:26" x14ac:dyDescent="0.25">
      <c r="A21" s="43">
        <v>18</v>
      </c>
      <c r="B21" s="44" t="s">
        <v>189</v>
      </c>
      <c r="C21" s="31" t="s">
        <v>190</v>
      </c>
      <c r="D21" s="49" t="s">
        <v>191</v>
      </c>
      <c r="E21" s="11" t="s">
        <v>192</v>
      </c>
      <c r="F21" s="11" t="s">
        <v>193</v>
      </c>
      <c r="G21" s="11" t="s">
        <v>194</v>
      </c>
      <c r="H21" s="11" t="s">
        <v>195</v>
      </c>
      <c r="I21" s="11" t="s">
        <v>151</v>
      </c>
      <c r="J21" s="17" t="s">
        <v>196</v>
      </c>
      <c r="K21" s="24" t="s">
        <v>127</v>
      </c>
      <c r="L21" s="11"/>
      <c r="M21" s="11" t="s">
        <v>197</v>
      </c>
      <c r="N21" s="11" t="s">
        <v>198</v>
      </c>
      <c r="O21" s="11" t="s">
        <v>115</v>
      </c>
      <c r="P21" s="32"/>
      <c r="Q21" s="32"/>
      <c r="R21" s="13">
        <f t="shared" si="0"/>
        <v>1</v>
      </c>
      <c r="S21" s="13"/>
      <c r="T21" s="14"/>
      <c r="U21" s="50"/>
      <c r="V21" s="50"/>
      <c r="W21" s="50"/>
      <c r="X21" s="50"/>
      <c r="Y21" s="50"/>
      <c r="Z21" s="50"/>
    </row>
    <row r="22" ht="27.95" customHeight="1" spans="1:26" x14ac:dyDescent="0.25">
      <c r="A22" s="51">
        <v>19</v>
      </c>
      <c r="B22" s="52" t="s">
        <v>199</v>
      </c>
      <c r="C22" s="53" t="s">
        <v>200</v>
      </c>
      <c r="D22" s="53" t="s">
        <v>190</v>
      </c>
      <c r="E22" s="34" t="s">
        <v>201</v>
      </c>
      <c r="F22" s="34" t="s">
        <v>202</v>
      </c>
      <c r="G22" s="34" t="s">
        <v>147</v>
      </c>
      <c r="H22" s="34" t="s">
        <v>203</v>
      </c>
      <c r="I22" s="54" t="s">
        <v>204</v>
      </c>
      <c r="J22" s="34" t="s">
        <v>127</v>
      </c>
      <c r="K22" s="34" t="s">
        <v>205</v>
      </c>
      <c r="L22" s="54"/>
      <c r="M22" s="34" t="s">
        <v>206</v>
      </c>
      <c r="N22" s="54" t="s">
        <v>207</v>
      </c>
      <c r="O22" s="34" t="s">
        <v>151</v>
      </c>
      <c r="P22" s="32"/>
      <c r="Q22" s="32"/>
      <c r="R22" s="13">
        <f t="shared" si="0"/>
        <v>1</v>
      </c>
      <c r="S22" s="13"/>
      <c r="T22" s="14"/>
      <c r="U22" s="50"/>
      <c r="V22" s="50"/>
      <c r="W22" s="50"/>
      <c r="X22" s="50"/>
      <c r="Y22" s="50"/>
      <c r="Z22" s="50"/>
    </row>
    <row r="23" ht="27.95" customHeight="1" spans="1:26" x14ac:dyDescent="0.25">
      <c r="A23" s="55" t="s">
        <v>208</v>
      </c>
      <c r="B23" s="56" t="s">
        <v>209</v>
      </c>
      <c r="C23" s="57"/>
      <c r="D23" s="57"/>
      <c r="E23" s="20"/>
      <c r="F23" s="11" t="s">
        <v>210</v>
      </c>
      <c r="G23" s="20" t="s">
        <v>211</v>
      </c>
      <c r="H23" s="20"/>
      <c r="I23" s="20" t="s">
        <v>212</v>
      </c>
      <c r="J23" s="47" t="s">
        <v>207</v>
      </c>
      <c r="K23" s="20"/>
      <c r="L23" s="58"/>
      <c r="M23" s="20"/>
      <c r="N23" s="20" t="s">
        <v>117</v>
      </c>
      <c r="O23" s="20" t="s">
        <v>213</v>
      </c>
      <c r="P23" s="59"/>
      <c r="Q23" s="20" t="s">
        <v>153</v>
      </c>
      <c r="R23" s="13">
        <f>(COUNTA(C23:Q23))/7</f>
        <v>1</v>
      </c>
      <c r="S23" s="13"/>
      <c r="T23" s="14"/>
      <c r="U23" s="50"/>
      <c r="V23" s="50"/>
      <c r="W23" s="50"/>
      <c r="X23" s="50"/>
      <c r="Y23" s="50"/>
      <c r="Z23" s="50"/>
    </row>
    <row r="24" ht="27.95" customHeight="1" spans="1:26" x14ac:dyDescent="0.25">
      <c r="A24" s="60"/>
      <c r="B24" s="52" t="s">
        <v>214</v>
      </c>
      <c r="C24" s="57"/>
      <c r="D24" s="57"/>
      <c r="E24" s="34" t="s">
        <v>215</v>
      </c>
      <c r="F24" s="58" t="s">
        <v>195</v>
      </c>
      <c r="G24" s="34" t="s">
        <v>156</v>
      </c>
      <c r="H24" s="34" t="s">
        <v>211</v>
      </c>
      <c r="I24" s="34" t="s">
        <v>216</v>
      </c>
      <c r="J24" s="34" t="s">
        <v>217</v>
      </c>
      <c r="K24" s="61" t="s">
        <v>218</v>
      </c>
      <c r="L24" s="34"/>
      <c r="M24" s="34" t="s">
        <v>164</v>
      </c>
      <c r="N24" s="34" t="s">
        <v>219</v>
      </c>
      <c r="O24" s="34" t="s">
        <v>219</v>
      </c>
      <c r="P24" s="20" t="s">
        <v>147</v>
      </c>
      <c r="Q24" s="11" t="s">
        <v>146</v>
      </c>
      <c r="R24" s="13">
        <f>(COUNTA(C24:Q24))/12</f>
        <v>1</v>
      </c>
      <c r="S24" s="13"/>
      <c r="T24" s="14"/>
      <c r="U24" s="25" t="s">
        <v>220</v>
      </c>
      <c r="V24" s="25"/>
      <c r="W24" s="25"/>
      <c r="X24" s="25"/>
      <c r="Y24" s="25"/>
      <c r="Z24" s="25"/>
    </row>
    <row r="25" ht="9.95" customHeight="1" spans="1:26" x14ac:dyDescent="0.25">
      <c r="A25" s="62"/>
      <c r="B25" s="63"/>
      <c r="C25" s="57"/>
      <c r="D25" s="64"/>
      <c r="E25" s="65"/>
      <c r="F25" s="66"/>
      <c r="G25" s="67"/>
      <c r="H25" s="65"/>
      <c r="I25" s="65"/>
      <c r="J25" s="68"/>
      <c r="K25" s="65"/>
      <c r="L25" s="65"/>
      <c r="M25" s="65"/>
      <c r="N25" s="66"/>
      <c r="O25" s="69"/>
      <c r="P25" s="65"/>
      <c r="Q25" s="65"/>
      <c r="R25" s="70"/>
      <c r="S25" s="70"/>
      <c r="T25" s="14"/>
      <c r="U25" s="19"/>
      <c r="V25" s="19"/>
      <c r="W25" s="19"/>
      <c r="X25" s="19"/>
      <c r="Y25" s="19"/>
      <c r="Z25" s="19"/>
    </row>
    <row r="26" ht="120" customHeight="1" spans="1:26" x14ac:dyDescent="0.25">
      <c r="A26" s="71"/>
      <c r="B26" s="72" t="s">
        <v>221</v>
      </c>
      <c r="C26" s="73"/>
      <c r="D26" s="73"/>
      <c r="E26" s="39" t="s">
        <v>222</v>
      </c>
      <c r="F26" s="39" t="s">
        <v>223</v>
      </c>
      <c r="G26" s="39" t="s">
        <v>224</v>
      </c>
      <c r="H26" s="39" t="s">
        <v>225</v>
      </c>
      <c r="I26" s="39" t="s">
        <v>226</v>
      </c>
      <c r="J26" s="39" t="s">
        <v>227</v>
      </c>
      <c r="K26" s="74" t="s">
        <v>228</v>
      </c>
      <c r="L26" s="75"/>
      <c r="M26" s="39" t="s">
        <v>229</v>
      </c>
      <c r="N26" s="39" t="s">
        <v>230</v>
      </c>
      <c r="O26" s="39" t="s">
        <v>231</v>
      </c>
      <c r="P26" s="39" t="s">
        <v>232</v>
      </c>
      <c r="Q26" s="39" t="s">
        <v>233</v>
      </c>
      <c r="R26" s="13">
        <f>(COUNTA(C26:Q26))/12</f>
        <v>1</v>
      </c>
      <c r="S26" s="13"/>
      <c r="T26" s="14"/>
      <c r="U26" s="19"/>
      <c r="V26" s="19"/>
      <c r="W26" s="19"/>
      <c r="X26" s="19"/>
      <c r="Y26" s="19"/>
      <c r="Z26" s="19"/>
    </row>
    <row r="27" ht="120" customHeight="1" spans="1:26" x14ac:dyDescent="0.25">
      <c r="A27" s="76"/>
      <c r="B27" s="72"/>
      <c r="C27" s="73"/>
      <c r="D27" s="73"/>
      <c r="E27" s="11" t="s">
        <v>234</v>
      </c>
      <c r="F27" s="11" t="s">
        <v>235</v>
      </c>
      <c r="G27" s="11" t="s">
        <v>236</v>
      </c>
      <c r="H27" s="11" t="s">
        <v>237</v>
      </c>
      <c r="I27" s="11" t="s">
        <v>238</v>
      </c>
      <c r="J27" s="11" t="s">
        <v>239</v>
      </c>
      <c r="K27" s="11" t="s">
        <v>240</v>
      </c>
      <c r="L27" s="11"/>
      <c r="M27" s="11" t="s">
        <v>241</v>
      </c>
      <c r="N27" s="11" t="s">
        <v>242</v>
      </c>
      <c r="O27" s="11" t="s">
        <v>243</v>
      </c>
      <c r="P27" s="11" t="s">
        <v>244</v>
      </c>
      <c r="Q27" s="11" t="s">
        <v>245</v>
      </c>
      <c r="R27" s="70"/>
      <c r="S27" s="70"/>
      <c r="T27" s="14"/>
      <c r="U27" s="19"/>
      <c r="V27" s="19"/>
      <c r="W27" s="19"/>
      <c r="X27" s="19"/>
      <c r="Y27" s="19"/>
      <c r="Z27" s="19"/>
    </row>
    <row r="28" ht="120" customHeight="1" spans="1:26" x14ac:dyDescent="0.25">
      <c r="A28" s="77"/>
      <c r="B28" s="52" t="s">
        <v>246</v>
      </c>
      <c r="C28" s="73"/>
      <c r="D28" s="73"/>
      <c r="E28" s="78" t="s">
        <v>247</v>
      </c>
      <c r="F28" s="34" t="s">
        <v>248</v>
      </c>
      <c r="G28" s="34" t="s">
        <v>249</v>
      </c>
      <c r="H28" s="34" t="s">
        <v>250</v>
      </c>
      <c r="I28" s="34" t="s">
        <v>251</v>
      </c>
      <c r="J28" s="34" t="s">
        <v>252</v>
      </c>
      <c r="K28" s="34" t="s">
        <v>253</v>
      </c>
      <c r="L28" s="54"/>
      <c r="M28" s="34" t="s">
        <v>254</v>
      </c>
      <c r="N28" s="34" t="s">
        <v>255</v>
      </c>
      <c r="O28" s="34" t="s">
        <v>256</v>
      </c>
      <c r="P28" s="79" t="s">
        <v>247</v>
      </c>
      <c r="Q28" s="79"/>
      <c r="R28" s="13">
        <f>(COUNTA(F28:O28))/9</f>
        <v>1</v>
      </c>
      <c r="S28" s="13"/>
      <c r="T28" s="14"/>
      <c r="U28" s="19"/>
      <c r="V28" s="19"/>
      <c r="W28" s="19"/>
      <c r="X28" s="19"/>
      <c r="Y28" s="19"/>
      <c r="Z28" s="19"/>
    </row>
    <row r="29" ht="27.95" customHeight="1" spans="1:26" x14ac:dyDescent="0.25">
      <c r="A29" s="80"/>
      <c r="B29" s="81" t="s">
        <v>257</v>
      </c>
      <c r="C29" s="82"/>
      <c r="D29" s="83"/>
      <c r="E29" s="84"/>
      <c r="F29" s="84"/>
      <c r="G29" s="84"/>
      <c r="H29" s="85"/>
      <c r="I29" s="86"/>
      <c r="J29" s="85"/>
      <c r="K29" s="85"/>
      <c r="L29" s="87"/>
      <c r="M29" s="86"/>
      <c r="N29" s="85"/>
      <c r="O29" s="85"/>
      <c r="P29" s="88"/>
      <c r="Q29" s="88"/>
      <c r="R29" s="13"/>
      <c r="S29" s="13"/>
      <c r="T29" s="14"/>
      <c r="U29" s="19"/>
      <c r="V29" s="19"/>
      <c r="W29" s="19"/>
      <c r="X29" s="19"/>
      <c r="Y29" s="19"/>
      <c r="Z29" s="19"/>
    </row>
    <row r="30" ht="9.95" customHeight="1" spans="1:26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70"/>
      <c r="S30" s="70"/>
      <c r="T30" s="14"/>
      <c r="U30" s="19"/>
      <c r="V30" s="19"/>
      <c r="W30" s="19"/>
      <c r="X30" s="19"/>
      <c r="Y30" s="19"/>
      <c r="Z30" s="19"/>
    </row>
    <row r="31" ht="27.95" customHeight="1" spans="1:26" x14ac:dyDescent="0.25">
      <c r="A31" s="90"/>
      <c r="B31" s="91"/>
      <c r="C31" s="91"/>
      <c r="D31" s="92" t="s">
        <v>258</v>
      </c>
      <c r="E31" s="93" t="s">
        <v>259</v>
      </c>
      <c r="F31" s="93" t="s">
        <v>6</v>
      </c>
      <c r="G31" s="93" t="s">
        <v>7</v>
      </c>
      <c r="H31" s="93" t="s">
        <v>8</v>
      </c>
      <c r="I31" s="93" t="s">
        <v>9</v>
      </c>
      <c r="J31" s="93" t="s">
        <v>10</v>
      </c>
      <c r="K31" s="93" t="s">
        <v>260</v>
      </c>
      <c r="L31" s="94" t="s">
        <v>261</v>
      </c>
      <c r="M31" s="93" t="s">
        <v>13</v>
      </c>
      <c r="N31" s="93" t="s">
        <v>14</v>
      </c>
      <c r="O31" s="93" t="s">
        <v>15</v>
      </c>
      <c r="P31" s="93" t="s">
        <v>16</v>
      </c>
      <c r="Q31" s="95" t="s">
        <v>17</v>
      </c>
      <c r="R31" s="70"/>
      <c r="S31" s="70"/>
      <c r="T31" s="14"/>
      <c r="U31" s="19" t="s">
        <v>262</v>
      </c>
      <c r="V31" s="19"/>
      <c r="W31" s="19"/>
      <c r="X31" s="19"/>
      <c r="Y31" s="19"/>
      <c r="Z31" s="19"/>
    </row>
    <row r="32" ht="27.95" customHeight="1" spans="1:26" x14ac:dyDescent="0.25">
      <c r="A32" s="96"/>
      <c r="B32" s="97"/>
      <c r="C32" s="97"/>
      <c r="D32" s="98" t="s">
        <v>263</v>
      </c>
      <c r="E32" s="21" t="s">
        <v>49</v>
      </c>
      <c r="F32" s="11" t="s">
        <v>36</v>
      </c>
      <c r="G32" s="11" t="s">
        <v>111</v>
      </c>
      <c r="H32" s="11" t="s">
        <v>62</v>
      </c>
      <c r="I32" s="17"/>
      <c r="J32" s="17" t="s">
        <v>48</v>
      </c>
      <c r="K32" s="11" t="s">
        <v>264</v>
      </c>
      <c r="L32" s="99"/>
      <c r="M32" s="11"/>
      <c r="N32" s="11" t="s">
        <v>33</v>
      </c>
      <c r="O32" s="11" t="s">
        <v>265</v>
      </c>
      <c r="P32" s="100" t="s">
        <v>110</v>
      </c>
      <c r="Q32" s="101" t="s">
        <v>266</v>
      </c>
      <c r="R32" s="70"/>
      <c r="S32" s="70"/>
      <c r="T32" s="102"/>
      <c r="U32" s="19"/>
      <c r="V32" s="19"/>
      <c r="W32" s="19"/>
      <c r="X32" s="19"/>
      <c r="Y32" s="19"/>
      <c r="Z32" s="19"/>
    </row>
    <row r="33" ht="45.75" customHeight="1" spans="1:26" x14ac:dyDescent="0.25">
      <c r="A33" s="96"/>
      <c r="B33" s="97"/>
      <c r="C33" s="97"/>
      <c r="D33" s="103" t="s">
        <v>267</v>
      </c>
      <c r="E33" s="104"/>
      <c r="F33" s="17"/>
      <c r="G33" s="17"/>
      <c r="H33" s="17"/>
      <c r="I33" s="17"/>
      <c r="J33" s="17"/>
      <c r="K33" s="105"/>
      <c r="L33" s="106"/>
      <c r="M33" s="17"/>
      <c r="N33" s="17"/>
      <c r="O33" s="100"/>
      <c r="P33" s="17"/>
      <c r="Q33" s="101"/>
      <c r="R33" s="70"/>
      <c r="S33" s="70"/>
      <c r="T33" s="14"/>
      <c r="U33" s="19"/>
      <c r="V33" s="19"/>
      <c r="W33" s="19"/>
      <c r="X33" s="19"/>
      <c r="Y33" s="19"/>
      <c r="Z33" s="19"/>
    </row>
    <row r="34" ht="27.95" customHeight="1" spans="1:26" x14ac:dyDescent="0.25">
      <c r="A34" s="96"/>
      <c r="B34" s="97"/>
      <c r="C34" s="97"/>
      <c r="D34" s="103" t="s">
        <v>268</v>
      </c>
      <c r="E34" s="11"/>
      <c r="F34" s="17"/>
      <c r="G34" s="17"/>
      <c r="H34" s="11"/>
      <c r="I34" s="17" t="s">
        <v>191</v>
      </c>
      <c r="J34" s="28"/>
      <c r="K34" s="11" t="s">
        <v>269</v>
      </c>
      <c r="L34" s="99"/>
      <c r="M34" s="17"/>
      <c r="N34" s="31" t="s">
        <v>191</v>
      </c>
      <c r="O34" s="28"/>
      <c r="P34" s="28" t="s">
        <v>270</v>
      </c>
      <c r="Q34" s="107"/>
      <c r="R34" s="70"/>
      <c r="S34" s="70"/>
      <c r="T34" s="14"/>
      <c r="U34" s="19"/>
      <c r="V34" s="19"/>
      <c r="W34" s="19"/>
      <c r="X34" s="19"/>
      <c r="Y34" s="19"/>
      <c r="Z34" s="19"/>
    </row>
    <row r="35" ht="42" customHeight="1" spans="1:26" x14ac:dyDescent="0.25">
      <c r="A35" s="96"/>
      <c r="B35" s="97"/>
      <c r="C35" s="97"/>
      <c r="D35" s="108" t="s">
        <v>271</v>
      </c>
      <c r="E35" s="109"/>
      <c r="F35" s="110" t="s">
        <v>272</v>
      </c>
      <c r="G35" s="109" t="s">
        <v>273</v>
      </c>
      <c r="H35" s="111"/>
      <c r="I35" s="111"/>
      <c r="J35" s="111"/>
      <c r="K35" s="111" t="s">
        <v>274</v>
      </c>
      <c r="L35" s="112"/>
      <c r="M35" s="113" t="s">
        <v>275</v>
      </c>
      <c r="N35" s="109" t="s">
        <v>276</v>
      </c>
      <c r="O35" s="109" t="s">
        <v>277</v>
      </c>
      <c r="P35" s="109" t="s">
        <v>278</v>
      </c>
      <c r="Q35" s="114" t="s">
        <v>279</v>
      </c>
      <c r="R35" s="70"/>
      <c r="S35" s="70"/>
      <c r="T35" s="14"/>
      <c r="U35" s="19"/>
      <c r="V35" s="19"/>
      <c r="W35" s="19"/>
      <c r="X35" s="19"/>
      <c r="Y35" s="19"/>
      <c r="Z35" s="19"/>
    </row>
    <row r="36" ht="42" customHeight="1" spans="1:17" x14ac:dyDescent="0.25">
      <c r="A36" s="96"/>
      <c r="B36" s="97"/>
      <c r="C36" s="97"/>
      <c r="D36" s="115"/>
      <c r="E36" s="116"/>
      <c r="F36" s="117"/>
      <c r="G36" s="115"/>
      <c r="H36" s="115"/>
      <c r="I36" s="115"/>
      <c r="J36" s="115"/>
      <c r="K36" s="115"/>
      <c r="L36" s="118"/>
      <c r="M36" s="115"/>
      <c r="N36" s="115"/>
      <c r="O36" s="115"/>
      <c r="P36" s="115"/>
      <c r="Q36" s="115"/>
    </row>
    <row r="37" ht="42" customHeight="1" spans="1:17" x14ac:dyDescent="0.25">
      <c r="A37" s="96"/>
      <c r="B37" s="97"/>
      <c r="C37" s="97"/>
      <c r="D37" s="97"/>
      <c r="E37" s="14">
        <f t="shared" ref="E37:J37" si="1">COUNTBLANK(E4:E21)</f>
      </c>
      <c r="F37" s="14">
        <f>COUNTBLANK(F4:F21)</f>
      </c>
      <c r="G37" s="14">
        <f t="shared" si="1"/>
      </c>
      <c r="H37" s="14">
        <f>COUNTBLANK(H4:H21)</f>
      </c>
      <c r="I37" s="14">
        <f>COUNTBLANK(I4:I21)</f>
      </c>
      <c r="J37" s="14">
        <f t="shared" si="1"/>
      </c>
      <c r="K37" s="14">
        <f>COUNTBLANK(K4:K22)</f>
      </c>
      <c r="L37" s="14"/>
      <c r="M37" s="14">
        <f>COUNTBLANK(M4:M21)</f>
      </c>
      <c r="N37" s="14">
        <f>COUNTBLANK(N4:N21)</f>
      </c>
      <c r="O37" s="14">
        <f>COUNTBLANK(O4:O21)</f>
      </c>
      <c r="P37" s="14">
        <f>COUNTBLANK(P4:P20)-2</f>
      </c>
      <c r="Q37" s="14">
        <f>COUNTBLANK(Q4:Q20)-2</f>
      </c>
    </row>
    <row r="38" spans="1:15" x14ac:dyDescent="0.25">
      <c r="A38" s="96"/>
      <c r="B38" s="97"/>
      <c r="C38" s="97"/>
      <c r="D38" s="97"/>
      <c r="E38" s="14"/>
      <c r="F38" s="14"/>
      <c r="G38" s="14"/>
      <c r="H38" s="14"/>
      <c r="I38" s="119" t="s">
        <v>280</v>
      </c>
      <c r="J38" s="14"/>
      <c r="K38" s="14"/>
      <c r="L38" s="120"/>
      <c r="M38" s="14"/>
      <c r="N38" s="14"/>
      <c r="O38" s="119" t="s">
        <v>280</v>
      </c>
    </row>
    <row r="39" spans="1:20" x14ac:dyDescent="0.25">
      <c r="A39" s="96"/>
      <c r="B39" s="97"/>
      <c r="C39" s="97"/>
      <c r="D39" s="97"/>
      <c r="E39" s="14"/>
      <c r="F39" s="14"/>
      <c r="G39" s="14"/>
      <c r="H39" s="14"/>
      <c r="I39" s="14"/>
      <c r="J39" s="14"/>
      <c r="K39" s="14"/>
      <c r="L39" s="120"/>
      <c r="M39" s="14"/>
      <c r="N39" s="14"/>
      <c r="O39" s="14"/>
      <c r="P39" s="14"/>
      <c r="Q39" s="14"/>
      <c r="R39" s="70"/>
      <c r="S39" s="70"/>
      <c r="T39" s="14"/>
    </row>
    <row r="40" spans="1:20" x14ac:dyDescent="0.25">
      <c r="A40" s="96"/>
      <c r="B40" s="97"/>
      <c r="C40" s="97"/>
      <c r="D40" s="97"/>
      <c r="E40" s="14"/>
      <c r="F40" s="14"/>
      <c r="G40" s="14"/>
      <c r="H40" s="14"/>
      <c r="I40" s="14"/>
      <c r="J40" s="14"/>
      <c r="K40" s="14"/>
      <c r="L40" s="120"/>
      <c r="M40" s="14"/>
      <c r="N40" s="14"/>
      <c r="O40" s="14"/>
      <c r="P40" s="14"/>
      <c r="Q40" s="14"/>
      <c r="R40" s="70"/>
      <c r="S40" s="70"/>
      <c r="T40" s="14"/>
    </row>
    <row r="41" spans="1:20" x14ac:dyDescent="0.25">
      <c r="A41" s="96"/>
      <c r="B41" s="97"/>
      <c r="C41" s="97"/>
      <c r="D41" s="97"/>
      <c r="E41" s="14"/>
      <c r="F41" s="14"/>
      <c r="G41" s="14"/>
      <c r="H41" s="14"/>
      <c r="I41" s="14"/>
      <c r="J41" s="14"/>
      <c r="K41" s="14"/>
      <c r="L41" s="120"/>
      <c r="M41" s="14"/>
      <c r="N41" s="14"/>
      <c r="O41" s="14"/>
      <c r="P41" s="14"/>
      <c r="Q41" s="14"/>
      <c r="R41" s="70"/>
      <c r="S41" s="70"/>
      <c r="T41" s="14"/>
    </row>
    <row r="42" spans="1:20" x14ac:dyDescent="0.25">
      <c r="A42" s="96"/>
      <c r="B42" s="121"/>
      <c r="C42" s="97"/>
      <c r="D42" s="97"/>
      <c r="E42" s="14"/>
      <c r="F42" s="122"/>
      <c r="G42" s="122"/>
      <c r="H42" s="122"/>
      <c r="I42" s="122"/>
      <c r="J42" s="122"/>
      <c r="K42" s="122"/>
      <c r="L42" s="120"/>
      <c r="M42" s="122"/>
      <c r="N42" s="122"/>
      <c r="O42" s="122"/>
      <c r="P42" s="122"/>
      <c r="Q42" s="122"/>
      <c r="R42" s="123"/>
      <c r="S42" s="70"/>
      <c r="T42" s="14"/>
    </row>
    <row r="45" spans="1:19" x14ac:dyDescent="0.25">
      <c r="A45" s="96"/>
      <c r="B45" s="97"/>
      <c r="C45" s="97"/>
      <c r="D45" s="124" t="s">
        <v>281</v>
      </c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</row>
    <row r="46" ht="21" customHeight="1" spans="1:19" x14ac:dyDescent="0.25">
      <c r="A46" s="97"/>
      <c r="B46" s="97"/>
      <c r="C46" s="97"/>
      <c r="D46" s="125" t="s">
        <v>282</v>
      </c>
      <c r="E46" s="126" t="s">
        <v>259</v>
      </c>
      <c r="F46" s="126" t="s">
        <v>6</v>
      </c>
      <c r="G46" s="126" t="s">
        <v>7</v>
      </c>
      <c r="H46" s="126" t="s">
        <v>8</v>
      </c>
      <c r="I46" s="126" t="s">
        <v>9</v>
      </c>
      <c r="J46" s="126" t="s">
        <v>10</v>
      </c>
      <c r="K46" s="126" t="s">
        <v>260</v>
      </c>
      <c r="L46" s="6" t="s">
        <v>12</v>
      </c>
      <c r="M46" s="126" t="s">
        <v>13</v>
      </c>
      <c r="N46" s="126" t="s">
        <v>14</v>
      </c>
      <c r="O46" s="126" t="s">
        <v>15</v>
      </c>
      <c r="P46" s="126" t="s">
        <v>16</v>
      </c>
      <c r="Q46" s="126" t="s">
        <v>17</v>
      </c>
      <c r="R46" s="126" t="s">
        <v>283</v>
      </c>
      <c r="S46" s="126" t="s">
        <v>284</v>
      </c>
    </row>
    <row r="47" ht="27.95" customHeight="1" spans="1:19" x14ac:dyDescent="0.25">
      <c r="A47" s="97"/>
      <c r="B47" s="97"/>
      <c r="C47" s="97"/>
      <c r="D47" s="127" t="s">
        <v>285</v>
      </c>
      <c r="E47" s="128"/>
      <c r="F47" s="129"/>
      <c r="G47" s="130"/>
      <c r="H47" s="131"/>
      <c r="I47" s="130"/>
      <c r="J47" s="128"/>
      <c r="K47" s="131"/>
      <c r="L47" s="132"/>
      <c r="M47" s="133" t="s">
        <v>286</v>
      </c>
      <c r="N47" s="130"/>
      <c r="O47" s="134" t="s">
        <v>287</v>
      </c>
      <c r="P47" s="135" t="s">
        <v>261</v>
      </c>
      <c r="Q47" s="136"/>
      <c r="R47" s="137"/>
      <c r="S47" s="138"/>
    </row>
    <row r="48" spans="1:20" x14ac:dyDescent="0.25">
      <c r="A48" s="97"/>
      <c r="B48" s="97"/>
      <c r="C48" s="97"/>
      <c r="D48" s="139" t="s">
        <v>288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96"/>
    </row>
    <row r="49" ht="27.95" customHeight="1" spans="1:20" x14ac:dyDescent="0.25">
      <c r="A49" s="97"/>
      <c r="B49" s="97"/>
      <c r="C49" s="97"/>
      <c r="D49" s="140" t="s">
        <v>289</v>
      </c>
      <c r="E49" s="141"/>
      <c r="F49" s="142"/>
      <c r="G49" s="141"/>
      <c r="H49" s="141"/>
      <c r="I49" s="141"/>
      <c r="J49" s="141"/>
      <c r="K49" s="143"/>
      <c r="L49" s="144"/>
      <c r="M49" s="142"/>
      <c r="N49" s="145"/>
      <c r="O49" s="142"/>
      <c r="P49" s="141"/>
      <c r="Q49" s="141"/>
      <c r="R49" s="20"/>
      <c r="S49" s="20"/>
      <c r="T49" s="96"/>
    </row>
    <row r="50" ht="27.95" customHeight="1" spans="1:20" x14ac:dyDescent="0.25">
      <c r="A50" s="97"/>
      <c r="B50" s="97"/>
      <c r="C50" s="97"/>
      <c r="D50" s="140" t="s">
        <v>290</v>
      </c>
      <c r="E50" s="142" t="s">
        <v>291</v>
      </c>
      <c r="F50" s="145"/>
      <c r="G50" s="143" t="s">
        <v>292</v>
      </c>
      <c r="H50" s="143"/>
      <c r="I50" s="145"/>
      <c r="J50" s="143"/>
      <c r="K50" s="146"/>
      <c r="L50" s="144"/>
      <c r="M50" s="147"/>
      <c r="N50" s="143"/>
      <c r="O50" s="148" t="s">
        <v>145</v>
      </c>
      <c r="P50" s="143"/>
      <c r="Q50" s="148"/>
      <c r="R50" s="143"/>
      <c r="S50" s="143"/>
      <c r="T50" s="96"/>
    </row>
    <row r="51" ht="27.95" customHeight="1" spans="1:20" x14ac:dyDescent="0.25">
      <c r="A51" s="97"/>
      <c r="B51" s="97"/>
      <c r="C51" s="97"/>
      <c r="D51" s="149" t="s">
        <v>293</v>
      </c>
      <c r="E51" s="143"/>
      <c r="F51" s="143"/>
      <c r="G51" s="143"/>
      <c r="H51" s="147"/>
      <c r="I51" s="147"/>
      <c r="J51" s="143"/>
      <c r="K51" s="150"/>
      <c r="L51" s="144"/>
      <c r="M51" s="151"/>
      <c r="N51" s="151"/>
      <c r="O51" s="151"/>
      <c r="P51" s="147"/>
      <c r="Q51" s="143" t="s">
        <v>294</v>
      </c>
      <c r="R51" s="152"/>
      <c r="S51" s="152"/>
      <c r="T51" s="96"/>
    </row>
    <row r="52" ht="27.95" customHeight="1" spans="1:20" x14ac:dyDescent="0.25">
      <c r="A52" s="97"/>
      <c r="B52" s="97"/>
      <c r="C52" s="97"/>
      <c r="D52" s="153" t="s">
        <v>295</v>
      </c>
      <c r="E52" s="154"/>
      <c r="F52" s="154"/>
      <c r="G52" s="154"/>
      <c r="H52" s="147"/>
      <c r="I52" s="147"/>
      <c r="J52" s="155"/>
      <c r="K52" s="154"/>
      <c r="L52" s="156"/>
      <c r="M52" s="147"/>
      <c r="N52" s="147"/>
      <c r="O52" s="147"/>
      <c r="P52" s="157"/>
      <c r="Q52" s="154"/>
      <c r="R52" s="154"/>
      <c r="S52" s="154"/>
      <c r="T52" s="96"/>
    </row>
    <row r="53" spans="1:19" x14ac:dyDescent="0.25">
      <c r="A53" s="96"/>
      <c r="B53" s="97"/>
      <c r="C53" s="97"/>
      <c r="D53" s="158" t="s">
        <v>296</v>
      </c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</row>
    <row r="54" ht="27.95" customHeight="1" spans="1:19" x14ac:dyDescent="0.25">
      <c r="A54" s="96"/>
      <c r="B54" s="97"/>
      <c r="C54" s="97"/>
      <c r="D54" s="153" t="s">
        <v>297</v>
      </c>
      <c r="E54" s="152"/>
      <c r="F54" s="152"/>
      <c r="G54" s="152"/>
      <c r="H54" s="154"/>
      <c r="I54" s="152"/>
      <c r="J54" s="152"/>
      <c r="K54" s="159"/>
      <c r="L54" s="152"/>
      <c r="M54" s="147"/>
      <c r="N54" s="154"/>
      <c r="O54" s="160"/>
      <c r="P54" s="147"/>
      <c r="Q54" s="154"/>
      <c r="R54" s="154"/>
      <c r="S54" s="155"/>
    </row>
    <row r="55" ht="27.95" customHeight="1" spans="1:19" x14ac:dyDescent="0.25">
      <c r="A55" s="96"/>
      <c r="B55" s="97"/>
      <c r="C55" s="97"/>
      <c r="D55" s="161" t="s">
        <v>298</v>
      </c>
      <c r="E55" s="141"/>
      <c r="F55" s="162"/>
      <c r="G55" s="143"/>
      <c r="H55" s="141"/>
      <c r="I55" s="141"/>
      <c r="J55" s="163"/>
      <c r="K55" s="164"/>
      <c r="L55" s="151"/>
      <c r="M55" s="162"/>
      <c r="N55" s="143"/>
      <c r="O55" s="162"/>
      <c r="P55" s="151"/>
      <c r="Q55" s="141"/>
      <c r="R55" s="143"/>
      <c r="S55" s="151"/>
    </row>
    <row r="56" spans="1:19" x14ac:dyDescent="0.25">
      <c r="A56" s="96"/>
      <c r="B56" s="97"/>
      <c r="C56" s="97"/>
      <c r="D56" s="139" t="s">
        <v>299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</row>
    <row r="57" ht="27.95" customHeight="1" spans="1:19" x14ac:dyDescent="0.25">
      <c r="A57" s="96"/>
      <c r="B57" s="97"/>
      <c r="C57" s="97"/>
      <c r="D57" s="165" t="s">
        <v>300</v>
      </c>
      <c r="E57" s="163"/>
      <c r="F57" s="163"/>
      <c r="G57" s="163"/>
      <c r="H57" s="166"/>
      <c r="I57" s="146"/>
      <c r="J57" s="167" t="s">
        <v>301</v>
      </c>
      <c r="K57" s="167"/>
      <c r="L57" s="166"/>
      <c r="M57" s="166"/>
      <c r="N57" s="168"/>
      <c r="O57" s="169"/>
      <c r="P57" s="169"/>
      <c r="Q57" s="170"/>
      <c r="R57" s="148"/>
      <c r="S57" s="171"/>
    </row>
    <row r="58" ht="27.95" customHeight="1" spans="1:19" x14ac:dyDescent="0.25">
      <c r="A58" s="96"/>
      <c r="B58" s="97"/>
      <c r="C58" s="97"/>
      <c r="D58" s="165" t="s">
        <v>302</v>
      </c>
      <c r="E58" s="166" t="s">
        <v>303</v>
      </c>
      <c r="F58" s="163"/>
      <c r="G58" s="148" t="s">
        <v>304</v>
      </c>
      <c r="H58" s="172"/>
      <c r="I58" s="166"/>
      <c r="J58" s="167" t="s">
        <v>305</v>
      </c>
      <c r="K58" s="166"/>
      <c r="L58" s="166"/>
      <c r="M58" s="148" t="s">
        <v>306</v>
      </c>
      <c r="N58" s="167"/>
      <c r="O58" s="145"/>
      <c r="P58" s="145"/>
      <c r="Q58" s="166"/>
      <c r="R58" s="173"/>
      <c r="S58" s="148"/>
    </row>
    <row r="59" ht="27.75" customHeight="1" spans="1:19" x14ac:dyDescent="0.25">
      <c r="A59" s="96"/>
      <c r="B59" s="97"/>
      <c r="C59" s="97"/>
      <c r="D59" s="44" t="s">
        <v>307</v>
      </c>
      <c r="E59" s="171"/>
      <c r="F59" s="148"/>
      <c r="G59" s="148"/>
      <c r="H59" s="166"/>
      <c r="I59" s="166" t="s">
        <v>308</v>
      </c>
      <c r="J59" s="166"/>
      <c r="K59" s="166"/>
      <c r="L59" s="166"/>
      <c r="M59" s="166"/>
      <c r="N59" s="166"/>
      <c r="O59" s="148"/>
      <c r="P59" s="166"/>
      <c r="Q59" s="166"/>
      <c r="R59" s="148"/>
      <c r="S59" s="166"/>
    </row>
    <row r="60" ht="9.95" customHeight="1" spans="1:4" x14ac:dyDescent="0.25">
      <c r="A60" s="96"/>
      <c r="B60" s="97"/>
      <c r="C60" s="97"/>
      <c r="D60" s="174"/>
    </row>
    <row r="61" ht="27.95" customHeight="1" spans="1:19" x14ac:dyDescent="0.25">
      <c r="A61" s="96"/>
      <c r="B61" s="97"/>
      <c r="C61" s="97"/>
      <c r="D61" s="149" t="s">
        <v>309</v>
      </c>
      <c r="E61" s="28"/>
      <c r="F61" s="11" t="s">
        <v>310</v>
      </c>
      <c r="G61" s="175"/>
      <c r="H61" s="176"/>
      <c r="I61" s="11"/>
      <c r="J61" s="11" t="s">
        <v>311</v>
      </c>
      <c r="K61" s="11"/>
      <c r="L61" s="17" t="s">
        <v>261</v>
      </c>
      <c r="M61" s="175"/>
      <c r="N61" s="175"/>
      <c r="O61" s="11"/>
      <c r="P61" s="11" t="s">
        <v>311</v>
      </c>
      <c r="Q61" s="11"/>
      <c r="R61" s="177"/>
      <c r="S61" s="178"/>
    </row>
    <row r="62" ht="27.95" customHeight="1" spans="1:19" x14ac:dyDescent="0.25">
      <c r="A62" s="96"/>
      <c r="B62" s="97"/>
      <c r="C62" s="97"/>
      <c r="D62" s="149"/>
      <c r="E62" s="14"/>
      <c r="F62" s="14"/>
      <c r="G62" s="179"/>
      <c r="H62" s="180" t="s">
        <v>312</v>
      </c>
      <c r="I62" s="179"/>
      <c r="J62" s="179"/>
      <c r="K62" s="179"/>
      <c r="L62" s="120"/>
      <c r="M62" s="181"/>
      <c r="N62" s="181"/>
      <c r="O62" s="181"/>
      <c r="P62" s="181"/>
      <c r="Q62" s="179"/>
      <c r="R62" s="70"/>
      <c r="S62" s="182"/>
    </row>
    <row r="64" spans="1:18" x14ac:dyDescent="0.25">
      <c r="A64" s="96"/>
      <c r="B64" s="97"/>
      <c r="C64" s="97"/>
      <c r="D64" s="97"/>
      <c r="E64" s="14"/>
      <c r="F64" s="115"/>
      <c r="G64" s="115"/>
      <c r="H64" s="115"/>
      <c r="I64" s="115"/>
      <c r="J64" s="58"/>
      <c r="K64" s="115"/>
      <c r="L64" s="115"/>
      <c r="M64" s="58"/>
      <c r="N64" s="115"/>
      <c r="O64" s="58"/>
      <c r="P64" s="115"/>
      <c r="Q64" s="115"/>
      <c r="R64" s="115"/>
    </row>
  </sheetData>
  <mergeCells count="24">
    <mergeCell ref="A1:Q1"/>
    <mergeCell ref="A2:Q2"/>
    <mergeCell ref="C4:D11"/>
    <mergeCell ref="U4:Z4"/>
    <mergeCell ref="U5:Z7"/>
    <mergeCell ref="U8:Z8"/>
    <mergeCell ref="U9:Z19"/>
    <mergeCell ref="P12:Q13"/>
    <mergeCell ref="C14:D20"/>
    <mergeCell ref="U20:Z20"/>
    <mergeCell ref="P21:Q22"/>
    <mergeCell ref="U21:Z23"/>
    <mergeCell ref="C23:D24"/>
    <mergeCell ref="U24:Z24"/>
    <mergeCell ref="U25:Z30"/>
    <mergeCell ref="C26:D28"/>
    <mergeCell ref="B26:B27"/>
    <mergeCell ref="P28:Q28"/>
    <mergeCell ref="U31:Z35"/>
    <mergeCell ref="D45:S45"/>
    <mergeCell ref="D48:S48"/>
    <mergeCell ref="D53:S53"/>
    <mergeCell ref="D56:S56"/>
    <mergeCell ref="D61:D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FormatPr defaultRowHeight="15" outlineLevelRow="0" outlineLevelCol="0" x14ac:dyDescent="55"/>
  <cols>
    <col min="1" max="1" width="3.25" customWidth="1"/>
    <col min="2" max="2" width="10" customWidth="1"/>
    <col min="3" max="9" width="11.875" customWidth="1"/>
    <col min="10" max="10" width="2.625" customWidth="1"/>
    <col min="11" max="17" width="11.875" customWidth="1"/>
    <col min="18" max="18" width="1.625" customWidth="1"/>
    <col min="19" max="19" width="11.875" customWidth="1"/>
    <col min="20" max="20" width="1.625" customWidth="1"/>
  </cols>
  <sheetData>
    <row r="1" ht="18" customHeight="1" spans="1:21" x14ac:dyDescent="0.25">
      <c r="A1" s="2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21"/>
      <c r="S1" s="96"/>
      <c r="T1" s="96"/>
      <c r="U1" s="183"/>
    </row>
    <row r="2" ht="21" customHeight="1" spans="1:20" x14ac:dyDescent="0.25">
      <c r="A2" s="126"/>
      <c r="B2" s="125" t="s">
        <v>2</v>
      </c>
      <c r="C2" s="126" t="s">
        <v>259</v>
      </c>
      <c r="D2" s="126" t="s">
        <v>6</v>
      </c>
      <c r="E2" s="126" t="s">
        <v>7</v>
      </c>
      <c r="F2" s="126" t="s">
        <v>8</v>
      </c>
      <c r="G2" s="126" t="s">
        <v>9</v>
      </c>
      <c r="H2" s="126" t="s">
        <v>10</v>
      </c>
      <c r="I2" s="126" t="s">
        <v>260</v>
      </c>
      <c r="J2" s="6" t="s">
        <v>12</v>
      </c>
      <c r="K2" s="126" t="s">
        <v>13</v>
      </c>
      <c r="L2" s="126" t="s">
        <v>14</v>
      </c>
      <c r="M2" s="126" t="s">
        <v>15</v>
      </c>
      <c r="N2" s="126" t="s">
        <v>16</v>
      </c>
      <c r="O2" s="126" t="s">
        <v>17</v>
      </c>
      <c r="P2" s="126" t="s">
        <v>283</v>
      </c>
      <c r="Q2" s="126" t="s">
        <v>284</v>
      </c>
      <c r="R2" s="121"/>
      <c r="S2" s="121"/>
      <c r="T2" s="121"/>
    </row>
    <row r="3" ht="48" customHeight="1" spans="1:26" x14ac:dyDescent="0.25">
      <c r="A3" s="11">
        <v>1</v>
      </c>
      <c r="B3" s="9" t="s">
        <v>314</v>
      </c>
      <c r="C3" s="184"/>
      <c r="D3" s="184" t="s">
        <v>315</v>
      </c>
      <c r="E3" s="184" t="s">
        <v>316</v>
      </c>
      <c r="F3" s="184" t="s">
        <v>317</v>
      </c>
      <c r="G3" s="184" t="s">
        <v>318</v>
      </c>
      <c r="H3" s="184" t="s">
        <v>319</v>
      </c>
      <c r="I3" s="184" t="s">
        <v>319</v>
      </c>
      <c r="J3" s="185"/>
      <c r="K3" s="184"/>
      <c r="L3" s="184" t="s">
        <v>320</v>
      </c>
      <c r="M3" s="184" t="s">
        <v>321</v>
      </c>
      <c r="N3" s="184" t="s">
        <v>322</v>
      </c>
      <c r="O3" s="184" t="s">
        <v>323</v>
      </c>
      <c r="P3" s="184" t="s">
        <v>324</v>
      </c>
      <c r="Q3" s="186"/>
      <c r="R3" s="187"/>
      <c r="S3" s="188">
        <f t="shared" ref="S3:S23" si="0">COUNTA(C3:Q3)</f>
        <v>11</v>
      </c>
      <c r="T3" s="188"/>
      <c r="U3" s="189" t="s">
        <v>325</v>
      </c>
      <c r="V3" s="189"/>
      <c r="W3" s="189"/>
      <c r="X3" s="189"/>
      <c r="Y3" s="189"/>
      <c r="Z3" s="189"/>
    </row>
    <row r="4" ht="28.5" customHeight="1" spans="1:26" x14ac:dyDescent="0.25">
      <c r="A4" s="11">
        <v>1</v>
      </c>
      <c r="B4" s="9" t="s">
        <v>314</v>
      </c>
      <c r="C4" s="190"/>
      <c r="D4" s="184" t="s">
        <v>326</v>
      </c>
      <c r="E4" s="184" t="s">
        <v>327</v>
      </c>
      <c r="F4" s="184"/>
      <c r="G4" s="184"/>
      <c r="H4" s="184" t="s">
        <v>328</v>
      </c>
      <c r="I4" s="184" t="s">
        <v>328</v>
      </c>
      <c r="J4" s="185"/>
      <c r="K4" s="184" t="s">
        <v>329</v>
      </c>
      <c r="L4" s="184" t="s">
        <v>330</v>
      </c>
      <c r="M4" s="184" t="s">
        <v>331</v>
      </c>
      <c r="N4" s="184" t="s">
        <v>332</v>
      </c>
      <c r="O4" s="184" t="s">
        <v>333</v>
      </c>
      <c r="P4" s="184"/>
      <c r="Q4" s="184"/>
      <c r="R4" s="187"/>
      <c r="S4" s="188">
        <f t="shared" si="0"/>
        <v>9</v>
      </c>
      <c r="T4" s="188"/>
      <c r="U4" s="189"/>
      <c r="V4" s="189"/>
      <c r="W4" s="189"/>
      <c r="X4" s="189"/>
      <c r="Y4" s="189"/>
      <c r="Z4" s="189"/>
    </row>
    <row r="5" ht="37.5" customHeight="1" spans="1:26" x14ac:dyDescent="0.25">
      <c r="A5" s="11">
        <v>2</v>
      </c>
      <c r="B5" s="9" t="s">
        <v>334</v>
      </c>
      <c r="C5" s="175"/>
      <c r="D5" s="184" t="s">
        <v>335</v>
      </c>
      <c r="E5" s="191"/>
      <c r="F5" s="191"/>
      <c r="G5" s="192" t="s">
        <v>336</v>
      </c>
      <c r="H5" s="192" t="s">
        <v>336</v>
      </c>
      <c r="I5" s="191"/>
      <c r="J5" s="185"/>
      <c r="K5" s="11"/>
      <c r="L5" s="184" t="s">
        <v>337</v>
      </c>
      <c r="M5" s="193" t="s">
        <v>338</v>
      </c>
      <c r="N5" s="193" t="s">
        <v>339</v>
      </c>
      <c r="O5" s="184" t="s">
        <v>340</v>
      </c>
      <c r="P5" s="184" t="s">
        <v>341</v>
      </c>
      <c r="Q5" s="184"/>
      <c r="R5" s="187"/>
      <c r="S5" s="188">
        <f t="shared" si="0"/>
        <v>8</v>
      </c>
      <c r="T5" s="188"/>
      <c r="U5" s="189"/>
      <c r="V5" s="189"/>
      <c r="W5" s="189"/>
      <c r="X5" s="189"/>
      <c r="Y5" s="189"/>
      <c r="Z5" s="189"/>
    </row>
    <row r="6" ht="30" customHeight="1" spans="1:26" x14ac:dyDescent="0.25">
      <c r="A6" s="11">
        <v>2</v>
      </c>
      <c r="B6" s="9" t="s">
        <v>334</v>
      </c>
      <c r="C6" s="194"/>
      <c r="D6" s="186"/>
      <c r="E6" s="191"/>
      <c r="F6" s="192"/>
      <c r="G6" s="192"/>
      <c r="H6" s="192"/>
      <c r="I6" s="191"/>
      <c r="J6" s="185" t="s">
        <v>261</v>
      </c>
      <c r="K6" s="11"/>
      <c r="L6" s="11"/>
      <c r="M6" s="193"/>
      <c r="N6" s="193"/>
      <c r="O6" s="184" t="s">
        <v>342</v>
      </c>
      <c r="P6" s="184" t="s">
        <v>343</v>
      </c>
      <c r="Q6" s="184" t="s">
        <v>344</v>
      </c>
      <c r="R6" s="187"/>
      <c r="S6" s="188">
        <f t="shared" si="0"/>
        <v>4</v>
      </c>
      <c r="T6" s="188"/>
      <c r="U6" s="189"/>
      <c r="V6" s="189"/>
      <c r="W6" s="189"/>
      <c r="X6" s="189"/>
      <c r="Y6" s="189"/>
      <c r="Z6" s="189"/>
    </row>
    <row r="7" ht="27.95" customHeight="1" spans="1:26" x14ac:dyDescent="0.25">
      <c r="A7" s="11">
        <v>3</v>
      </c>
      <c r="B7" s="9" t="s">
        <v>345</v>
      </c>
      <c r="C7" s="195"/>
      <c r="D7" s="184" t="s">
        <v>346</v>
      </c>
      <c r="E7" s="184" t="s">
        <v>347</v>
      </c>
      <c r="F7" s="193" t="s">
        <v>348</v>
      </c>
      <c r="G7" s="184" t="s">
        <v>349</v>
      </c>
      <c r="H7" s="184" t="s">
        <v>350</v>
      </c>
      <c r="I7" s="184" t="s">
        <v>351</v>
      </c>
      <c r="J7" s="196"/>
      <c r="K7" s="193" t="s">
        <v>352</v>
      </c>
      <c r="L7" s="195"/>
      <c r="M7" s="193" t="s">
        <v>353</v>
      </c>
      <c r="N7" s="184" t="s">
        <v>354</v>
      </c>
      <c r="O7" s="184" t="s">
        <v>355</v>
      </c>
      <c r="P7" s="194"/>
      <c r="Q7" s="194"/>
      <c r="R7" s="96"/>
      <c r="S7" s="188">
        <f t="shared" si="0"/>
        <v>10</v>
      </c>
      <c r="T7" s="188"/>
      <c r="U7" s="189"/>
      <c r="V7" s="189"/>
      <c r="W7" s="189"/>
      <c r="X7" s="189"/>
      <c r="Y7" s="189"/>
      <c r="Z7" s="189"/>
    </row>
    <row r="8" ht="27.95" customHeight="1" spans="1:26" x14ac:dyDescent="0.25">
      <c r="A8" s="11">
        <v>3</v>
      </c>
      <c r="B8" s="9" t="s">
        <v>345</v>
      </c>
      <c r="C8" s="184" t="s">
        <v>356</v>
      </c>
      <c r="D8" s="184" t="s">
        <v>357</v>
      </c>
      <c r="E8" s="184" t="s">
        <v>358</v>
      </c>
      <c r="F8" s="184" t="s">
        <v>359</v>
      </c>
      <c r="G8" s="184" t="s">
        <v>360</v>
      </c>
      <c r="H8" s="193" t="s">
        <v>361</v>
      </c>
      <c r="I8" s="193" t="s">
        <v>362</v>
      </c>
      <c r="J8" s="196"/>
      <c r="K8" s="195"/>
      <c r="L8" s="193" t="s">
        <v>363</v>
      </c>
      <c r="M8" s="193" t="s">
        <v>364</v>
      </c>
      <c r="N8" s="193" t="s">
        <v>365</v>
      </c>
      <c r="O8" s="195"/>
      <c r="P8" s="194"/>
      <c r="Q8" s="194"/>
      <c r="R8" s="96"/>
      <c r="S8" s="188">
        <f t="shared" si="0"/>
        <v>10</v>
      </c>
      <c r="T8" s="188"/>
      <c r="U8" s="189"/>
      <c r="V8" s="189"/>
      <c r="W8" s="189"/>
      <c r="X8" s="189"/>
      <c r="Y8" s="189"/>
      <c r="Z8" s="189"/>
    </row>
    <row r="9" ht="27.95" customHeight="1" spans="1:26" x14ac:dyDescent="0.25">
      <c r="A9" s="11">
        <v>4</v>
      </c>
      <c r="B9" s="9" t="s">
        <v>366</v>
      </c>
      <c r="C9" s="184" t="s">
        <v>367</v>
      </c>
      <c r="D9" s="184" t="s">
        <v>368</v>
      </c>
      <c r="E9" s="184" t="s">
        <v>369</v>
      </c>
      <c r="F9" s="193" t="s">
        <v>370</v>
      </c>
      <c r="G9" s="184" t="s">
        <v>371</v>
      </c>
      <c r="H9" s="193" t="s">
        <v>372</v>
      </c>
      <c r="I9" s="184" t="s">
        <v>373</v>
      </c>
      <c r="J9" s="196"/>
      <c r="K9" s="184" t="s">
        <v>374</v>
      </c>
      <c r="L9" s="193" t="s">
        <v>375</v>
      </c>
      <c r="M9" s="193" t="s">
        <v>376</v>
      </c>
      <c r="N9" s="193" t="s">
        <v>377</v>
      </c>
      <c r="O9" s="193" t="s">
        <v>378</v>
      </c>
      <c r="P9" s="197"/>
      <c r="Q9" s="197"/>
      <c r="R9" s="96"/>
      <c r="S9" s="188">
        <f t="shared" si="0"/>
        <v>12</v>
      </c>
      <c r="T9" s="188"/>
      <c r="U9" s="189"/>
      <c r="V9" s="189"/>
      <c r="W9" s="189"/>
      <c r="X9" s="189"/>
      <c r="Y9" s="189"/>
      <c r="Z9" s="189"/>
    </row>
    <row r="10" ht="27.95" customHeight="1" spans="1:26" x14ac:dyDescent="0.25">
      <c r="A10" s="11">
        <v>4</v>
      </c>
      <c r="B10" s="9" t="s">
        <v>366</v>
      </c>
      <c r="C10" s="194"/>
      <c r="D10" s="186"/>
      <c r="E10" s="184" t="s">
        <v>379</v>
      </c>
      <c r="F10" s="184" t="s">
        <v>380</v>
      </c>
      <c r="G10" s="184" t="s">
        <v>381</v>
      </c>
      <c r="H10" s="184" t="s">
        <v>382</v>
      </c>
      <c r="I10" s="184" t="s">
        <v>383</v>
      </c>
      <c r="J10" s="185"/>
      <c r="K10" s="184" t="s">
        <v>384</v>
      </c>
      <c r="L10" s="184" t="s">
        <v>385</v>
      </c>
      <c r="M10" s="184" t="s">
        <v>386</v>
      </c>
      <c r="N10" s="184" t="s">
        <v>387</v>
      </c>
      <c r="O10" s="184" t="s">
        <v>388</v>
      </c>
      <c r="P10" s="184" t="s">
        <v>389</v>
      </c>
      <c r="Q10" s="184" t="s">
        <v>390</v>
      </c>
      <c r="R10" s="96"/>
      <c r="S10" s="188">
        <f t="shared" si="0"/>
        <v>12</v>
      </c>
      <c r="T10" s="188"/>
      <c r="U10" s="189"/>
      <c r="V10" s="189"/>
      <c r="W10" s="189"/>
      <c r="X10" s="189"/>
      <c r="Y10" s="189"/>
      <c r="Z10" s="189"/>
    </row>
    <row r="11" ht="27.75" customHeight="1" spans="1:26" x14ac:dyDescent="0.25">
      <c r="A11" s="11">
        <v>5</v>
      </c>
      <c r="B11" s="9" t="s">
        <v>391</v>
      </c>
      <c r="C11" s="194"/>
      <c r="D11" s="184" t="s">
        <v>392</v>
      </c>
      <c r="E11" s="184" t="s">
        <v>393</v>
      </c>
      <c r="F11" s="184" t="s">
        <v>394</v>
      </c>
      <c r="G11" s="184" t="s">
        <v>395</v>
      </c>
      <c r="H11" s="184" t="s">
        <v>396</v>
      </c>
      <c r="I11" s="195"/>
      <c r="J11" s="185"/>
      <c r="K11" s="184" t="s">
        <v>397</v>
      </c>
      <c r="L11" s="184" t="s">
        <v>398</v>
      </c>
      <c r="M11" s="184" t="s">
        <v>399</v>
      </c>
      <c r="N11" s="184" t="s">
        <v>400</v>
      </c>
      <c r="O11" s="184" t="s">
        <v>401</v>
      </c>
      <c r="P11" s="184" t="s">
        <v>402</v>
      </c>
      <c r="Q11" s="194"/>
      <c r="R11" s="198"/>
      <c r="S11" s="188">
        <f t="shared" si="0"/>
        <v>11</v>
      </c>
      <c r="T11" s="188"/>
      <c r="U11" s="189"/>
      <c r="V11" s="189"/>
      <c r="W11" s="189"/>
      <c r="X11" s="189"/>
      <c r="Y11" s="189"/>
      <c r="Z11" s="189"/>
    </row>
    <row r="12" ht="27.95" customHeight="1" spans="1:26" x14ac:dyDescent="0.25">
      <c r="A12" s="11">
        <v>5</v>
      </c>
      <c r="B12" s="9" t="s">
        <v>391</v>
      </c>
      <c r="C12" s="194"/>
      <c r="D12" s="184" t="s">
        <v>403</v>
      </c>
      <c r="E12" s="184" t="s">
        <v>404</v>
      </c>
      <c r="F12" s="184" t="s">
        <v>405</v>
      </c>
      <c r="G12" s="199" t="s">
        <v>406</v>
      </c>
      <c r="H12" s="184" t="s">
        <v>407</v>
      </c>
      <c r="I12" s="184" t="s">
        <v>408</v>
      </c>
      <c r="J12" s="185"/>
      <c r="K12" s="184" t="s">
        <v>409</v>
      </c>
      <c r="L12" s="184" t="s">
        <v>410</v>
      </c>
      <c r="M12" s="184" t="s">
        <v>411</v>
      </c>
      <c r="N12" s="184" t="s">
        <v>412</v>
      </c>
      <c r="O12" s="193" t="s">
        <v>413</v>
      </c>
      <c r="P12" s="195"/>
      <c r="Q12" s="194"/>
      <c r="R12" s="198"/>
      <c r="S12" s="188">
        <f t="shared" si="0"/>
        <v>11</v>
      </c>
      <c r="T12" s="188"/>
      <c r="U12" s="189"/>
      <c r="V12" s="189"/>
      <c r="W12" s="189"/>
      <c r="X12" s="189"/>
      <c r="Y12" s="189"/>
      <c r="Z12" s="189"/>
    </row>
    <row r="13" ht="27.75" customHeight="1" spans="1:26" x14ac:dyDescent="0.25">
      <c r="A13" s="11">
        <v>6</v>
      </c>
      <c r="B13" s="9" t="s">
        <v>414</v>
      </c>
      <c r="C13" s="194"/>
      <c r="D13" s="193" t="s">
        <v>415</v>
      </c>
      <c r="E13" s="184" t="s">
        <v>416</v>
      </c>
      <c r="F13" s="184" t="s">
        <v>417</v>
      </c>
      <c r="G13" s="184" t="s">
        <v>418</v>
      </c>
      <c r="H13" s="184" t="s">
        <v>419</v>
      </c>
      <c r="I13" s="184" t="s">
        <v>420</v>
      </c>
      <c r="J13" s="185"/>
      <c r="K13" s="184" t="s">
        <v>421</v>
      </c>
      <c r="L13" s="184" t="s">
        <v>422</v>
      </c>
      <c r="M13" s="184" t="s">
        <v>423</v>
      </c>
      <c r="N13" s="184" t="s">
        <v>424</v>
      </c>
      <c r="O13" s="184" t="s">
        <v>425</v>
      </c>
      <c r="P13" s="184" t="s">
        <v>426</v>
      </c>
      <c r="Q13" s="194"/>
      <c r="R13" s="198"/>
      <c r="S13" s="188">
        <f t="shared" si="0"/>
        <v>12</v>
      </c>
      <c r="T13" s="188"/>
      <c r="U13" s="189"/>
      <c r="V13" s="189"/>
      <c r="W13" s="189"/>
      <c r="X13" s="189"/>
      <c r="Y13" s="189"/>
      <c r="Z13" s="189"/>
    </row>
    <row r="14" ht="27" customHeight="1" spans="1:26" x14ac:dyDescent="0.25">
      <c r="A14" s="11">
        <v>6</v>
      </c>
      <c r="B14" s="9" t="s">
        <v>414</v>
      </c>
      <c r="C14" s="199" t="s">
        <v>427</v>
      </c>
      <c r="D14" s="184" t="s">
        <v>428</v>
      </c>
      <c r="E14" s="184" t="s">
        <v>429</v>
      </c>
      <c r="F14" s="184" t="s">
        <v>430</v>
      </c>
      <c r="G14" s="184" t="s">
        <v>431</v>
      </c>
      <c r="H14" s="184" t="s">
        <v>432</v>
      </c>
      <c r="I14" s="199" t="s">
        <v>433</v>
      </c>
      <c r="J14" s="184"/>
      <c r="K14" s="184" t="s">
        <v>434</v>
      </c>
      <c r="L14" s="193" t="s">
        <v>435</v>
      </c>
      <c r="M14" s="193" t="s">
        <v>436</v>
      </c>
      <c r="N14" s="193" t="s">
        <v>437</v>
      </c>
      <c r="O14" s="193" t="s">
        <v>438</v>
      </c>
      <c r="P14" s="184"/>
      <c r="Q14" s="194"/>
      <c r="R14" s="198"/>
      <c r="S14" s="188">
        <f t="shared" si="0"/>
        <v>12</v>
      </c>
      <c r="T14" s="188"/>
      <c r="U14" s="189"/>
      <c r="V14" s="189"/>
      <c r="W14" s="189"/>
      <c r="X14" s="189"/>
      <c r="Y14" s="189"/>
      <c r="Z14" s="189"/>
    </row>
    <row r="15" ht="27.75" customHeight="1" spans="1:26" x14ac:dyDescent="0.25">
      <c r="A15" s="11">
        <v>7</v>
      </c>
      <c r="B15" s="9" t="s">
        <v>439</v>
      </c>
      <c r="C15" s="184" t="s">
        <v>440</v>
      </c>
      <c r="D15" s="184" t="s">
        <v>441</v>
      </c>
      <c r="E15" s="184" t="s">
        <v>442</v>
      </c>
      <c r="F15" s="184" t="s">
        <v>443</v>
      </c>
      <c r="G15" s="184" t="s">
        <v>444</v>
      </c>
      <c r="H15" s="184" t="s">
        <v>445</v>
      </c>
      <c r="I15" s="184" t="s">
        <v>446</v>
      </c>
      <c r="J15" s="196"/>
      <c r="K15" s="184" t="s">
        <v>447</v>
      </c>
      <c r="L15" s="184" t="s">
        <v>448</v>
      </c>
      <c r="M15" s="184" t="s">
        <v>449</v>
      </c>
      <c r="N15" s="184" t="s">
        <v>450</v>
      </c>
      <c r="O15" s="184" t="s">
        <v>451</v>
      </c>
      <c r="P15" s="197"/>
      <c r="Q15" s="197"/>
      <c r="R15" s="198"/>
      <c r="S15" s="188">
        <f t="shared" si="0"/>
        <v>12</v>
      </c>
      <c r="T15" s="188"/>
      <c r="U15" s="189"/>
      <c r="V15" s="189"/>
      <c r="W15" s="189"/>
      <c r="X15" s="189"/>
      <c r="Y15" s="189"/>
      <c r="Z15" s="189"/>
    </row>
    <row r="16" ht="27.95" customHeight="1" spans="1:26" x14ac:dyDescent="0.25">
      <c r="A16" s="11">
        <v>7</v>
      </c>
      <c r="B16" s="9" t="s">
        <v>439</v>
      </c>
      <c r="C16" s="194"/>
      <c r="D16" s="184" t="s">
        <v>452</v>
      </c>
      <c r="E16" s="184" t="s">
        <v>453</v>
      </c>
      <c r="F16" s="193" t="s">
        <v>454</v>
      </c>
      <c r="G16" s="184" t="s">
        <v>455</v>
      </c>
      <c r="H16" s="184" t="s">
        <v>456</v>
      </c>
      <c r="I16" s="184" t="s">
        <v>457</v>
      </c>
      <c r="J16" s="196"/>
      <c r="K16" s="184" t="s">
        <v>458</v>
      </c>
      <c r="L16" s="184" t="s">
        <v>459</v>
      </c>
      <c r="M16" s="193" t="s">
        <v>460</v>
      </c>
      <c r="N16" s="193" t="s">
        <v>461</v>
      </c>
      <c r="O16" s="184" t="s">
        <v>462</v>
      </c>
      <c r="P16" s="193" t="s">
        <v>463</v>
      </c>
      <c r="Q16" s="194"/>
      <c r="R16" s="198"/>
      <c r="S16" s="188">
        <f t="shared" si="0"/>
        <v>12</v>
      </c>
      <c r="T16" s="188"/>
      <c r="U16" s="189"/>
      <c r="V16" s="189"/>
      <c r="W16" s="189"/>
      <c r="X16" s="189"/>
      <c r="Y16" s="189"/>
      <c r="Z16" s="189"/>
    </row>
    <row r="17" ht="27.95" customHeight="1" spans="1:26" x14ac:dyDescent="0.25">
      <c r="A17" s="11">
        <v>8</v>
      </c>
      <c r="B17" s="9" t="s">
        <v>464</v>
      </c>
      <c r="C17" s="184" t="s">
        <v>465</v>
      </c>
      <c r="D17" s="11" t="s">
        <v>466</v>
      </c>
      <c r="E17" s="193" t="s">
        <v>467</v>
      </c>
      <c r="F17" s="193" t="s">
        <v>468</v>
      </c>
      <c r="G17" s="193" t="s">
        <v>469</v>
      </c>
      <c r="H17" s="193" t="s">
        <v>470</v>
      </c>
      <c r="I17" s="193" t="s">
        <v>471</v>
      </c>
      <c r="J17" s="196"/>
      <c r="K17" s="184" t="s">
        <v>472</v>
      </c>
      <c r="L17" s="184" t="s">
        <v>473</v>
      </c>
      <c r="M17" s="184" t="s">
        <v>474</v>
      </c>
      <c r="N17" s="184" t="s">
        <v>475</v>
      </c>
      <c r="O17" s="184" t="s">
        <v>476</v>
      </c>
      <c r="P17" s="197"/>
      <c r="Q17" s="197"/>
      <c r="R17" s="198"/>
      <c r="S17" s="188">
        <f t="shared" si="0"/>
        <v>12</v>
      </c>
      <c r="T17" s="188"/>
      <c r="U17" s="189"/>
      <c r="V17" s="189"/>
      <c r="W17" s="189"/>
      <c r="X17" s="189"/>
      <c r="Y17" s="189"/>
      <c r="Z17" s="189"/>
    </row>
    <row r="18" ht="27.95" customHeight="1" spans="1:26" x14ac:dyDescent="0.25">
      <c r="A18" s="11">
        <v>8</v>
      </c>
      <c r="B18" s="9" t="s">
        <v>464</v>
      </c>
      <c r="C18" s="194"/>
      <c r="D18" s="11" t="s">
        <v>466</v>
      </c>
      <c r="E18" s="184" t="s">
        <v>477</v>
      </c>
      <c r="F18" s="193" t="s">
        <v>478</v>
      </c>
      <c r="G18" s="193" t="s">
        <v>479</v>
      </c>
      <c r="H18" s="193" t="s">
        <v>480</v>
      </c>
      <c r="I18" s="184" t="s">
        <v>481</v>
      </c>
      <c r="J18" s="196"/>
      <c r="K18" s="184" t="s">
        <v>482</v>
      </c>
      <c r="L18" s="184" t="s">
        <v>483</v>
      </c>
      <c r="M18" s="193" t="s">
        <v>484</v>
      </c>
      <c r="N18" s="193" t="s">
        <v>485</v>
      </c>
      <c r="O18" s="184" t="s">
        <v>486</v>
      </c>
      <c r="P18" s="184" t="s">
        <v>487</v>
      </c>
      <c r="Q18" s="194"/>
      <c r="R18" s="198"/>
      <c r="S18" s="188">
        <f t="shared" si="0"/>
        <v>12</v>
      </c>
      <c r="T18" s="188"/>
      <c r="U18" s="189"/>
      <c r="V18" s="189"/>
      <c r="W18" s="189"/>
      <c r="X18" s="189"/>
      <c r="Y18" s="189"/>
      <c r="Z18" s="189"/>
    </row>
    <row r="19" ht="27.95" customHeight="1" spans="1:26" x14ac:dyDescent="0.25">
      <c r="A19" s="11">
        <v>9</v>
      </c>
      <c r="B19" s="9" t="s">
        <v>488</v>
      </c>
      <c r="C19" s="184" t="s">
        <v>489</v>
      </c>
      <c r="D19" s="184" t="s">
        <v>490</v>
      </c>
      <c r="E19" s="193" t="s">
        <v>491</v>
      </c>
      <c r="F19" s="193" t="s">
        <v>492</v>
      </c>
      <c r="G19" s="193" t="s">
        <v>493</v>
      </c>
      <c r="H19" s="193" t="s">
        <v>494</v>
      </c>
      <c r="I19" s="184" t="s">
        <v>495</v>
      </c>
      <c r="J19" s="196"/>
      <c r="K19" s="184" t="s">
        <v>496</v>
      </c>
      <c r="L19" s="184" t="s">
        <v>497</v>
      </c>
      <c r="M19" s="184" t="s">
        <v>498</v>
      </c>
      <c r="N19" s="184" t="s">
        <v>499</v>
      </c>
      <c r="O19" s="193" t="s">
        <v>500</v>
      </c>
      <c r="P19" s="197"/>
      <c r="Q19" s="197"/>
      <c r="R19" s="198"/>
      <c r="S19" s="188">
        <f t="shared" si="0"/>
        <v>12</v>
      </c>
      <c r="T19" s="188"/>
      <c r="U19" s="189"/>
      <c r="V19" s="189"/>
      <c r="W19" s="189"/>
      <c r="X19" s="189"/>
      <c r="Y19" s="189"/>
      <c r="Z19" s="189"/>
    </row>
    <row r="20" ht="27.95" customHeight="1" spans="1:26" x14ac:dyDescent="0.25">
      <c r="A20" s="11">
        <v>9</v>
      </c>
      <c r="B20" s="9" t="s">
        <v>488</v>
      </c>
      <c r="C20" s="193" t="s">
        <v>501</v>
      </c>
      <c r="D20" s="184" t="s">
        <v>502</v>
      </c>
      <c r="E20" s="193" t="s">
        <v>503</v>
      </c>
      <c r="F20" s="193" t="s">
        <v>504</v>
      </c>
      <c r="G20" s="184" t="s">
        <v>505</v>
      </c>
      <c r="H20" s="193" t="s">
        <v>506</v>
      </c>
      <c r="I20" s="193" t="s">
        <v>507</v>
      </c>
      <c r="J20" s="196"/>
      <c r="K20" s="184" t="s">
        <v>508</v>
      </c>
      <c r="L20" s="193" t="s">
        <v>509</v>
      </c>
      <c r="M20" s="193" t="s">
        <v>510</v>
      </c>
      <c r="N20" s="184" t="s">
        <v>511</v>
      </c>
      <c r="O20" s="184" t="s">
        <v>512</v>
      </c>
      <c r="P20" s="175"/>
      <c r="Q20" s="175"/>
      <c r="R20" s="198"/>
      <c r="S20" s="188">
        <f t="shared" si="0"/>
        <v>12</v>
      </c>
      <c r="T20" s="188"/>
      <c r="U20" s="189"/>
      <c r="V20" s="189"/>
      <c r="W20" s="189"/>
      <c r="X20" s="189"/>
      <c r="Y20" s="189"/>
      <c r="Z20" s="189"/>
    </row>
    <row r="21" ht="27.95" customHeight="1" spans="1:26" x14ac:dyDescent="0.25">
      <c r="A21" s="11">
        <v>10</v>
      </c>
      <c r="B21" s="9" t="s">
        <v>513</v>
      </c>
      <c r="C21" s="193"/>
      <c r="D21" s="184" t="s">
        <v>514</v>
      </c>
      <c r="E21" s="184" t="s">
        <v>515</v>
      </c>
      <c r="F21" s="184" t="s">
        <v>516</v>
      </c>
      <c r="G21" s="184"/>
      <c r="H21" s="184" t="s">
        <v>517</v>
      </c>
      <c r="I21" s="11" t="s">
        <v>518</v>
      </c>
      <c r="J21" s="196"/>
      <c r="K21" s="193"/>
      <c r="L21" s="184"/>
      <c r="M21" s="193"/>
      <c r="N21" s="193"/>
      <c r="O21" s="184"/>
      <c r="P21" s="193"/>
      <c r="Q21" s="193"/>
      <c r="R21" s="198"/>
      <c r="S21" s="188"/>
      <c r="T21" s="188"/>
      <c r="U21" s="189"/>
      <c r="V21" s="189"/>
      <c r="W21" s="189"/>
      <c r="X21" s="189"/>
      <c r="Y21" s="189"/>
      <c r="Z21" s="189"/>
    </row>
    <row r="22" ht="27.95" customHeight="1" spans="1:26" x14ac:dyDescent="0.25">
      <c r="A22" s="11">
        <v>10</v>
      </c>
      <c r="B22" s="9" t="s">
        <v>513</v>
      </c>
      <c r="C22" s="193"/>
      <c r="D22" s="184"/>
      <c r="E22" s="193"/>
      <c r="F22" s="193"/>
      <c r="G22" s="193"/>
      <c r="H22" s="184"/>
      <c r="I22" s="11" t="s">
        <v>518</v>
      </c>
      <c r="J22" s="196"/>
      <c r="K22" s="193"/>
      <c r="L22" s="184"/>
      <c r="M22" s="193"/>
      <c r="N22" s="193"/>
      <c r="O22" s="184"/>
      <c r="P22" s="193"/>
      <c r="Q22" s="193"/>
      <c r="R22" s="198"/>
      <c r="S22" s="188"/>
      <c r="T22" s="188"/>
      <c r="U22" s="189"/>
      <c r="V22" s="189"/>
      <c r="W22" s="189"/>
      <c r="X22" s="189"/>
      <c r="Y22" s="189"/>
      <c r="Z22" s="189"/>
    </row>
    <row r="23" ht="27.95" customHeight="1" spans="1:26" x14ac:dyDescent="0.25">
      <c r="A23" s="11">
        <v>11</v>
      </c>
      <c r="B23" s="9" t="s">
        <v>519</v>
      </c>
      <c r="C23" s="21" t="s">
        <v>520</v>
      </c>
      <c r="D23" s="21"/>
      <c r="E23" s="21"/>
      <c r="F23" s="21"/>
      <c r="G23" s="21"/>
      <c r="H23" s="21"/>
      <c r="I23" s="21"/>
      <c r="J23" s="193"/>
      <c r="K23" s="184" t="s">
        <v>521</v>
      </c>
      <c r="L23" s="184" t="s">
        <v>522</v>
      </c>
      <c r="M23" s="184" t="s">
        <v>523</v>
      </c>
      <c r="N23" s="184" t="s">
        <v>524</v>
      </c>
      <c r="O23" s="9"/>
      <c r="P23" s="197"/>
      <c r="Q23" s="197"/>
      <c r="R23" s="198"/>
      <c r="S23" s="188">
        <f t="shared" si="0"/>
        <v>5</v>
      </c>
      <c r="T23" s="188"/>
      <c r="U23" s="189"/>
      <c r="V23" s="189"/>
      <c r="W23" s="189"/>
      <c r="X23" s="189"/>
      <c r="Y23" s="189"/>
      <c r="Z23" s="189"/>
    </row>
    <row r="24" ht="27.95" customHeight="1" spans="1:20" x14ac:dyDescent="0.25">
      <c r="A24" s="11">
        <v>11</v>
      </c>
      <c r="B24" s="9" t="s">
        <v>519</v>
      </c>
      <c r="C24" s="21" t="s">
        <v>520</v>
      </c>
      <c r="D24" s="21"/>
      <c r="E24" s="21"/>
      <c r="F24" s="21"/>
      <c r="G24" s="21"/>
      <c r="H24" s="21"/>
      <c r="I24" s="21"/>
      <c r="J24" s="185"/>
      <c r="K24" s="184" t="s">
        <v>525</v>
      </c>
      <c r="L24" s="184" t="s">
        <v>526</v>
      </c>
      <c r="M24" s="193" t="s">
        <v>527</v>
      </c>
      <c r="N24" s="184" t="s">
        <v>528</v>
      </c>
      <c r="O24" s="9"/>
      <c r="P24" s="175"/>
      <c r="Q24" s="175"/>
      <c r="R24" s="198"/>
      <c r="S24" s="188">
        <f>COUNTA(D24:Q24)</f>
        <v>4</v>
      </c>
      <c r="T24" s="188"/>
    </row>
    <row r="25" ht="27.95" customHeight="1" spans="1:20" x14ac:dyDescent="0.25">
      <c r="A25" s="11"/>
      <c r="B25" s="9" t="s">
        <v>529</v>
      </c>
      <c r="C25" s="200" t="s">
        <v>247</v>
      </c>
      <c r="D25" s="197" t="s">
        <v>520</v>
      </c>
      <c r="E25" s="197"/>
      <c r="F25" s="197"/>
      <c r="G25" s="197"/>
      <c r="H25" s="197"/>
      <c r="I25" s="197"/>
      <c r="J25" s="197"/>
      <c r="K25" s="197"/>
      <c r="L25" s="197"/>
      <c r="M25" s="197"/>
      <c r="N25" s="175"/>
      <c r="O25" s="201" t="s">
        <v>247</v>
      </c>
      <c r="P25" s="201"/>
      <c r="Q25" s="201"/>
      <c r="R25" s="198"/>
      <c r="S25" s="96"/>
      <c r="T25" s="96"/>
    </row>
    <row r="26" ht="27.95" customHeight="1" spans="1:20" x14ac:dyDescent="0.25">
      <c r="A26" s="11"/>
      <c r="B26" s="9" t="s">
        <v>529</v>
      </c>
      <c r="C26" s="200" t="s">
        <v>247</v>
      </c>
      <c r="D26" s="175" t="s">
        <v>520</v>
      </c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200" t="s">
        <v>247</v>
      </c>
      <c r="P26" s="200"/>
      <c r="Q26" s="200"/>
      <c r="R26" s="198"/>
      <c r="S26" s="96"/>
      <c r="T26" s="96"/>
    </row>
    <row r="27" ht="60" customHeight="1" spans="1:22" x14ac:dyDescent="0.25">
      <c r="A27" s="202"/>
      <c r="B27" s="22" t="s">
        <v>309</v>
      </c>
      <c r="C27" s="11" t="s">
        <v>530</v>
      </c>
      <c r="D27" s="11" t="s">
        <v>531</v>
      </c>
      <c r="E27" s="175" t="s">
        <v>532</v>
      </c>
      <c r="F27" s="175" t="s">
        <v>533</v>
      </c>
      <c r="G27" s="203" t="s">
        <v>534</v>
      </c>
      <c r="H27" s="11" t="s">
        <v>535</v>
      </c>
      <c r="I27" s="11" t="s">
        <v>536</v>
      </c>
      <c r="J27" s="17" t="s">
        <v>261</v>
      </c>
      <c r="K27" s="203" t="s">
        <v>537</v>
      </c>
      <c r="L27" s="175" t="s">
        <v>538</v>
      </c>
      <c r="M27" s="203" t="s">
        <v>539</v>
      </c>
      <c r="N27" s="11" t="s">
        <v>540</v>
      </c>
      <c r="O27" s="11"/>
      <c r="P27" s="175"/>
      <c r="Q27" s="11"/>
      <c r="R27" s="198"/>
      <c r="S27" s="188"/>
      <c r="T27" s="96"/>
      <c r="U27" s="96"/>
      <c r="V27" s="96"/>
    </row>
    <row r="28" ht="35.25" customHeight="1" spans="1:22" x14ac:dyDescent="0.25">
      <c r="A28" s="202"/>
      <c r="B28" s="9" t="s">
        <v>541</v>
      </c>
      <c r="C28" s="184"/>
      <c r="D28" s="175" t="s">
        <v>542</v>
      </c>
      <c r="E28" s="175" t="s">
        <v>543</v>
      </c>
      <c r="F28" s="11"/>
      <c r="G28" s="11"/>
      <c r="H28" s="9" t="s">
        <v>544</v>
      </c>
      <c r="I28" s="11"/>
      <c r="J28" s="17"/>
      <c r="K28" s="11"/>
      <c r="L28" s="11"/>
      <c r="M28" s="11"/>
      <c r="N28" s="11"/>
      <c r="O28" s="11"/>
      <c r="P28" s="11"/>
      <c r="Q28" s="11"/>
      <c r="R28" s="198"/>
      <c r="S28" s="188"/>
      <c r="T28" s="96"/>
      <c r="U28" s="96"/>
      <c r="V28" s="96"/>
    </row>
    <row r="29" ht="33.75" customHeight="1" spans="1:22" x14ac:dyDescent="0.25">
      <c r="A29" s="180"/>
      <c r="B29" s="149" t="s">
        <v>545</v>
      </c>
      <c r="C29" s="184"/>
      <c r="D29" s="184"/>
      <c r="E29" s="184" t="s">
        <v>546</v>
      </c>
      <c r="F29" s="184" t="s">
        <v>547</v>
      </c>
      <c r="G29" s="184" t="s">
        <v>548</v>
      </c>
      <c r="H29" s="184"/>
      <c r="I29" s="204" t="s">
        <v>549</v>
      </c>
      <c r="J29" s="185"/>
      <c r="K29" s="184" t="s">
        <v>550</v>
      </c>
      <c r="L29" s="184"/>
      <c r="M29" s="184" t="s">
        <v>551</v>
      </c>
      <c r="N29" s="184" t="s">
        <v>552</v>
      </c>
      <c r="O29" s="204"/>
      <c r="P29" s="184"/>
      <c r="Q29" s="184"/>
      <c r="R29" s="205"/>
      <c r="S29" s="188"/>
      <c r="T29" s="188"/>
      <c r="U29" s="96"/>
      <c r="V29" s="96"/>
    </row>
    <row r="30" ht="72" customHeight="1" spans="1:20" x14ac:dyDescent="0.25">
      <c r="A30" s="180"/>
      <c r="B30" s="149"/>
      <c r="C30" s="145" t="s">
        <v>553</v>
      </c>
      <c r="D30" s="184" t="s">
        <v>554</v>
      </c>
      <c r="E30" s="184" t="s">
        <v>555</v>
      </c>
      <c r="F30" s="184" t="s">
        <v>556</v>
      </c>
      <c r="G30" s="184" t="s">
        <v>557</v>
      </c>
      <c r="H30" s="199" t="s">
        <v>558</v>
      </c>
      <c r="I30" s="184" t="s">
        <v>559</v>
      </c>
      <c r="J30" s="184"/>
      <c r="K30" s="184" t="s">
        <v>560</v>
      </c>
      <c r="L30" s="184" t="s">
        <v>561</v>
      </c>
      <c r="M30" s="184" t="s">
        <v>562</v>
      </c>
      <c r="N30" s="184" t="s">
        <v>563</v>
      </c>
      <c r="O30" s="184" t="s">
        <v>564</v>
      </c>
      <c r="P30" s="184" t="s">
        <v>565</v>
      </c>
      <c r="Q30" s="184"/>
      <c r="R30" s="205"/>
      <c r="S30" s="188"/>
      <c r="T30" s="188"/>
    </row>
    <row r="31" ht="35.25" customHeight="1" spans="1:20" x14ac:dyDescent="0.25">
      <c r="A31" s="11"/>
      <c r="B31" s="22" t="s">
        <v>566</v>
      </c>
      <c r="C31" s="184" t="s">
        <v>567</v>
      </c>
      <c r="D31" s="184"/>
      <c r="E31" s="184" t="s">
        <v>568</v>
      </c>
      <c r="F31" s="199" t="s">
        <v>569</v>
      </c>
      <c r="G31" s="184" t="s">
        <v>570</v>
      </c>
      <c r="H31" s="184" t="s">
        <v>571</v>
      </c>
      <c r="I31" s="199" t="s">
        <v>572</v>
      </c>
      <c r="J31" s="185"/>
      <c r="K31" s="184" t="s">
        <v>573</v>
      </c>
      <c r="L31" s="204" t="s">
        <v>574</v>
      </c>
      <c r="M31" s="199" t="s">
        <v>575</v>
      </c>
      <c r="N31" s="184" t="s">
        <v>576</v>
      </c>
      <c r="O31" s="184"/>
      <c r="P31" s="204"/>
      <c r="Q31" s="184"/>
      <c r="R31" s="96"/>
      <c r="S31" s="188"/>
      <c r="T31" s="188"/>
    </row>
    <row r="32" ht="60" customHeight="1" spans="1:20" x14ac:dyDescent="0.25">
      <c r="A32" s="11"/>
      <c r="B32" s="22"/>
      <c r="C32" s="184" t="s">
        <v>577</v>
      </c>
      <c r="D32" s="184" t="s">
        <v>578</v>
      </c>
      <c r="E32" s="145" t="s">
        <v>579</v>
      </c>
      <c r="F32" s="184" t="s">
        <v>580</v>
      </c>
      <c r="G32" s="199" t="s">
        <v>581</v>
      </c>
      <c r="H32" s="199" t="s">
        <v>582</v>
      </c>
      <c r="I32" s="184" t="s">
        <v>583</v>
      </c>
      <c r="J32" s="185"/>
      <c r="K32" s="184" t="s">
        <v>584</v>
      </c>
      <c r="L32" s="184" t="s">
        <v>585</v>
      </c>
      <c r="M32" s="184" t="s">
        <v>586</v>
      </c>
      <c r="N32" s="193" t="s">
        <v>587</v>
      </c>
      <c r="O32" s="184" t="s">
        <v>588</v>
      </c>
      <c r="P32" s="199" t="s">
        <v>589</v>
      </c>
      <c r="Q32" s="184"/>
      <c r="R32" s="96"/>
      <c r="S32" s="188"/>
      <c r="T32" s="188"/>
    </row>
    <row r="33" ht="27.75" customHeight="1" spans="1:20" x14ac:dyDescent="0.25">
      <c r="A33" s="18" t="s">
        <v>590</v>
      </c>
      <c r="B33" s="9" t="s">
        <v>591</v>
      </c>
      <c r="C33" s="175"/>
      <c r="D33" s="206"/>
      <c r="E33" s="11"/>
      <c r="F33" s="11"/>
      <c r="G33" s="184"/>
      <c r="H33" s="184"/>
      <c r="I33" s="11"/>
      <c r="J33" s="185"/>
      <c r="K33" s="175"/>
      <c r="L33" s="184"/>
      <c r="M33" s="11"/>
      <c r="N33" s="184"/>
      <c r="O33" s="11"/>
      <c r="P33" s="184"/>
      <c r="Q33" s="175"/>
      <c r="R33" s="96"/>
      <c r="S33" s="188"/>
      <c r="T33" s="188"/>
    </row>
    <row r="34" ht="27.75" customHeight="1" spans="1:20" x14ac:dyDescent="0.25">
      <c r="A34" s="18" t="s">
        <v>590</v>
      </c>
      <c r="B34" s="9" t="s">
        <v>591</v>
      </c>
      <c r="C34" s="175"/>
      <c r="D34" s="206"/>
      <c r="E34" s="11"/>
      <c r="F34" s="184"/>
      <c r="G34" s="184"/>
      <c r="H34" s="193"/>
      <c r="I34" s="11"/>
      <c r="J34" s="185"/>
      <c r="K34" s="175"/>
      <c r="L34" s="184"/>
      <c r="M34" s="193"/>
      <c r="N34" s="184"/>
      <c r="O34" s="193"/>
      <c r="P34" s="11"/>
      <c r="Q34" s="175"/>
      <c r="R34" s="96"/>
      <c r="S34" s="188"/>
      <c r="T34" s="188"/>
    </row>
    <row r="35" ht="27.95" customHeight="1" spans="1:20" x14ac:dyDescent="0.25">
      <c r="A35" s="18" t="s">
        <v>208</v>
      </c>
      <c r="B35" s="9" t="s">
        <v>592</v>
      </c>
      <c r="C35" s="175"/>
      <c r="D35" s="206"/>
      <c r="E35" s="11"/>
      <c r="F35" s="11"/>
      <c r="G35" s="184" t="s">
        <v>593</v>
      </c>
      <c r="H35" s="184" t="s">
        <v>594</v>
      </c>
      <c r="I35" s="11"/>
      <c r="J35" s="185"/>
      <c r="K35" s="175"/>
      <c r="L35" s="184" t="s">
        <v>595</v>
      </c>
      <c r="M35" s="11"/>
      <c r="N35" s="184"/>
      <c r="O35" s="11" t="s">
        <v>596</v>
      </c>
      <c r="P35" s="184" t="s">
        <v>597</v>
      </c>
      <c r="Q35" s="175" t="s">
        <v>309</v>
      </c>
      <c r="R35" s="205"/>
      <c r="S35" s="188"/>
      <c r="T35" s="188"/>
    </row>
    <row r="36" ht="27.95" customHeight="1" spans="1:20" x14ac:dyDescent="0.25">
      <c r="A36" s="18" t="s">
        <v>208</v>
      </c>
      <c r="B36" s="9" t="s">
        <v>592</v>
      </c>
      <c r="C36" s="175"/>
      <c r="D36" s="206"/>
      <c r="E36" s="11"/>
      <c r="F36" s="184" t="s">
        <v>598</v>
      </c>
      <c r="G36" s="184" t="s">
        <v>599</v>
      </c>
      <c r="H36" s="193"/>
      <c r="I36" s="11"/>
      <c r="J36" s="185"/>
      <c r="K36" s="175"/>
      <c r="L36" s="184" t="s">
        <v>600</v>
      </c>
      <c r="M36" s="193" t="s">
        <v>601</v>
      </c>
      <c r="N36" s="184"/>
      <c r="O36" s="193" t="s">
        <v>602</v>
      </c>
      <c r="P36" s="11" t="s">
        <v>603</v>
      </c>
      <c r="Q36" s="175" t="s">
        <v>309</v>
      </c>
      <c r="R36" s="205"/>
      <c r="S36" s="188"/>
      <c r="T36" s="188"/>
    </row>
    <row r="37" spans="1:20" x14ac:dyDescent="0.25">
      <c r="A37" s="207" t="s">
        <v>299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198"/>
      <c r="S37" s="96"/>
      <c r="T37" s="96"/>
    </row>
    <row r="38" ht="21" customHeight="1" spans="1:20" x14ac:dyDescent="0.25">
      <c r="A38" s="208"/>
      <c r="B38" s="125" t="s">
        <v>604</v>
      </c>
      <c r="C38" s="126" t="s">
        <v>259</v>
      </c>
      <c r="D38" s="126" t="s">
        <v>6</v>
      </c>
      <c r="E38" s="126" t="s">
        <v>7</v>
      </c>
      <c r="F38" s="126" t="s">
        <v>8</v>
      </c>
      <c r="G38" s="126" t="s">
        <v>9</v>
      </c>
      <c r="H38" s="126" t="s">
        <v>10</v>
      </c>
      <c r="I38" s="126" t="s">
        <v>260</v>
      </c>
      <c r="J38" s="209" t="s">
        <v>261</v>
      </c>
      <c r="K38" s="126" t="s">
        <v>13</v>
      </c>
      <c r="L38" s="126" t="s">
        <v>14</v>
      </c>
      <c r="M38" s="126" t="s">
        <v>15</v>
      </c>
      <c r="N38" s="126" t="s">
        <v>16</v>
      </c>
      <c r="O38" s="126" t="s">
        <v>17</v>
      </c>
      <c r="P38" s="126" t="s">
        <v>283</v>
      </c>
      <c r="Q38" s="126" t="s">
        <v>284</v>
      </c>
      <c r="R38" s="187"/>
      <c r="S38" s="96"/>
      <c r="T38" s="96"/>
    </row>
    <row r="39" ht="36" customHeight="1" spans="1:24" x14ac:dyDescent="0.25">
      <c r="A39" s="11">
        <v>12</v>
      </c>
      <c r="B39" s="9" t="s">
        <v>605</v>
      </c>
      <c r="C39" s="195"/>
      <c r="D39" s="175" t="s">
        <v>606</v>
      </c>
      <c r="E39" s="210" t="s">
        <v>607</v>
      </c>
      <c r="F39" s="195"/>
      <c r="G39" s="184" t="s">
        <v>608</v>
      </c>
      <c r="H39" s="203" t="s">
        <v>609</v>
      </c>
      <c r="I39" s="147" t="s">
        <v>610</v>
      </c>
      <c r="J39" s="175"/>
      <c r="K39" s="175" t="s">
        <v>611</v>
      </c>
      <c r="L39" s="184" t="s">
        <v>612</v>
      </c>
      <c r="M39" s="184" t="s">
        <v>613</v>
      </c>
      <c r="N39" s="184" t="s">
        <v>614</v>
      </c>
      <c r="O39" s="175" t="s">
        <v>615</v>
      </c>
      <c r="P39" s="197"/>
      <c r="Q39" s="197"/>
      <c r="R39" s="198"/>
      <c r="S39" s="188">
        <f t="shared" ref="S39:S44" si="1">COUNTA(C39:Q39)</f>
        <v>10</v>
      </c>
      <c r="T39" s="188"/>
      <c r="U39" s="211"/>
      <c r="V39" s="211"/>
      <c r="W39" s="211"/>
      <c r="X39" s="211"/>
    </row>
    <row r="40" ht="36" customHeight="1" spans="1:24" x14ac:dyDescent="0.25">
      <c r="A40" s="11">
        <v>12</v>
      </c>
      <c r="B40" s="9" t="s">
        <v>616</v>
      </c>
      <c r="C40" s="195"/>
      <c r="D40" s="175" t="s">
        <v>606</v>
      </c>
      <c r="E40" s="212" t="s">
        <v>304</v>
      </c>
      <c r="F40" s="184" t="s">
        <v>617</v>
      </c>
      <c r="G40" s="184" t="s">
        <v>608</v>
      </c>
      <c r="H40" s="195"/>
      <c r="I40" s="11" t="s">
        <v>618</v>
      </c>
      <c r="J40" s="213"/>
      <c r="K40" s="195"/>
      <c r="L40" s="184" t="s">
        <v>332</v>
      </c>
      <c r="M40" s="184" t="s">
        <v>613</v>
      </c>
      <c r="N40" s="184" t="s">
        <v>614</v>
      </c>
      <c r="O40" s="175" t="s">
        <v>615</v>
      </c>
      <c r="P40" s="175"/>
      <c r="Q40" s="175"/>
      <c r="R40" s="198"/>
      <c r="S40" s="188">
        <f t="shared" si="1"/>
        <v>9</v>
      </c>
      <c r="T40" s="188"/>
      <c r="U40" s="211"/>
      <c r="V40" s="211"/>
      <c r="W40" s="211"/>
      <c r="X40" s="211"/>
    </row>
    <row r="41" ht="27.95" customHeight="1" spans="1:24" x14ac:dyDescent="0.25">
      <c r="A41" s="11">
        <v>13</v>
      </c>
      <c r="B41" s="9" t="s">
        <v>619</v>
      </c>
      <c r="C41" s="11" t="s">
        <v>620</v>
      </c>
      <c r="D41" s="195"/>
      <c r="E41" s="210" t="s">
        <v>621</v>
      </c>
      <c r="F41" s="195"/>
      <c r="G41" s="11" t="s">
        <v>622</v>
      </c>
      <c r="H41" s="11" t="s">
        <v>623</v>
      </c>
      <c r="I41" s="11" t="s">
        <v>624</v>
      </c>
      <c r="J41" s="213"/>
      <c r="K41" s="175" t="s">
        <v>306</v>
      </c>
      <c r="L41" s="184" t="s">
        <v>625</v>
      </c>
      <c r="M41" s="184" t="s">
        <v>626</v>
      </c>
      <c r="N41" s="184" t="s">
        <v>627</v>
      </c>
      <c r="O41" s="213" t="s">
        <v>628</v>
      </c>
      <c r="P41" s="197"/>
      <c r="Q41" s="197"/>
      <c r="R41" s="198"/>
      <c r="S41" s="188">
        <f t="shared" si="1"/>
        <v>10</v>
      </c>
      <c r="T41" s="188"/>
      <c r="U41" s="96"/>
      <c r="V41" s="96"/>
      <c r="W41" s="96"/>
      <c r="X41" s="96"/>
    </row>
    <row r="42" ht="27.95" customHeight="1" spans="1:24" x14ac:dyDescent="0.25">
      <c r="A42" s="11">
        <v>13</v>
      </c>
      <c r="B42" s="9" t="s">
        <v>619</v>
      </c>
      <c r="C42" s="11" t="s">
        <v>629</v>
      </c>
      <c r="D42" s="195"/>
      <c r="E42" s="210" t="s">
        <v>621</v>
      </c>
      <c r="F42" s="11" t="s">
        <v>630</v>
      </c>
      <c r="G42" s="175" t="s">
        <v>631</v>
      </c>
      <c r="H42" s="195"/>
      <c r="I42" s="11" t="s">
        <v>632</v>
      </c>
      <c r="J42" s="213"/>
      <c r="K42" s="184" t="s">
        <v>633</v>
      </c>
      <c r="L42" s="175" t="s">
        <v>634</v>
      </c>
      <c r="M42" s="193" t="s">
        <v>635</v>
      </c>
      <c r="N42" s="195"/>
      <c r="O42" s="213" t="s">
        <v>628</v>
      </c>
      <c r="P42" s="175"/>
      <c r="Q42" s="175"/>
      <c r="R42" s="198"/>
      <c r="S42" s="188">
        <f t="shared" si="1"/>
        <v>9</v>
      </c>
      <c r="T42" s="188"/>
      <c r="U42" s="96"/>
      <c r="V42" s="96"/>
      <c r="W42" s="96"/>
      <c r="X42" s="96"/>
    </row>
    <row r="43" ht="30" customHeight="1" spans="1:24" x14ac:dyDescent="0.25">
      <c r="A43" s="11">
        <v>14</v>
      </c>
      <c r="B43" s="9" t="s">
        <v>636</v>
      </c>
      <c r="C43" s="175"/>
      <c r="D43" s="175" t="s">
        <v>637</v>
      </c>
      <c r="E43" s="175" t="s">
        <v>638</v>
      </c>
      <c r="F43" s="175" t="s">
        <v>639</v>
      </c>
      <c r="G43" s="175" t="s">
        <v>308</v>
      </c>
      <c r="H43" s="175" t="s">
        <v>640</v>
      </c>
      <c r="I43" s="175" t="s">
        <v>641</v>
      </c>
      <c r="J43" s="175"/>
      <c r="K43" s="175" t="s">
        <v>642</v>
      </c>
      <c r="L43" s="175" t="s">
        <v>643</v>
      </c>
      <c r="M43" s="11" t="s">
        <v>644</v>
      </c>
      <c r="N43" s="175" t="s">
        <v>645</v>
      </c>
      <c r="O43" s="213" t="s">
        <v>646</v>
      </c>
      <c r="P43" s="175" t="s">
        <v>647</v>
      </c>
      <c r="Q43" s="213"/>
      <c r="R43" s="198"/>
      <c r="S43" s="188">
        <f t="shared" si="1"/>
        <v>12</v>
      </c>
      <c r="T43" s="188"/>
      <c r="U43" s="96"/>
      <c r="V43" s="96"/>
      <c r="W43" s="96"/>
      <c r="X43" s="96"/>
    </row>
    <row r="44" ht="32.25" customHeight="1" spans="1:20" x14ac:dyDescent="0.25">
      <c r="A44" s="11">
        <v>14</v>
      </c>
      <c r="B44" s="9" t="s">
        <v>636</v>
      </c>
      <c r="C44" s="175"/>
      <c r="D44" s="175" t="s">
        <v>637</v>
      </c>
      <c r="E44" s="213" t="s">
        <v>638</v>
      </c>
      <c r="F44" s="195"/>
      <c r="G44" s="175" t="s">
        <v>308</v>
      </c>
      <c r="H44" s="11" t="s">
        <v>648</v>
      </c>
      <c r="I44" s="175" t="s">
        <v>641</v>
      </c>
      <c r="J44" s="175"/>
      <c r="K44" s="175" t="s">
        <v>642</v>
      </c>
      <c r="L44" s="175" t="s">
        <v>643</v>
      </c>
      <c r="M44" s="11" t="s">
        <v>644</v>
      </c>
      <c r="N44" s="195"/>
      <c r="O44" s="11" t="s">
        <v>649</v>
      </c>
      <c r="P44" s="175" t="s">
        <v>647</v>
      </c>
      <c r="Q44" s="213"/>
      <c r="R44" s="198"/>
      <c r="S44" s="188">
        <f t="shared" si="1"/>
        <v>10</v>
      </c>
      <c r="T44" s="188"/>
    </row>
    <row r="45" spans="1:24" x14ac:dyDescent="0.25">
      <c r="A45" s="14"/>
      <c r="B45" s="97"/>
      <c r="C45" s="96"/>
      <c r="D45" s="96"/>
      <c r="E45" s="96"/>
      <c r="F45" s="96"/>
      <c r="G45" s="96"/>
      <c r="H45" s="96"/>
      <c r="I45" s="96"/>
      <c r="J45" s="120"/>
      <c r="K45" s="96"/>
      <c r="L45" s="96"/>
      <c r="M45" s="96"/>
      <c r="N45" s="96"/>
      <c r="O45" s="96"/>
      <c r="P45" s="197"/>
      <c r="Q45" s="197"/>
      <c r="R45" s="96"/>
      <c r="S45" s="96"/>
      <c r="T45" s="96"/>
      <c r="U45" s="96"/>
      <c r="V45" s="96"/>
      <c r="W45" s="96"/>
      <c r="X45" s="96"/>
    </row>
    <row r="46" spans="1:24" x14ac:dyDescent="0.25">
      <c r="A46" s="14"/>
      <c r="B46" s="97"/>
      <c r="C46" s="96"/>
      <c r="D46" s="96"/>
      <c r="E46" s="96"/>
      <c r="F46" s="96"/>
      <c r="G46" s="96"/>
      <c r="H46" s="96"/>
      <c r="I46" s="96"/>
      <c r="J46" s="120"/>
      <c r="K46" s="96"/>
      <c r="L46" s="96"/>
      <c r="M46" s="96"/>
      <c r="N46" s="96"/>
      <c r="O46" s="96"/>
      <c r="P46" s="175"/>
      <c r="Q46" s="175"/>
      <c r="R46" s="96"/>
      <c r="S46" s="96"/>
      <c r="T46" s="96"/>
      <c r="U46" s="96"/>
      <c r="V46" s="96"/>
      <c r="W46" s="96"/>
      <c r="X46" s="96"/>
    </row>
    <row r="47" spans="1:24" x14ac:dyDescent="0.25">
      <c r="A47" s="14"/>
      <c r="B47" s="97"/>
      <c r="C47" s="96"/>
      <c r="D47" s="96"/>
      <c r="E47" s="96"/>
      <c r="F47" s="96"/>
      <c r="G47" s="96"/>
      <c r="H47" s="96"/>
      <c r="I47" s="96"/>
      <c r="J47" s="120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</row>
    <row r="48" spans="1:24" x14ac:dyDescent="0.25">
      <c r="A48" s="14"/>
      <c r="B48" s="97"/>
      <c r="C48" s="96"/>
      <c r="D48" s="96"/>
      <c r="E48" s="96"/>
      <c r="F48" s="96"/>
      <c r="G48" s="96"/>
      <c r="H48" s="96"/>
      <c r="I48" s="96"/>
      <c r="J48" s="120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</row>
    <row r="49" spans="1:24" x14ac:dyDescent="0.25">
      <c r="A49" s="14"/>
      <c r="B49" s="97"/>
      <c r="C49" s="96"/>
      <c r="D49" s="96"/>
      <c r="E49" s="96"/>
      <c r="F49" s="96"/>
      <c r="G49" s="96"/>
      <c r="H49" s="96"/>
      <c r="I49" s="96"/>
      <c r="J49" s="120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</row>
    <row r="50" spans="1:24" x14ac:dyDescent="0.25">
      <c r="A50" s="14"/>
      <c r="B50" s="97"/>
      <c r="C50" s="96"/>
      <c r="D50" s="96"/>
      <c r="E50" s="96"/>
      <c r="F50" s="96"/>
      <c r="G50" s="96"/>
      <c r="H50" s="96"/>
      <c r="I50" s="96"/>
      <c r="J50" s="120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</row>
    <row r="51" spans="1:3" x14ac:dyDescent="0.25">
      <c r="A51" s="14"/>
      <c r="B51" s="97"/>
      <c r="C51" s="96"/>
    </row>
  </sheetData>
  <mergeCells count="26">
    <mergeCell ref="A1:Q1"/>
    <mergeCell ref="U3:Z23"/>
    <mergeCell ref="P9:Q9"/>
    <mergeCell ref="P15:Q15"/>
    <mergeCell ref="P17:Q17"/>
    <mergeCell ref="P19:Q19"/>
    <mergeCell ref="P20:Q20"/>
    <mergeCell ref="C23:I23"/>
    <mergeCell ref="P23:Q23"/>
    <mergeCell ref="C24:I24"/>
    <mergeCell ref="P24:Q24"/>
    <mergeCell ref="D25:M25"/>
    <mergeCell ref="O25:Q25"/>
    <mergeCell ref="D26:M26"/>
    <mergeCell ref="O26:Q26"/>
    <mergeCell ref="A29:A30"/>
    <mergeCell ref="B29:B30"/>
    <mergeCell ref="A31:A32"/>
    <mergeCell ref="B31:B32"/>
    <mergeCell ref="A37:Q37"/>
    <mergeCell ref="P39:Q39"/>
    <mergeCell ref="P40:Q40"/>
    <mergeCell ref="P41:Q41"/>
    <mergeCell ref="P42:Q42"/>
    <mergeCell ref="P45:Q45"/>
    <mergeCell ref="P46:Q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3"/>
  <sheetFormatPr defaultRowHeight="15" outlineLevelRow="0" outlineLevelCol="0" x14ac:dyDescent="55"/>
  <cols>
    <col min="1" max="1" width="2.625" customWidth="1"/>
    <col min="2" max="2" width="10.625" customWidth="1"/>
    <col min="3" max="9" width="12.625" customWidth="1"/>
    <col min="10" max="10" width="2.625" customWidth="1"/>
    <col min="11" max="17" width="12.625" customWidth="1"/>
    <col min="18" max="19" width="11.875" customWidth="1"/>
  </cols>
  <sheetData>
    <row r="1" ht="16.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14"/>
      <c r="S1" s="214"/>
    </row>
    <row r="2" ht="16.5" customHeight="1" spans="1:19" x14ac:dyDescent="0.25">
      <c r="A2" s="215" t="s">
        <v>650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198"/>
      <c r="S2" s="198"/>
    </row>
    <row r="3" ht="21.75" customHeight="1" spans="1:19" x14ac:dyDescent="0.25">
      <c r="A3" s="208"/>
      <c r="B3" s="125" t="s">
        <v>2</v>
      </c>
      <c r="C3" s="126" t="s">
        <v>259</v>
      </c>
      <c r="D3" s="126" t="s">
        <v>6</v>
      </c>
      <c r="E3" s="126" t="s">
        <v>7</v>
      </c>
      <c r="F3" s="126" t="s">
        <v>8</v>
      </c>
      <c r="G3" s="126" t="s">
        <v>9</v>
      </c>
      <c r="H3" s="126" t="s">
        <v>10</v>
      </c>
      <c r="I3" s="126" t="s">
        <v>260</v>
      </c>
      <c r="J3" s="6" t="s">
        <v>12</v>
      </c>
      <c r="K3" s="126" t="s">
        <v>13</v>
      </c>
      <c r="L3" s="126" t="s">
        <v>14</v>
      </c>
      <c r="M3" s="126" t="s">
        <v>15</v>
      </c>
      <c r="N3" s="126" t="s">
        <v>16</v>
      </c>
      <c r="O3" s="126" t="s">
        <v>17</v>
      </c>
      <c r="P3" s="126" t="s">
        <v>283</v>
      </c>
      <c r="Q3" s="126" t="s">
        <v>284</v>
      </c>
      <c r="R3" s="7">
        <f>AVERAGE(R4:R20)</f>
        <v>0.6888888888888889</v>
      </c>
      <c r="S3" s="7"/>
    </row>
    <row r="4" ht="27.95" customHeight="1" spans="1:24" x14ac:dyDescent="0.25">
      <c r="A4" s="216">
        <v>1</v>
      </c>
      <c r="B4" s="144" t="s">
        <v>651</v>
      </c>
      <c r="C4" s="184" t="s">
        <v>652</v>
      </c>
      <c r="D4" s="96"/>
      <c r="E4" s="217" t="s">
        <v>653</v>
      </c>
      <c r="F4" s="184" t="s">
        <v>654</v>
      </c>
      <c r="G4" s="96"/>
      <c r="H4" s="218" t="s">
        <v>655</v>
      </c>
      <c r="I4" s="217" t="s">
        <v>656</v>
      </c>
      <c r="J4" s="217"/>
      <c r="K4" s="184"/>
      <c r="L4" s="217" t="s">
        <v>657</v>
      </c>
      <c r="M4" s="217" t="s">
        <v>658</v>
      </c>
      <c r="N4" s="217" t="s">
        <v>659</v>
      </c>
      <c r="O4" s="184" t="s">
        <v>660</v>
      </c>
      <c r="P4" s="219"/>
      <c r="Q4" s="219"/>
      <c r="R4" s="13">
        <f>(COUNTA(C4:Q4))/12</f>
        <v>0.75</v>
      </c>
      <c r="S4" s="13"/>
      <c r="T4" s="189" t="s">
        <v>661</v>
      </c>
      <c r="U4" s="189"/>
      <c r="V4" s="189"/>
      <c r="W4" s="189"/>
      <c r="X4" s="189"/>
    </row>
    <row r="5" ht="27.95" customHeight="1" spans="1:24" x14ac:dyDescent="0.25">
      <c r="A5" s="216">
        <v>1</v>
      </c>
      <c r="B5" s="144" t="s">
        <v>651</v>
      </c>
      <c r="C5" s="220" t="s">
        <v>662</v>
      </c>
      <c r="D5" s="184" t="s">
        <v>663</v>
      </c>
      <c r="E5" s="184" t="s">
        <v>664</v>
      </c>
      <c r="F5" s="184" t="s">
        <v>665</v>
      </c>
      <c r="G5" s="184" t="s">
        <v>666</v>
      </c>
      <c r="H5" s="184" t="s">
        <v>667</v>
      </c>
      <c r="I5" s="217" t="s">
        <v>668</v>
      </c>
      <c r="J5" s="184"/>
      <c r="K5" s="217"/>
      <c r="L5" s="184"/>
      <c r="M5" s="217" t="s">
        <v>669</v>
      </c>
      <c r="N5" s="199" t="s">
        <v>670</v>
      </c>
      <c r="O5" s="221" t="s">
        <v>671</v>
      </c>
      <c r="P5" s="219"/>
      <c r="Q5" s="219"/>
      <c r="R5" s="13">
        <f t="shared" ref="R5:R17" si="0">(COUNTA(C5:Q5))/12</f>
        <v>0.8333333333333334</v>
      </c>
      <c r="S5" s="13"/>
      <c r="T5" s="189"/>
      <c r="U5" s="189"/>
      <c r="V5" s="189"/>
      <c r="W5" s="189"/>
      <c r="X5" s="189"/>
    </row>
    <row r="6" ht="27.95" customHeight="1" spans="1:24" x14ac:dyDescent="0.25">
      <c r="A6" s="216">
        <v>2</v>
      </c>
      <c r="B6" s="144" t="s">
        <v>672</v>
      </c>
      <c r="C6" s="219"/>
      <c r="D6" s="219"/>
      <c r="E6" s="222" t="s">
        <v>673</v>
      </c>
      <c r="F6" s="217" t="s">
        <v>674</v>
      </c>
      <c r="G6" s="217" t="s">
        <v>675</v>
      </c>
      <c r="H6" s="184" t="s">
        <v>676</v>
      </c>
      <c r="I6" s="184"/>
      <c r="J6" s="217"/>
      <c r="K6" s="217" t="s">
        <v>677</v>
      </c>
      <c r="L6" s="217" t="s">
        <v>678</v>
      </c>
      <c r="M6" s="217" t="s">
        <v>679</v>
      </c>
      <c r="N6" s="217" t="s">
        <v>680</v>
      </c>
      <c r="O6" s="184" t="s">
        <v>681</v>
      </c>
      <c r="P6" s="184" t="s">
        <v>682</v>
      </c>
      <c r="Q6" s="184" t="s">
        <v>683</v>
      </c>
      <c r="R6" s="13">
        <f t="shared" si="0"/>
        <v>0.9166666666666666</v>
      </c>
      <c r="S6" s="13"/>
      <c r="T6" s="189"/>
      <c r="U6" s="189"/>
      <c r="V6" s="189"/>
      <c r="W6" s="189"/>
      <c r="X6" s="189"/>
    </row>
    <row r="7" ht="27.95" customHeight="1" spans="1:78" x14ac:dyDescent="0.25">
      <c r="A7" s="76">
        <v>2</v>
      </c>
      <c r="B7" s="156" t="s">
        <v>672</v>
      </c>
      <c r="C7" s="219"/>
      <c r="D7" s="219"/>
      <c r="E7" s="184" t="s">
        <v>684</v>
      </c>
      <c r="F7" s="184" t="s">
        <v>685</v>
      </c>
      <c r="G7" s="220" t="s">
        <v>686</v>
      </c>
      <c r="H7" s="217" t="s">
        <v>687</v>
      </c>
      <c r="I7" s="217"/>
      <c r="J7" s="184"/>
      <c r="K7" s="184" t="s">
        <v>688</v>
      </c>
      <c r="L7" s="184"/>
      <c r="M7" s="217" t="s">
        <v>689</v>
      </c>
      <c r="N7" s="217" t="s">
        <v>690</v>
      </c>
      <c r="O7" s="217" t="s">
        <v>691</v>
      </c>
      <c r="P7" s="184"/>
      <c r="Q7" s="184" t="s">
        <v>692</v>
      </c>
      <c r="R7" s="13">
        <f t="shared" si="0"/>
        <v>0.75</v>
      </c>
      <c r="S7" s="13"/>
      <c r="T7" s="189"/>
      <c r="U7" s="189"/>
      <c r="V7" s="189"/>
      <c r="W7" s="189"/>
      <c r="X7" s="189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</row>
    <row r="8" ht="27.95" customHeight="1" spans="1:24" x14ac:dyDescent="0.25">
      <c r="A8" s="216">
        <v>3</v>
      </c>
      <c r="B8" s="144" t="s">
        <v>693</v>
      </c>
      <c r="C8" s="223"/>
      <c r="D8" s="184"/>
      <c r="E8" s="96"/>
      <c r="F8" s="184" t="s">
        <v>694</v>
      </c>
      <c r="G8" s="217" t="s">
        <v>695</v>
      </c>
      <c r="H8" s="96"/>
      <c r="I8" s="217" t="s">
        <v>696</v>
      </c>
      <c r="J8" s="217"/>
      <c r="K8" s="222"/>
      <c r="L8" s="184" t="s">
        <v>697</v>
      </c>
      <c r="M8" s="96"/>
      <c r="N8" s="217" t="s">
        <v>698</v>
      </c>
      <c r="O8" s="217" t="s">
        <v>699</v>
      </c>
      <c r="P8" s="184" t="s">
        <v>700</v>
      </c>
      <c r="Q8" s="186"/>
      <c r="R8" s="13">
        <f>(COUNTA(C8:Q8))/12</f>
        <v>0.5833333333333334</v>
      </c>
      <c r="S8" s="13"/>
      <c r="T8" s="189"/>
      <c r="U8" s="189"/>
      <c r="V8" s="189"/>
      <c r="W8" s="189"/>
      <c r="X8" s="189"/>
    </row>
    <row r="9" ht="27.95" customHeight="1" spans="1:24" x14ac:dyDescent="0.25">
      <c r="A9" s="77">
        <v>3</v>
      </c>
      <c r="B9" s="224" t="s">
        <v>693</v>
      </c>
      <c r="C9" s="225"/>
      <c r="D9" s="226" t="s">
        <v>701</v>
      </c>
      <c r="E9" s="227" t="s">
        <v>702</v>
      </c>
      <c r="F9" s="220" t="s">
        <v>703</v>
      </c>
      <c r="G9" s="227" t="s">
        <v>704</v>
      </c>
      <c r="H9" s="226" t="s">
        <v>705</v>
      </c>
      <c r="I9" s="222" t="s">
        <v>706</v>
      </c>
      <c r="J9" s="226"/>
      <c r="K9" s="227"/>
      <c r="L9" s="227"/>
      <c r="M9" s="227" t="s">
        <v>707</v>
      </c>
      <c r="N9" s="226"/>
      <c r="O9" s="227" t="s">
        <v>708</v>
      </c>
      <c r="P9" s="227" t="s">
        <v>709</v>
      </c>
      <c r="Q9" s="228"/>
      <c r="R9" s="13">
        <f t="shared" si="0"/>
        <v>0.75</v>
      </c>
      <c r="S9" s="13"/>
      <c r="T9" s="189"/>
      <c r="U9" s="189"/>
      <c r="V9" s="189"/>
      <c r="W9" s="189"/>
      <c r="X9" s="189"/>
    </row>
    <row r="10" ht="27.95" customHeight="1" spans="1:24" x14ac:dyDescent="0.25">
      <c r="A10" s="229">
        <v>4</v>
      </c>
      <c r="B10" s="230" t="s">
        <v>710</v>
      </c>
      <c r="C10" s="219"/>
      <c r="D10" s="219"/>
      <c r="E10" s="231"/>
      <c r="F10" s="231"/>
      <c r="G10" s="217" t="s">
        <v>711</v>
      </c>
      <c r="H10" s="96"/>
      <c r="I10" s="232" t="s">
        <v>712</v>
      </c>
      <c r="J10" s="233"/>
      <c r="K10" s="232" t="s">
        <v>713</v>
      </c>
      <c r="L10" s="233"/>
      <c r="M10" s="233" t="s">
        <v>714</v>
      </c>
      <c r="N10" s="233" t="s">
        <v>715</v>
      </c>
      <c r="O10" s="184" t="s">
        <v>716</v>
      </c>
      <c r="P10" s="221"/>
      <c r="Q10" s="221" t="s">
        <v>717</v>
      </c>
      <c r="R10" s="13">
        <f t="shared" si="0"/>
        <v>0.5833333333333334</v>
      </c>
      <c r="S10" s="13"/>
      <c r="T10" s="189"/>
      <c r="U10" s="189"/>
      <c r="V10" s="189"/>
      <c r="W10" s="189"/>
      <c r="X10" s="189"/>
    </row>
    <row r="11" ht="27.95" customHeight="1" spans="1:24" x14ac:dyDescent="0.25">
      <c r="A11" s="216">
        <v>4</v>
      </c>
      <c r="B11" s="144" t="s">
        <v>710</v>
      </c>
      <c r="C11" s="219"/>
      <c r="D11" s="219"/>
      <c r="E11" s="184" t="s">
        <v>718</v>
      </c>
      <c r="F11" s="184" t="s">
        <v>719</v>
      </c>
      <c r="G11" s="217"/>
      <c r="H11" s="184" t="s">
        <v>720</v>
      </c>
      <c r="I11" s="184" t="s">
        <v>721</v>
      </c>
      <c r="J11" s="184"/>
      <c r="K11" s="217" t="s">
        <v>722</v>
      </c>
      <c r="L11" s="96"/>
      <c r="M11" s="184"/>
      <c r="N11" s="217" t="s">
        <v>723</v>
      </c>
      <c r="O11" s="217" t="s">
        <v>724</v>
      </c>
      <c r="P11" s="221" t="s">
        <v>725</v>
      </c>
      <c r="Q11" s="184" t="s">
        <v>726</v>
      </c>
      <c r="R11" s="13">
        <f t="shared" si="0"/>
        <v>0.75</v>
      </c>
      <c r="S11" s="13"/>
      <c r="T11" s="189"/>
      <c r="U11" s="189"/>
      <c r="V11" s="189"/>
      <c r="W11" s="189"/>
      <c r="X11" s="189"/>
    </row>
    <row r="12" ht="27.95" customHeight="1" spans="1:24" x14ac:dyDescent="0.25">
      <c r="A12" s="216">
        <v>5</v>
      </c>
      <c r="B12" s="144" t="s">
        <v>727</v>
      </c>
      <c r="C12" s="234"/>
      <c r="D12" s="184"/>
      <c r="E12" s="233" t="s">
        <v>712</v>
      </c>
      <c r="F12" s="217" t="s">
        <v>728</v>
      </c>
      <c r="G12" s="184" t="s">
        <v>729</v>
      </c>
      <c r="H12" s="217" t="s">
        <v>730</v>
      </c>
      <c r="I12" s="218" t="s">
        <v>731</v>
      </c>
      <c r="J12" s="217" t="s">
        <v>732</v>
      </c>
      <c r="K12" s="217" t="s">
        <v>733</v>
      </c>
      <c r="L12" s="217" t="s">
        <v>734</v>
      </c>
      <c r="M12" s="217" t="s">
        <v>735</v>
      </c>
      <c r="N12" s="96"/>
      <c r="O12" s="217" t="s">
        <v>736</v>
      </c>
      <c r="P12" s="184" t="s">
        <v>737</v>
      </c>
      <c r="Q12" s="186"/>
      <c r="R12" s="13">
        <f t="shared" si="0"/>
        <v>0.9166666666666666</v>
      </c>
      <c r="S12" s="235"/>
      <c r="T12" s="189"/>
      <c r="U12" s="189"/>
      <c r="V12" s="189"/>
      <c r="W12" s="189"/>
      <c r="X12" s="189"/>
    </row>
    <row r="13" ht="27.95" customHeight="1" spans="1:24" x14ac:dyDescent="0.25">
      <c r="A13" s="216">
        <v>5</v>
      </c>
      <c r="B13" s="144" t="s">
        <v>727</v>
      </c>
      <c r="C13" s="186"/>
      <c r="D13" s="184" t="s">
        <v>738</v>
      </c>
      <c r="E13" s="217" t="s">
        <v>739</v>
      </c>
      <c r="F13" s="184" t="s">
        <v>740</v>
      </c>
      <c r="G13" s="217"/>
      <c r="H13" s="217" t="s">
        <v>741</v>
      </c>
      <c r="I13" s="184" t="s">
        <v>742</v>
      </c>
      <c r="J13" s="184"/>
      <c r="K13" s="217" t="s">
        <v>743</v>
      </c>
      <c r="L13" s="217" t="s">
        <v>744</v>
      </c>
      <c r="M13" s="217" t="s">
        <v>745</v>
      </c>
      <c r="N13" s="217" t="s">
        <v>724</v>
      </c>
      <c r="O13" s="96"/>
      <c r="P13" s="184" t="s">
        <v>746</v>
      </c>
      <c r="Q13" s="236"/>
      <c r="R13" s="13">
        <f t="shared" si="0"/>
        <v>0.8333333333333334</v>
      </c>
      <c r="S13" s="235"/>
      <c r="T13" s="189"/>
      <c r="U13" s="189"/>
      <c r="V13" s="189"/>
      <c r="W13" s="189"/>
      <c r="X13" s="189"/>
    </row>
    <row r="14" ht="27.95" customHeight="1" spans="1:24" x14ac:dyDescent="0.25">
      <c r="A14" s="216">
        <v>6</v>
      </c>
      <c r="B14" s="144" t="s">
        <v>747</v>
      </c>
      <c r="C14" s="184" t="s">
        <v>748</v>
      </c>
      <c r="D14" s="184"/>
      <c r="E14" s="184"/>
      <c r="F14" s="217" t="s">
        <v>730</v>
      </c>
      <c r="G14" s="184" t="s">
        <v>749</v>
      </c>
      <c r="H14" s="217" t="s">
        <v>750</v>
      </c>
      <c r="I14" s="184"/>
      <c r="J14" s="217"/>
      <c r="K14" s="184" t="s">
        <v>751</v>
      </c>
      <c r="L14" s="184"/>
      <c r="M14" s="184"/>
      <c r="N14" s="217" t="s">
        <v>736</v>
      </c>
      <c r="O14" s="217" t="s">
        <v>752</v>
      </c>
      <c r="P14" s="219"/>
      <c r="Q14" s="219"/>
      <c r="R14" s="13">
        <f t="shared" si="0"/>
        <v>0.5833333333333334</v>
      </c>
      <c r="S14" s="13"/>
      <c r="T14" s="189"/>
      <c r="U14" s="189"/>
      <c r="V14" s="189"/>
      <c r="W14" s="189"/>
      <c r="X14" s="189"/>
    </row>
    <row r="15" ht="27.95" customHeight="1" spans="1:24" x14ac:dyDescent="0.25">
      <c r="A15" s="216">
        <v>6</v>
      </c>
      <c r="B15" s="156" t="s">
        <v>747</v>
      </c>
      <c r="C15" s="184" t="s">
        <v>753</v>
      </c>
      <c r="D15" s="184" t="s">
        <v>754</v>
      </c>
      <c r="E15" s="184" t="s">
        <v>755</v>
      </c>
      <c r="F15" s="217" t="s">
        <v>739</v>
      </c>
      <c r="G15" s="96"/>
      <c r="H15" s="184" t="s">
        <v>756</v>
      </c>
      <c r="I15" s="237"/>
      <c r="J15" s="184"/>
      <c r="K15" s="217" t="s">
        <v>757</v>
      </c>
      <c r="L15" s="184" t="s">
        <v>758</v>
      </c>
      <c r="M15" s="184"/>
      <c r="N15" s="217" t="s">
        <v>759</v>
      </c>
      <c r="O15" s="184"/>
      <c r="P15" s="219"/>
      <c r="Q15" s="219"/>
      <c r="R15" s="13">
        <f t="shared" si="0"/>
        <v>0.6666666666666666</v>
      </c>
      <c r="S15" s="13"/>
      <c r="T15" s="189"/>
      <c r="U15" s="189"/>
      <c r="V15" s="189"/>
      <c r="W15" s="189"/>
      <c r="X15" s="189"/>
    </row>
    <row r="16" ht="27.95" customHeight="1" spans="1:24" x14ac:dyDescent="0.25">
      <c r="A16" s="216">
        <v>7</v>
      </c>
      <c r="B16" s="156" t="s">
        <v>760</v>
      </c>
      <c r="C16" s="219"/>
      <c r="D16" s="219"/>
      <c r="E16" s="184"/>
      <c r="F16" s="184"/>
      <c r="G16" s="184"/>
      <c r="H16" s="184"/>
      <c r="I16" s="184"/>
      <c r="J16" s="184"/>
      <c r="K16" s="217"/>
      <c r="L16" s="217"/>
      <c r="M16" s="217" t="s">
        <v>713</v>
      </c>
      <c r="N16" s="199" t="s">
        <v>761</v>
      </c>
      <c r="O16" s="217" t="s">
        <v>762</v>
      </c>
      <c r="P16" s="96"/>
      <c r="Q16" s="184" t="s">
        <v>763</v>
      </c>
      <c r="R16" s="13">
        <f t="shared" si="0"/>
        <v>0.3333333333333333</v>
      </c>
      <c r="S16" s="13"/>
      <c r="T16" s="189"/>
      <c r="U16" s="189"/>
      <c r="V16" s="189"/>
      <c r="W16" s="189"/>
      <c r="X16" s="189"/>
    </row>
    <row r="17" ht="27.95" customHeight="1" spans="1:24" x14ac:dyDescent="0.25">
      <c r="A17" s="216">
        <v>7</v>
      </c>
      <c r="B17" s="156" t="s">
        <v>760</v>
      </c>
      <c r="C17" s="219"/>
      <c r="D17" s="219"/>
      <c r="E17" s="184"/>
      <c r="F17" s="184"/>
      <c r="G17" s="184"/>
      <c r="H17" s="184"/>
      <c r="I17" s="184"/>
      <c r="J17" s="184"/>
      <c r="K17" s="184"/>
      <c r="L17" s="217" t="s">
        <v>764</v>
      </c>
      <c r="M17" s="184"/>
      <c r="N17" s="184"/>
      <c r="O17" s="184"/>
      <c r="P17" s="217" t="s">
        <v>744</v>
      </c>
      <c r="Q17" s="217" t="s">
        <v>765</v>
      </c>
      <c r="R17" s="13">
        <f t="shared" si="0"/>
        <v>0.25</v>
      </c>
      <c r="S17" s="13"/>
      <c r="T17" s="189"/>
      <c r="U17" s="189"/>
      <c r="V17" s="189"/>
      <c r="W17" s="189"/>
      <c r="X17" s="189"/>
    </row>
    <row r="18" ht="27.95" customHeight="1" spans="1:24" x14ac:dyDescent="0.25">
      <c r="A18" s="216" t="s">
        <v>590</v>
      </c>
      <c r="B18" s="63" t="s">
        <v>766</v>
      </c>
      <c r="C18" s="201" t="s">
        <v>247</v>
      </c>
      <c r="D18" s="201"/>
      <c r="E18" s="184"/>
      <c r="F18" s="221"/>
      <c r="G18" s="218" t="s">
        <v>731</v>
      </c>
      <c r="H18" s="184"/>
      <c r="I18" s="184"/>
      <c r="J18" s="184"/>
      <c r="K18" s="184"/>
      <c r="L18" s="233"/>
      <c r="M18" s="184"/>
      <c r="N18" s="233"/>
      <c r="O18" s="221"/>
      <c r="P18" s="201" t="s">
        <v>247</v>
      </c>
      <c r="Q18" s="201"/>
      <c r="R18" s="13"/>
      <c r="S18" s="13"/>
      <c r="T18" s="189"/>
      <c r="U18" s="189"/>
      <c r="V18" s="189"/>
      <c r="W18" s="189"/>
      <c r="X18" s="189"/>
    </row>
    <row r="19" ht="27.95" customHeight="1" spans="1:24" x14ac:dyDescent="0.25">
      <c r="A19" s="216" t="s">
        <v>590</v>
      </c>
      <c r="B19" s="127" t="s">
        <v>766</v>
      </c>
      <c r="C19" s="201" t="s">
        <v>247</v>
      </c>
      <c r="D19" s="201"/>
      <c r="E19" s="184"/>
      <c r="F19" s="221"/>
      <c r="G19" s="221"/>
      <c r="H19" s="184"/>
      <c r="I19" s="184"/>
      <c r="J19" s="184"/>
      <c r="K19" s="184"/>
      <c r="L19" s="233"/>
      <c r="M19" s="184"/>
      <c r="N19" s="233"/>
      <c r="O19" s="221"/>
      <c r="P19" s="201" t="s">
        <v>247</v>
      </c>
      <c r="Q19" s="201"/>
      <c r="R19" s="13"/>
      <c r="S19" s="13"/>
      <c r="T19" s="189"/>
      <c r="U19" s="189"/>
      <c r="V19" s="189"/>
      <c r="W19" s="189"/>
      <c r="X19" s="189"/>
    </row>
    <row r="20" ht="27.95" customHeight="1" spans="1:24" x14ac:dyDescent="0.25">
      <c r="A20" s="216" t="s">
        <v>590</v>
      </c>
      <c r="B20" s="156" t="s">
        <v>767</v>
      </c>
      <c r="C20" s="217"/>
      <c r="D20" s="221" t="s">
        <v>768</v>
      </c>
      <c r="E20" s="217" t="s">
        <v>728</v>
      </c>
      <c r="F20" s="233"/>
      <c r="G20" s="233" t="s">
        <v>769</v>
      </c>
      <c r="H20" s="217"/>
      <c r="I20" s="217"/>
      <c r="J20" s="217"/>
      <c r="K20" s="217"/>
      <c r="L20" s="233"/>
      <c r="M20" s="217"/>
      <c r="N20" s="221"/>
      <c r="O20" s="221" t="s">
        <v>770</v>
      </c>
      <c r="P20" s="217" t="s">
        <v>261</v>
      </c>
      <c r="Q20" s="184"/>
      <c r="R20" s="13">
        <f>(COUNTA(C20:Q20))/6</f>
        <v>0.8333333333333334</v>
      </c>
      <c r="S20" s="13"/>
      <c r="T20" s="189"/>
      <c r="U20" s="189"/>
      <c r="V20" s="189"/>
      <c r="W20" s="189"/>
      <c r="X20" s="189"/>
    </row>
    <row r="21" ht="27.95" customHeight="1" spans="1:24" x14ac:dyDescent="0.25">
      <c r="A21" s="216" t="s">
        <v>590</v>
      </c>
      <c r="B21" s="144" t="s">
        <v>767</v>
      </c>
      <c r="C21" s="184"/>
      <c r="D21" s="220" t="s">
        <v>771</v>
      </c>
      <c r="E21" s="184" t="s">
        <v>772</v>
      </c>
      <c r="F21" s="184"/>
      <c r="G21" s="184" t="s">
        <v>773</v>
      </c>
      <c r="H21" s="184"/>
      <c r="I21" s="184"/>
      <c r="J21" s="184"/>
      <c r="K21" s="184"/>
      <c r="L21" s="184"/>
      <c r="M21" s="217" t="s">
        <v>774</v>
      </c>
      <c r="N21" s="96"/>
      <c r="O21" s="199" t="s">
        <v>670</v>
      </c>
      <c r="P21" s="184"/>
      <c r="Q21" s="184"/>
      <c r="R21" s="13">
        <f>(COUNTA(C21:Q21))/6</f>
        <v>0.8333333333333334</v>
      </c>
      <c r="S21" s="238"/>
      <c r="T21" s="189"/>
      <c r="U21" s="189"/>
      <c r="V21" s="189"/>
      <c r="W21" s="189"/>
      <c r="X21" s="189"/>
    </row>
    <row r="22" ht="14.1" customHeight="1" spans="1:24" x14ac:dyDescent="0.25">
      <c r="A22" s="215" t="s">
        <v>775</v>
      </c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38"/>
      <c r="S22" s="238"/>
      <c r="T22" s="189"/>
      <c r="U22" s="189"/>
      <c r="V22" s="189"/>
      <c r="W22" s="189"/>
      <c r="X22" s="189"/>
    </row>
    <row r="23" ht="21.75" customHeight="1" spans="1:24" x14ac:dyDescent="0.25">
      <c r="A23" s="208"/>
      <c r="B23" s="125" t="s">
        <v>2</v>
      </c>
      <c r="C23" s="126" t="s">
        <v>259</v>
      </c>
      <c r="D23" s="126" t="s">
        <v>6</v>
      </c>
      <c r="E23" s="126" t="s">
        <v>7</v>
      </c>
      <c r="F23" s="126" t="s">
        <v>8</v>
      </c>
      <c r="G23" s="126" t="s">
        <v>9</v>
      </c>
      <c r="H23" s="126" t="s">
        <v>10</v>
      </c>
      <c r="I23" s="126" t="s">
        <v>260</v>
      </c>
      <c r="J23" s="6" t="s">
        <v>12</v>
      </c>
      <c r="K23" s="126" t="s">
        <v>13</v>
      </c>
      <c r="L23" s="126" t="s">
        <v>14</v>
      </c>
      <c r="M23" s="126" t="s">
        <v>15</v>
      </c>
      <c r="N23" s="126" t="s">
        <v>16</v>
      </c>
      <c r="O23" s="126" t="s">
        <v>17</v>
      </c>
      <c r="P23" s="126" t="s">
        <v>283</v>
      </c>
      <c r="Q23" s="126" t="s">
        <v>284</v>
      </c>
      <c r="R23" s="96"/>
      <c r="S23" s="96"/>
      <c r="T23" s="189"/>
      <c r="U23" s="189"/>
      <c r="V23" s="189"/>
      <c r="W23" s="189"/>
      <c r="X23" s="189"/>
    </row>
    <row r="24" ht="27.75" customHeight="1" spans="1:24" x14ac:dyDescent="0.25">
      <c r="A24" s="216">
        <v>8</v>
      </c>
      <c r="B24" s="144" t="s">
        <v>776</v>
      </c>
      <c r="C24" s="219"/>
      <c r="D24" s="219"/>
      <c r="E24" s="218" t="s">
        <v>777</v>
      </c>
      <c r="F24" s="233" t="s">
        <v>778</v>
      </c>
      <c r="G24" s="217" t="s">
        <v>779</v>
      </c>
      <c r="H24" s="96"/>
      <c r="I24" s="11"/>
      <c r="J24" s="217"/>
      <c r="K24" s="175" t="s">
        <v>780</v>
      </c>
      <c r="L24" s="184" t="s">
        <v>781</v>
      </c>
      <c r="M24" s="217" t="s">
        <v>782</v>
      </c>
      <c r="N24" s="217" t="s">
        <v>783</v>
      </c>
      <c r="O24" s="184" t="s">
        <v>784</v>
      </c>
      <c r="P24" s="184" t="s">
        <v>785</v>
      </c>
      <c r="Q24" s="184" t="s">
        <v>786</v>
      </c>
      <c r="R24" s="13">
        <f t="shared" ref="R24:R31" si="1">(COUNTA(C24:Q24))/12</f>
        <v>0.8333333333333334</v>
      </c>
      <c r="S24" s="96"/>
      <c r="T24" s="189"/>
      <c r="U24" s="189"/>
      <c r="V24" s="189"/>
      <c r="W24" s="189"/>
      <c r="X24" s="189"/>
    </row>
    <row r="25" ht="27.95" customHeight="1" spans="1:24" x14ac:dyDescent="0.25">
      <c r="A25" s="216">
        <v>8</v>
      </c>
      <c r="B25" s="144" t="s">
        <v>787</v>
      </c>
      <c r="C25" s="199" t="s">
        <v>788</v>
      </c>
      <c r="D25" s="199" t="s">
        <v>788</v>
      </c>
      <c r="E25" s="184" t="s">
        <v>789</v>
      </c>
      <c r="F25" s="184" t="s">
        <v>790</v>
      </c>
      <c r="G25" s="184" t="s">
        <v>791</v>
      </c>
      <c r="H25" s="184" t="s">
        <v>792</v>
      </c>
      <c r="I25" s="11"/>
      <c r="J25" s="184"/>
      <c r="K25" s="184" t="s">
        <v>793</v>
      </c>
      <c r="L25" s="217" t="s">
        <v>794</v>
      </c>
      <c r="M25" s="199" t="s">
        <v>670</v>
      </c>
      <c r="N25" s="184"/>
      <c r="O25" s="184" t="s">
        <v>795</v>
      </c>
      <c r="P25" s="219"/>
      <c r="Q25" s="219"/>
      <c r="R25" s="13">
        <f t="shared" si="1"/>
        <v>0.8333333333333334</v>
      </c>
      <c r="S25" s="96"/>
      <c r="T25" s="189"/>
      <c r="U25" s="189"/>
      <c r="V25" s="189"/>
      <c r="W25" s="189"/>
      <c r="X25" s="189"/>
    </row>
    <row r="26" ht="27.95" customHeight="1" spans="1:24" x14ac:dyDescent="0.25">
      <c r="A26" s="216">
        <v>9</v>
      </c>
      <c r="B26" s="144" t="s">
        <v>796</v>
      </c>
      <c r="C26" s="184"/>
      <c r="D26" s="184"/>
      <c r="E26" s="217" t="s">
        <v>797</v>
      </c>
      <c r="F26" s="222" t="s">
        <v>798</v>
      </c>
      <c r="G26" s="11" t="s">
        <v>799</v>
      </c>
      <c r="H26" s="11" t="s">
        <v>800</v>
      </c>
      <c r="I26" s="11" t="s">
        <v>801</v>
      </c>
      <c r="J26" s="217"/>
      <c r="K26" s="239" t="s">
        <v>802</v>
      </c>
      <c r="L26" s="217" t="s">
        <v>803</v>
      </c>
      <c r="M26" s="184" t="s">
        <v>804</v>
      </c>
      <c r="N26" s="217" t="s">
        <v>805</v>
      </c>
      <c r="O26" s="240" t="s">
        <v>806</v>
      </c>
      <c r="P26" s="219"/>
      <c r="Q26" s="219"/>
      <c r="R26" s="13">
        <f t="shared" si="1"/>
        <v>0.8333333333333334</v>
      </c>
      <c r="S26" s="96"/>
      <c r="T26" s="189"/>
      <c r="U26" s="189"/>
      <c r="V26" s="189"/>
      <c r="W26" s="189"/>
      <c r="X26" s="189"/>
    </row>
    <row r="27" ht="27.95" customHeight="1" spans="1:24" x14ac:dyDescent="0.25">
      <c r="A27" s="76">
        <v>9</v>
      </c>
      <c r="B27" s="156" t="s">
        <v>807</v>
      </c>
      <c r="C27" s="234"/>
      <c r="D27" s="184" t="s">
        <v>808</v>
      </c>
      <c r="E27" s="184" t="s">
        <v>809</v>
      </c>
      <c r="F27" s="222" t="s">
        <v>810</v>
      </c>
      <c r="G27" s="11" t="s">
        <v>799</v>
      </c>
      <c r="H27" s="217" t="s">
        <v>811</v>
      </c>
      <c r="I27" s="217" t="s">
        <v>812</v>
      </c>
      <c r="J27" s="184"/>
      <c r="K27" s="239" t="s">
        <v>802</v>
      </c>
      <c r="L27" s="184"/>
      <c r="M27" s="184" t="s">
        <v>813</v>
      </c>
      <c r="N27" s="217" t="s">
        <v>814</v>
      </c>
      <c r="O27" s="217" t="s">
        <v>815</v>
      </c>
      <c r="P27" s="199" t="s">
        <v>816</v>
      </c>
      <c r="Q27" s="186"/>
      <c r="R27" s="13">
        <f t="shared" si="1"/>
        <v>0.9166666666666666</v>
      </c>
      <c r="S27" s="96"/>
      <c r="T27" s="189"/>
      <c r="U27" s="189"/>
      <c r="V27" s="189"/>
      <c r="W27" s="189"/>
      <c r="X27" s="189"/>
    </row>
    <row r="28" ht="27.95" customHeight="1" spans="1:24" x14ac:dyDescent="0.25">
      <c r="A28" s="216">
        <v>10</v>
      </c>
      <c r="B28" s="156" t="s">
        <v>817</v>
      </c>
      <c r="C28" s="234"/>
      <c r="D28" s="184" t="s">
        <v>818</v>
      </c>
      <c r="E28" s="241" t="s">
        <v>819</v>
      </c>
      <c r="F28" s="184" t="s">
        <v>820</v>
      </c>
      <c r="G28" s="184" t="s">
        <v>821</v>
      </c>
      <c r="H28" s="241" t="s">
        <v>822</v>
      </c>
      <c r="I28" s="11" t="s">
        <v>823</v>
      </c>
      <c r="J28" s="221"/>
      <c r="K28" s="239" t="s">
        <v>824</v>
      </c>
      <c r="L28" s="217" t="s">
        <v>825</v>
      </c>
      <c r="M28" s="241" t="s">
        <v>826</v>
      </c>
      <c r="N28" s="241" t="s">
        <v>827</v>
      </c>
      <c r="O28" s="217" t="s">
        <v>828</v>
      </c>
      <c r="P28" s="184" t="s">
        <v>829</v>
      </c>
      <c r="Q28" s="186"/>
      <c r="R28" s="13">
        <f t="shared" si="1"/>
        <v>1</v>
      </c>
      <c r="S28" s="96"/>
      <c r="T28" s="242" t="s">
        <v>830</v>
      </c>
      <c r="U28" s="242"/>
      <c r="V28" s="242"/>
      <c r="W28" s="242"/>
      <c r="X28" s="242"/>
    </row>
    <row r="29" ht="27.95" customHeight="1" spans="1:24" x14ac:dyDescent="0.25">
      <c r="A29" s="76">
        <v>10</v>
      </c>
      <c r="B29" s="156" t="s">
        <v>831</v>
      </c>
      <c r="C29" s="184" t="s">
        <v>832</v>
      </c>
      <c r="D29" s="184" t="s">
        <v>833</v>
      </c>
      <c r="E29" s="175" t="s">
        <v>819</v>
      </c>
      <c r="F29" s="184" t="s">
        <v>834</v>
      </c>
      <c r="G29" s="217"/>
      <c r="H29" s="175" t="s">
        <v>822</v>
      </c>
      <c r="I29" s="11" t="s">
        <v>823</v>
      </c>
      <c r="J29" s="184"/>
      <c r="K29" s="239" t="s">
        <v>824</v>
      </c>
      <c r="L29" s="217" t="s">
        <v>835</v>
      </c>
      <c r="M29" s="175" t="s">
        <v>826</v>
      </c>
      <c r="N29" s="175" t="s">
        <v>827</v>
      </c>
      <c r="O29" s="217" t="s">
        <v>836</v>
      </c>
      <c r="P29" s="186"/>
      <c r="Q29" s="186"/>
      <c r="R29" s="13">
        <f t="shared" si="1"/>
        <v>0.9166666666666666</v>
      </c>
      <c r="S29" s="96"/>
      <c r="T29" s="242"/>
      <c r="U29" s="242"/>
      <c r="V29" s="242"/>
      <c r="W29" s="242"/>
      <c r="X29" s="242"/>
    </row>
    <row r="30" ht="27.95" customHeight="1" spans="1:24" x14ac:dyDescent="0.25">
      <c r="A30" s="229">
        <v>11</v>
      </c>
      <c r="B30" s="243" t="s">
        <v>837</v>
      </c>
      <c r="C30" s="221"/>
      <c r="D30" s="221"/>
      <c r="E30" s="221" t="s">
        <v>838</v>
      </c>
      <c r="F30" s="221"/>
      <c r="G30" s="221"/>
      <c r="H30" s="241"/>
      <c r="I30" s="20"/>
      <c r="J30" s="221"/>
      <c r="K30" s="244"/>
      <c r="L30" s="233"/>
      <c r="M30" s="241"/>
      <c r="N30" s="241"/>
      <c r="O30" s="233"/>
      <c r="P30" s="245"/>
      <c r="Q30" s="245"/>
      <c r="R30" s="13">
        <f t="shared" si="1"/>
        <v>0.08333333333333333</v>
      </c>
      <c r="S30" s="96"/>
      <c r="T30" s="242"/>
      <c r="U30" s="242"/>
      <c r="V30" s="242"/>
      <c r="W30" s="242"/>
      <c r="X30" s="242"/>
    </row>
    <row r="31" ht="27.95" customHeight="1" spans="1:24" x14ac:dyDescent="0.25">
      <c r="A31" s="216">
        <v>11</v>
      </c>
      <c r="B31" s="144" t="s">
        <v>837</v>
      </c>
      <c r="C31" s="226"/>
      <c r="D31" s="246" t="s">
        <v>839</v>
      </c>
      <c r="E31" s="247"/>
      <c r="F31" s="226"/>
      <c r="G31" s="227"/>
      <c r="H31" s="247"/>
      <c r="I31" s="34"/>
      <c r="J31" s="226"/>
      <c r="K31" s="248"/>
      <c r="L31" s="227"/>
      <c r="M31" s="247"/>
      <c r="N31" s="247"/>
      <c r="O31" s="227"/>
      <c r="P31" s="249"/>
      <c r="Q31" s="249"/>
      <c r="R31" s="13">
        <f t="shared" si="1"/>
        <v>0.08333333333333333</v>
      </c>
      <c r="S31" s="96"/>
      <c r="T31" s="242"/>
      <c r="U31" s="242"/>
      <c r="V31" s="242"/>
      <c r="W31" s="242"/>
      <c r="X31" s="242"/>
    </row>
    <row r="32" ht="27.95" customHeight="1" spans="1:24" x14ac:dyDescent="0.25">
      <c r="A32" s="250"/>
      <c r="B32" s="251" t="s">
        <v>840</v>
      </c>
      <c r="C32" s="252"/>
      <c r="D32" s="253"/>
      <c r="E32" s="236"/>
      <c r="F32" s="223"/>
      <c r="G32" s="254"/>
      <c r="H32" s="236"/>
      <c r="I32" s="223"/>
      <c r="J32" s="254"/>
      <c r="K32" s="255"/>
      <c r="L32" s="256"/>
      <c r="M32" s="254"/>
      <c r="N32" s="236"/>
      <c r="O32" s="223"/>
      <c r="P32" s="257"/>
      <c r="Q32" s="258"/>
      <c r="R32" s="96"/>
      <c r="S32" s="96"/>
      <c r="T32" s="242"/>
      <c r="U32" s="242"/>
      <c r="V32" s="242"/>
      <c r="W32" s="242"/>
      <c r="X32" s="242"/>
    </row>
    <row r="33" ht="14.1" customHeight="1" spans="1:24" x14ac:dyDescent="0.25">
      <c r="A33" s="259" t="s">
        <v>281</v>
      </c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96"/>
      <c r="S33" s="96"/>
      <c r="T33" s="242"/>
      <c r="U33" s="242"/>
      <c r="V33" s="242"/>
      <c r="W33" s="242"/>
      <c r="X33" s="242"/>
    </row>
    <row r="34" ht="21.75" customHeight="1" spans="1:24" x14ac:dyDescent="0.25">
      <c r="A34" s="208"/>
      <c r="B34" s="125" t="s">
        <v>2</v>
      </c>
      <c r="C34" s="126" t="s">
        <v>259</v>
      </c>
      <c r="D34" s="126" t="s">
        <v>6</v>
      </c>
      <c r="E34" s="126" t="s">
        <v>7</v>
      </c>
      <c r="F34" s="126" t="s">
        <v>8</v>
      </c>
      <c r="G34" s="126" t="s">
        <v>9</v>
      </c>
      <c r="H34" s="126" t="s">
        <v>10</v>
      </c>
      <c r="I34" s="126" t="s">
        <v>260</v>
      </c>
      <c r="J34" s="6" t="s">
        <v>12</v>
      </c>
      <c r="K34" s="126" t="s">
        <v>13</v>
      </c>
      <c r="L34" s="126" t="s">
        <v>14</v>
      </c>
      <c r="M34" s="126" t="s">
        <v>15</v>
      </c>
      <c r="N34" s="126" t="s">
        <v>16</v>
      </c>
      <c r="O34" s="126" t="s">
        <v>17</v>
      </c>
      <c r="P34" s="126" t="s">
        <v>283</v>
      </c>
      <c r="Q34" s="126" t="s">
        <v>284</v>
      </c>
      <c r="R34" s="96"/>
      <c r="S34" s="96"/>
      <c r="T34" s="242"/>
      <c r="U34" s="242"/>
      <c r="V34" s="242"/>
      <c r="W34" s="242"/>
      <c r="X34" s="242"/>
    </row>
    <row r="35" ht="27.95" customHeight="1" spans="1:24" x14ac:dyDescent="0.25">
      <c r="A35" s="260"/>
      <c r="B35" s="127" t="s">
        <v>841</v>
      </c>
      <c r="C35" s="239"/>
      <c r="D35" s="261"/>
      <c r="E35" s="11"/>
      <c r="F35" s="239"/>
      <c r="G35" s="239"/>
      <c r="H35" s="239"/>
      <c r="I35" s="217"/>
      <c r="J35" s="24"/>
      <c r="K35" s="217" t="s">
        <v>842</v>
      </c>
      <c r="L35" s="239"/>
      <c r="M35" s="239"/>
      <c r="N35" s="220"/>
      <c r="O35" s="96"/>
      <c r="P35" s="217" t="s">
        <v>843</v>
      </c>
      <c r="Q35" s="220"/>
      <c r="R35" s="96"/>
      <c r="S35" s="96"/>
      <c r="T35" s="242"/>
      <c r="U35" s="242"/>
      <c r="V35" s="242"/>
      <c r="W35" s="242"/>
      <c r="X35" s="242"/>
    </row>
    <row r="36" ht="27.95" customHeight="1" spans="1:24" x14ac:dyDescent="0.25">
      <c r="A36" s="260"/>
      <c r="B36" s="52" t="s">
        <v>844</v>
      </c>
      <c r="C36" s="248"/>
      <c r="D36" s="262"/>
      <c r="E36" s="34"/>
      <c r="F36" s="248"/>
      <c r="G36" s="248"/>
      <c r="H36" s="247"/>
      <c r="I36" s="226"/>
      <c r="J36" s="24"/>
      <c r="K36" s="263"/>
      <c r="L36" s="264"/>
      <c r="M36" s="248"/>
      <c r="N36" s="226"/>
      <c r="O36" s="226"/>
      <c r="P36" s="226"/>
      <c r="Q36" s="227"/>
      <c r="R36" s="96"/>
      <c r="S36" s="96"/>
      <c r="T36" s="242"/>
      <c r="U36" s="242"/>
      <c r="V36" s="242"/>
      <c r="W36" s="242"/>
      <c r="X36" s="242"/>
    </row>
    <row r="37" ht="14.1" customHeight="1" spans="1:24" x14ac:dyDescent="0.25">
      <c r="A37" s="96"/>
      <c r="B37" s="97"/>
      <c r="C37" s="96"/>
      <c r="D37" s="96"/>
      <c r="E37" s="96"/>
      <c r="F37" s="96"/>
      <c r="G37" s="96"/>
      <c r="H37" s="96"/>
      <c r="I37" s="96"/>
      <c r="J37" s="120"/>
      <c r="K37" s="96"/>
      <c r="L37" s="96"/>
      <c r="M37" s="96"/>
      <c r="N37" s="96"/>
      <c r="O37" s="96"/>
      <c r="P37" s="96"/>
      <c r="Q37" s="96"/>
      <c r="R37" s="96"/>
      <c r="S37" s="96"/>
      <c r="T37" s="242"/>
      <c r="U37" s="242"/>
      <c r="V37" s="242"/>
      <c r="W37" s="242"/>
      <c r="X37" s="242"/>
    </row>
    <row r="38" ht="21.75" customHeight="1" spans="1:24" x14ac:dyDescent="0.25">
      <c r="A38" s="96"/>
      <c r="B38" s="97"/>
      <c r="C38" s="96"/>
      <c r="D38" s="96"/>
      <c r="E38" s="96"/>
      <c r="F38" s="96"/>
      <c r="G38" s="96"/>
      <c r="H38" s="96"/>
      <c r="I38" s="96"/>
      <c r="J38" s="120"/>
      <c r="K38" s="96"/>
      <c r="L38" s="96"/>
      <c r="M38" s="96"/>
      <c r="N38" s="96"/>
      <c r="O38" s="96"/>
      <c r="P38" s="96"/>
      <c r="Q38" s="96"/>
      <c r="R38" s="198"/>
      <c r="S38" s="198"/>
      <c r="T38" s="242"/>
      <c r="U38" s="242"/>
      <c r="V38" s="242"/>
      <c r="W38" s="242"/>
      <c r="X38" s="242"/>
    </row>
    <row r="39" ht="14.1" customHeight="1" x14ac:dyDescent="0.25"/>
    <row r="40" ht="14.1" customHeight="1" spans="1:24" x14ac:dyDescent="0.25">
      <c r="A40" s="96"/>
      <c r="B40" s="97"/>
      <c r="C40" s="96"/>
      <c r="D40" s="96"/>
      <c r="E40" s="96"/>
      <c r="F40" s="96"/>
      <c r="G40" s="96"/>
      <c r="H40" s="96"/>
      <c r="I40" s="96"/>
      <c r="J40" s="120"/>
      <c r="K40" s="96"/>
      <c r="L40" s="96"/>
      <c r="M40" s="96"/>
      <c r="N40" s="96"/>
      <c r="O40" s="96"/>
      <c r="P40" s="96"/>
      <c r="Q40" s="96"/>
      <c r="R40" s="96"/>
      <c r="S40" s="96"/>
      <c r="T40" s="265" t="s">
        <v>845</v>
      </c>
      <c r="U40" s="265"/>
      <c r="V40" s="265"/>
      <c r="W40" s="265"/>
      <c r="X40" s="265"/>
    </row>
    <row r="41" ht="14.1" customHeight="1" spans="1:24" x14ac:dyDescent="0.25">
      <c r="A41" s="96"/>
      <c r="B41" s="97"/>
      <c r="C41" s="96"/>
      <c r="D41" s="96"/>
      <c r="E41" s="96"/>
      <c r="F41" s="96"/>
      <c r="G41" s="96"/>
      <c r="H41" s="96"/>
      <c r="I41" s="96"/>
      <c r="J41" s="120"/>
      <c r="K41" s="96"/>
      <c r="L41" s="96"/>
      <c r="M41" s="96"/>
      <c r="N41" s="96"/>
      <c r="O41" s="96"/>
      <c r="P41" s="96"/>
      <c r="Q41" s="96"/>
      <c r="R41" s="96"/>
      <c r="S41" s="96"/>
      <c r="T41" s="265"/>
      <c r="U41" s="265"/>
      <c r="V41" s="265"/>
      <c r="W41" s="265"/>
      <c r="X41" s="265"/>
    </row>
    <row r="42" ht="14.1" customHeight="1" spans="1:24" x14ac:dyDescent="0.25">
      <c r="A42" s="96"/>
      <c r="B42" s="97"/>
      <c r="C42" s="96"/>
      <c r="D42" s="96"/>
      <c r="E42" s="96"/>
      <c r="F42" s="96"/>
      <c r="G42" s="96"/>
      <c r="H42" s="96"/>
      <c r="I42" s="96"/>
      <c r="J42" s="120"/>
      <c r="K42" s="96"/>
      <c r="L42" s="96"/>
      <c r="M42" s="96"/>
      <c r="N42" s="96"/>
      <c r="O42" s="96"/>
      <c r="P42" s="96"/>
      <c r="Q42" s="96"/>
      <c r="R42" s="96"/>
      <c r="S42" s="96"/>
      <c r="T42" s="265"/>
      <c r="U42" s="265"/>
      <c r="V42" s="265"/>
      <c r="W42" s="265"/>
      <c r="X42" s="265"/>
    </row>
    <row r="43" ht="14.1" customHeight="1" spans="1:24" x14ac:dyDescent="0.25">
      <c r="A43" s="96"/>
      <c r="B43" s="97"/>
      <c r="C43" s="96"/>
      <c r="D43" s="96"/>
      <c r="E43" s="96"/>
      <c r="F43" s="96"/>
      <c r="G43" s="96"/>
      <c r="H43" s="96"/>
      <c r="I43" s="96"/>
      <c r="J43" s="120"/>
      <c r="K43" s="96"/>
      <c r="L43" s="96"/>
      <c r="M43" s="96"/>
      <c r="N43" s="96"/>
      <c r="O43" s="96"/>
      <c r="P43" s="96"/>
      <c r="Q43" s="96"/>
      <c r="R43" s="96"/>
      <c r="S43" s="96"/>
      <c r="T43" s="265"/>
      <c r="U43" s="265"/>
      <c r="V43" s="265"/>
      <c r="W43" s="265"/>
      <c r="X43" s="265"/>
    </row>
    <row r="44" ht="14.1" customHeight="1" spans="1:24" x14ac:dyDescent="0.25">
      <c r="A44" s="96"/>
      <c r="B44" s="97"/>
      <c r="C44" s="96"/>
      <c r="D44" s="96"/>
      <c r="E44" s="96"/>
      <c r="F44" s="96"/>
      <c r="G44" s="96"/>
      <c r="H44" s="96"/>
      <c r="I44" s="96"/>
      <c r="J44" s="120"/>
      <c r="K44" s="96"/>
      <c r="L44" s="96"/>
      <c r="M44" s="96"/>
      <c r="N44" s="96"/>
      <c r="O44" s="96"/>
      <c r="P44" s="96"/>
      <c r="Q44" s="96"/>
      <c r="R44" s="96"/>
      <c r="S44" s="96"/>
      <c r="T44" s="265"/>
      <c r="U44" s="265"/>
      <c r="V44" s="265"/>
      <c r="W44" s="265"/>
      <c r="X44" s="265"/>
    </row>
    <row r="45" ht="16.5" customHeight="1" spans="1:24" x14ac:dyDescent="0.25">
      <c r="A45" s="96"/>
      <c r="B45" s="97"/>
      <c r="C45" s="96"/>
      <c r="D45" s="96"/>
      <c r="E45" s="96"/>
      <c r="F45" s="96"/>
      <c r="G45" s="96"/>
      <c r="H45" s="96"/>
      <c r="I45" s="96"/>
      <c r="J45" s="120"/>
      <c r="K45" s="96"/>
      <c r="L45" s="96"/>
      <c r="M45" s="96"/>
      <c r="N45" s="96"/>
      <c r="O45" s="96"/>
      <c r="P45" s="96"/>
      <c r="Q45" s="96"/>
      <c r="R45" s="96"/>
      <c r="S45" s="96"/>
      <c r="T45" s="265"/>
      <c r="U45" s="265"/>
      <c r="V45" s="265"/>
      <c r="W45" s="265"/>
      <c r="X45" s="265"/>
    </row>
    <row r="46" spans="1:24" x14ac:dyDescent="0.25">
      <c r="A46" s="96"/>
      <c r="B46" s="97"/>
      <c r="C46" s="96"/>
      <c r="D46" s="96"/>
      <c r="E46" s="96"/>
      <c r="F46" s="96"/>
      <c r="G46" s="96"/>
      <c r="H46" s="96"/>
      <c r="I46" s="96"/>
      <c r="J46" s="120"/>
      <c r="K46" s="96"/>
      <c r="L46" s="96"/>
      <c r="M46" s="96"/>
      <c r="N46" s="96"/>
      <c r="O46" s="96"/>
      <c r="P46" s="96"/>
      <c r="Q46" s="96"/>
      <c r="R46" s="96"/>
      <c r="S46" s="96"/>
      <c r="T46" s="265"/>
      <c r="U46" s="265"/>
      <c r="V46" s="265"/>
      <c r="W46" s="265"/>
      <c r="X46" s="265"/>
    </row>
    <row r="47" ht="17.25" customHeight="1" spans="1:24" x14ac:dyDescent="0.25">
      <c r="A47" s="96"/>
      <c r="B47" s="97"/>
      <c r="C47" s="96"/>
      <c r="D47" s="96"/>
      <c r="E47" s="96"/>
      <c r="F47" s="96"/>
      <c r="G47" s="96"/>
      <c r="H47" s="96"/>
      <c r="I47" s="96"/>
      <c r="J47" s="120"/>
      <c r="K47" s="96"/>
      <c r="L47" s="96"/>
      <c r="M47" s="96"/>
      <c r="N47" s="96"/>
      <c r="O47" s="96"/>
      <c r="P47" s="96"/>
      <c r="Q47" s="96"/>
      <c r="R47" s="96"/>
      <c r="S47" s="96"/>
      <c r="T47" s="265"/>
      <c r="U47" s="265"/>
      <c r="V47" s="265"/>
      <c r="W47" s="265"/>
      <c r="X47" s="265"/>
    </row>
    <row r="53" ht="13.5" customHeight="1" x14ac:dyDescent="0.25"/>
  </sheetData>
  <mergeCells count="28">
    <mergeCell ref="A1:Q1"/>
    <mergeCell ref="A2:Q2"/>
    <mergeCell ref="P4:Q4"/>
    <mergeCell ref="T4:X27"/>
    <mergeCell ref="P5:Q5"/>
    <mergeCell ref="C6:D6"/>
    <mergeCell ref="C7:D7"/>
    <mergeCell ref="C10:D10"/>
    <mergeCell ref="C11:D11"/>
    <mergeCell ref="P14:Q14"/>
    <mergeCell ref="P15:Q15"/>
    <mergeCell ref="C16:D16"/>
    <mergeCell ref="C17:D17"/>
    <mergeCell ref="C18:D18"/>
    <mergeCell ref="P18:Q18"/>
    <mergeCell ref="C19:D19"/>
    <mergeCell ref="P19:Q19"/>
    <mergeCell ref="A22:Q22"/>
    <mergeCell ref="C24:D24"/>
    <mergeCell ref="P25:Q25"/>
    <mergeCell ref="P26:Q26"/>
    <mergeCell ref="T28:X38"/>
    <mergeCell ref="P30:Q30"/>
    <mergeCell ref="P31:Q31"/>
    <mergeCell ref="A33:Q33"/>
    <mergeCell ref="A35:A36"/>
    <mergeCell ref="J35:J36"/>
    <mergeCell ref="T40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5층 12월 원본</vt:lpstr>
      <vt:lpstr>2층</vt:lpstr>
      <vt:lpstr>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2025-12-07T17:32:48Z</dcterms:created>
  <dcterms:modified xsi:type="dcterms:W3CDTF">2025-12-07T17:32:48Z</dcterms:modified>
</cp:coreProperties>
</file>