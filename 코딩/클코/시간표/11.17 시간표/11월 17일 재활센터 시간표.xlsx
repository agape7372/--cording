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20.248\행정공유\1.일일스케줄\"/>
    </mc:Choice>
  </mc:AlternateContent>
  <bookViews>
    <workbookView xWindow="0" yWindow="0" windowWidth="28800" windowHeight="12285" activeTab="2"/>
  </bookViews>
  <sheets>
    <sheet name="2층" sheetId="20" r:id="rId1"/>
    <sheet name="3층" sheetId="21" r:id="rId2"/>
    <sheet name="4층" sheetId="22" r:id="rId3"/>
    <sheet name="5층" sheetId="23" r:id="rId4"/>
    <sheet name="6층" sheetId="19" r:id="rId5"/>
    <sheet name="소아" sheetId="18" r:id="rId6"/>
    <sheet name="특수" sheetId="11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36" i="23" l="1"/>
  <c r="P36" i="23"/>
  <c r="O36" i="23"/>
  <c r="N36" i="23"/>
  <c r="M36" i="23"/>
  <c r="K36" i="23"/>
  <c r="J36" i="23"/>
  <c r="I36" i="23"/>
  <c r="H36" i="23"/>
  <c r="G36" i="23"/>
  <c r="F36" i="23"/>
  <c r="E36" i="23"/>
  <c r="R28" i="23"/>
  <c r="R26" i="23"/>
  <c r="R23" i="23"/>
  <c r="R22" i="23"/>
  <c r="R21" i="23"/>
  <c r="R20" i="23"/>
  <c r="R19" i="23"/>
  <c r="R18" i="23"/>
  <c r="R17" i="23"/>
  <c r="R16" i="23"/>
  <c r="R15" i="23"/>
  <c r="R14" i="23"/>
  <c r="R13" i="23"/>
  <c r="R12" i="23"/>
  <c r="R9" i="23"/>
  <c r="R8" i="23"/>
  <c r="R7" i="23"/>
  <c r="R6" i="23"/>
  <c r="R5" i="23"/>
  <c r="R4" i="23"/>
  <c r="R34" i="22"/>
  <c r="R32" i="22"/>
  <c r="R29" i="22"/>
  <c r="R27" i="22"/>
  <c r="R24" i="22"/>
  <c r="R23" i="22"/>
  <c r="R22" i="22"/>
  <c r="R20" i="22"/>
  <c r="R19" i="22"/>
  <c r="R18" i="22"/>
  <c r="R17" i="22"/>
  <c r="R16" i="22"/>
  <c r="R15" i="22"/>
  <c r="R14" i="22"/>
  <c r="R13" i="22"/>
  <c r="R12" i="22"/>
  <c r="R11" i="22"/>
  <c r="R10" i="22"/>
  <c r="R9" i="22"/>
  <c r="R8" i="22"/>
  <c r="R7" i="22"/>
  <c r="R5" i="22"/>
  <c r="R4" i="22"/>
  <c r="R3" i="23" l="1"/>
  <c r="R3" i="22"/>
  <c r="S39" i="21" l="1"/>
  <c r="R31" i="21"/>
  <c r="R29" i="21"/>
  <c r="R27" i="21"/>
  <c r="R26" i="21"/>
  <c r="R25" i="21"/>
  <c r="R24" i="21"/>
  <c r="R23" i="21"/>
  <c r="R22" i="21"/>
  <c r="R21" i="21"/>
  <c r="R20" i="21"/>
  <c r="R19" i="21"/>
  <c r="R18" i="21"/>
  <c r="R17" i="21"/>
  <c r="R16" i="21"/>
  <c r="R15" i="21"/>
  <c r="R13" i="21"/>
  <c r="R10" i="21"/>
  <c r="R9" i="21"/>
  <c r="R8" i="21"/>
  <c r="R7" i="21"/>
  <c r="R6" i="21"/>
  <c r="R5" i="21"/>
  <c r="R4" i="21"/>
  <c r="R3" i="21" l="1"/>
  <c r="T29" i="19"/>
  <c r="T28" i="19"/>
  <c r="T25" i="19"/>
  <c r="T23" i="19"/>
  <c r="T21" i="19"/>
  <c r="T20" i="19"/>
  <c r="T19" i="19"/>
  <c r="T18" i="19"/>
  <c r="T17" i="19"/>
  <c r="T16" i="19"/>
  <c r="T15" i="19"/>
  <c r="T14" i="19"/>
  <c r="T13" i="19"/>
  <c r="T12" i="19"/>
  <c r="T11" i="19"/>
  <c r="T10" i="19"/>
  <c r="T9" i="19"/>
  <c r="T8" i="19"/>
  <c r="T7" i="19"/>
  <c r="T6" i="19"/>
  <c r="T5" i="19"/>
  <c r="T4" i="19"/>
  <c r="T3" i="19" l="1"/>
  <c r="R16" i="18"/>
  <c r="R15" i="18"/>
  <c r="R14" i="18"/>
  <c r="R11" i="18"/>
  <c r="R10" i="18"/>
  <c r="R9" i="18"/>
  <c r="R8" i="18"/>
  <c r="R7" i="18"/>
  <c r="R6" i="18"/>
  <c r="R5" i="18"/>
  <c r="R4" i="18"/>
  <c r="R3" i="18" l="1"/>
</calcChain>
</file>

<file path=xl/sharedStrings.xml><?xml version="1.0" encoding="utf-8"?>
<sst xmlns="http://schemas.openxmlformats.org/spreadsheetml/2006/main" count="2310" uniqueCount="1810">
  <si>
    <t xml:space="preserve">           시간    치료사</t>
  </si>
  <si>
    <t>8:30~
9:00</t>
  </si>
  <si>
    <t>9:05~
9:35</t>
  </si>
  <si>
    <t>9:40~
10:10</t>
  </si>
  <si>
    <t>10:15~
10:45</t>
  </si>
  <si>
    <t>10:50~
11:20</t>
  </si>
  <si>
    <t>11:25~
11:55</t>
  </si>
  <si>
    <t>12:00~ 
12:30</t>
  </si>
  <si>
    <t>점심</t>
  </si>
  <si>
    <t>13:30~
14:00</t>
  </si>
  <si>
    <t>14:05~
14:35</t>
  </si>
  <si>
    <t>14:40~
15:10</t>
  </si>
  <si>
    <t>15:15~
15:45</t>
  </si>
  <si>
    <t>15:50~
16:20</t>
  </si>
  <si>
    <t>16:25~
16:55</t>
  </si>
  <si>
    <t>17:00~
17:30</t>
  </si>
  <si>
    <t xml:space="preserve"> </t>
  </si>
  <si>
    <t>R-TMS &amp; WALKBOT &amp; MORNING WALK &amp; R-BOT 시간표</t>
  </si>
  <si>
    <t xml:space="preserve">           시간    치료장비</t>
  </si>
  <si>
    <t>RTMS</t>
  </si>
  <si>
    <t>정농숙</t>
  </si>
  <si>
    <t>스마트보드</t>
  </si>
  <si>
    <t>14:05~
14:35</t>
    <phoneticPr fontId="42" type="noConversion"/>
  </si>
  <si>
    <t>P우학송D</t>
    <phoneticPr fontId="40" type="noConversion"/>
  </si>
  <si>
    <t>RTMS &amp; HAND &amp; 호흡 &amp; 바이오피드백 시간표</t>
    <phoneticPr fontId="42" type="noConversion"/>
  </si>
  <si>
    <t>H7윤소희A</t>
    <phoneticPr fontId="40" type="noConversion"/>
  </si>
  <si>
    <t>박오영</t>
    <phoneticPr fontId="42" type="noConversion"/>
  </si>
  <si>
    <t>서재학</t>
    <phoneticPr fontId="42" type="noConversion"/>
  </si>
  <si>
    <t>전산화인지치료 시간표</t>
    <phoneticPr fontId="42" type="noConversion"/>
  </si>
  <si>
    <t>모닝워크</t>
    <phoneticPr fontId="42" type="noConversion"/>
  </si>
  <si>
    <t>W권용길B</t>
    <phoneticPr fontId="42" type="noConversion"/>
  </si>
  <si>
    <t>RG서극원R</t>
    <phoneticPr fontId="40" type="noConversion"/>
  </si>
  <si>
    <t>RP김동명3</t>
    <phoneticPr fontId="42" type="noConversion"/>
  </si>
  <si>
    <t>P조성현3B</t>
    <phoneticPr fontId="42" type="noConversion"/>
  </si>
  <si>
    <t>P박주혜B</t>
    <phoneticPr fontId="42" type="noConversion"/>
  </si>
  <si>
    <t>재활센터 시간표     2023. 10. 31 (화)</t>
    <phoneticPr fontId="42" type="noConversion"/>
  </si>
  <si>
    <t>특수치료 시간표</t>
    <phoneticPr fontId="42" type="noConversion"/>
  </si>
  <si>
    <t>수중재활 스케줄</t>
    <phoneticPr fontId="42" type="noConversion"/>
  </si>
  <si>
    <t>14:05~
14:35</t>
    <phoneticPr fontId="42" type="noConversion"/>
  </si>
  <si>
    <t>15:50~
16:20</t>
    <phoneticPr fontId="42" type="noConversion"/>
  </si>
  <si>
    <t>수중재활</t>
    <phoneticPr fontId="42" type="noConversion"/>
  </si>
  <si>
    <t>P이경갑D</t>
    <phoneticPr fontId="42" type="noConversion"/>
  </si>
  <si>
    <t>RP주현수2D</t>
    <phoneticPr fontId="42" type="noConversion"/>
  </si>
  <si>
    <t>P남완D</t>
    <phoneticPr fontId="42" type="noConversion"/>
  </si>
  <si>
    <t>RP진호연D</t>
    <phoneticPr fontId="42" type="noConversion"/>
  </si>
  <si>
    <t>P김익현A</t>
    <phoneticPr fontId="42" type="noConversion"/>
  </si>
  <si>
    <t>RP박진우6A</t>
    <phoneticPr fontId="40" type="noConversion"/>
  </si>
  <si>
    <t>P김서율5A</t>
    <phoneticPr fontId="40" type="noConversion"/>
  </si>
  <si>
    <t>RP이정담A</t>
    <phoneticPr fontId="40" type="noConversion"/>
  </si>
  <si>
    <t>RP오윤아A</t>
    <phoneticPr fontId="40" type="noConversion"/>
  </si>
  <si>
    <t>P권솔A</t>
    <phoneticPr fontId="40" type="noConversion"/>
  </si>
  <si>
    <t>P원종식B</t>
    <phoneticPr fontId="42" type="noConversion"/>
  </si>
  <si>
    <t>P배성범B</t>
    <phoneticPr fontId="40" type="noConversion"/>
  </si>
  <si>
    <t xml:space="preserve"> P유복숙B</t>
    <phoneticPr fontId="42" type="noConversion"/>
  </si>
  <si>
    <t xml:space="preserve">
</t>
    <phoneticPr fontId="42" type="noConversion"/>
  </si>
  <si>
    <t xml:space="preserve">           시간    치료장비</t>
    <phoneticPr fontId="42" type="noConversion"/>
  </si>
  <si>
    <t>11:25~
11:55</t>
    <phoneticPr fontId="42" type="noConversion"/>
  </si>
  <si>
    <t>15:50~
16:20</t>
    <phoneticPr fontId="42" type="noConversion"/>
  </si>
  <si>
    <t xml:space="preserve"> </t>
    <phoneticPr fontId="40" type="noConversion"/>
  </si>
  <si>
    <t>주현수2</t>
    <phoneticPr fontId="42" type="noConversion"/>
  </si>
  <si>
    <t>김남규4A</t>
    <phoneticPr fontId="42" type="noConversion"/>
  </si>
  <si>
    <t>연제순</t>
    <phoneticPr fontId="42" type="noConversion"/>
  </si>
  <si>
    <t>유태현3A</t>
    <phoneticPr fontId="42" type="noConversion"/>
  </si>
  <si>
    <t>윤동석2A</t>
    <phoneticPr fontId="42" type="noConversion"/>
  </si>
  <si>
    <t>HAND</t>
    <phoneticPr fontId="42" type="noConversion"/>
  </si>
  <si>
    <t>김진옥7A</t>
    <phoneticPr fontId="42" type="noConversion"/>
  </si>
  <si>
    <t>임낙규</t>
    <phoneticPr fontId="40" type="noConversion"/>
  </si>
  <si>
    <t>임상미2A</t>
    <phoneticPr fontId="42" type="noConversion"/>
  </si>
  <si>
    <t>맹형열</t>
    <phoneticPr fontId="40" type="noConversion"/>
  </si>
  <si>
    <t>오정아A</t>
    <phoneticPr fontId="42" type="noConversion"/>
  </si>
  <si>
    <t>김남규4B</t>
    <phoneticPr fontId="42" type="noConversion"/>
  </si>
  <si>
    <t>정화구B</t>
    <phoneticPr fontId="42" type="noConversion"/>
  </si>
  <si>
    <t>김형묵3B</t>
    <phoneticPr fontId="42" type="noConversion"/>
  </si>
  <si>
    <t>윤동석2B</t>
    <phoneticPr fontId="42" type="noConversion"/>
  </si>
  <si>
    <t>호흡치료</t>
    <phoneticPr fontId="42" type="noConversion"/>
  </si>
  <si>
    <t>박경원2</t>
    <phoneticPr fontId="42" type="noConversion"/>
  </si>
  <si>
    <t>김을언</t>
    <phoneticPr fontId="42" type="noConversion"/>
  </si>
  <si>
    <t>김현주14</t>
    <phoneticPr fontId="42" type="noConversion"/>
  </si>
  <si>
    <t>송병태</t>
    <phoneticPr fontId="42" type="noConversion"/>
  </si>
  <si>
    <t>이경갑B</t>
    <phoneticPr fontId="42" type="noConversion"/>
  </si>
  <si>
    <t>바이오
피드백</t>
    <phoneticPr fontId="42" type="noConversion"/>
  </si>
  <si>
    <t>전미옥A</t>
    <phoneticPr fontId="40" type="noConversion"/>
  </si>
  <si>
    <t>신연상B</t>
    <phoneticPr fontId="42" type="noConversion"/>
  </si>
  <si>
    <t>정창래2</t>
    <phoneticPr fontId="42" type="noConversion"/>
  </si>
  <si>
    <t>수중 대기 - 입원
1. 6층 정아라2님 (회복기) 스탠딩 X 보류</t>
    <phoneticPr fontId="40" type="noConversion"/>
  </si>
  <si>
    <t xml:space="preserve">           시간    치료장비</t>
    <phoneticPr fontId="42" type="noConversion"/>
  </si>
  <si>
    <t>9:40~
10:10</t>
    <phoneticPr fontId="42" type="noConversion"/>
  </si>
  <si>
    <t>14:05~
14:35</t>
    <phoneticPr fontId="42" type="noConversion"/>
  </si>
  <si>
    <t>베러코그(5)</t>
    <phoneticPr fontId="42" type="noConversion"/>
  </si>
  <si>
    <t>이우경</t>
    <phoneticPr fontId="42" type="noConversion"/>
  </si>
  <si>
    <t>곽홍기</t>
    <phoneticPr fontId="42" type="noConversion"/>
  </si>
  <si>
    <t>권영희3</t>
    <phoneticPr fontId="42" type="noConversion"/>
  </si>
  <si>
    <t>한홍구</t>
    <phoneticPr fontId="42" type="noConversion"/>
  </si>
  <si>
    <t>채규칠</t>
    <phoneticPr fontId="42" type="noConversion"/>
  </si>
  <si>
    <t>공창호</t>
    <phoneticPr fontId="42" type="noConversion"/>
  </si>
  <si>
    <t>베러코그(6)</t>
    <phoneticPr fontId="42" type="noConversion"/>
  </si>
  <si>
    <t>김정숙31</t>
    <phoneticPr fontId="42" type="noConversion"/>
  </si>
  <si>
    <t>김혜진17</t>
    <phoneticPr fontId="42" type="noConversion"/>
  </si>
  <si>
    <t>이위재</t>
    <phoneticPr fontId="42" type="noConversion"/>
  </si>
  <si>
    <t>김수태</t>
    <phoneticPr fontId="42" type="noConversion"/>
  </si>
  <si>
    <t>박상훈3</t>
    <phoneticPr fontId="42" type="noConversion"/>
  </si>
  <si>
    <t xml:space="preserve">수중 대기 - 낮병동 및 외래 대기
1. 낮병동 김수호3님 A 오후
1. 낮병동 신유진7님 B 오후 
2. 외래 이건식님 A 15:15, 17:00
3. 외래 이승우7님 A 14:40 이후
4. 외래 김서율님 A 14:40 이후
5. 외래 유태광님 A 16:00 이후 (보류) 010-2645-0697
</t>
    <phoneticPr fontId="40" type="noConversion"/>
  </si>
  <si>
    <t>12:00~ 
12:30</t>
    <phoneticPr fontId="42" type="noConversion"/>
  </si>
  <si>
    <t>15:15~
15:45</t>
    <phoneticPr fontId="42" type="noConversion"/>
  </si>
  <si>
    <t>RG박인규4R</t>
    <phoneticPr fontId="42" type="noConversion"/>
  </si>
  <si>
    <t>W원종식D</t>
    <phoneticPr fontId="42" type="noConversion"/>
  </si>
  <si>
    <t>RG채규칠R</t>
    <phoneticPr fontId="40" type="noConversion"/>
  </si>
  <si>
    <t>RG이정임4R</t>
    <phoneticPr fontId="40" type="noConversion"/>
  </si>
  <si>
    <t>W황춘자A</t>
    <phoneticPr fontId="40" type="noConversion"/>
  </si>
  <si>
    <t>W임예수A</t>
    <phoneticPr fontId="42" type="noConversion"/>
  </si>
  <si>
    <t>M7김기천A</t>
    <phoneticPr fontId="42" type="noConversion"/>
  </si>
  <si>
    <t>주부동D
산재로봇</t>
    <phoneticPr fontId="42" type="noConversion"/>
  </si>
  <si>
    <t>김서윤5D
산재로봇</t>
    <phoneticPr fontId="42" type="noConversion"/>
  </si>
  <si>
    <t>이연숙5B
산재로봇</t>
    <phoneticPr fontId="42" type="noConversion"/>
  </si>
  <si>
    <t>W윤미기자B</t>
    <phoneticPr fontId="40" type="noConversion"/>
  </si>
  <si>
    <t>W김남규4B</t>
    <phoneticPr fontId="40" type="noConversion"/>
  </si>
  <si>
    <t>M7송희영B</t>
    <phoneticPr fontId="42" type="noConversion"/>
  </si>
  <si>
    <t>워크봇</t>
    <phoneticPr fontId="42" type="noConversion"/>
  </si>
  <si>
    <t>W조영란2A</t>
    <phoneticPr fontId="40" type="noConversion"/>
  </si>
  <si>
    <t>W이정례3A</t>
    <phoneticPr fontId="40" type="noConversion"/>
  </si>
  <si>
    <t>W정화구A</t>
    <phoneticPr fontId="40" type="noConversion"/>
  </si>
  <si>
    <t>W김택중A</t>
    <phoneticPr fontId="42" type="noConversion"/>
  </si>
  <si>
    <t>M7이홍섭A</t>
    <phoneticPr fontId="42" type="noConversion"/>
  </si>
  <si>
    <t>M15반원모A</t>
    <phoneticPr fontId="42" type="noConversion"/>
  </si>
  <si>
    <t>W주현수2D</t>
    <phoneticPr fontId="42" type="noConversion"/>
  </si>
  <si>
    <t>W김인기3B</t>
    <phoneticPr fontId="42" type="noConversion"/>
  </si>
  <si>
    <t>W오정아B</t>
    <phoneticPr fontId="42" type="noConversion"/>
  </si>
  <si>
    <t>W전동순B</t>
    <phoneticPr fontId="40" type="noConversion"/>
  </si>
  <si>
    <t>M15반원모B</t>
    <phoneticPr fontId="42" type="noConversion"/>
  </si>
  <si>
    <t>W윤동석2B</t>
    <phoneticPr fontId="42" type="noConversion"/>
  </si>
  <si>
    <t>M7김청하B</t>
    <phoneticPr fontId="42" type="noConversion"/>
  </si>
  <si>
    <t>알봇</t>
    <phoneticPr fontId="42" type="noConversion"/>
  </si>
  <si>
    <t>RG박종순13R</t>
    <phoneticPr fontId="42" type="noConversion"/>
  </si>
  <si>
    <t>W김진철4D</t>
    <phoneticPr fontId="42" type="noConversion"/>
  </si>
  <si>
    <t>W권오운D</t>
    <phoneticPr fontId="42" type="noConversion"/>
  </si>
  <si>
    <t>W오정아A</t>
    <phoneticPr fontId="42" type="noConversion"/>
  </si>
  <si>
    <t>RG배희숙R</t>
    <phoneticPr fontId="40" type="noConversion"/>
  </si>
  <si>
    <t>W지은숙2D</t>
    <phoneticPr fontId="42" type="noConversion"/>
  </si>
  <si>
    <t>W구예성D</t>
    <phoneticPr fontId="42" type="noConversion"/>
  </si>
  <si>
    <t>RG김영순46R</t>
    <phoneticPr fontId="40" type="noConversion"/>
  </si>
  <si>
    <t>W연제순A</t>
    <phoneticPr fontId="42" type="noConversion"/>
  </si>
  <si>
    <t>W김복묵A</t>
    <phoneticPr fontId="42" type="noConversion"/>
  </si>
  <si>
    <t>RG정명자5R</t>
    <phoneticPr fontId="40" type="noConversion"/>
  </si>
  <si>
    <t>W배영수B</t>
    <phoneticPr fontId="40" type="noConversion"/>
  </si>
  <si>
    <t>김재환2</t>
    <phoneticPr fontId="40" type="noConversion"/>
  </si>
  <si>
    <t>김동운2B</t>
    <phoneticPr fontId="40" type="noConversion"/>
  </si>
  <si>
    <t>P이위재B</t>
    <phoneticPr fontId="40" type="noConversion"/>
  </si>
  <si>
    <t>7:30~
8:00</t>
    <phoneticPr fontId="42" type="noConversion"/>
  </si>
  <si>
    <t>8:00~
8:30</t>
    <phoneticPr fontId="42" type="noConversion"/>
  </si>
  <si>
    <t>RM김인순3</t>
    <phoneticPr fontId="42" type="noConversion"/>
  </si>
  <si>
    <t>RM김정희25</t>
  </si>
  <si>
    <t>N7박성구D</t>
    <phoneticPr fontId="42" type="noConversion"/>
  </si>
  <si>
    <t>RG심옥자2</t>
    <phoneticPr fontId="42" type="noConversion"/>
  </si>
  <si>
    <t>N김대용2</t>
    <phoneticPr fontId="42" type="noConversion"/>
  </si>
  <si>
    <t>RN김정희25</t>
  </si>
  <si>
    <t>N신기순2</t>
    <phoneticPr fontId="42" type="noConversion"/>
  </si>
  <si>
    <t>RM정현숙4</t>
  </si>
  <si>
    <t>* 변경사항</t>
    <phoneticPr fontId="42" type="noConversion"/>
  </si>
  <si>
    <t>임지현
(연차)</t>
    <phoneticPr fontId="42" type="noConversion"/>
  </si>
  <si>
    <t>RN정현숙4</t>
  </si>
  <si>
    <t>RN김기연5</t>
    <phoneticPr fontId="42" type="noConversion"/>
  </si>
  <si>
    <t>RA윤소희3</t>
    <phoneticPr fontId="42" type="noConversion"/>
  </si>
  <si>
    <t>RA김정희25</t>
  </si>
  <si>
    <t>RA권오운</t>
    <phoneticPr fontId="42" type="noConversion"/>
  </si>
  <si>
    <t>S구본창</t>
    <phoneticPr fontId="42" type="noConversion"/>
  </si>
  <si>
    <t>RA정현숙4</t>
  </si>
  <si>
    <t>RA유정순3</t>
    <phoneticPr fontId="42" type="noConversion"/>
  </si>
  <si>
    <t>RA박인규4</t>
    <phoneticPr fontId="42" type="noConversion"/>
  </si>
  <si>
    <t>CA신기순2</t>
  </si>
  <si>
    <t>CA신연애</t>
    <phoneticPr fontId="42" type="noConversion"/>
  </si>
  <si>
    <t>RA홍선화</t>
    <phoneticPr fontId="42" type="noConversion"/>
  </si>
  <si>
    <t>RA김성자10</t>
  </si>
  <si>
    <t>RS김정희25</t>
  </si>
  <si>
    <t xml:space="preserve"> MM김성자10C
MM김기연5C
MM김정희25C
MM최상근3CPM</t>
  </si>
  <si>
    <t>F황종길
F박상훈3
F박오영
F김을언
F김진옥7</t>
    <phoneticPr fontId="42" type="noConversion"/>
  </si>
  <si>
    <t>D</t>
    <phoneticPr fontId="42" type="noConversion"/>
  </si>
  <si>
    <t>D박은용</t>
    <phoneticPr fontId="72" type="noConversion"/>
  </si>
  <si>
    <t>수중재활 스케줄</t>
  </si>
  <si>
    <t>박상훈3</t>
  </si>
  <si>
    <t>통증</t>
  </si>
  <si>
    <t>단축근무</t>
    <phoneticPr fontId="42" type="noConversion"/>
  </si>
  <si>
    <t>김용하</t>
    <phoneticPr fontId="42" type="noConversion"/>
  </si>
  <si>
    <t>N배영수</t>
  </si>
  <si>
    <t>RM조항만</t>
  </si>
  <si>
    <t>RG최의숙</t>
  </si>
  <si>
    <t>RM정농숙</t>
  </si>
  <si>
    <t>RN조항만</t>
  </si>
  <si>
    <t>RM김진권2</t>
  </si>
  <si>
    <t>RM김갑태2</t>
  </si>
  <si>
    <t>N최무정</t>
  </si>
  <si>
    <t>N김인기3</t>
  </si>
  <si>
    <t>RG조남옥2</t>
  </si>
  <si>
    <t>RG김무길</t>
  </si>
  <si>
    <t>N오경호</t>
  </si>
  <si>
    <t>RN차미영3</t>
  </si>
  <si>
    <t>RD정태철</t>
  </si>
  <si>
    <t>RM연미재</t>
  </si>
  <si>
    <t>RN정태철</t>
  </si>
  <si>
    <t>RA정농숙</t>
    <phoneticPr fontId="42" type="noConversion"/>
  </si>
  <si>
    <t>H7맹형열D</t>
  </si>
  <si>
    <t>CA최무정</t>
  </si>
  <si>
    <t>정재희</t>
    <phoneticPr fontId="42" type="noConversion"/>
  </si>
  <si>
    <t>RD권영배</t>
  </si>
  <si>
    <t>RA김무길</t>
  </si>
  <si>
    <t>CA배영수</t>
  </si>
  <si>
    <t>RS채규칠</t>
  </si>
  <si>
    <t>D배영수</t>
  </si>
  <si>
    <t>RA황춘자</t>
  </si>
  <si>
    <t>RN김석기2</t>
  </si>
  <si>
    <t>계장</t>
    <phoneticPr fontId="42" type="noConversion"/>
  </si>
  <si>
    <t>김유나</t>
  </si>
  <si>
    <t>RL차미영3</t>
  </si>
  <si>
    <t>RG김귀례2</t>
  </si>
  <si>
    <t>* 신환</t>
  </si>
  <si>
    <t>RG윤현숙3</t>
  </si>
  <si>
    <t>RN정명자5</t>
  </si>
  <si>
    <t>RM정명자5</t>
  </si>
  <si>
    <t>RM배희숙</t>
  </si>
  <si>
    <t>N채남순</t>
  </si>
  <si>
    <t>김소희</t>
  </si>
  <si>
    <t>CA박경원2</t>
  </si>
  <si>
    <t>MM이강은C</t>
  </si>
  <si>
    <t>CA정규설</t>
  </si>
  <si>
    <t>단축근무</t>
  </si>
  <si>
    <t>CA신인섭</t>
  </si>
  <si>
    <t>CA김봉예</t>
  </si>
  <si>
    <t>RA윤현숙3</t>
  </si>
  <si>
    <t>조해인</t>
  </si>
  <si>
    <t>김우주</t>
  </si>
  <si>
    <t>CA이재남4</t>
  </si>
  <si>
    <t>RA이정례3</t>
  </si>
  <si>
    <t>RM김영한2</t>
  </si>
  <si>
    <t>16:25~
16:55</t>
    <phoneticPr fontId="42" type="noConversion"/>
  </si>
  <si>
    <t>S정호진2A</t>
  </si>
  <si>
    <t>EST</t>
  </si>
  <si>
    <t>RG채규칠R</t>
  </si>
  <si>
    <t>8:30~
9:00</t>
    <phoneticPr fontId="42" type="noConversion"/>
  </si>
  <si>
    <t>RG박옥하</t>
  </si>
  <si>
    <t>RG김동명3</t>
  </si>
  <si>
    <t>RN구예성</t>
  </si>
  <si>
    <t>RG지은숙2</t>
  </si>
  <si>
    <t>RA유태현3</t>
  </si>
  <si>
    <t>CA김혜진17</t>
  </si>
  <si>
    <t>RA김동명3</t>
  </si>
  <si>
    <t>RA박옥하</t>
  </si>
  <si>
    <t>RA지은숙2</t>
  </si>
  <si>
    <t>이정은</t>
  </si>
  <si>
    <t>RN유태현3</t>
  </si>
  <si>
    <t>이동치료사</t>
    <phoneticPr fontId="40" type="noConversion"/>
  </si>
  <si>
    <t>문희연</t>
    <phoneticPr fontId="42" type="noConversion"/>
  </si>
  <si>
    <t>소아</t>
    <phoneticPr fontId="40" type="noConversion"/>
  </si>
  <si>
    <t>RG한상진(4)</t>
    <phoneticPr fontId="40" type="noConversion"/>
  </si>
  <si>
    <t>RG오병찬(3)</t>
    <phoneticPr fontId="40" type="noConversion"/>
  </si>
  <si>
    <t>원동현A</t>
    <phoneticPr fontId="40" type="noConversion"/>
  </si>
  <si>
    <t>이해숙2A</t>
  </si>
  <si>
    <t>윤은정</t>
    <phoneticPr fontId="40" type="noConversion"/>
  </si>
  <si>
    <t>RG이강은(3)</t>
    <phoneticPr fontId="40" type="noConversion"/>
  </si>
  <si>
    <t>- 5층 한경애4님 W 모닝워크 삭제 11:25
- 5층 윤은정님 Y D 추가 11:25
** 4층 김인기3님 워크봇 10회 시 스케줄 삭제</t>
    <phoneticPr fontId="40" type="noConversion"/>
  </si>
  <si>
    <t>강기태</t>
    <phoneticPr fontId="42" type="noConversion"/>
  </si>
  <si>
    <t>RA김인순3(5)</t>
    <phoneticPr fontId="40" type="noConversion"/>
  </si>
  <si>
    <t>RA홍선화(5)</t>
    <phoneticPr fontId="40" type="noConversion"/>
  </si>
  <si>
    <t>RA김명배3(5)</t>
    <phoneticPr fontId="40" type="noConversion"/>
  </si>
  <si>
    <t>RA이진봉(5)</t>
    <phoneticPr fontId="40" type="noConversion"/>
  </si>
  <si>
    <t>RA서극원(5)</t>
    <phoneticPr fontId="40" type="noConversion"/>
  </si>
  <si>
    <t>재활센터 시간표     2023. 10. 31 (화)</t>
    <phoneticPr fontId="42" type="noConversion"/>
  </si>
  <si>
    <t>소아 재활센터 시간표  2025. 11. 17 (월)</t>
    <phoneticPr fontId="42" type="noConversion"/>
  </si>
  <si>
    <t>14:05~
14:35</t>
    <phoneticPr fontId="42" type="noConversion"/>
  </si>
  <si>
    <t>15:15~
15:45</t>
    <phoneticPr fontId="42" type="noConversion"/>
  </si>
  <si>
    <t>설지은A</t>
    <phoneticPr fontId="42" type="noConversion"/>
  </si>
  <si>
    <t>RN김은오A</t>
    <phoneticPr fontId="42" type="noConversion"/>
  </si>
  <si>
    <t>RN김바다2A</t>
    <phoneticPr fontId="42" type="noConversion"/>
  </si>
  <si>
    <t>M7에민(월,수)</t>
    <phoneticPr fontId="42" type="noConversion"/>
  </si>
  <si>
    <t>RM권성윤A</t>
    <phoneticPr fontId="42" type="noConversion"/>
  </si>
  <si>
    <t>RN염이준A</t>
    <phoneticPr fontId="42" type="noConversion"/>
  </si>
  <si>
    <t>RN권나은A</t>
    <phoneticPr fontId="42" type="noConversion"/>
  </si>
  <si>
    <t>RM이라함(월)</t>
    <phoneticPr fontId="42" type="noConversion"/>
  </si>
  <si>
    <t>RN이정담A</t>
    <phoneticPr fontId="42" type="noConversion"/>
  </si>
  <si>
    <t>RN장한이A</t>
    <phoneticPr fontId="42" type="noConversion"/>
  </si>
  <si>
    <t>RN윤하진2A</t>
    <phoneticPr fontId="42" type="noConversion"/>
  </si>
  <si>
    <t>RM김수호3A</t>
    <phoneticPr fontId="42" type="noConversion"/>
  </si>
  <si>
    <t>이한비C</t>
    <phoneticPr fontId="42" type="noConversion"/>
  </si>
  <si>
    <t>RN이라함(월)</t>
    <phoneticPr fontId="42" type="noConversion"/>
  </si>
  <si>
    <t>RM권나은A</t>
    <phoneticPr fontId="42" type="noConversion"/>
  </si>
  <si>
    <t>RN김민서19A</t>
    <phoneticPr fontId="42" type="noConversion"/>
  </si>
  <si>
    <t>RM이수민10A</t>
    <phoneticPr fontId="42" type="noConversion"/>
  </si>
  <si>
    <t>RM김민서19A</t>
    <phoneticPr fontId="42" type="noConversion"/>
  </si>
  <si>
    <t>RM윤하진2A</t>
    <phoneticPr fontId="42" type="noConversion"/>
  </si>
  <si>
    <t>RM정윤호3A</t>
    <phoneticPr fontId="42" type="noConversion"/>
  </si>
  <si>
    <t>RM박진우6A</t>
    <phoneticPr fontId="42" type="noConversion"/>
  </si>
  <si>
    <t>RM오윤아A</t>
    <phoneticPr fontId="42" type="noConversion"/>
  </si>
  <si>
    <t>RM이서우4A</t>
    <phoneticPr fontId="42" type="noConversion"/>
  </si>
  <si>
    <t>RM우사랑A</t>
    <phoneticPr fontId="42" type="noConversion"/>
  </si>
  <si>
    <t>RM최지선A</t>
    <phoneticPr fontId="42" type="noConversion"/>
  </si>
  <si>
    <t>정유빈
(연차)</t>
    <phoneticPr fontId="42" type="noConversion"/>
  </si>
  <si>
    <t xml:space="preserve"> </t>
    <phoneticPr fontId="42" type="noConversion"/>
  </si>
  <si>
    <t>김지우C</t>
    <phoneticPr fontId="42" type="noConversion"/>
  </si>
  <si>
    <t>RM신아린A</t>
    <phoneticPr fontId="42" type="noConversion"/>
  </si>
  <si>
    <t>RA이라함(월)</t>
    <phoneticPr fontId="42" type="noConversion"/>
  </si>
  <si>
    <t>RA권성윤A</t>
    <phoneticPr fontId="42" type="noConversion"/>
  </si>
  <si>
    <t>RA이정담A</t>
    <phoneticPr fontId="42" type="noConversion"/>
  </si>
  <si>
    <t>RA윤하진2A</t>
    <phoneticPr fontId="42" type="noConversion"/>
  </si>
  <si>
    <t>RA정윤호3A</t>
    <phoneticPr fontId="42" type="noConversion"/>
  </si>
  <si>
    <t>RD김수호3A</t>
    <phoneticPr fontId="42" type="noConversion"/>
  </si>
  <si>
    <t>RD최지선A</t>
    <phoneticPr fontId="42" type="noConversion"/>
  </si>
  <si>
    <t>RA장한이A</t>
    <phoneticPr fontId="42" type="noConversion"/>
  </si>
  <si>
    <t>RA이서우4A</t>
    <phoneticPr fontId="42" type="noConversion"/>
  </si>
  <si>
    <t>손솔B</t>
    <phoneticPr fontId="42" type="noConversion"/>
  </si>
  <si>
    <t>RA김민서19A</t>
    <phoneticPr fontId="42" type="noConversion"/>
  </si>
  <si>
    <t>RA신아린A</t>
    <phoneticPr fontId="42" type="noConversion"/>
  </si>
  <si>
    <t>RA김바다2A</t>
    <phoneticPr fontId="42" type="noConversion"/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</si>
  <si>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42" type="noConversion"/>
  </si>
  <si>
    <t>RD정윤호3A</t>
    <phoneticPr fontId="42" type="noConversion"/>
  </si>
  <si>
    <t>RA오윤아A</t>
    <phoneticPr fontId="42" type="noConversion"/>
  </si>
  <si>
    <t>RA김수호3A</t>
    <phoneticPr fontId="42" type="noConversion"/>
  </si>
  <si>
    <t>RA최지선A</t>
    <phoneticPr fontId="42" type="noConversion"/>
  </si>
  <si>
    <t>최인영A</t>
    <phoneticPr fontId="42" type="noConversion"/>
  </si>
  <si>
    <t>RA이지오2A</t>
    <phoneticPr fontId="42" type="noConversion"/>
  </si>
  <si>
    <t>RA권나은A</t>
    <phoneticPr fontId="42" type="noConversion"/>
  </si>
  <si>
    <t>RA이수민10A</t>
    <phoneticPr fontId="42" type="noConversion"/>
  </si>
  <si>
    <t>RA염이준A</t>
    <phoneticPr fontId="42" type="noConversion"/>
  </si>
  <si>
    <t>RA손단우A</t>
    <phoneticPr fontId="42" type="noConversion"/>
  </si>
  <si>
    <t>RA박진우6A</t>
    <phoneticPr fontId="42" type="noConversion"/>
  </si>
  <si>
    <t>문희연C</t>
    <phoneticPr fontId="42" type="noConversion"/>
  </si>
  <si>
    <t>RM이정담A</t>
    <phoneticPr fontId="42" type="noConversion"/>
  </si>
  <si>
    <t>RA김수호3A</t>
    <phoneticPr fontId="42" type="noConversion"/>
  </si>
  <si>
    <t>RA우사랑A</t>
    <phoneticPr fontId="42" type="noConversion"/>
  </si>
  <si>
    <t>팀장</t>
    <phoneticPr fontId="42" type="noConversion"/>
  </si>
  <si>
    <t>송정민A</t>
    <phoneticPr fontId="42" type="noConversion"/>
  </si>
  <si>
    <t xml:space="preserve"> RA김은오A</t>
    <phoneticPr fontId="42" type="noConversion"/>
  </si>
  <si>
    <t>언어재활 스케줄</t>
    <phoneticPr fontId="42" type="noConversion"/>
  </si>
  <si>
    <t>14:05~
14:35</t>
    <phoneticPr fontId="42" type="noConversion"/>
  </si>
  <si>
    <t>14:40~
15:10</t>
    <phoneticPr fontId="42" type="noConversion"/>
  </si>
  <si>
    <t>박하은C</t>
    <phoneticPr fontId="42" type="noConversion"/>
  </si>
  <si>
    <t>RL권성윤A</t>
    <phoneticPr fontId="42" type="noConversion"/>
  </si>
  <si>
    <t>RL김바다2A</t>
    <phoneticPr fontId="42" type="noConversion"/>
  </si>
  <si>
    <t>L7임상미2A</t>
    <phoneticPr fontId="42" type="noConversion"/>
  </si>
  <si>
    <t>RL김바다2A</t>
    <phoneticPr fontId="42" type="noConversion"/>
  </si>
  <si>
    <t>L7정창래2A</t>
    <phoneticPr fontId="42" type="noConversion"/>
  </si>
  <si>
    <t>L7민유준A</t>
    <phoneticPr fontId="42" type="noConversion"/>
  </si>
  <si>
    <t>RL윤하진2A</t>
    <phoneticPr fontId="42" type="noConversion"/>
  </si>
  <si>
    <t>RL정윤호3A</t>
    <phoneticPr fontId="42" type="noConversion"/>
  </si>
  <si>
    <t>RL우사랑A</t>
    <phoneticPr fontId="42" type="noConversion"/>
  </si>
  <si>
    <t>L7김다연2A</t>
    <phoneticPr fontId="42" type="noConversion"/>
  </si>
  <si>
    <t>L7정상우2A</t>
    <phoneticPr fontId="42" type="noConversion"/>
  </si>
  <si>
    <t>이수민C</t>
    <phoneticPr fontId="42" type="noConversion"/>
  </si>
  <si>
    <t>RL권나은A</t>
    <phoneticPr fontId="42" type="noConversion"/>
  </si>
  <si>
    <t>L7주현수2D</t>
    <phoneticPr fontId="42" type="noConversion"/>
  </si>
  <si>
    <t>L7김택중A</t>
    <phoneticPr fontId="42" type="noConversion"/>
  </si>
  <si>
    <t>L7정화구A</t>
    <phoneticPr fontId="42" type="noConversion"/>
  </si>
  <si>
    <t>RL장한이A</t>
    <phoneticPr fontId="42" type="noConversion"/>
  </si>
  <si>
    <t>RL손단우A</t>
    <phoneticPr fontId="42" type="noConversion"/>
  </si>
  <si>
    <t>RL박진우6A</t>
    <phoneticPr fontId="42" type="noConversion"/>
  </si>
  <si>
    <t>L(산재)박종민6A</t>
    <phoneticPr fontId="42" type="noConversion"/>
  </si>
  <si>
    <t>RL정윤호3A</t>
    <phoneticPr fontId="42" type="noConversion"/>
  </si>
  <si>
    <t>RL김수호3A</t>
    <phoneticPr fontId="42" type="noConversion"/>
  </si>
  <si>
    <t>조수현B</t>
    <phoneticPr fontId="42" type="noConversion"/>
  </si>
  <si>
    <t>RL이지오2A</t>
    <phoneticPr fontId="42" type="noConversion"/>
  </si>
  <si>
    <t>RL차미영3</t>
    <phoneticPr fontId="42" type="noConversion"/>
  </si>
  <si>
    <t>RL이수민10A</t>
    <phoneticPr fontId="42" type="noConversion"/>
  </si>
  <si>
    <t>RL유태현3</t>
    <phoneticPr fontId="42" type="noConversion"/>
  </si>
  <si>
    <t>RL이진봉</t>
    <phoneticPr fontId="42" type="noConversion"/>
  </si>
  <si>
    <t>L7김주식D</t>
    <phoneticPr fontId="42" type="noConversion"/>
  </si>
  <si>
    <t>RL이두현</t>
    <phoneticPr fontId="42" type="noConversion"/>
  </si>
  <si>
    <t>RL유정순3</t>
    <phoneticPr fontId="42" type="noConversion"/>
  </si>
  <si>
    <t>RL오윤아A</t>
    <phoneticPr fontId="42" type="noConversion"/>
  </si>
  <si>
    <t>RL이서우4A</t>
    <phoneticPr fontId="42" type="noConversion"/>
  </si>
  <si>
    <t>이은별
(연차)</t>
    <phoneticPr fontId="42" type="noConversion"/>
  </si>
  <si>
    <t>손종원</t>
    <phoneticPr fontId="42" type="noConversion"/>
  </si>
  <si>
    <t>수중재활 스케줄</t>
    <phoneticPr fontId="42" type="noConversion"/>
  </si>
  <si>
    <t>15:50~
16:20</t>
    <phoneticPr fontId="42" type="noConversion"/>
  </si>
  <si>
    <t>월수금</t>
    <phoneticPr fontId="42" type="noConversion"/>
  </si>
  <si>
    <t>RP박진우6A</t>
    <phoneticPr fontId="42" type="noConversion"/>
  </si>
  <si>
    <t>RP이정담A</t>
    <phoneticPr fontId="42" type="noConversion"/>
  </si>
  <si>
    <t>RP오윤아A</t>
    <phoneticPr fontId="42" type="noConversion"/>
  </si>
  <si>
    <t>화목</t>
    <phoneticPr fontId="42" type="noConversion"/>
  </si>
  <si>
    <r>
      <t xml:space="preserve">*회복기 언어명단
 (빨간색표시된 분들 우선적으로 넣어주세요!)
3층 : 이두현님
4층 : </t>
    </r>
    <r>
      <rPr>
        <sz val="9"/>
        <color rgb="FFFF0000"/>
        <rFont val="맑은 고딕"/>
        <family val="3"/>
        <charset val="129"/>
        <scheme val="minor"/>
      </rPr>
      <t xml:space="preserve">김석기2님 채규칠님 </t>
    </r>
    <r>
      <rPr>
        <sz val="9"/>
        <rFont val="맑은 고딕"/>
        <family val="3"/>
        <charset val="129"/>
        <scheme val="minor"/>
      </rPr>
      <t xml:space="preserve">차미영3님 </t>
    </r>
    <r>
      <rPr>
        <sz val="9"/>
        <color rgb="FFFF0000"/>
        <rFont val="맑은 고딕"/>
        <family val="3"/>
        <charset val="129"/>
        <scheme val="minor"/>
      </rPr>
      <t>이준구2님 조영란님</t>
    </r>
    <r>
      <rPr>
        <sz val="9"/>
        <color theme="1"/>
        <rFont val="맑은 고딕"/>
        <family val="2"/>
        <charset val="129"/>
        <scheme val="minor"/>
      </rPr>
      <t xml:space="preserve">
5층 : </t>
    </r>
    <r>
      <rPr>
        <sz val="9"/>
        <color rgb="FFFF0000"/>
        <rFont val="맑은 고딕"/>
        <family val="3"/>
        <charset val="129"/>
        <scheme val="minor"/>
      </rPr>
      <t xml:space="preserve">김인순3님 황헌임님 권오운님 황종길님L(자보) 서극원님
       강용수님 </t>
    </r>
    <r>
      <rPr>
        <sz val="9"/>
        <rFont val="맑은 고딕"/>
        <family val="3"/>
        <charset val="129"/>
        <scheme val="minor"/>
      </rPr>
      <t>이진봉님 유정순3님</t>
    </r>
    <r>
      <rPr>
        <sz val="9"/>
        <color theme="1"/>
        <rFont val="맑은 고딕"/>
        <family val="2"/>
        <charset val="129"/>
        <scheme val="minor"/>
      </rPr>
      <t xml:space="preserve">
6층 : </t>
    </r>
    <r>
      <rPr>
        <sz val="9"/>
        <color rgb="FFFF0000"/>
        <rFont val="맑은 고딕"/>
        <family val="3"/>
        <charset val="129"/>
        <scheme val="minor"/>
      </rPr>
      <t xml:space="preserve">구예성님 진호연님 김영순46님 박종순13님 </t>
    </r>
    <r>
      <rPr>
        <sz val="9"/>
        <rFont val="맑은 고딕"/>
        <family val="3"/>
        <charset val="129"/>
        <scheme val="minor"/>
      </rPr>
      <t>유태현3님</t>
    </r>
    <phoneticPr fontId="42" type="noConversion"/>
  </si>
  <si>
    <t>유재환님 : OPD(A) 11/14 스케줄종결
정화구님 : L7(A&gt;D) 변경 대기
서극원님 : 언어 회복기 추가 대기
강용수님 : 언어 회복기 추가 대기
이준구2님 : 언어 회복기 추가 대기
12월1일 : 김로민 OPD(B) L7스케줄추가 (8:30~9:05)</t>
    <phoneticPr fontId="42" type="noConversion"/>
  </si>
  <si>
    <t>재활센터 시간표     2023. 10. 31 (화)</t>
    <phoneticPr fontId="42" type="noConversion"/>
  </si>
  <si>
    <t>6층 재활센터 시간표     2025. 11. 17 (월)</t>
    <phoneticPr fontId="42" type="noConversion"/>
  </si>
  <si>
    <t xml:space="preserve">           시간    치료사</t>
    <phoneticPr fontId="42" type="noConversion"/>
  </si>
  <si>
    <t>7:30~
8:00</t>
    <phoneticPr fontId="42" type="noConversion"/>
  </si>
  <si>
    <t>8:30~
9:00</t>
    <phoneticPr fontId="42" type="noConversion"/>
  </si>
  <si>
    <t>10:15~
10:45</t>
    <phoneticPr fontId="42" type="noConversion"/>
  </si>
  <si>
    <t>11:25~
11:55</t>
    <phoneticPr fontId="42" type="noConversion"/>
  </si>
  <si>
    <t>12:00~
12:30</t>
    <phoneticPr fontId="42" type="noConversion"/>
  </si>
  <si>
    <t>13:30~
14:00</t>
    <phoneticPr fontId="42" type="noConversion"/>
  </si>
  <si>
    <t>남원희</t>
    <phoneticPr fontId="42" type="noConversion"/>
  </si>
  <si>
    <t>RG문두순</t>
    <phoneticPr fontId="42" type="noConversion"/>
  </si>
  <si>
    <t>N김익현</t>
    <phoneticPr fontId="42" type="noConversion"/>
  </si>
  <si>
    <t xml:space="preserve"> N임예수</t>
    <phoneticPr fontId="42" type="noConversion"/>
  </si>
  <si>
    <t>RN김영순46</t>
    <phoneticPr fontId="42" type="noConversion"/>
  </si>
  <si>
    <t>N권정희3</t>
    <phoneticPr fontId="42" type="noConversion"/>
  </si>
  <si>
    <t>RN이상호9</t>
    <phoneticPr fontId="42" type="noConversion"/>
  </si>
  <si>
    <t>N남완</t>
    <phoneticPr fontId="42" type="noConversion"/>
  </si>
  <si>
    <t>N김정숙31</t>
    <phoneticPr fontId="42" type="noConversion"/>
  </si>
  <si>
    <t>N김말분</t>
    <phoneticPr fontId="42" type="noConversion"/>
  </si>
  <si>
    <t>RG정태두</t>
    <phoneticPr fontId="42" type="noConversion"/>
  </si>
  <si>
    <t>RM강기태</t>
    <phoneticPr fontId="42" type="noConversion"/>
  </si>
  <si>
    <t>* 신환</t>
    <phoneticPr fontId="42" type="noConversion"/>
  </si>
  <si>
    <t>정보라</t>
    <phoneticPr fontId="42" type="noConversion"/>
  </si>
  <si>
    <t>RM유병우</t>
    <phoneticPr fontId="42" type="noConversion"/>
  </si>
  <si>
    <t>RM구예성</t>
    <phoneticPr fontId="42" type="noConversion"/>
  </si>
  <si>
    <t>RG윤흥군</t>
    <phoneticPr fontId="42" type="noConversion"/>
  </si>
  <si>
    <t>RG문두순</t>
    <phoneticPr fontId="42" type="noConversion"/>
  </si>
  <si>
    <t>RM박종순13</t>
    <phoneticPr fontId="42" type="noConversion"/>
  </si>
  <si>
    <t>RM진호연</t>
    <phoneticPr fontId="42" type="noConversion"/>
  </si>
  <si>
    <t>RA어성춘</t>
    <phoneticPr fontId="42" type="noConversion"/>
  </si>
  <si>
    <t>RN어성춘</t>
    <phoneticPr fontId="42" type="noConversion"/>
  </si>
  <si>
    <t>RM전미숙</t>
    <phoneticPr fontId="42" type="noConversion"/>
  </si>
  <si>
    <t>N원종식</t>
    <phoneticPr fontId="42" type="noConversion"/>
  </si>
  <si>
    <t>RM유태현3</t>
    <phoneticPr fontId="42" type="noConversion"/>
  </si>
  <si>
    <t>*NS회복기 강기태 RN2 RM4 MM4 RA4 RS2</t>
    <phoneticPr fontId="42" type="noConversion"/>
  </si>
  <si>
    <t>신하연</t>
    <phoneticPr fontId="42" type="noConversion"/>
  </si>
  <si>
    <t>RG김홍상</t>
    <phoneticPr fontId="42" type="noConversion"/>
  </si>
  <si>
    <t>M7김기영4</t>
    <phoneticPr fontId="42" type="noConversion"/>
  </si>
  <si>
    <t>RA유태현3</t>
    <phoneticPr fontId="42" type="noConversion"/>
  </si>
  <si>
    <t>RM이상호9</t>
    <phoneticPr fontId="42" type="noConversion"/>
  </si>
  <si>
    <t>RG지은숙2</t>
    <phoneticPr fontId="42" type="noConversion"/>
  </si>
  <si>
    <t xml:space="preserve">
김유진
(연차)
</t>
    <phoneticPr fontId="42" type="noConversion"/>
  </si>
  <si>
    <t>김소현2</t>
    <phoneticPr fontId="42" type="noConversion"/>
  </si>
  <si>
    <t>G쿠마라게</t>
    <phoneticPr fontId="42" type="noConversion"/>
  </si>
  <si>
    <t>RG윤흥군</t>
    <phoneticPr fontId="42" type="noConversion"/>
  </si>
  <si>
    <t>RM어성춘</t>
    <phoneticPr fontId="42" type="noConversion"/>
  </si>
  <si>
    <t>RM김영순46</t>
    <phoneticPr fontId="42" type="noConversion"/>
  </si>
  <si>
    <t>RM김동운2</t>
  </si>
  <si>
    <t>M7김원순</t>
    <phoneticPr fontId="42" type="noConversion"/>
  </si>
  <si>
    <t>RG엄기복</t>
    <phoneticPr fontId="42" type="noConversion"/>
  </si>
  <si>
    <t>RG이강민4</t>
  </si>
  <si>
    <t>RG김홍명</t>
    <phoneticPr fontId="42" type="noConversion"/>
  </si>
  <si>
    <t>유은주</t>
    <phoneticPr fontId="42" type="noConversion"/>
  </si>
  <si>
    <t>RG김홍상</t>
    <phoneticPr fontId="42" type="noConversion"/>
  </si>
  <si>
    <t>RM전영석2</t>
    <phoneticPr fontId="42" type="noConversion"/>
  </si>
  <si>
    <t>RG김홍명</t>
    <phoneticPr fontId="42" type="noConversion"/>
  </si>
  <si>
    <t>M7김기영4</t>
    <phoneticPr fontId="42" type="noConversion"/>
  </si>
  <si>
    <t>신민혁</t>
    <phoneticPr fontId="42" type="noConversion"/>
  </si>
  <si>
    <t>N연제순</t>
    <phoneticPr fontId="42" type="noConversion"/>
  </si>
  <si>
    <t>RG이태임</t>
    <phoneticPr fontId="42" type="noConversion"/>
  </si>
  <si>
    <t>N김말분</t>
    <phoneticPr fontId="42" type="noConversion"/>
  </si>
  <si>
    <t>N김혜진17</t>
    <phoneticPr fontId="42" type="noConversion"/>
  </si>
  <si>
    <t>RG김동명3</t>
    <phoneticPr fontId="42" type="noConversion"/>
  </si>
  <si>
    <r>
      <rPr>
        <sz val="11"/>
        <color rgb="FFFF0000"/>
        <rFont val="맑은 고딕"/>
        <family val="3"/>
        <charset val="129"/>
        <scheme val="minor"/>
      </rPr>
      <t>*김원순님 회복기 종료 (M7  4개)
*이태임 RG2-&gt; RA2 변경 및 시간변경</t>
    </r>
    <r>
      <rPr>
        <sz val="11"/>
        <color theme="1"/>
        <rFont val="맑은 고딕"/>
        <family val="3"/>
        <charset val="129"/>
        <scheme val="minor"/>
      </rPr>
      <t xml:space="preserve">
*지은숙님 RA 치료사 변경</t>
    </r>
    <phoneticPr fontId="42" type="noConversion"/>
  </si>
  <si>
    <t>전서구</t>
    <phoneticPr fontId="42" type="noConversion"/>
  </si>
  <si>
    <t>RM유태현3</t>
    <phoneticPr fontId="42" type="noConversion"/>
  </si>
  <si>
    <t>RG김동명3</t>
    <phoneticPr fontId="42" type="noConversion"/>
  </si>
  <si>
    <t>N서경옥2</t>
    <phoneticPr fontId="42" type="noConversion"/>
  </si>
  <si>
    <t>RN전영석2</t>
    <phoneticPr fontId="42" type="noConversion"/>
  </si>
  <si>
    <t>RN김동운2</t>
    <phoneticPr fontId="42" type="noConversion"/>
  </si>
  <si>
    <t>RG박옥하</t>
    <phoneticPr fontId="42" type="noConversion"/>
  </si>
  <si>
    <t>N한용식</t>
    <phoneticPr fontId="42" type="noConversion"/>
  </si>
  <si>
    <t>N정하균</t>
    <phoneticPr fontId="42" type="noConversion"/>
  </si>
  <si>
    <t>이예지</t>
    <phoneticPr fontId="42" type="noConversion"/>
  </si>
  <si>
    <t>RN강기태</t>
    <phoneticPr fontId="42" type="noConversion"/>
  </si>
  <si>
    <t>RG정태두</t>
    <phoneticPr fontId="42" type="noConversion"/>
  </si>
  <si>
    <t>M15이순이5</t>
    <phoneticPr fontId="42" type="noConversion"/>
  </si>
  <si>
    <t>S이순이5</t>
    <phoneticPr fontId="42" type="noConversion"/>
  </si>
  <si>
    <t>M7김원순</t>
    <phoneticPr fontId="42" type="noConversion"/>
  </si>
  <si>
    <t>RA정태두</t>
    <phoneticPr fontId="42" type="noConversion"/>
  </si>
  <si>
    <t>유지선</t>
    <phoneticPr fontId="42" type="noConversion"/>
  </si>
  <si>
    <t>D연제순</t>
    <phoneticPr fontId="42" type="noConversion"/>
  </si>
  <si>
    <t>CA김정숙31</t>
    <phoneticPr fontId="42" type="noConversion"/>
  </si>
  <si>
    <t>RD김홍상</t>
    <phoneticPr fontId="42" type="noConversion"/>
  </si>
  <si>
    <t>RA전미숙</t>
    <phoneticPr fontId="42" type="noConversion"/>
  </si>
  <si>
    <t>RD구예성</t>
    <phoneticPr fontId="42" type="noConversion"/>
  </si>
  <si>
    <t>RA유병우</t>
    <phoneticPr fontId="42" type="noConversion"/>
  </si>
  <si>
    <t>RA김영순46</t>
    <phoneticPr fontId="42" type="noConversion"/>
  </si>
  <si>
    <t>RA진호연</t>
    <phoneticPr fontId="42" type="noConversion"/>
  </si>
  <si>
    <t>김나경</t>
    <phoneticPr fontId="42" type="noConversion"/>
  </si>
  <si>
    <t>전산화인지
김정숙31</t>
    <phoneticPr fontId="42" type="noConversion"/>
  </si>
  <si>
    <t>RA김홍명</t>
    <phoneticPr fontId="42" type="noConversion"/>
  </si>
  <si>
    <t>D정하균</t>
    <phoneticPr fontId="42" type="noConversion"/>
  </si>
  <si>
    <t>RS김동운2</t>
  </si>
  <si>
    <t>RD김영순46</t>
    <phoneticPr fontId="42" type="noConversion"/>
  </si>
  <si>
    <t>RA이강민4</t>
  </si>
  <si>
    <t>RA전영석2</t>
    <phoneticPr fontId="42" type="noConversion"/>
  </si>
  <si>
    <t>RA구예성</t>
    <phoneticPr fontId="42" type="noConversion"/>
  </si>
  <si>
    <t>RA박종순13</t>
    <phoneticPr fontId="42" type="noConversion"/>
  </si>
  <si>
    <t>R연제순D</t>
    <phoneticPr fontId="42" type="noConversion"/>
  </si>
  <si>
    <t>RA문두순</t>
    <phoneticPr fontId="42" type="noConversion"/>
  </si>
  <si>
    <t>RD김홍상</t>
    <phoneticPr fontId="42" type="noConversion"/>
  </si>
  <si>
    <t>R유태현3A</t>
    <phoneticPr fontId="42" type="noConversion"/>
  </si>
  <si>
    <t>C김혜진17
C한용식</t>
    <phoneticPr fontId="42" type="noConversion"/>
  </si>
  <si>
    <t>CA원종식</t>
    <phoneticPr fontId="42" type="noConversion"/>
  </si>
  <si>
    <t>D권정희3V</t>
    <phoneticPr fontId="42" type="noConversion"/>
  </si>
  <si>
    <t>석효원</t>
    <phoneticPr fontId="42" type="noConversion"/>
  </si>
  <si>
    <t>CA남완</t>
    <phoneticPr fontId="72" type="noConversion"/>
  </si>
  <si>
    <t>RA강기태</t>
    <phoneticPr fontId="42" type="noConversion"/>
  </si>
  <si>
    <t>C남완
C김말분</t>
    <phoneticPr fontId="42" type="noConversion"/>
  </si>
  <si>
    <t>RA윤흥군</t>
    <phoneticPr fontId="42" type="noConversion"/>
  </si>
  <si>
    <t>RA이태임</t>
    <phoneticPr fontId="42" type="noConversion"/>
  </si>
  <si>
    <t>RS어성춘</t>
    <phoneticPr fontId="42" type="noConversion"/>
  </si>
  <si>
    <t>RD윤흥군</t>
    <phoneticPr fontId="42" type="noConversion"/>
  </si>
  <si>
    <t>RA김재환2</t>
    <phoneticPr fontId="42" type="noConversion"/>
  </si>
  <si>
    <t>RD엄기복</t>
    <phoneticPr fontId="42" type="noConversion"/>
  </si>
  <si>
    <t>RD유태현3</t>
    <phoneticPr fontId="42" type="noConversion"/>
  </si>
  <si>
    <t>CA김말분</t>
    <phoneticPr fontId="42" type="noConversion"/>
  </si>
  <si>
    <t>김지영</t>
    <phoneticPr fontId="42" type="noConversion"/>
  </si>
  <si>
    <t>RD진호연</t>
    <phoneticPr fontId="42" type="noConversion"/>
  </si>
  <si>
    <t>CA임예수</t>
    <phoneticPr fontId="42" type="noConversion"/>
  </si>
  <si>
    <t>RS강기태</t>
    <phoneticPr fontId="42" type="noConversion"/>
  </si>
  <si>
    <t>D김말분V</t>
    <phoneticPr fontId="42" type="noConversion"/>
  </si>
  <si>
    <t>CA서경옥2</t>
    <phoneticPr fontId="42" type="noConversion"/>
  </si>
  <si>
    <t>D남완</t>
    <phoneticPr fontId="72" type="noConversion"/>
  </si>
  <si>
    <t>단축 근무</t>
    <phoneticPr fontId="42" type="noConversion"/>
  </si>
  <si>
    <t>* 퇴원 및 HOLD</t>
    <phoneticPr fontId="40" type="noConversion"/>
  </si>
  <si>
    <t>손수민</t>
    <phoneticPr fontId="42" type="noConversion"/>
  </si>
  <si>
    <t>C서경옥</t>
    <phoneticPr fontId="42" type="noConversion"/>
  </si>
  <si>
    <t>C임예수</t>
    <phoneticPr fontId="42" type="noConversion"/>
  </si>
  <si>
    <t>RS유병우</t>
    <phoneticPr fontId="42" type="noConversion"/>
  </si>
  <si>
    <t>RD김재환2</t>
    <phoneticPr fontId="42" type="noConversion"/>
  </si>
  <si>
    <t>전산화인지
김혜진17</t>
    <phoneticPr fontId="42" type="noConversion"/>
  </si>
  <si>
    <t>RS전미숙</t>
    <phoneticPr fontId="42" type="noConversion"/>
  </si>
  <si>
    <t>CA한용식</t>
    <phoneticPr fontId="72" type="noConversion"/>
  </si>
  <si>
    <t>RS전영석2</t>
    <phoneticPr fontId="42" type="noConversion"/>
  </si>
  <si>
    <t>CA김익현</t>
    <phoneticPr fontId="42" type="noConversion"/>
  </si>
  <si>
    <t>RS이상호9</t>
    <phoneticPr fontId="42" type="noConversion"/>
  </si>
  <si>
    <t xml:space="preserve">
엄기복 오전 HOLD
김재환님 RA2 RD2 빼고 ALL HOLD
김수태님 ALL HOLD -&gt; 언어 HOLD
</t>
    <phoneticPr fontId="42" type="noConversion"/>
  </si>
  <si>
    <t>이지수</t>
    <phoneticPr fontId="42" type="noConversion"/>
  </si>
  <si>
    <t>RA이상호9</t>
    <phoneticPr fontId="42" type="noConversion"/>
  </si>
  <si>
    <t>RA이강민4</t>
    <phoneticPr fontId="42" type="noConversion"/>
  </si>
  <si>
    <t>RA김동운2</t>
    <phoneticPr fontId="42" type="noConversion"/>
  </si>
  <si>
    <t>RA지은숙2</t>
    <phoneticPr fontId="42" type="noConversion"/>
  </si>
  <si>
    <t>RA어성춘</t>
    <phoneticPr fontId="42" type="noConversion"/>
  </si>
  <si>
    <t>RS박종순13</t>
    <phoneticPr fontId="42" type="noConversion"/>
  </si>
  <si>
    <t>RA김동운2</t>
  </si>
  <si>
    <t>CA정하균</t>
    <phoneticPr fontId="42" type="noConversion"/>
  </si>
  <si>
    <t>계장</t>
    <phoneticPr fontId="42" type="noConversion"/>
  </si>
  <si>
    <t>강용식</t>
    <phoneticPr fontId="42" type="noConversion"/>
  </si>
  <si>
    <t>RN전미숙</t>
    <phoneticPr fontId="42" type="noConversion"/>
  </si>
  <si>
    <t>RN박종순13</t>
    <phoneticPr fontId="42" type="noConversion"/>
  </si>
  <si>
    <t>MM김홍명S</t>
    <phoneticPr fontId="42" type="noConversion"/>
  </si>
  <si>
    <t>RN유병우</t>
    <phoneticPr fontId="42" type="noConversion"/>
  </si>
  <si>
    <t>박다은
(연차)</t>
    <phoneticPr fontId="42" type="noConversion"/>
  </si>
  <si>
    <t>* 당일시간변경</t>
    <phoneticPr fontId="42" type="noConversion"/>
  </si>
  <si>
    <t>김연희</t>
    <phoneticPr fontId="42" type="noConversion"/>
  </si>
  <si>
    <t>M원종식(발로)</t>
    <phoneticPr fontId="42" type="noConversion"/>
  </si>
  <si>
    <t>M서경옥2C
 M김익현C
C박영순16CPM</t>
    <phoneticPr fontId="42" type="noConversion"/>
  </si>
  <si>
    <t>M김혜진17C</t>
    <phoneticPr fontId="42" type="noConversion"/>
  </si>
  <si>
    <t>M김정숙31(발로)
M김말분Tt
M정하균C
C이순이5CPM</t>
    <phoneticPr fontId="42" type="noConversion"/>
  </si>
  <si>
    <t xml:space="preserve">
M권정희3C
M임예수(발로)
M한용식T
</t>
    <phoneticPr fontId="42" type="noConversion"/>
  </si>
  <si>
    <t>M연제순S
G김기영4C</t>
    <phoneticPr fontId="42" type="noConversion"/>
  </si>
  <si>
    <t xml:space="preserve">M남완(발로)
</t>
    <phoneticPr fontId="42" type="noConversion"/>
  </si>
  <si>
    <t xml:space="preserve">G쿠마라게T
</t>
    <phoneticPr fontId="42" type="noConversion"/>
  </si>
  <si>
    <t xml:space="preserve">
M원종식C
M서경옥2S
S박영순16CPM</t>
    <phoneticPr fontId="42" type="noConversion"/>
  </si>
  <si>
    <t>M김정숙31C
M한용식C
M김익현T</t>
    <phoneticPr fontId="42" type="noConversion"/>
  </si>
  <si>
    <t>M정하균T
M김혜진17C
M김말분Tt
M임예수C</t>
    <phoneticPr fontId="42" type="noConversion"/>
  </si>
  <si>
    <t>M권정희3S
M남완C
M연제순M</t>
    <phoneticPr fontId="42" type="noConversion"/>
  </si>
  <si>
    <t>MM지은숙2Tt
MM윤흥군T
MM박옥하CPM</t>
    <phoneticPr fontId="42" type="noConversion"/>
  </si>
  <si>
    <t>MM김홍상C
MM어성춘(발로)
MM김동운2Tt
MM진호연S</t>
  </si>
  <si>
    <r>
      <t xml:space="preserve">MM문두순CPM
MM유태현3(발로)
</t>
    </r>
    <r>
      <rPr>
        <u/>
        <sz val="10"/>
        <rFont val="돋움"/>
        <family val="3"/>
        <charset val="129"/>
      </rPr>
      <t>MM김영순46S</t>
    </r>
    <r>
      <rPr>
        <sz val="10"/>
        <rFont val="돋움"/>
        <family val="3"/>
        <charset val="129"/>
      </rPr>
      <t xml:space="preserve">
MM이강민4C</t>
    </r>
    <phoneticPr fontId="42" type="noConversion"/>
  </si>
  <si>
    <t xml:space="preserve">
MM김재환2C
MM김홍명C
MM이상호9T
</t>
    <phoneticPr fontId="42" type="noConversion"/>
  </si>
  <si>
    <t xml:space="preserve">MM박종순13C
MM구예성Tt
MM정태두C
</t>
    <phoneticPr fontId="42" type="noConversion"/>
  </si>
  <si>
    <r>
      <rPr>
        <u/>
        <sz val="10"/>
        <color theme="1"/>
        <rFont val="돋움"/>
        <family val="3"/>
        <charset val="129"/>
      </rPr>
      <t xml:space="preserve">
MM김동명3(발로)</t>
    </r>
    <r>
      <rPr>
        <sz val="10"/>
        <color theme="1"/>
        <rFont val="돋움"/>
        <family val="3"/>
        <charset val="129"/>
      </rPr>
      <t xml:space="preserve">
MM전미숙C
MM전영석2Tt
MM강기태C
MM김영순46M
</t>
    </r>
    <phoneticPr fontId="42" type="noConversion"/>
  </si>
  <si>
    <r>
      <t xml:space="preserve">MM유병우T
MM김동운2C
</t>
    </r>
    <r>
      <rPr>
        <u/>
        <sz val="10"/>
        <color theme="1"/>
        <rFont val="돋움"/>
        <family val="3"/>
        <charset val="129"/>
      </rPr>
      <t>MM유태현3C</t>
    </r>
    <r>
      <rPr>
        <sz val="10"/>
        <color theme="1"/>
        <rFont val="돋움"/>
        <family val="3"/>
        <charset val="129"/>
      </rPr>
      <t xml:space="preserve">
MM이강민4C
MM강기태S
</t>
    </r>
    <phoneticPr fontId="42" type="noConversion"/>
  </si>
  <si>
    <t>MM엄기복Tt
MM김홍상T
MM지은숙2M
MM윤흥군(발로)
MM전영석2C</t>
    <phoneticPr fontId="42" type="noConversion"/>
  </si>
  <si>
    <r>
      <rPr>
        <sz val="10"/>
        <color rgb="FFFF0000"/>
        <rFont val="돋움"/>
        <family val="3"/>
        <charset val="129"/>
      </rPr>
      <t xml:space="preserve">
MM김홍명S</t>
    </r>
    <r>
      <rPr>
        <sz val="10"/>
        <color theme="1"/>
        <rFont val="돋움"/>
        <family val="3"/>
        <charset val="129"/>
      </rPr>
      <t xml:space="preserve">
MM정태두(발로)
MM구예성Tt</t>
    </r>
    <phoneticPr fontId="42" type="noConversion"/>
  </si>
  <si>
    <r>
      <t xml:space="preserve">MM유병우(발로)
</t>
    </r>
    <r>
      <rPr>
        <u/>
        <sz val="10"/>
        <color theme="1"/>
        <rFont val="돋움"/>
        <family val="3"/>
        <charset val="129"/>
      </rPr>
      <t>MM문두순CPM</t>
    </r>
    <r>
      <rPr>
        <sz val="10"/>
        <color theme="1"/>
        <rFont val="돋움"/>
        <family val="3"/>
        <charset val="129"/>
      </rPr>
      <t xml:space="preserve">
MM박종순13S
MM전미숙C
</t>
    </r>
    <phoneticPr fontId="42" type="noConversion"/>
  </si>
  <si>
    <t xml:space="preserve">
MM이상호9C
MM김동명3T
MM어성춘(발로)
MM박옥하CPM(B)</t>
    <phoneticPr fontId="42" type="noConversion"/>
  </si>
  <si>
    <t>정윤희</t>
    <phoneticPr fontId="42" type="noConversion"/>
  </si>
  <si>
    <t>F서경옥2
F연제순
F김정숙31</t>
    <phoneticPr fontId="42" type="noConversion"/>
  </si>
  <si>
    <t>F김익현
F한용식</t>
    <phoneticPr fontId="42" type="noConversion"/>
  </si>
  <si>
    <t>F김말분
F김혜진17</t>
    <phoneticPr fontId="42" type="noConversion"/>
  </si>
  <si>
    <t>F원종식
F김혜진17</t>
    <phoneticPr fontId="42" type="noConversion"/>
  </si>
  <si>
    <t>F남완
F정하균
F임예수</t>
    <phoneticPr fontId="42" type="noConversion"/>
  </si>
  <si>
    <t>단축근무</t>
    <phoneticPr fontId="42" type="noConversion"/>
  </si>
  <si>
    <t>8:00~
8:30</t>
    <phoneticPr fontId="42" type="noConversion"/>
  </si>
  <si>
    <t>9:40~
10:10</t>
    <phoneticPr fontId="42" type="noConversion"/>
  </si>
  <si>
    <t>10:15~
10:45</t>
    <phoneticPr fontId="42" type="noConversion"/>
  </si>
  <si>
    <t>11:25~
11:55</t>
    <phoneticPr fontId="42" type="noConversion"/>
  </si>
  <si>
    <t xml:space="preserve">1. 6층 정하균님 12:00, 17:00 추가치료 안받으심
</t>
    <phoneticPr fontId="40" type="noConversion"/>
  </si>
  <si>
    <t>강민영</t>
    <phoneticPr fontId="42" type="noConversion"/>
  </si>
  <si>
    <t>RP김동명3</t>
    <phoneticPr fontId="42" type="noConversion"/>
  </si>
  <si>
    <t>P이경갑D</t>
    <phoneticPr fontId="42" type="noConversion"/>
  </si>
  <si>
    <t>RP주현수2</t>
    <phoneticPr fontId="42" type="noConversion"/>
  </si>
  <si>
    <t>P남완D</t>
    <phoneticPr fontId="42" type="noConversion"/>
  </si>
  <si>
    <t>RP진호연D</t>
    <phoneticPr fontId="42" type="noConversion"/>
  </si>
  <si>
    <t>P김익현A</t>
    <phoneticPr fontId="42" type="noConversion"/>
  </si>
  <si>
    <t>M7김원순</t>
    <phoneticPr fontId="42" type="noConversion"/>
  </si>
  <si>
    <t>RN진호연</t>
    <phoneticPr fontId="42" type="noConversion"/>
  </si>
  <si>
    <t>윤도근</t>
    <phoneticPr fontId="42" type="noConversion"/>
  </si>
  <si>
    <t xml:space="preserve">N한용식 </t>
    <phoneticPr fontId="42" type="noConversion"/>
  </si>
  <si>
    <t>RM어성춘</t>
    <phoneticPr fontId="42" type="noConversion"/>
  </si>
  <si>
    <t>RM유병우</t>
    <phoneticPr fontId="42" type="noConversion"/>
  </si>
  <si>
    <t>RP박진우6A</t>
    <phoneticPr fontId="42" type="noConversion"/>
  </si>
  <si>
    <t xml:space="preserve">
</t>
    <phoneticPr fontId="42" type="noConversion"/>
  </si>
  <si>
    <t>P우학송D</t>
    <phoneticPr fontId="42" type="noConversion"/>
  </si>
  <si>
    <t>P김서율5A</t>
    <phoneticPr fontId="42" type="noConversion"/>
  </si>
  <si>
    <t>RP이정담A</t>
    <phoneticPr fontId="42" type="noConversion"/>
  </si>
  <si>
    <t>RP오윤아A</t>
    <phoneticPr fontId="42" type="noConversion"/>
  </si>
  <si>
    <t>P권솔A</t>
    <phoneticPr fontId="42" type="noConversion"/>
  </si>
  <si>
    <t>추가</t>
    <phoneticPr fontId="42" type="noConversion"/>
  </si>
  <si>
    <t>N</t>
    <phoneticPr fontId="42" type="noConversion"/>
  </si>
  <si>
    <t>N임예수</t>
    <phoneticPr fontId="42" type="noConversion"/>
  </si>
  <si>
    <t>N원종식</t>
    <phoneticPr fontId="42" type="noConversion"/>
  </si>
  <si>
    <t>N김정숙31</t>
    <phoneticPr fontId="42" type="noConversion"/>
  </si>
  <si>
    <t>N권정희3</t>
    <phoneticPr fontId="42" type="noConversion"/>
  </si>
  <si>
    <t>N서경옥2</t>
    <phoneticPr fontId="42" type="noConversion"/>
  </si>
  <si>
    <t>CA</t>
    <phoneticPr fontId="42" type="noConversion"/>
  </si>
  <si>
    <t>CA연제순
CA권정희3</t>
    <phoneticPr fontId="42" type="noConversion"/>
  </si>
  <si>
    <t>D김말분</t>
    <phoneticPr fontId="42" type="noConversion"/>
  </si>
  <si>
    <t>D정하균</t>
    <phoneticPr fontId="42" type="noConversion"/>
  </si>
  <si>
    <t>D권정희3</t>
    <phoneticPr fontId="42" type="noConversion"/>
  </si>
  <si>
    <t>D연제순</t>
    <phoneticPr fontId="42" type="noConversion"/>
  </si>
  <si>
    <t>D남완</t>
    <phoneticPr fontId="42" type="noConversion"/>
  </si>
  <si>
    <t>C</t>
    <phoneticPr fontId="42" type="noConversion"/>
  </si>
  <si>
    <t>C임예수</t>
    <phoneticPr fontId="42" type="noConversion"/>
  </si>
  <si>
    <t>C정하균
C권정희3</t>
    <phoneticPr fontId="42" type="noConversion"/>
  </si>
  <si>
    <t>C김익현</t>
    <phoneticPr fontId="42" type="noConversion"/>
  </si>
  <si>
    <t>C연제순</t>
    <phoneticPr fontId="42" type="noConversion"/>
  </si>
  <si>
    <t>C김정숙31</t>
    <phoneticPr fontId="42" type="noConversion"/>
  </si>
  <si>
    <t>C원종식</t>
    <phoneticPr fontId="42" type="noConversion"/>
  </si>
  <si>
    <t>수중치료 대기</t>
    <phoneticPr fontId="42" type="noConversion"/>
  </si>
  <si>
    <t xml:space="preserve">회복기 MM : 진호연, 구예성, 김재환2, 유병우,김영순46, 이순옥11, 박영철5, 박종순13, 유태현3, 전미숙, 김동운2, 강기태  RG김원순, RG김홍명, RG김홍상,  RG지운숙2, RG이태임, RG김동명3, 
                  RG엄기복 RG문두순, RG이강민4, 
NDT :정하균, 권정희3, 정진월, 원종식, 
CA : 권정희, 연제순, 임예수
D : 임예수, 정하균, 정진월2, 연제순, 권정희3, 남완, 임예수
C : 정하균, 권정희3, 정진월, 원종식, 연제순
</t>
    <phoneticPr fontId="42" type="noConversion"/>
  </si>
  <si>
    <r>
      <rPr>
        <sz val="11"/>
        <color rgb="FF00B050"/>
        <rFont val="맑은 고딕"/>
        <family val="3"/>
        <charset val="129"/>
        <scheme val="minor"/>
      </rPr>
      <t xml:space="preserve">
- 입원 성인</t>
    </r>
    <r>
      <rPr>
        <sz val="11"/>
        <color theme="1"/>
        <rFont val="맑은 고딕"/>
        <family val="3"/>
        <charset val="129"/>
        <scheme val="minor"/>
      </rPr>
      <t xml:space="preserve">
1. 회복기 주현수2님 수중대기
3. 회복기 정아라2님 수중대기-&gt; 현재 기능 standing 되지 않으셔서 보류
</t>
    </r>
    <r>
      <rPr>
        <sz val="11"/>
        <color rgb="FF0070C0"/>
        <rFont val="맑은 고딕"/>
        <family val="3"/>
        <charset val="129"/>
        <scheme val="minor"/>
      </rPr>
      <t xml:space="preserve">
- 소아
</t>
    </r>
    <r>
      <rPr>
        <sz val="11"/>
        <color theme="1"/>
        <rFont val="맑은 고딕"/>
        <family val="3"/>
        <charset val="129"/>
        <scheme val="minor"/>
      </rPr>
      <t xml:space="preserve">1. 신유진7님 화목 오후 낮병동 대기
1. 월수금 오후 낮병동 김수호3님 수치료 대기
2. 외래 이건식2님 월수금 14:40 또는 17:00 시간 대기
3. 외래 이승우7님 수중 15:15 15:50 16:25 17:00 
대기(월수금)
4.외래 김서율님 14시40분이후 월수금 대기
5.외래 유태광님 B 16시 이후 010-2645-0697
-&gt; 애기 상태가 좋지 않아 보류
</t>
    </r>
    <phoneticPr fontId="42" type="noConversion"/>
  </si>
  <si>
    <t>8:30~
9:00</t>
    <phoneticPr fontId="42" type="noConversion"/>
  </si>
  <si>
    <t>10:15~
10:45</t>
    <phoneticPr fontId="42" type="noConversion"/>
  </si>
  <si>
    <t>10:50~
11:20</t>
    <phoneticPr fontId="42" type="noConversion"/>
  </si>
  <si>
    <t>13:30~
14:00</t>
    <phoneticPr fontId="42" type="noConversion"/>
  </si>
  <si>
    <t>16:25~
16:55</t>
    <phoneticPr fontId="42" type="noConversion"/>
  </si>
  <si>
    <t>통증</t>
    <phoneticPr fontId="42" type="noConversion"/>
  </si>
  <si>
    <t>김수태</t>
    <phoneticPr fontId="40" type="noConversion"/>
  </si>
  <si>
    <t>박영순16</t>
    <phoneticPr fontId="42" type="noConversion"/>
  </si>
  <si>
    <t>노수학
전영석2
김기영4</t>
    <phoneticPr fontId="42" type="noConversion"/>
  </si>
  <si>
    <t>쿠마라게
박인복
이순이5</t>
    <phoneticPr fontId="42" type="noConversion"/>
  </si>
  <si>
    <t>노수학
김기영4
임예수</t>
    <phoneticPr fontId="42" type="noConversion"/>
  </si>
  <si>
    <t>쿠마라게
박인복
임예수
이순이5</t>
    <phoneticPr fontId="42" type="noConversion"/>
  </si>
  <si>
    <t xml:space="preserve">
</t>
    <phoneticPr fontId="42" type="noConversion"/>
  </si>
  <si>
    <t>로봇 /
 RG2-R</t>
    <phoneticPr fontId="42" type="noConversion"/>
  </si>
  <si>
    <t>원종식D
박종순13</t>
    <phoneticPr fontId="42" type="noConversion"/>
  </si>
  <si>
    <t>이순옥11</t>
    <phoneticPr fontId="42" type="noConversion"/>
  </si>
  <si>
    <t>이순이5</t>
    <phoneticPr fontId="42" type="noConversion"/>
  </si>
  <si>
    <t>이순이5</t>
    <phoneticPr fontId="42" type="noConversion"/>
  </si>
  <si>
    <t>지은숙2
임예수A</t>
    <phoneticPr fontId="42" type="noConversion"/>
  </si>
  <si>
    <t xml:space="preserve">구예성
</t>
    <phoneticPr fontId="42" type="noConversion"/>
  </si>
  <si>
    <t>연제순A</t>
    <phoneticPr fontId="42" type="noConversion"/>
  </si>
  <si>
    <t xml:space="preserve">
</t>
    <phoneticPr fontId="42" type="noConversion"/>
  </si>
  <si>
    <t>언어</t>
    <phoneticPr fontId="42" type="noConversion"/>
  </si>
  <si>
    <t>유태현3</t>
    <phoneticPr fontId="42" type="noConversion"/>
  </si>
  <si>
    <t>김수태</t>
    <phoneticPr fontId="42" type="noConversion"/>
  </si>
  <si>
    <t>2층 도수</t>
    <phoneticPr fontId="42" type="noConversion"/>
  </si>
  <si>
    <t>박영순16</t>
    <phoneticPr fontId="42" type="noConversion"/>
  </si>
  <si>
    <t>박인복</t>
    <phoneticPr fontId="42" type="noConversion"/>
  </si>
  <si>
    <t>박영순16</t>
    <phoneticPr fontId="42" type="noConversion"/>
  </si>
  <si>
    <t xml:space="preserve">박인복
</t>
    <phoneticPr fontId="42" type="noConversion"/>
  </si>
  <si>
    <t>전산화인지</t>
    <phoneticPr fontId="42" type="noConversion"/>
  </si>
  <si>
    <t>RN진호연</t>
    <phoneticPr fontId="42" type="noConversion"/>
  </si>
  <si>
    <t>RM전영석2</t>
    <phoneticPr fontId="42" type="noConversion"/>
  </si>
  <si>
    <t xml:space="preserve">          2층 근골격/특수재활센터 시간표  2025. 11. 17 (월)</t>
    <phoneticPr fontId="42" type="noConversion"/>
  </si>
  <si>
    <t>연제건A</t>
    <phoneticPr fontId="42" type="noConversion"/>
  </si>
  <si>
    <t>통증</t>
    <phoneticPr fontId="42" type="noConversion"/>
  </si>
  <si>
    <t>김선엽D
산재재활-하지</t>
    <phoneticPr fontId="42" type="noConversion"/>
  </si>
  <si>
    <t>M25김한기2</t>
    <phoneticPr fontId="42" type="noConversion"/>
  </si>
  <si>
    <t>M7민경환2</t>
    <phoneticPr fontId="42" type="noConversion"/>
  </si>
  <si>
    <t>M25김용길3A</t>
    <phoneticPr fontId="42" type="noConversion"/>
  </si>
  <si>
    <t>M7이문찬2</t>
    <phoneticPr fontId="42" type="noConversion"/>
  </si>
  <si>
    <t>M7김상민4</t>
    <phoneticPr fontId="42" type="noConversion"/>
  </si>
  <si>
    <t>반진용D</t>
    <phoneticPr fontId="42" type="noConversion"/>
  </si>
  <si>
    <t>반원모A</t>
    <phoneticPr fontId="42" type="noConversion"/>
  </si>
  <si>
    <t>전지호B</t>
    <phoneticPr fontId="42" type="noConversion"/>
  </si>
  <si>
    <t>N이남희3A</t>
    <phoneticPr fontId="42" type="noConversion"/>
  </si>
  <si>
    <t>E1오영환3
E1조남옥2
E1한정완</t>
    <phoneticPr fontId="42" type="noConversion"/>
  </si>
  <si>
    <t>E1권순예
E1박명숙10</t>
    <phoneticPr fontId="42" type="noConversion"/>
  </si>
  <si>
    <t>E2김복묵
E1강점귀
E1강기태</t>
    <phoneticPr fontId="42" type="noConversion"/>
  </si>
  <si>
    <t>E2구예성
E1김은미11</t>
    <phoneticPr fontId="42" type="noConversion"/>
  </si>
  <si>
    <t>E1맹형열
E1고해봉</t>
    <phoneticPr fontId="42" type="noConversion"/>
  </si>
  <si>
    <t>M7권오경4A</t>
    <phoneticPr fontId="42" type="noConversion"/>
  </si>
  <si>
    <t>M15어성환</t>
    <phoneticPr fontId="42" type="noConversion"/>
  </si>
  <si>
    <t>M15어성환</t>
    <phoneticPr fontId="42" type="noConversion"/>
  </si>
  <si>
    <t>M15정선숙2D</t>
    <phoneticPr fontId="42" type="noConversion"/>
  </si>
  <si>
    <t>박송이2B</t>
    <phoneticPr fontId="42" type="noConversion"/>
  </si>
  <si>
    <t>N한은주A</t>
    <phoneticPr fontId="42" type="noConversion"/>
  </si>
  <si>
    <t>N임상미2A</t>
    <phoneticPr fontId="42" type="noConversion"/>
  </si>
  <si>
    <t>N이경갑A</t>
    <phoneticPr fontId="42" type="noConversion"/>
  </si>
  <si>
    <t>N이덕로A</t>
    <phoneticPr fontId="42" type="noConversion"/>
  </si>
  <si>
    <t>N배석현A</t>
    <phoneticPr fontId="42" type="noConversion"/>
  </si>
  <si>
    <t>N나채용A</t>
    <phoneticPr fontId="42" type="noConversion"/>
  </si>
  <si>
    <t>N이태선A</t>
    <phoneticPr fontId="42" type="noConversion"/>
  </si>
  <si>
    <t>N반지환A</t>
    <phoneticPr fontId="42" type="noConversion"/>
  </si>
  <si>
    <t>N박종민6A</t>
    <phoneticPr fontId="42" type="noConversion"/>
  </si>
  <si>
    <t>N함도경A</t>
    <phoneticPr fontId="42" type="noConversion"/>
  </si>
  <si>
    <t>N유승희3A</t>
    <phoneticPr fontId="42" type="noConversion"/>
  </si>
  <si>
    <t>김수윤A</t>
    <phoneticPr fontId="42" type="noConversion"/>
  </si>
  <si>
    <t>N연운희A</t>
    <phoneticPr fontId="42" type="noConversion"/>
  </si>
  <si>
    <t>N이미선7A</t>
    <phoneticPr fontId="42" type="noConversion"/>
  </si>
  <si>
    <t>N고선무A</t>
    <phoneticPr fontId="42" type="noConversion"/>
  </si>
  <si>
    <t>N백영진A</t>
    <phoneticPr fontId="42" type="noConversion"/>
  </si>
  <si>
    <t>N김은영22A</t>
    <phoneticPr fontId="42" type="noConversion"/>
  </si>
  <si>
    <t>N김정원7A</t>
    <phoneticPr fontId="42" type="noConversion"/>
  </si>
  <si>
    <t>N조광복A</t>
    <phoneticPr fontId="42" type="noConversion"/>
  </si>
  <si>
    <t>N최중범A</t>
    <phoneticPr fontId="42" type="noConversion"/>
  </si>
  <si>
    <t>N최승섭A</t>
    <phoneticPr fontId="42" type="noConversion"/>
  </si>
  <si>
    <t>N민유준A</t>
    <phoneticPr fontId="42" type="noConversion"/>
  </si>
  <si>
    <t>N방상윤A</t>
    <phoneticPr fontId="42" type="noConversion"/>
  </si>
  <si>
    <t>N이건식2A</t>
    <phoneticPr fontId="42" type="noConversion"/>
  </si>
  <si>
    <t>강예지</t>
    <phoneticPr fontId="42" type="noConversion"/>
  </si>
  <si>
    <t>N강철용A</t>
    <phoneticPr fontId="42" type="noConversion"/>
  </si>
  <si>
    <t>N원동현A</t>
    <phoneticPr fontId="42" type="noConversion"/>
  </si>
  <si>
    <t>N정호진2A</t>
    <phoneticPr fontId="42" type="noConversion"/>
  </si>
  <si>
    <r>
      <t>N서동출A</t>
    </r>
    <r>
      <rPr>
        <sz val="10"/>
        <rFont val="돋움"/>
        <family val="3"/>
        <charset val="129"/>
      </rPr>
      <t/>
    </r>
    <phoneticPr fontId="42" type="noConversion"/>
  </si>
  <si>
    <t>M15이순이5</t>
    <phoneticPr fontId="42" type="noConversion"/>
  </si>
  <si>
    <t>N이광영3A</t>
    <phoneticPr fontId="42" type="noConversion"/>
  </si>
  <si>
    <t>N반원모A</t>
    <phoneticPr fontId="42" type="noConversion"/>
  </si>
  <si>
    <t>M7박영순16</t>
    <phoneticPr fontId="42" type="noConversion"/>
  </si>
  <si>
    <t>N한동수2A</t>
    <phoneticPr fontId="42" type="noConversion"/>
  </si>
  <si>
    <t>N김다연2A</t>
    <phoneticPr fontId="42" type="noConversion"/>
  </si>
  <si>
    <t>N조남인2A</t>
    <phoneticPr fontId="42" type="noConversion"/>
  </si>
  <si>
    <t>황은비B</t>
    <phoneticPr fontId="42" type="noConversion"/>
  </si>
  <si>
    <t>CA연운희A</t>
    <phoneticPr fontId="42" type="noConversion"/>
  </si>
  <si>
    <t>S백영진A</t>
    <phoneticPr fontId="42" type="noConversion"/>
  </si>
  <si>
    <t>S한은주A</t>
    <phoneticPr fontId="42" type="noConversion"/>
  </si>
  <si>
    <t>H이경갑A</t>
    <phoneticPr fontId="42" type="noConversion"/>
  </si>
  <si>
    <t>CA김은영22A</t>
    <phoneticPr fontId="42" type="noConversion"/>
  </si>
  <si>
    <t>CA이덕로A</t>
    <phoneticPr fontId="42" type="noConversion"/>
  </si>
  <si>
    <t>S이홍섭A</t>
    <phoneticPr fontId="42" type="noConversion"/>
  </si>
  <si>
    <t>D박종민6AV</t>
    <phoneticPr fontId="42" type="noConversion"/>
  </si>
  <si>
    <t>S반원모A</t>
    <phoneticPr fontId="42" type="noConversion"/>
  </si>
  <si>
    <t>S이건식2A</t>
    <phoneticPr fontId="42" type="noConversion"/>
  </si>
  <si>
    <t>CA조남인2A</t>
    <phoneticPr fontId="42" type="noConversion"/>
  </si>
  <si>
    <t>D곽예성A</t>
    <phoneticPr fontId="42" type="noConversion"/>
  </si>
  <si>
    <t>임수연A</t>
    <phoneticPr fontId="42" type="noConversion"/>
  </si>
  <si>
    <t>Y원동현A</t>
    <phoneticPr fontId="42" type="noConversion"/>
  </si>
  <si>
    <t>S김미자10A</t>
    <phoneticPr fontId="42" type="noConversion"/>
  </si>
  <si>
    <t>CA정금숙2</t>
    <phoneticPr fontId="42" type="noConversion"/>
  </si>
  <si>
    <t>S김미순3A</t>
    <phoneticPr fontId="42" type="noConversion"/>
  </si>
  <si>
    <t>S나채용A</t>
    <phoneticPr fontId="42" type="noConversion"/>
  </si>
  <si>
    <t>CA최진형A</t>
    <phoneticPr fontId="42" type="noConversion"/>
  </si>
  <si>
    <t>S최승섭A</t>
    <phoneticPr fontId="42" type="noConversion"/>
  </si>
  <si>
    <t>CA이광영3A</t>
    <phoneticPr fontId="42" type="noConversion"/>
  </si>
  <si>
    <t>CA한동수2A</t>
    <phoneticPr fontId="42" type="noConversion"/>
  </si>
  <si>
    <t>CA박종민6A</t>
    <phoneticPr fontId="42" type="noConversion"/>
  </si>
  <si>
    <t>CA곽예성A</t>
    <phoneticPr fontId="42" type="noConversion"/>
  </si>
  <si>
    <t>박종규
(공가)</t>
    <phoneticPr fontId="42" type="noConversion"/>
  </si>
  <si>
    <t>오연수</t>
    <phoneticPr fontId="42" type="noConversion"/>
  </si>
  <si>
    <t>S강철용A</t>
    <phoneticPr fontId="42" type="noConversion"/>
  </si>
  <si>
    <t>D염병숙A</t>
    <phoneticPr fontId="42" type="noConversion"/>
  </si>
  <si>
    <t>S이미선7A</t>
    <phoneticPr fontId="42" type="noConversion"/>
  </si>
  <si>
    <t>S염병숙A</t>
    <phoneticPr fontId="42" type="noConversion"/>
  </si>
  <si>
    <t>CA김정원7A</t>
    <phoneticPr fontId="42" type="noConversion"/>
  </si>
  <si>
    <t>S이경갑A</t>
    <phoneticPr fontId="42" type="noConversion"/>
  </si>
  <si>
    <t>S서동출A</t>
    <phoneticPr fontId="42" type="noConversion"/>
  </si>
  <si>
    <t>S반지환A</t>
    <phoneticPr fontId="42" type="noConversion"/>
  </si>
  <si>
    <t>CA홍숙희A</t>
    <phoneticPr fontId="42" type="noConversion"/>
  </si>
  <si>
    <t>S유승희3A</t>
    <phoneticPr fontId="42" type="noConversion"/>
  </si>
  <si>
    <t>S나기태A</t>
    <phoneticPr fontId="42" type="noConversion"/>
  </si>
  <si>
    <t>CA방상윤A</t>
    <phoneticPr fontId="42" type="noConversion"/>
  </si>
  <si>
    <t>조인호B</t>
    <phoneticPr fontId="42" type="noConversion"/>
  </si>
  <si>
    <t>입원&amp;외래통증</t>
    <phoneticPr fontId="42" type="noConversion"/>
  </si>
  <si>
    <t>류연우
(공가)</t>
    <phoneticPr fontId="42" type="noConversion"/>
  </si>
  <si>
    <t>N정금숙2</t>
    <phoneticPr fontId="42" type="noConversion"/>
  </si>
  <si>
    <t>박송이</t>
    <phoneticPr fontId="42" type="noConversion"/>
  </si>
  <si>
    <t>단축근무</t>
    <phoneticPr fontId="42" type="noConversion"/>
  </si>
  <si>
    <t>*김수태</t>
    <phoneticPr fontId="42" type="noConversion"/>
  </si>
  <si>
    <t>*전혜옥
*김상훈9</t>
    <phoneticPr fontId="42" type="noConversion"/>
  </si>
  <si>
    <r>
      <rPr>
        <b/>
        <sz val="10"/>
        <color theme="1"/>
        <rFont val="돋움"/>
        <family val="3"/>
        <charset val="129"/>
      </rPr>
      <t>*우병주
*윤현숙3</t>
    </r>
    <r>
      <rPr>
        <sz val="10"/>
        <color theme="1"/>
        <rFont val="돋움"/>
        <family val="3"/>
        <charset val="129"/>
      </rPr>
      <t xml:space="preserve">
*김성욱
*조희자</t>
    </r>
    <phoneticPr fontId="42" type="noConversion"/>
  </si>
  <si>
    <t>*박상훈3
*최종성2
*박영순16</t>
    <phoneticPr fontId="42" type="noConversion"/>
  </si>
  <si>
    <r>
      <rPr>
        <b/>
        <sz val="10"/>
        <rFont val="돋움"/>
        <family val="3"/>
        <charset val="129"/>
      </rPr>
      <t>*전영석2</t>
    </r>
    <r>
      <rPr>
        <sz val="10"/>
        <rFont val="돋움"/>
        <family val="3"/>
        <charset val="129"/>
      </rPr>
      <t xml:space="preserve">
*노수학
*김기영4
*이순이5A</t>
    </r>
    <phoneticPr fontId="42" type="noConversion"/>
  </si>
  <si>
    <r>
      <rPr>
        <b/>
        <sz val="10"/>
        <rFont val="돋움"/>
        <family val="3"/>
        <charset val="129"/>
      </rPr>
      <t>*김갑태2</t>
    </r>
    <r>
      <rPr>
        <sz val="10"/>
        <rFont val="돋움"/>
        <family val="3"/>
        <charset val="129"/>
      </rPr>
      <t xml:space="preserve">
*반진용
*정선숙2
*이문찬2</t>
    </r>
    <phoneticPr fontId="42" type="noConversion"/>
  </si>
  <si>
    <t>*쿠마라게
*이순이5B</t>
    <phoneticPr fontId="42" type="noConversion"/>
  </si>
  <si>
    <r>
      <rPr>
        <b/>
        <sz val="10"/>
        <color theme="1"/>
        <rFont val="돋움"/>
        <family val="3"/>
        <charset val="129"/>
      </rPr>
      <t>*채규칠</t>
    </r>
    <r>
      <rPr>
        <sz val="10"/>
        <color theme="1"/>
        <rFont val="돋움"/>
        <family val="3"/>
        <charset val="129"/>
      </rPr>
      <t xml:space="preserve">
*최종성2
*박명숙10</t>
    </r>
    <phoneticPr fontId="42" type="noConversion"/>
  </si>
  <si>
    <r>
      <rPr>
        <b/>
        <sz val="10"/>
        <color theme="1"/>
        <rFont val="돋움"/>
        <family val="3"/>
        <charset val="129"/>
      </rPr>
      <t>*황춘자</t>
    </r>
    <r>
      <rPr>
        <sz val="10"/>
        <color theme="1"/>
        <rFont val="돋움"/>
        <family val="3"/>
        <charset val="129"/>
      </rPr>
      <t xml:space="preserve">
*노수학
*임예수
*김기영4</t>
    </r>
    <phoneticPr fontId="42" type="noConversion"/>
  </si>
  <si>
    <t>*쿠마라게
*신기순2
*김상훈9
*이순이5</t>
    <phoneticPr fontId="42" type="noConversion"/>
  </si>
  <si>
    <t>*박영순16
*이문찬2</t>
    <phoneticPr fontId="42" type="noConversion"/>
  </si>
  <si>
    <t>*반진용
*정선숙2</t>
    <phoneticPr fontId="42" type="noConversion"/>
  </si>
  <si>
    <t>*김성욱</t>
    <phoneticPr fontId="42" type="noConversion"/>
  </si>
  <si>
    <t>ESWT5한경애4(목)</t>
    <phoneticPr fontId="42" type="noConversion"/>
  </si>
  <si>
    <t>*서대성</t>
    <phoneticPr fontId="42" type="noConversion"/>
  </si>
  <si>
    <t>류연우/
조인호(A)</t>
    <phoneticPr fontId="42" type="noConversion"/>
  </si>
  <si>
    <t>F정금숙2</t>
    <phoneticPr fontId="42" type="noConversion"/>
  </si>
  <si>
    <t>F김은영22A
F원동현A</t>
    <phoneticPr fontId="42" type="noConversion"/>
  </si>
  <si>
    <t>F최진형A</t>
    <phoneticPr fontId="42" type="noConversion"/>
  </si>
  <si>
    <r>
      <rPr>
        <sz val="10"/>
        <color rgb="FF0070C0"/>
        <rFont val="돋움"/>
        <family val="3"/>
        <charset val="129"/>
      </rPr>
      <t>F김정원7A</t>
    </r>
    <r>
      <rPr>
        <b/>
        <sz val="10"/>
        <color rgb="FF0070C0"/>
        <rFont val="돋움"/>
        <family val="3"/>
        <charset val="129"/>
      </rPr>
      <t xml:space="preserve">
F이용출A</t>
    </r>
    <phoneticPr fontId="42" type="noConversion"/>
  </si>
  <si>
    <t>F박종민6A</t>
    <phoneticPr fontId="42" type="noConversion"/>
  </si>
  <si>
    <t>F방상윤A
F이광영3A</t>
    <phoneticPr fontId="42" type="noConversion"/>
  </si>
  <si>
    <t>F조남인2A
F홍숙희A</t>
    <phoneticPr fontId="42" type="noConversion"/>
  </si>
  <si>
    <t>M이남희3AC</t>
    <phoneticPr fontId="42" type="noConversion"/>
  </si>
  <si>
    <t>M김미자10ATt
M원동현AC</t>
    <phoneticPr fontId="42" type="noConversion"/>
  </si>
  <si>
    <t>M한은주ACPM(어깨)
M염병숙AT
M김미순3AMA
M강철용AC
M정호진2AC</t>
    <phoneticPr fontId="42" type="noConversion"/>
  </si>
  <si>
    <t>M오도경DTt
M고선무AC
M이미선7AC
M최진형AT</t>
    <phoneticPr fontId="42" type="noConversion"/>
  </si>
  <si>
    <t>G백영진AC
G정금숙2T
M나채용AT
M배석현ATt
M임상미2AMA</t>
    <phoneticPr fontId="42" type="noConversion"/>
  </si>
  <si>
    <t>M이덕로AC
M서동출Att
M조광복AT</t>
    <phoneticPr fontId="42" type="noConversion"/>
  </si>
  <si>
    <r>
      <rPr>
        <b/>
        <sz val="10"/>
        <color rgb="FF0070C0"/>
        <rFont val="돋움"/>
        <family val="3"/>
        <charset val="129"/>
      </rPr>
      <t>M이용출ATt</t>
    </r>
    <r>
      <rPr>
        <sz val="10"/>
        <color rgb="FF0070C0"/>
        <rFont val="돋움"/>
        <family val="3"/>
        <charset val="129"/>
      </rPr>
      <t xml:space="preserve">
G이경갑AT
M김은영22AC</t>
    </r>
    <phoneticPr fontId="42" type="noConversion"/>
  </si>
  <si>
    <t>M반원모AC</t>
    <phoneticPr fontId="42" type="noConversion"/>
  </si>
  <si>
    <t>M방상윤AC
M최중범ATt</t>
    <phoneticPr fontId="42" type="noConversion"/>
  </si>
  <si>
    <t>M최승섭AC
M홍숙희AC
G조남인2AT</t>
    <phoneticPr fontId="42" type="noConversion"/>
  </si>
  <si>
    <t>M유승희3AC
M이홍섭Att
M이광영3AT</t>
    <phoneticPr fontId="42" type="noConversion"/>
  </si>
  <si>
    <t>M김소재AC
G한동수2AT
M나기태AC</t>
    <phoneticPr fontId="42" type="noConversion"/>
  </si>
  <si>
    <t>M이건식2AT
G박종민6AT
M함도경Att</t>
    <phoneticPr fontId="42" type="noConversion"/>
  </si>
  <si>
    <t>계장</t>
    <phoneticPr fontId="42" type="noConversion"/>
  </si>
  <si>
    <t>정윤구</t>
    <phoneticPr fontId="42" type="noConversion"/>
  </si>
  <si>
    <t>N염병숙A</t>
    <phoneticPr fontId="42" type="noConversion"/>
  </si>
  <si>
    <t>N이용출A</t>
    <phoneticPr fontId="42" type="noConversion"/>
  </si>
  <si>
    <t>N이홍섭A</t>
    <phoneticPr fontId="42" type="noConversion"/>
  </si>
  <si>
    <t>N7이흥식A</t>
    <phoneticPr fontId="42" type="noConversion"/>
  </si>
  <si>
    <t>N김소재A</t>
    <phoneticPr fontId="42" type="noConversion"/>
  </si>
  <si>
    <t>12:00~ 
12:30</t>
    <phoneticPr fontId="42" type="noConversion"/>
  </si>
  <si>
    <t>15:15~
15:45</t>
    <phoneticPr fontId="42" type="noConversion"/>
  </si>
  <si>
    <t>장태환A
(모닝워크)</t>
    <phoneticPr fontId="42" type="noConversion"/>
  </si>
  <si>
    <t>RG박인규4R</t>
    <phoneticPr fontId="42" type="noConversion"/>
  </si>
  <si>
    <t>W원종식D</t>
    <phoneticPr fontId="42" type="noConversion"/>
  </si>
  <si>
    <t>N김미자10A</t>
    <phoneticPr fontId="42" type="noConversion"/>
  </si>
  <si>
    <t>RG이정임4R</t>
    <phoneticPr fontId="42" type="noConversion"/>
  </si>
  <si>
    <t>N최진형A</t>
    <phoneticPr fontId="42" type="noConversion"/>
  </si>
  <si>
    <t>W황춘자A</t>
    <phoneticPr fontId="40" type="noConversion"/>
  </si>
  <si>
    <t>W임예수A</t>
    <phoneticPr fontId="42" type="noConversion"/>
  </si>
  <si>
    <t>N김기일A</t>
    <phoneticPr fontId="42" type="noConversion"/>
  </si>
  <si>
    <t>주부동D
산재로봇</t>
    <phoneticPr fontId="42" type="noConversion"/>
  </si>
  <si>
    <t>김서윤5D
산재로봇</t>
    <phoneticPr fontId="42" type="noConversion"/>
  </si>
  <si>
    <t>김성욱
산재재활-하지</t>
    <phoneticPr fontId="42" type="noConversion"/>
  </si>
  <si>
    <t>이상용A
(워크봇)</t>
    <phoneticPr fontId="42" type="noConversion"/>
  </si>
  <si>
    <t>W조영란2A</t>
    <phoneticPr fontId="42" type="noConversion"/>
  </si>
  <si>
    <t>김성욱
산재재활-하지</t>
    <phoneticPr fontId="42" type="noConversion"/>
  </si>
  <si>
    <t>N김미순3A</t>
    <phoneticPr fontId="42" type="noConversion"/>
  </si>
  <si>
    <t>N오도경D</t>
    <phoneticPr fontId="42" type="noConversion"/>
  </si>
  <si>
    <t>W정화구A</t>
    <phoneticPr fontId="42" type="noConversion"/>
  </si>
  <si>
    <t>정선숙D</t>
    <phoneticPr fontId="42" type="noConversion"/>
  </si>
  <si>
    <t>W김택중A</t>
    <phoneticPr fontId="42" type="noConversion"/>
  </si>
  <si>
    <t>M7이홍섭A</t>
    <phoneticPr fontId="42" type="noConversion"/>
  </si>
  <si>
    <t>M7반지환</t>
    <phoneticPr fontId="42" type="noConversion"/>
  </si>
  <si>
    <t>M15반원모A</t>
    <phoneticPr fontId="42" type="noConversion"/>
  </si>
  <si>
    <t>W주현수2D</t>
    <phoneticPr fontId="42" type="noConversion"/>
  </si>
  <si>
    <t>조인호B/
조경민B
(알봇)</t>
    <phoneticPr fontId="42" type="noConversion"/>
  </si>
  <si>
    <t>RG박종순13R</t>
    <phoneticPr fontId="42" type="noConversion"/>
  </si>
  <si>
    <t>W김진철4D</t>
    <phoneticPr fontId="42" type="noConversion"/>
  </si>
  <si>
    <t>RG서극원R</t>
    <phoneticPr fontId="42" type="noConversion"/>
  </si>
  <si>
    <t>W권오운D</t>
    <phoneticPr fontId="42" type="noConversion"/>
  </si>
  <si>
    <t>W오정아A</t>
    <phoneticPr fontId="42" type="noConversion"/>
  </si>
  <si>
    <t>RG배희숙R</t>
    <phoneticPr fontId="42" type="noConversion"/>
  </si>
  <si>
    <t>W지은숙2D</t>
    <phoneticPr fontId="42" type="noConversion"/>
  </si>
  <si>
    <t>W구예성D</t>
    <phoneticPr fontId="42" type="noConversion"/>
  </si>
  <si>
    <t>RG김영순46R</t>
    <phoneticPr fontId="42" type="noConversion"/>
  </si>
  <si>
    <t>W연제순A</t>
    <phoneticPr fontId="42" type="noConversion"/>
  </si>
  <si>
    <t>W김복묵A</t>
    <phoneticPr fontId="42" type="noConversion"/>
  </si>
  <si>
    <t>RG정명자5R</t>
    <phoneticPr fontId="42" type="noConversion"/>
  </si>
  <si>
    <t>재활센터 시간표     2023. 10. 31 (화)</t>
    <phoneticPr fontId="42" type="noConversion"/>
  </si>
  <si>
    <t>3층 재활센터 시간표     2025. 11. 17 (월)</t>
    <phoneticPr fontId="42" type="noConversion"/>
  </si>
  <si>
    <t xml:space="preserve">         시간      치료사</t>
    <phoneticPr fontId="42" type="noConversion"/>
  </si>
  <si>
    <t>7:30~
8:00</t>
    <phoneticPr fontId="42" type="noConversion"/>
  </si>
  <si>
    <t>8:00~
8:30</t>
    <phoneticPr fontId="42" type="noConversion"/>
  </si>
  <si>
    <t>8:30~
9:00</t>
    <phoneticPr fontId="42" type="noConversion"/>
  </si>
  <si>
    <t>10:15~
10:45</t>
    <phoneticPr fontId="42" type="noConversion"/>
  </si>
  <si>
    <t>11:25~
11:55</t>
    <phoneticPr fontId="42" type="noConversion"/>
  </si>
  <si>
    <t>12:00~
12:30</t>
    <phoneticPr fontId="42" type="noConversion"/>
  </si>
  <si>
    <t>13:30~
14:00</t>
    <phoneticPr fontId="42" type="noConversion"/>
  </si>
  <si>
    <t>박지원</t>
    <phoneticPr fontId="42" type="noConversion"/>
  </si>
  <si>
    <t>N김지윤7</t>
    <phoneticPr fontId="42" type="noConversion"/>
  </si>
  <si>
    <t>N윤동석2</t>
    <phoneticPr fontId="40" type="noConversion"/>
  </si>
  <si>
    <t>RN조남선</t>
    <phoneticPr fontId="40" type="noConversion"/>
  </si>
  <si>
    <t>N장광청</t>
    <phoneticPr fontId="40" type="noConversion"/>
  </si>
  <si>
    <t>N김복묵</t>
    <phoneticPr fontId="40" type="noConversion"/>
  </si>
  <si>
    <t>N오정아</t>
    <phoneticPr fontId="40" type="noConversion"/>
  </si>
  <si>
    <t>N김명숙19</t>
    <phoneticPr fontId="40" type="noConversion"/>
  </si>
  <si>
    <t>RM박미정4</t>
    <phoneticPr fontId="40" type="noConversion"/>
  </si>
  <si>
    <t>RG한순근</t>
    <phoneticPr fontId="40" type="noConversion"/>
  </si>
  <si>
    <t>N이영휘</t>
    <phoneticPr fontId="42" type="noConversion"/>
  </si>
  <si>
    <t>N이수길</t>
    <phoneticPr fontId="42" type="noConversion"/>
  </si>
  <si>
    <t>서지현</t>
    <phoneticPr fontId="42" type="noConversion"/>
  </si>
  <si>
    <t>N정규설</t>
    <phoneticPr fontId="40" type="noConversion"/>
  </si>
  <si>
    <t>RM윤미기자</t>
    <phoneticPr fontId="40" type="noConversion"/>
  </si>
  <si>
    <t>N김명숙19</t>
    <phoneticPr fontId="40" type="noConversion"/>
  </si>
  <si>
    <t>RM이재용2</t>
    <phoneticPr fontId="40" type="noConversion"/>
  </si>
  <si>
    <t>RG이두현</t>
    <phoneticPr fontId="40" type="noConversion"/>
  </si>
  <si>
    <t>RM전효식</t>
    <phoneticPr fontId="40" type="noConversion"/>
  </si>
  <si>
    <t>RG이강은</t>
    <phoneticPr fontId="40" type="noConversion"/>
  </si>
  <si>
    <t>N이재남4</t>
    <phoneticPr fontId="40" type="noConversion"/>
  </si>
  <si>
    <t>RG김철기</t>
    <phoneticPr fontId="40" type="noConversion"/>
  </si>
  <si>
    <t>N주현수2</t>
    <phoneticPr fontId="40" type="noConversion"/>
  </si>
  <si>
    <t>RG오병찬</t>
    <phoneticPr fontId="40" type="noConversion"/>
  </si>
  <si>
    <t>전지원</t>
    <phoneticPr fontId="42" type="noConversion"/>
  </si>
  <si>
    <t>RN이정임4</t>
    <phoneticPr fontId="40" type="noConversion"/>
  </si>
  <si>
    <t>N김주식</t>
    <phoneticPr fontId="40" type="noConversion"/>
  </si>
  <si>
    <t>RN송진영</t>
    <phoneticPr fontId="40" type="noConversion"/>
  </si>
  <si>
    <t>N이영임</t>
    <phoneticPr fontId="40" type="noConversion"/>
  </si>
  <si>
    <t>RN서대성</t>
    <phoneticPr fontId="40" type="noConversion"/>
  </si>
  <si>
    <t>N주현수2</t>
    <phoneticPr fontId="40" type="noConversion"/>
  </si>
  <si>
    <t>RM김영한2</t>
    <phoneticPr fontId="40" type="noConversion"/>
  </si>
  <si>
    <t>N김문식3</t>
    <phoneticPr fontId="42" type="noConversion"/>
  </si>
  <si>
    <t>N신인섭</t>
    <phoneticPr fontId="40" type="noConversion"/>
  </si>
  <si>
    <t>N유용진</t>
    <phoneticPr fontId="40" type="noConversion"/>
  </si>
  <si>
    <t>RM조남선</t>
    <phoneticPr fontId="40" type="noConversion"/>
  </si>
  <si>
    <t>김효진</t>
    <phoneticPr fontId="42" type="noConversion"/>
  </si>
  <si>
    <t>RM송진영</t>
    <phoneticPr fontId="40" type="noConversion"/>
  </si>
  <si>
    <t>RM전효식</t>
    <phoneticPr fontId="40" type="noConversion"/>
  </si>
  <si>
    <t>RN김영한2</t>
    <phoneticPr fontId="40" type="noConversion"/>
  </si>
  <si>
    <t>RG오연숙</t>
    <phoneticPr fontId="40" type="noConversion"/>
  </si>
  <si>
    <t>RM서대성</t>
    <phoneticPr fontId="40" type="noConversion"/>
  </si>
  <si>
    <t>RG오병찬</t>
    <phoneticPr fontId="40" type="noConversion"/>
  </si>
  <si>
    <t>N변종구</t>
    <phoneticPr fontId="40" type="noConversion"/>
  </si>
  <si>
    <t>RN이재용2</t>
    <phoneticPr fontId="40" type="noConversion"/>
  </si>
  <si>
    <t>N전용대</t>
    <phoneticPr fontId="40" type="noConversion"/>
  </si>
  <si>
    <t>RM이정임4</t>
    <phoneticPr fontId="40" type="noConversion"/>
  </si>
  <si>
    <t>김혜민</t>
    <phoneticPr fontId="40" type="noConversion"/>
  </si>
  <si>
    <t>N곽홍기</t>
    <phoneticPr fontId="42" type="noConversion"/>
  </si>
  <si>
    <t>N신옥남</t>
    <phoneticPr fontId="40" type="noConversion"/>
  </si>
  <si>
    <t>N윤영섭</t>
    <phoneticPr fontId="42" type="noConversion"/>
  </si>
  <si>
    <t>N유기분</t>
    <phoneticPr fontId="40" type="noConversion"/>
  </si>
  <si>
    <t>RM송진영</t>
    <phoneticPr fontId="40" type="noConversion"/>
  </si>
  <si>
    <t>* 변경사항</t>
    <phoneticPr fontId="42" type="noConversion"/>
  </si>
  <si>
    <t>공혜빈</t>
    <phoneticPr fontId="42" type="noConversion"/>
  </si>
  <si>
    <t>MM권병호C</t>
  </si>
  <si>
    <t>N조태은</t>
    <phoneticPr fontId="40" type="noConversion"/>
  </si>
  <si>
    <t>RG김철기</t>
    <phoneticPr fontId="40" type="noConversion"/>
  </si>
  <si>
    <t>N유용진</t>
    <phoneticPr fontId="40" type="noConversion"/>
  </si>
  <si>
    <t>RG권병호</t>
    <phoneticPr fontId="40" type="noConversion"/>
  </si>
  <si>
    <t>N김봉예</t>
    <phoneticPr fontId="40" type="noConversion"/>
  </si>
  <si>
    <t>N이흥식</t>
    <phoneticPr fontId="40" type="noConversion"/>
  </si>
  <si>
    <t>N송영연</t>
    <phoneticPr fontId="40" type="noConversion"/>
  </si>
  <si>
    <t xml:space="preserve">유기분님 회복기 종결 (N2,M2,F2,C2A)
주현수2님 회복기 종결 (N2,M1,F1,C2A,WD)L7, N7,O7,N7추가
오연숙님 RG2삭제, RA2추가 / 시간표다시
김귀례님 오후 기구 변경
배희숙님 RA2삭제/ RM2추가 / 시간표다시
오연숙님 RA2삭제 / RG2추가 / 시간표다시
윤미기자 RA2삭제/ RM2추가 / 시간표다시
서정욱2님 오전 시간 변경 / 시간표 다시
윤현숙3님 통증 치료 추가 / 시간표 다시
문희연T
11:25 RA이강은님 -&gt; RG변경
12:00 RA오병찬님 -&gt; RG변경 시간그대로 2층 김용하T진행
</t>
    <phoneticPr fontId="40" type="noConversion"/>
  </si>
  <si>
    <t>권도희</t>
    <phoneticPr fontId="42" type="noConversion"/>
  </si>
  <si>
    <t>MM김귀례2Tt</t>
  </si>
  <si>
    <t>RG한순근</t>
    <phoneticPr fontId="40" type="noConversion"/>
  </si>
  <si>
    <t>N이수길</t>
    <phoneticPr fontId="40" type="noConversion"/>
  </si>
  <si>
    <t>N이명덕</t>
    <phoneticPr fontId="40" type="noConversion"/>
  </si>
  <si>
    <t>N오치영</t>
    <phoneticPr fontId="40" type="noConversion"/>
  </si>
  <si>
    <t>N정진월</t>
    <phoneticPr fontId="40" type="noConversion"/>
  </si>
  <si>
    <t>N유해진</t>
    <phoneticPr fontId="40" type="noConversion"/>
  </si>
  <si>
    <t>김은채
(연차)</t>
    <phoneticPr fontId="42" type="noConversion"/>
  </si>
  <si>
    <t>배서현
(연차)</t>
    <phoneticPr fontId="42" type="noConversion"/>
  </si>
  <si>
    <t>홍유진</t>
    <phoneticPr fontId="40" type="noConversion"/>
  </si>
  <si>
    <t>N이동열</t>
  </si>
  <si>
    <t>N유영만</t>
  </si>
  <si>
    <t>RM조남선</t>
    <phoneticPr fontId="40" type="noConversion"/>
  </si>
  <si>
    <t>N유해진</t>
    <phoneticPr fontId="40" type="noConversion"/>
  </si>
  <si>
    <t>N정창래2</t>
    <phoneticPr fontId="40" type="noConversion"/>
  </si>
  <si>
    <t>RG윤현숙3</t>
    <phoneticPr fontId="40" type="noConversion"/>
  </si>
  <si>
    <t>임지승</t>
    <phoneticPr fontId="40" type="noConversion"/>
  </si>
  <si>
    <t>최지영</t>
    <phoneticPr fontId="42" type="noConversion"/>
  </si>
  <si>
    <t>N유기분</t>
    <phoneticPr fontId="40" type="noConversion"/>
  </si>
  <si>
    <t>RG서정욱2</t>
    <phoneticPr fontId="40" type="noConversion"/>
  </si>
  <si>
    <t>한상호</t>
    <phoneticPr fontId="42" type="noConversion"/>
  </si>
  <si>
    <t>RN전효식</t>
    <phoneticPr fontId="40" type="noConversion"/>
  </si>
  <si>
    <t>N유영만</t>
    <phoneticPr fontId="40" type="noConversion"/>
  </si>
  <si>
    <t>MM전효식C</t>
  </si>
  <si>
    <t>N김진현2</t>
  </si>
  <si>
    <t>N김진학</t>
    <phoneticPr fontId="40" type="noConversion"/>
  </si>
  <si>
    <t>N곽홍기</t>
    <phoneticPr fontId="40" type="noConversion"/>
  </si>
  <si>
    <t>RM이정임4</t>
    <phoneticPr fontId="40" type="noConversion"/>
  </si>
  <si>
    <t>RG이강은</t>
    <phoneticPr fontId="42" type="noConversion"/>
  </si>
  <si>
    <t>RA오병찬</t>
    <phoneticPr fontId="40" type="noConversion"/>
  </si>
  <si>
    <t>D이순희5V</t>
    <phoneticPr fontId="40" type="noConversion"/>
  </si>
  <si>
    <t>CA이흥식</t>
    <phoneticPr fontId="42" type="noConversion"/>
  </si>
  <si>
    <t>CA김문식3</t>
    <phoneticPr fontId="40" type="noConversion"/>
  </si>
  <si>
    <t>D곽홍기</t>
    <phoneticPr fontId="42" type="noConversion"/>
  </si>
  <si>
    <t>CA변종구</t>
    <phoneticPr fontId="40" type="noConversion"/>
  </si>
  <si>
    <t>RA서대성</t>
    <phoneticPr fontId="40" type="noConversion"/>
  </si>
  <si>
    <t>C오치영
C이수길</t>
    <phoneticPr fontId="40" type="noConversion"/>
  </si>
  <si>
    <t xml:space="preserve"> O7주현수2D</t>
    <phoneticPr fontId="40" type="noConversion"/>
  </si>
  <si>
    <t>RA한순근</t>
    <phoneticPr fontId="40" type="noConversion"/>
  </si>
  <si>
    <t>RA권병호</t>
    <phoneticPr fontId="40" type="noConversion"/>
  </si>
  <si>
    <t>김경옥</t>
    <phoneticPr fontId="42" type="noConversion"/>
  </si>
  <si>
    <t>CA송영연</t>
    <phoneticPr fontId="40" type="noConversion"/>
  </si>
  <si>
    <t>D정진월</t>
    <phoneticPr fontId="40" type="noConversion"/>
  </si>
  <si>
    <t>CA권음전</t>
    <phoneticPr fontId="40" type="noConversion"/>
  </si>
  <si>
    <t>CA유기분</t>
    <phoneticPr fontId="40" type="noConversion"/>
  </si>
  <si>
    <t>RA정명자5</t>
    <phoneticPr fontId="40" type="noConversion"/>
  </si>
  <si>
    <t>H박경원2</t>
    <phoneticPr fontId="40" type="noConversion"/>
  </si>
  <si>
    <t>RA이두현</t>
    <phoneticPr fontId="40" type="noConversion"/>
  </si>
  <si>
    <t>C유용진
C이재남4</t>
    <phoneticPr fontId="40" type="noConversion"/>
  </si>
  <si>
    <t>RA이재용2</t>
    <phoneticPr fontId="40" type="noConversion"/>
  </si>
  <si>
    <t>CA유용진</t>
    <phoneticPr fontId="40" type="noConversion"/>
  </si>
  <si>
    <t>CA윤동석2</t>
    <phoneticPr fontId="40" type="noConversion"/>
  </si>
  <si>
    <t>D유해진V</t>
    <phoneticPr fontId="40" type="noConversion"/>
  </si>
  <si>
    <t>정지우</t>
    <phoneticPr fontId="42" type="noConversion"/>
  </si>
  <si>
    <t>CA장광청</t>
    <phoneticPr fontId="40" type="noConversion"/>
  </si>
  <si>
    <t>CA오치영</t>
    <phoneticPr fontId="40" type="noConversion"/>
  </si>
  <si>
    <t>CA오정아</t>
    <phoneticPr fontId="42" type="noConversion"/>
  </si>
  <si>
    <t>RA김철기</t>
    <phoneticPr fontId="40" type="noConversion"/>
  </si>
  <si>
    <t>RS송진영</t>
    <phoneticPr fontId="40" type="noConversion"/>
  </si>
  <si>
    <t>RD권병호</t>
    <phoneticPr fontId="40" type="noConversion"/>
  </si>
  <si>
    <t>CA이영임</t>
    <phoneticPr fontId="40" type="noConversion"/>
  </si>
  <si>
    <t>RD윤미기자</t>
    <phoneticPr fontId="40" type="noConversion"/>
  </si>
  <si>
    <t>RD김귀례2</t>
    <phoneticPr fontId="40" type="noConversion"/>
  </si>
  <si>
    <t>RA서정욱2</t>
    <phoneticPr fontId="40" type="noConversion"/>
  </si>
  <si>
    <t>CA곽홍기</t>
    <phoneticPr fontId="40" type="noConversion"/>
  </si>
  <si>
    <t>* 퇴원 및 HOLD</t>
    <phoneticPr fontId="40" type="noConversion"/>
  </si>
  <si>
    <t>김유정</t>
    <phoneticPr fontId="40" type="noConversion"/>
  </si>
  <si>
    <t>CA유해진</t>
    <phoneticPr fontId="40" type="noConversion"/>
  </si>
  <si>
    <t>C유해진
C신옥남</t>
    <phoneticPr fontId="40" type="noConversion"/>
  </si>
  <si>
    <t>D홍우표2V</t>
    <phoneticPr fontId="42" type="noConversion"/>
  </si>
  <si>
    <t>RA김철기</t>
    <phoneticPr fontId="40" type="noConversion"/>
  </si>
  <si>
    <t>RS김영한2</t>
    <phoneticPr fontId="40" type="noConversion"/>
  </si>
  <si>
    <t>D이영휘V</t>
    <phoneticPr fontId="42" type="noConversion"/>
  </si>
  <si>
    <t>CA김명숙19</t>
    <phoneticPr fontId="40" type="noConversion"/>
  </si>
  <si>
    <t>CA유영만</t>
    <phoneticPr fontId="40" type="noConversion"/>
  </si>
  <si>
    <t>RA송진영</t>
    <phoneticPr fontId="40" type="noConversion"/>
  </si>
  <si>
    <t>RA오연숙</t>
    <phoneticPr fontId="40" type="noConversion"/>
  </si>
  <si>
    <t>정유진</t>
    <phoneticPr fontId="42" type="noConversion"/>
  </si>
  <si>
    <t>단축근무</t>
    <phoneticPr fontId="42" type="noConversion"/>
  </si>
  <si>
    <t>CA김복묵</t>
    <phoneticPr fontId="40" type="noConversion"/>
  </si>
  <si>
    <t>CA조태은</t>
    <phoneticPr fontId="40" type="noConversion"/>
  </si>
  <si>
    <t>CA주현수2</t>
    <phoneticPr fontId="42" type="noConversion"/>
  </si>
  <si>
    <t>CA이영휘</t>
    <phoneticPr fontId="40" type="noConversion"/>
  </si>
  <si>
    <t>RS박미정4</t>
    <phoneticPr fontId="40" type="noConversion"/>
  </si>
  <si>
    <t>CA이동열</t>
    <phoneticPr fontId="40" type="noConversion"/>
  </si>
  <si>
    <t>CA신옥남</t>
    <phoneticPr fontId="40" type="noConversion"/>
  </si>
  <si>
    <t>D이명덕V</t>
    <phoneticPr fontId="40" type="noConversion"/>
  </si>
  <si>
    <t>단축근무</t>
    <phoneticPr fontId="42" type="noConversion"/>
  </si>
  <si>
    <t>양은주</t>
    <phoneticPr fontId="42" type="noConversion"/>
  </si>
  <si>
    <t>C김진현2</t>
  </si>
  <si>
    <t>C이동열</t>
  </si>
  <si>
    <t>RA김영한2</t>
    <phoneticPr fontId="40" type="noConversion"/>
  </si>
  <si>
    <t>C변종구
C김지윤7</t>
    <phoneticPr fontId="40" type="noConversion"/>
  </si>
  <si>
    <t>CA채남순</t>
    <phoneticPr fontId="40" type="noConversion"/>
  </si>
  <si>
    <t>CA김진현2</t>
    <phoneticPr fontId="40" type="noConversion"/>
  </si>
  <si>
    <t>C김명숙19
C곽홍기</t>
    <phoneticPr fontId="40" type="noConversion"/>
  </si>
  <si>
    <t>C이영휘
C윤영섭</t>
    <phoneticPr fontId="40" type="noConversion"/>
  </si>
  <si>
    <t>RA송진영</t>
    <phoneticPr fontId="40" type="noConversion"/>
  </si>
  <si>
    <t>R윤동석2A</t>
    <phoneticPr fontId="42" type="noConversion"/>
  </si>
  <si>
    <t>서한별</t>
    <phoneticPr fontId="42" type="noConversion"/>
  </si>
  <si>
    <t>C유영만</t>
  </si>
  <si>
    <t>C김복묵</t>
  </si>
  <si>
    <t>D오정아V</t>
    <phoneticPr fontId="42" type="noConversion"/>
  </si>
  <si>
    <t>RS전효식</t>
    <phoneticPr fontId="40" type="noConversion"/>
  </si>
  <si>
    <t>RD이재용2</t>
    <phoneticPr fontId="40" type="noConversion"/>
  </si>
  <si>
    <t>RA박미정4</t>
    <phoneticPr fontId="40" type="noConversion"/>
  </si>
  <si>
    <t>CA이수길</t>
    <phoneticPr fontId="40" type="noConversion"/>
  </si>
  <si>
    <t>CA김지윤7</t>
    <phoneticPr fontId="40" type="noConversion"/>
  </si>
  <si>
    <t>C오정아
C유기분</t>
    <phoneticPr fontId="40" type="noConversion"/>
  </si>
  <si>
    <t>D윤영섭V</t>
    <phoneticPr fontId="40" type="noConversion"/>
  </si>
  <si>
    <t>C채남순</t>
  </si>
  <si>
    <t>RA배희숙</t>
    <phoneticPr fontId="40" type="noConversion"/>
  </si>
  <si>
    <t>RS이정임4</t>
    <phoneticPr fontId="40" type="noConversion"/>
  </si>
  <si>
    <t>RA조남선</t>
    <phoneticPr fontId="40" type="noConversion"/>
  </si>
  <si>
    <t>RA한상진(4)</t>
    <phoneticPr fontId="40" type="noConversion"/>
  </si>
  <si>
    <t>CA전용대</t>
    <phoneticPr fontId="40" type="noConversion"/>
  </si>
  <si>
    <t>H7오정아A</t>
    <phoneticPr fontId="42" type="noConversion"/>
  </si>
  <si>
    <t>RD서정욱2</t>
    <phoneticPr fontId="40" type="noConversion"/>
  </si>
  <si>
    <t>* 당일시간변경</t>
    <phoneticPr fontId="42" type="noConversion"/>
  </si>
  <si>
    <t>안순재</t>
    <phoneticPr fontId="42" type="noConversion"/>
  </si>
  <si>
    <t>간호간병</t>
    <phoneticPr fontId="42" type="noConversion"/>
  </si>
  <si>
    <t xml:space="preserve">C주현수2
</t>
    <phoneticPr fontId="40" type="noConversion"/>
  </si>
  <si>
    <t>RA서대성</t>
    <phoneticPr fontId="40" type="noConversion"/>
  </si>
  <si>
    <t>CA김진학</t>
    <phoneticPr fontId="40" type="noConversion"/>
  </si>
  <si>
    <t>RA오연숙</t>
    <phoneticPr fontId="40" type="noConversion"/>
  </si>
  <si>
    <t>CA정창래2</t>
    <phoneticPr fontId="40" type="noConversion"/>
  </si>
  <si>
    <t>CA윤영섭</t>
    <phoneticPr fontId="40" type="noConversion"/>
  </si>
  <si>
    <t>CA연현숙2</t>
    <phoneticPr fontId="40" type="noConversion"/>
  </si>
  <si>
    <t>계장</t>
    <phoneticPr fontId="40" type="noConversion"/>
  </si>
  <si>
    <t>RA이정임4</t>
    <phoneticPr fontId="40" type="noConversion"/>
  </si>
  <si>
    <t>RA김영한2</t>
    <phoneticPr fontId="40" type="noConversion"/>
  </si>
  <si>
    <t>RA이강은</t>
    <phoneticPr fontId="40" type="noConversion"/>
  </si>
  <si>
    <t>김선영
(오전반차)</t>
    <phoneticPr fontId="40" type="noConversion"/>
  </si>
  <si>
    <t>RN이정례3</t>
    <phoneticPr fontId="40" type="noConversion"/>
  </si>
  <si>
    <t>MM오병찬CPM</t>
    <phoneticPr fontId="40" type="noConversion"/>
  </si>
  <si>
    <t>MM윤현숙3CPM</t>
    <phoneticPr fontId="40" type="noConversion"/>
  </si>
  <si>
    <t>N오정아</t>
    <phoneticPr fontId="40" type="noConversion"/>
  </si>
  <si>
    <t>이다한</t>
    <phoneticPr fontId="42" type="noConversion"/>
  </si>
  <si>
    <t>M전용대C
M곽홍기C
M연현숙2C
M이흥식S</t>
    <phoneticPr fontId="42" type="noConversion"/>
  </si>
  <si>
    <t>M장광청C
M김복묵C
M오정아C
M정규설S
TT박경원2Tt
M이동열Tt</t>
    <phoneticPr fontId="42" type="noConversion"/>
  </si>
  <si>
    <t>M유영만C
M정창래2C
M김지윤7C
M오치영C
M신옥남S
M정진월CPM</t>
    <phoneticPr fontId="42" type="noConversion"/>
  </si>
  <si>
    <r>
      <t>M김문식3C
M김봉예C
M신인섭C</t>
    </r>
    <r>
      <rPr>
        <sz val="10"/>
        <rFont val="돋움"/>
        <family val="3"/>
        <charset val="129"/>
      </rPr>
      <t xml:space="preserve">
M윤영섭C</t>
    </r>
    <r>
      <rPr>
        <sz val="10"/>
        <color theme="1"/>
        <rFont val="돋움"/>
        <family val="3"/>
        <charset val="129"/>
      </rPr>
      <t xml:space="preserve">
M김명숙19T
M이명덕S
M이순희5M</t>
    </r>
    <phoneticPr fontId="42" type="noConversion"/>
  </si>
  <si>
    <t xml:space="preserve">M이수길C
M이영휘C
M변종구C
G박경원2S
M권음전M
M유해진Tt
M이재남4CPM
</t>
    <phoneticPr fontId="42" type="noConversion"/>
  </si>
  <si>
    <t>M김주식C
M송영연C
M유기분C
M채남순S
M조태은S
M김진현2T
M유해진M
M홍우표2Tt
M이영임Tt</t>
    <phoneticPr fontId="42" type="noConversion"/>
  </si>
  <si>
    <t xml:space="preserve">M김복묵C
M송영연C
M윤동석2C
M신옥남C
M곽홍기C
M김진학M
M채남순S
M주현수2S
</t>
    <phoneticPr fontId="42" type="noConversion"/>
  </si>
  <si>
    <t xml:space="preserve">M이영휘C
M장광청T
M김주식S
M유영만Tt
</t>
    <phoneticPr fontId="42" type="noConversion"/>
  </si>
  <si>
    <t>M이명덕C
M정규설C
M김진현2C
M변종구C
M이수길S
M오정아S
M권음전M
M조태은Tt</t>
    <phoneticPr fontId="42" type="noConversion"/>
  </si>
  <si>
    <t>M김봉예C
M김지윤7C
M정창래2C
M이재남4S
M신인섭T
M이동열Tt
M이영임Tt
M이순희5M
M정진월CPM</t>
    <phoneticPr fontId="42" type="noConversion"/>
  </si>
  <si>
    <t>M김문식3C
M오치영C
M유용진C
M윤영섭C
M유기분C
M전용대S
M홍우표2Tt
G박경원2Tt</t>
    <phoneticPr fontId="42" type="noConversion"/>
  </si>
  <si>
    <r>
      <t xml:space="preserve">MM윤미기자C
MM오연숙S
</t>
    </r>
    <r>
      <rPr>
        <b/>
        <u/>
        <sz val="10"/>
        <rFont val="돋움"/>
        <family val="3"/>
        <charset val="129"/>
      </rPr>
      <t>MM김귀례2Tt</t>
    </r>
    <phoneticPr fontId="40" type="noConversion"/>
  </si>
  <si>
    <r>
      <rPr>
        <b/>
        <u/>
        <sz val="10"/>
        <rFont val="돋움"/>
        <family val="3"/>
        <charset val="129"/>
      </rPr>
      <t>MM이강은C</t>
    </r>
    <r>
      <rPr>
        <sz val="10"/>
        <rFont val="돋움"/>
        <family val="3"/>
        <charset val="129"/>
      </rPr>
      <t xml:space="preserve">
MM김철기C
MM김영한2Tt
MM서대성S
</t>
    </r>
    <phoneticPr fontId="40" type="noConversion"/>
  </si>
  <si>
    <t>MM 변경 미희망 :  없음</t>
    <phoneticPr fontId="40" type="noConversion"/>
  </si>
  <si>
    <t>강시내</t>
    <phoneticPr fontId="42" type="noConversion"/>
  </si>
  <si>
    <t>단축근무</t>
    <phoneticPr fontId="42" type="noConversion"/>
  </si>
  <si>
    <t xml:space="preserve">
F정규설
F이영휘
F변종구
F연현숙2</t>
    <phoneticPr fontId="42" type="noConversion"/>
  </si>
  <si>
    <t>F김복묵
F김주식
F이수길
F김지윤7
F오치영</t>
    <phoneticPr fontId="42" type="noConversion"/>
  </si>
  <si>
    <t>F김진학
F송영연
F전용대
F유용진
F유기분</t>
    <phoneticPr fontId="42" type="noConversion"/>
  </si>
  <si>
    <t>F윤동석2
F유영만
F정창래2</t>
    <phoneticPr fontId="42" type="noConversion"/>
  </si>
  <si>
    <t>F이명덕
F유해진
F이재남4
F김진현2</t>
    <phoneticPr fontId="42" type="noConversion"/>
  </si>
  <si>
    <t>F장광청
F신인섭
F정진월
F유해진</t>
    <phoneticPr fontId="42" type="noConversion"/>
  </si>
  <si>
    <t>F조태은
F이흥식
F이순희5
F윤영섭
F곽홍기
F주현수2</t>
    <phoneticPr fontId="42" type="noConversion"/>
  </si>
  <si>
    <t>F김봉예
F이동열
F이영임
F김명숙19
F유기분</t>
    <phoneticPr fontId="42" type="noConversion"/>
  </si>
  <si>
    <t>F오정아
F권음전
F박경원2
F신옥남
F홍우표2</t>
    <phoneticPr fontId="42" type="noConversion"/>
  </si>
  <si>
    <t>추가</t>
    <phoneticPr fontId="42" type="noConversion"/>
  </si>
  <si>
    <t>NDT</t>
    <phoneticPr fontId="42" type="noConversion"/>
  </si>
  <si>
    <r>
      <rPr>
        <u/>
        <sz val="10"/>
        <rFont val="돋움"/>
        <family val="3"/>
        <charset val="129"/>
      </rPr>
      <t>N유영만</t>
    </r>
    <r>
      <rPr>
        <sz val="10"/>
        <rFont val="돋움"/>
        <family val="3"/>
        <charset val="129"/>
      </rPr>
      <t xml:space="preserve">
N김진현2</t>
    </r>
    <phoneticPr fontId="42" type="noConversion"/>
  </si>
  <si>
    <t>N이영임
N조태은</t>
    <phoneticPr fontId="42" type="noConversion"/>
  </si>
  <si>
    <t>N송영연
N장광청</t>
    <phoneticPr fontId="42" type="noConversion"/>
  </si>
  <si>
    <t>N전용대
N정규설</t>
    <phoneticPr fontId="42" type="noConversion"/>
  </si>
  <si>
    <t>N신인섭
N정진월</t>
    <phoneticPr fontId="42" type="noConversion"/>
  </si>
  <si>
    <t xml:space="preserve">N김문식3
</t>
    <phoneticPr fontId="42" type="noConversion"/>
  </si>
  <si>
    <t>N권음전
N김복묵</t>
    <phoneticPr fontId="42" type="noConversion"/>
  </si>
  <si>
    <r>
      <t xml:space="preserve">N이순희5
</t>
    </r>
    <r>
      <rPr>
        <u/>
        <sz val="10"/>
        <rFont val="돋움"/>
        <family val="3"/>
        <charset val="129"/>
      </rPr>
      <t>N이동열</t>
    </r>
    <phoneticPr fontId="40" type="noConversion"/>
  </si>
  <si>
    <t>N채남순
N김봉예</t>
    <phoneticPr fontId="42" type="noConversion"/>
  </si>
  <si>
    <t>N정창래2
N박경원2</t>
    <phoneticPr fontId="42" type="noConversion"/>
  </si>
  <si>
    <t xml:space="preserve">N김주식
N연현숙2
</t>
    <phoneticPr fontId="40" type="noConversion"/>
  </si>
  <si>
    <t>N윤동석2</t>
    <phoneticPr fontId="40" type="noConversion"/>
  </si>
  <si>
    <t xml:space="preserve">
</t>
    <phoneticPr fontId="42" type="noConversion"/>
  </si>
  <si>
    <t xml:space="preserve">N홍우표2
</t>
    <phoneticPr fontId="40" type="noConversion"/>
  </si>
  <si>
    <t>N이명덕</t>
    <phoneticPr fontId="40" type="noConversion"/>
  </si>
  <si>
    <t xml:space="preserve">
</t>
    <phoneticPr fontId="40" type="noConversion"/>
  </si>
  <si>
    <t>CA</t>
    <phoneticPr fontId="42" type="noConversion"/>
  </si>
  <si>
    <t>CA정진월</t>
    <phoneticPr fontId="42" type="noConversion"/>
  </si>
  <si>
    <t>CA홍우표</t>
    <phoneticPr fontId="40" type="noConversion"/>
  </si>
  <si>
    <t>CA이명덕</t>
    <phoneticPr fontId="40" type="noConversion"/>
  </si>
  <si>
    <t>CA이순희5</t>
    <phoneticPr fontId="42" type="noConversion"/>
  </si>
  <si>
    <t>D</t>
    <phoneticPr fontId="42" type="noConversion"/>
  </si>
  <si>
    <t>D정창래2
D이순희5</t>
    <phoneticPr fontId="40" type="noConversion"/>
  </si>
  <si>
    <t>D김문식3
D정창래2</t>
    <phoneticPr fontId="42" type="noConversion"/>
  </si>
  <si>
    <t>D이명덕</t>
    <phoneticPr fontId="42" type="noConversion"/>
  </si>
  <si>
    <t>D이영임
D홍우표2
D오정아</t>
    <phoneticPr fontId="40" type="noConversion"/>
  </si>
  <si>
    <t xml:space="preserve">D김복묵
</t>
    <phoneticPr fontId="40" type="noConversion"/>
  </si>
  <si>
    <t xml:space="preserve">
D권음전</t>
    <phoneticPr fontId="40" type="noConversion"/>
  </si>
  <si>
    <t>D유영만
D곽홍기</t>
    <phoneticPr fontId="42" type="noConversion"/>
  </si>
  <si>
    <t xml:space="preserve">
D이영임
D윤영섭</t>
    <phoneticPr fontId="42" type="noConversion"/>
  </si>
  <si>
    <t xml:space="preserve">
D유해진</t>
    <phoneticPr fontId="42" type="noConversion"/>
  </si>
  <si>
    <t>D김복묵
D정진월</t>
    <phoneticPr fontId="42" type="noConversion"/>
  </si>
  <si>
    <t>D김문식3</t>
    <phoneticPr fontId="40" type="noConversion"/>
  </si>
  <si>
    <t>D권음전
D유영만</t>
    <phoneticPr fontId="42" type="noConversion"/>
  </si>
  <si>
    <t>C</t>
    <phoneticPr fontId="42" type="noConversion"/>
  </si>
  <si>
    <t>C채남순</t>
    <phoneticPr fontId="42" type="noConversion"/>
  </si>
  <si>
    <t xml:space="preserve">
C신인섭</t>
    <phoneticPr fontId="42" type="noConversion"/>
  </si>
  <si>
    <t>C박경원2
C이순희5
C조태은</t>
    <phoneticPr fontId="42" type="noConversion"/>
  </si>
  <si>
    <r>
      <rPr>
        <u/>
        <sz val="10"/>
        <rFont val="돋움"/>
        <family val="3"/>
        <charset val="129"/>
      </rPr>
      <t>C이동열</t>
    </r>
    <r>
      <rPr>
        <sz val="10"/>
        <rFont val="돋움"/>
        <family val="3"/>
        <charset val="129"/>
      </rPr>
      <t xml:space="preserve">
C윤동석2</t>
    </r>
    <phoneticPr fontId="40" type="noConversion"/>
  </si>
  <si>
    <t xml:space="preserve">
C장광청</t>
    <phoneticPr fontId="42" type="noConversion"/>
  </si>
  <si>
    <t xml:space="preserve">
C정진월</t>
    <phoneticPr fontId="42" type="noConversion"/>
  </si>
  <si>
    <t>C김문식3</t>
    <phoneticPr fontId="42" type="noConversion"/>
  </si>
  <si>
    <t>C권음전
C이명덕
C전용대</t>
    <phoneticPr fontId="42" type="noConversion"/>
  </si>
  <si>
    <r>
      <t xml:space="preserve">C이영임
C정규설
</t>
    </r>
    <r>
      <rPr>
        <u/>
        <sz val="10"/>
        <rFont val="돋움"/>
        <family val="3"/>
        <charset val="129"/>
      </rPr>
      <t>C김진현2</t>
    </r>
    <phoneticPr fontId="40" type="noConversion"/>
  </si>
  <si>
    <t>C연현숙2
C홍우표2</t>
    <phoneticPr fontId="42" type="noConversion"/>
  </si>
  <si>
    <r>
      <rPr>
        <u/>
        <sz val="10"/>
        <rFont val="돋움"/>
        <family val="3"/>
        <charset val="129"/>
      </rPr>
      <t>C유영만</t>
    </r>
    <r>
      <rPr>
        <sz val="10"/>
        <rFont val="돋움"/>
        <family val="3"/>
        <charset val="129"/>
      </rPr>
      <t xml:space="preserve">
</t>
    </r>
    <r>
      <rPr>
        <u/>
        <sz val="10"/>
        <rFont val="돋움"/>
        <family val="3"/>
        <charset val="129"/>
      </rPr>
      <t>C김복묵</t>
    </r>
    <phoneticPr fontId="42" type="noConversion"/>
  </si>
  <si>
    <r>
      <t xml:space="preserve">C송영연
</t>
    </r>
    <r>
      <rPr>
        <u/>
        <sz val="10"/>
        <rFont val="돋움"/>
        <family val="3"/>
        <charset val="129"/>
      </rPr>
      <t>C김봉예</t>
    </r>
    <r>
      <rPr>
        <sz val="10"/>
        <rFont val="돋움"/>
        <family val="3"/>
        <charset val="129"/>
      </rPr>
      <t xml:space="preserve">
C정창래2</t>
    </r>
    <phoneticPr fontId="42" type="noConversion"/>
  </si>
  <si>
    <t>8:30~
9:00</t>
    <phoneticPr fontId="42" type="noConversion"/>
  </si>
  <si>
    <t>10:15~
10:45</t>
    <phoneticPr fontId="42" type="noConversion"/>
  </si>
  <si>
    <t>10:50~
11:20</t>
    <phoneticPr fontId="42" type="noConversion"/>
  </si>
  <si>
    <t>11:25~
11:55</t>
    <phoneticPr fontId="42" type="noConversion"/>
  </si>
  <si>
    <t>12:00~
12:30</t>
    <phoneticPr fontId="42" type="noConversion"/>
  </si>
  <si>
    <t>13:30~
14:00</t>
    <phoneticPr fontId="42" type="noConversion"/>
  </si>
  <si>
    <t>17:00~
17:30</t>
    <phoneticPr fontId="42" type="noConversion"/>
  </si>
  <si>
    <t>통증</t>
    <phoneticPr fontId="42" type="noConversion"/>
  </si>
  <si>
    <t xml:space="preserve">
오치영</t>
    <phoneticPr fontId="40" type="noConversion"/>
  </si>
  <si>
    <t>스케쥴 특이 사항 :  없음</t>
    <phoneticPr fontId="40" type="noConversion"/>
  </si>
  <si>
    <t>언어</t>
    <phoneticPr fontId="42" type="noConversion"/>
  </si>
  <si>
    <t>주현수2
정창래2(A)</t>
    <phoneticPr fontId="40" type="noConversion"/>
  </si>
  <si>
    <t xml:space="preserve">
김주식</t>
    <phoneticPr fontId="40" type="noConversion"/>
  </si>
  <si>
    <t>이두현</t>
    <phoneticPr fontId="40" type="noConversion"/>
  </si>
  <si>
    <t>로봇 /
 RG2-R</t>
    <phoneticPr fontId="42" type="noConversion"/>
  </si>
  <si>
    <t>이정례(A)</t>
    <phoneticPr fontId="40" type="noConversion"/>
  </si>
  <si>
    <t>김봉예(A)
오정아(B)
이정임4</t>
    <phoneticPr fontId="40" type="noConversion"/>
  </si>
  <si>
    <t>오정아(A)
이두현(B)
윤미기자(B)</t>
    <phoneticPr fontId="40" type="noConversion"/>
  </si>
  <si>
    <t>배희숙</t>
    <phoneticPr fontId="40" type="noConversion"/>
  </si>
  <si>
    <t>오정아(A)</t>
    <phoneticPr fontId="40" type="noConversion"/>
  </si>
  <si>
    <t>윤동석2(B)</t>
    <phoneticPr fontId="40" type="noConversion"/>
  </si>
  <si>
    <t>주현수2
김복묵(A)</t>
    <phoneticPr fontId="40" type="noConversion"/>
  </si>
  <si>
    <t>2층 도수</t>
    <phoneticPr fontId="42" type="noConversion"/>
  </si>
  <si>
    <t>김정자20</t>
    <phoneticPr fontId="40" type="noConversion"/>
  </si>
  <si>
    <t>이흥식(A)</t>
    <phoneticPr fontId="40" type="noConversion"/>
  </si>
  <si>
    <t>전산화인지</t>
    <phoneticPr fontId="42" type="noConversion"/>
  </si>
  <si>
    <t>수중</t>
    <phoneticPr fontId="42" type="noConversion"/>
  </si>
  <si>
    <t>주현수2</t>
    <phoneticPr fontId="40" type="noConversion"/>
  </si>
  <si>
    <t>3층 HOLD
오병찬님 11시이후 1시 까지 HOLD
이정례3님 오전 HOLD</t>
    <phoneticPr fontId="40" type="noConversion"/>
  </si>
  <si>
    <t xml:space="preserve">
MM김철기C
MM송진영C
</t>
    <phoneticPr fontId="40" type="noConversion"/>
  </si>
  <si>
    <t>M이흥식
M김명숙19C
M기상우C
M연현숙2C
M유용진S
M윤동석2S
M김진학Tt</t>
    <phoneticPr fontId="42" type="noConversion"/>
  </si>
  <si>
    <t>재활센터 시간표     2023. 10. 31 (화)</t>
    <phoneticPr fontId="42" type="noConversion"/>
  </si>
  <si>
    <t>4층 재활센터 시간표     2025. 11. 17 (월)</t>
    <phoneticPr fontId="42" type="noConversion"/>
  </si>
  <si>
    <t xml:space="preserve">           시간    치료사</t>
    <phoneticPr fontId="42" type="noConversion"/>
  </si>
  <si>
    <t>7:30~
8:00</t>
    <phoneticPr fontId="42" type="noConversion"/>
  </si>
  <si>
    <t>8:00~
8:30</t>
    <phoneticPr fontId="42" type="noConversion"/>
  </si>
  <si>
    <t>8:30~
9:00</t>
    <phoneticPr fontId="42" type="noConversion"/>
  </si>
  <si>
    <t>10:15~
10:45</t>
    <phoneticPr fontId="42" type="noConversion"/>
  </si>
  <si>
    <t>10:50~
11:20</t>
    <phoneticPr fontId="42" type="noConversion"/>
  </si>
  <si>
    <t>11:25~
11:55</t>
    <phoneticPr fontId="42" type="noConversion"/>
  </si>
  <si>
    <t>12:00~
12:30</t>
    <phoneticPr fontId="42" type="noConversion"/>
  </si>
  <si>
    <t>13:30~
14:00</t>
    <phoneticPr fontId="42" type="noConversion"/>
  </si>
  <si>
    <t>장희연</t>
    <phoneticPr fontId="42" type="noConversion"/>
  </si>
  <si>
    <t>단축근무</t>
    <phoneticPr fontId="42" type="noConversion"/>
  </si>
  <si>
    <t>N김진철4</t>
    <phoneticPr fontId="42" type="noConversion"/>
  </si>
  <si>
    <t>RG김진태5</t>
    <phoneticPr fontId="42" type="noConversion"/>
  </si>
  <si>
    <t>RN곽수열</t>
    <phoneticPr fontId="42" type="noConversion"/>
  </si>
  <si>
    <t>N송병태</t>
    <phoneticPr fontId="42" type="noConversion"/>
  </si>
  <si>
    <t>N우재천</t>
    <phoneticPr fontId="42" type="noConversion"/>
  </si>
  <si>
    <t>N오경호</t>
    <phoneticPr fontId="42" type="noConversion"/>
  </si>
  <si>
    <t>RA채규칠</t>
  </si>
  <si>
    <t>N박창현3</t>
    <phoneticPr fontId="42" type="noConversion"/>
  </si>
  <si>
    <t>N정상범3</t>
    <phoneticPr fontId="42" type="noConversion"/>
  </si>
  <si>
    <t xml:space="preserve">* 신환 </t>
    <phoneticPr fontId="42" type="noConversion"/>
  </si>
  <si>
    <t>채수현</t>
    <phoneticPr fontId="42" type="noConversion"/>
  </si>
  <si>
    <t>RM정농숙</t>
    <phoneticPr fontId="42" type="noConversion"/>
  </si>
  <si>
    <t>RM김석기2</t>
    <phoneticPr fontId="42" type="noConversion"/>
  </si>
  <si>
    <t>N박명숙10</t>
    <phoneticPr fontId="42" type="noConversion"/>
  </si>
  <si>
    <t>N한정완</t>
  </si>
  <si>
    <t>RN황춘자</t>
    <phoneticPr fontId="42" type="noConversion"/>
  </si>
  <si>
    <t>RG김진태5</t>
  </si>
  <si>
    <t>N장현성</t>
    <phoneticPr fontId="42" type="noConversion"/>
  </si>
  <si>
    <t>RM맹형열</t>
  </si>
  <si>
    <t>N김태수5</t>
    <phoneticPr fontId="42" type="noConversion"/>
  </si>
  <si>
    <t>RM조항만</t>
    <phoneticPr fontId="42" type="noConversion"/>
  </si>
  <si>
    <t>N이주민</t>
    <phoneticPr fontId="42" type="noConversion"/>
  </si>
  <si>
    <t>RM권영배</t>
  </si>
  <si>
    <t>이지은</t>
    <phoneticPr fontId="42" type="noConversion"/>
  </si>
  <si>
    <t>N조희자</t>
    <phoneticPr fontId="42" type="noConversion"/>
  </si>
  <si>
    <t>RM권영배</t>
    <phoneticPr fontId="42" type="noConversion"/>
  </si>
  <si>
    <t>홍민서</t>
    <phoneticPr fontId="42" type="noConversion"/>
  </si>
  <si>
    <t>N강점귀</t>
    <phoneticPr fontId="42" type="noConversion"/>
  </si>
  <si>
    <t>RM김갑태2</t>
    <phoneticPr fontId="42" type="noConversion"/>
  </si>
  <si>
    <t>N송수연2</t>
  </si>
  <si>
    <t>RM맹형열</t>
    <phoneticPr fontId="42" type="noConversion"/>
  </si>
  <si>
    <t>RN정묘순</t>
    <phoneticPr fontId="42" type="noConversion"/>
  </si>
  <si>
    <t>N권정숙</t>
    <phoneticPr fontId="42" type="noConversion"/>
  </si>
  <si>
    <t>RN우병주</t>
    <phoneticPr fontId="42" type="noConversion"/>
  </si>
  <si>
    <t>RN정농숙</t>
    <phoneticPr fontId="42" type="noConversion"/>
  </si>
  <si>
    <t>RM연미재</t>
    <phoneticPr fontId="42" type="noConversion"/>
  </si>
  <si>
    <t>RM염재호</t>
    <phoneticPr fontId="42" type="noConversion"/>
  </si>
  <si>
    <t>윤다은</t>
    <phoneticPr fontId="42" type="noConversion"/>
  </si>
  <si>
    <t>N송수연2</t>
    <phoneticPr fontId="42" type="noConversion"/>
  </si>
  <si>
    <t>RM곽수열</t>
    <phoneticPr fontId="42" type="noConversion"/>
  </si>
  <si>
    <t>RM채규칠</t>
    <phoneticPr fontId="42" type="noConversion"/>
  </si>
  <si>
    <t>N장덕한</t>
    <phoneticPr fontId="42" type="noConversion"/>
  </si>
  <si>
    <t>M7양덕점D</t>
    <phoneticPr fontId="42" type="noConversion"/>
  </si>
  <si>
    <t>RM황춘자</t>
    <phoneticPr fontId="42" type="noConversion"/>
  </si>
  <si>
    <t>RM정묘순</t>
    <phoneticPr fontId="42" type="noConversion"/>
  </si>
  <si>
    <t>RM목진구</t>
    <phoneticPr fontId="42" type="noConversion"/>
  </si>
  <si>
    <t>RM김을순2</t>
    <phoneticPr fontId="42" type="noConversion"/>
  </si>
  <si>
    <t>이혜림</t>
    <phoneticPr fontId="42" type="noConversion"/>
  </si>
  <si>
    <t>RG한상진</t>
    <phoneticPr fontId="42" type="noConversion"/>
  </si>
  <si>
    <t>RM김진권2</t>
    <phoneticPr fontId="42" type="noConversion"/>
  </si>
  <si>
    <t>RN조영란2</t>
    <phoneticPr fontId="42" type="noConversion"/>
  </si>
  <si>
    <t xml:space="preserve"> RG한청자2</t>
    <phoneticPr fontId="42" type="noConversion"/>
  </si>
  <si>
    <t>RM차미영3</t>
    <phoneticPr fontId="42" type="noConversion"/>
  </si>
  <si>
    <t>N오영환3</t>
    <phoneticPr fontId="42" type="noConversion"/>
  </si>
  <si>
    <t>RN목진구</t>
    <phoneticPr fontId="42" type="noConversion"/>
  </si>
  <si>
    <t>N이경순10</t>
    <phoneticPr fontId="42" type="noConversion"/>
  </si>
  <si>
    <t>윤영채</t>
    <phoneticPr fontId="42" type="noConversion"/>
  </si>
  <si>
    <t>M김태수5C
M이묘헌C
M박창현3C
M송수연2C
M김은미11S
M배영수Tt</t>
    <phoneticPr fontId="42" type="noConversion"/>
  </si>
  <si>
    <t>M손재영C
M정상범3C
M박명숙10C
M장덕한C
M김인기3S
M정화구S</t>
    <phoneticPr fontId="42" type="noConversion"/>
  </si>
  <si>
    <t>M한미송C
M이주민C
G양덕점C
M권순예S
M강점귀M
M송병태Tt</t>
    <phoneticPr fontId="42" type="noConversion"/>
  </si>
  <si>
    <t>M김은미11C
M권정숙C
M오경호C
M장현성S
Tt배영수Tt</t>
    <phoneticPr fontId="42" type="noConversion"/>
  </si>
  <si>
    <t>M김진철4C
M이산옥C
M한정완C
M박명숙10S
M송수연2T
M오영환3M</t>
    <phoneticPr fontId="42" type="noConversion"/>
  </si>
  <si>
    <t>M고해봉C
M조희자C
M우재천S
M홍은남M</t>
    <phoneticPr fontId="42" type="noConversion"/>
  </si>
  <si>
    <t>M이묘헌C
M신봉호C
M손재영C
M최무정C</t>
    <phoneticPr fontId="42" type="noConversion"/>
  </si>
  <si>
    <t>M권순예C
M김태수5S
M이주민T
M강점귀Tt</t>
    <phoneticPr fontId="42" type="noConversion"/>
  </si>
  <si>
    <t>M우재천C
M박창현3C
M권정숙S
M송병태S
M오영환3M</t>
    <phoneticPr fontId="42" type="noConversion"/>
  </si>
  <si>
    <t>M조희자C
M최무정C
M한정완C
M고해봉S
M이경순10T</t>
    <phoneticPr fontId="42" type="noConversion"/>
  </si>
  <si>
    <t>M한미송C
M김진철4S
M오경호S
M정상범3T
M배영수Tt</t>
    <phoneticPr fontId="42" type="noConversion"/>
  </si>
  <si>
    <t>M김인기3C
M장덕한C
M정화구C
M장현성C
M신봉호T</t>
    <phoneticPr fontId="42" type="noConversion"/>
  </si>
  <si>
    <t>MM황춘자C</t>
    <phoneticPr fontId="42" type="noConversion"/>
  </si>
  <si>
    <r>
      <rPr>
        <b/>
        <u/>
        <sz val="10"/>
        <rFont val="돋움"/>
        <family val="3"/>
        <charset val="129"/>
      </rPr>
      <t>MM곽수열님C</t>
    </r>
    <r>
      <rPr>
        <sz val="10"/>
        <rFont val="돋움"/>
        <family val="3"/>
        <charset val="129"/>
      </rPr>
      <t xml:space="preserve">
MM최의숙CPM
</t>
    </r>
    <r>
      <rPr>
        <b/>
        <u/>
        <sz val="10"/>
        <rFont val="돋움"/>
        <family val="3"/>
        <charset val="129"/>
      </rPr>
      <t>MM김갑태2M</t>
    </r>
    <r>
      <rPr>
        <sz val="10"/>
        <rFont val="돋움"/>
        <family val="3"/>
        <charset val="129"/>
      </rPr>
      <t xml:space="preserve">
</t>
    </r>
    <r>
      <rPr>
        <b/>
        <sz val="10"/>
        <color rgb="FFFF0000"/>
        <rFont val="돋움"/>
        <family val="3"/>
        <charset val="129"/>
      </rPr>
      <t>MM한상진C</t>
    </r>
    <r>
      <rPr>
        <sz val="10"/>
        <rFont val="돋움"/>
        <family val="3"/>
        <charset val="129"/>
      </rPr>
      <t xml:space="preserve">
MM차미영3T
MM이준구2Tt</t>
    </r>
    <phoneticPr fontId="42" type="noConversion"/>
  </si>
  <si>
    <t>MM김진태5C</t>
    <phoneticPr fontId="42" type="noConversion"/>
  </si>
  <si>
    <r>
      <rPr>
        <b/>
        <u/>
        <sz val="10"/>
        <rFont val="돋움"/>
        <family val="3"/>
        <charset val="129"/>
      </rPr>
      <t>MM정농숙C</t>
    </r>
    <r>
      <rPr>
        <sz val="10"/>
        <rFont val="돋움"/>
        <family val="3"/>
        <charset val="129"/>
      </rPr>
      <t xml:space="preserve">
</t>
    </r>
    <r>
      <rPr>
        <b/>
        <sz val="10"/>
        <color rgb="FFFF0000"/>
        <rFont val="돋움"/>
        <family val="3"/>
        <charset val="129"/>
      </rPr>
      <t>MM연미재Tt</t>
    </r>
    <r>
      <rPr>
        <sz val="10"/>
        <rFont val="돋움"/>
        <family val="3"/>
        <charset val="129"/>
      </rPr>
      <t xml:space="preserve">
MM정묘순Tt
MM김석기2C</t>
    </r>
    <phoneticPr fontId="42" type="noConversion"/>
  </si>
  <si>
    <r>
      <t xml:space="preserve">MM조항만C
MM목진구C
</t>
    </r>
    <r>
      <rPr>
        <b/>
        <u/>
        <sz val="10"/>
        <rFont val="돋움"/>
        <family val="3"/>
        <charset val="129"/>
      </rPr>
      <t>MM정농숙S</t>
    </r>
    <r>
      <rPr>
        <sz val="10"/>
        <rFont val="돋움"/>
        <family val="3"/>
        <charset val="129"/>
      </rPr>
      <t xml:space="preserve">
</t>
    </r>
    <r>
      <rPr>
        <b/>
        <u/>
        <sz val="10"/>
        <rFont val="돋움"/>
        <family val="3"/>
        <charset val="129"/>
      </rPr>
      <t>MM조남옥2
CPM</t>
    </r>
    <r>
      <rPr>
        <sz val="10"/>
        <rFont val="돋움"/>
        <family val="3"/>
        <charset val="129"/>
      </rPr>
      <t xml:space="preserve">
MM조영란2C</t>
    </r>
    <phoneticPr fontId="42" type="noConversion"/>
  </si>
  <si>
    <r>
      <rPr>
        <sz val="10"/>
        <color theme="1"/>
        <rFont val="돋움"/>
        <family val="3"/>
        <charset val="129"/>
      </rPr>
      <t>MM우병주S</t>
    </r>
    <r>
      <rPr>
        <sz val="10"/>
        <rFont val="돋움"/>
        <family val="3"/>
        <charset val="129"/>
      </rPr>
      <t xml:space="preserve">
MM김진권2S
</t>
    </r>
    <r>
      <rPr>
        <b/>
        <u/>
        <sz val="10"/>
        <rFont val="돋움"/>
        <family val="3"/>
        <charset val="129"/>
      </rPr>
      <t>MM정태철Tt</t>
    </r>
    <r>
      <rPr>
        <sz val="10"/>
        <rFont val="돋움"/>
        <family val="3"/>
        <charset val="129"/>
      </rPr>
      <t xml:space="preserve">
MM한청자2CPM
MM채규칠T</t>
    </r>
    <phoneticPr fontId="42" type="noConversion"/>
  </si>
  <si>
    <t>MM김진권2C
MM연미재C
MM한상진C(B)
MM조항만S
MM최의숙CPM
MM차미영3C</t>
    <phoneticPr fontId="42" type="noConversion"/>
  </si>
  <si>
    <r>
      <t>MM김진태5C
MM한청자2CPM</t>
    </r>
    <r>
      <rPr>
        <sz val="10"/>
        <color theme="1"/>
        <rFont val="돋움"/>
        <family val="3"/>
        <charset val="129"/>
      </rPr>
      <t xml:space="preserve">
</t>
    </r>
    <r>
      <rPr>
        <b/>
        <u/>
        <sz val="10"/>
        <color theme="1"/>
        <rFont val="돋움"/>
        <family val="3"/>
        <charset val="129"/>
      </rPr>
      <t>MM맹형열T</t>
    </r>
    <r>
      <rPr>
        <sz val="10"/>
        <color theme="1"/>
        <rFont val="돋움"/>
        <family val="3"/>
        <charset val="129"/>
      </rPr>
      <t xml:space="preserve">
MM채규칠C</t>
    </r>
    <phoneticPr fontId="42" type="noConversion"/>
  </si>
  <si>
    <r>
      <t>MM우병주C
MM목진구C
MM황춘자CPM</t>
    </r>
    <r>
      <rPr>
        <sz val="10"/>
        <color theme="1"/>
        <rFont val="돋움"/>
        <family val="3"/>
        <charset val="129"/>
      </rPr>
      <t xml:space="preserve">
</t>
    </r>
    <r>
      <rPr>
        <b/>
        <u/>
        <sz val="10"/>
        <color theme="1"/>
        <rFont val="돋움"/>
        <family val="3"/>
        <charset val="129"/>
      </rPr>
      <t>MM김갑태2Tt</t>
    </r>
    <phoneticPr fontId="42" type="noConversion"/>
  </si>
  <si>
    <r>
      <t xml:space="preserve">MM김을순2C
</t>
    </r>
    <r>
      <rPr>
        <b/>
        <u/>
        <sz val="10"/>
        <rFont val="돋움"/>
        <family val="3"/>
        <charset val="129"/>
      </rPr>
      <t>MM맹형열C</t>
    </r>
    <r>
      <rPr>
        <sz val="10"/>
        <rFont val="돋움"/>
        <family val="3"/>
        <charset val="129"/>
      </rPr>
      <t xml:space="preserve">
MM김무길C
MM정묘순M
MM김석기2C</t>
    </r>
    <phoneticPr fontId="42" type="noConversion"/>
  </si>
  <si>
    <r>
      <rPr>
        <b/>
        <u/>
        <sz val="10"/>
        <rFont val="돋움"/>
        <family val="3"/>
        <charset val="129"/>
      </rPr>
      <t>MM곽수열S</t>
    </r>
    <r>
      <rPr>
        <sz val="10"/>
        <rFont val="돋움"/>
        <family val="3"/>
        <charset val="129"/>
      </rPr>
      <t xml:space="preserve">
</t>
    </r>
    <r>
      <rPr>
        <b/>
        <u/>
        <sz val="10"/>
        <rFont val="돋움"/>
        <family val="3"/>
        <charset val="129"/>
      </rPr>
      <t>MM조남옥2
CPM</t>
    </r>
    <r>
      <rPr>
        <sz val="10"/>
        <rFont val="돋움"/>
        <family val="3"/>
        <charset val="129"/>
      </rPr>
      <t xml:space="preserve">
MM조영란2C</t>
    </r>
    <phoneticPr fontId="42" type="noConversion"/>
  </si>
  <si>
    <t>유다영</t>
    <phoneticPr fontId="42" type="noConversion"/>
  </si>
  <si>
    <t>N이산옥</t>
    <phoneticPr fontId="42" type="noConversion"/>
  </si>
  <si>
    <t>RM우병주</t>
    <phoneticPr fontId="42" type="noConversion"/>
  </si>
  <si>
    <t>N김은미11</t>
    <phoneticPr fontId="42" type="noConversion"/>
  </si>
  <si>
    <t>RN김갑태2</t>
    <phoneticPr fontId="42" type="noConversion"/>
  </si>
  <si>
    <t>RG김무길</t>
    <phoneticPr fontId="42" type="noConversion"/>
  </si>
  <si>
    <t xml:space="preserve">  * 변경사항</t>
    <phoneticPr fontId="42" type="noConversion"/>
  </si>
  <si>
    <t>전진현</t>
    <phoneticPr fontId="42" type="noConversion"/>
  </si>
  <si>
    <t>RM정태철</t>
    <phoneticPr fontId="42" type="noConversion"/>
  </si>
  <si>
    <t>N손재영</t>
    <phoneticPr fontId="42" type="noConversion"/>
  </si>
  <si>
    <t>N고해봉</t>
    <phoneticPr fontId="42" type="noConversion"/>
  </si>
  <si>
    <t>N권순예</t>
    <phoneticPr fontId="42" type="noConversion"/>
  </si>
  <si>
    <t>RN이준구2</t>
    <phoneticPr fontId="42" type="noConversion"/>
  </si>
  <si>
    <t>N박창현3</t>
  </si>
  <si>
    <t>RA이준구2</t>
  </si>
  <si>
    <t>N이묘헌</t>
    <phoneticPr fontId="72" type="noConversion"/>
  </si>
  <si>
    <t>박나은</t>
    <phoneticPr fontId="42" type="noConversion"/>
  </si>
  <si>
    <t>RM곽수열님</t>
    <phoneticPr fontId="42" type="noConversion"/>
  </si>
  <si>
    <t>N한미송</t>
    <phoneticPr fontId="42" type="noConversion"/>
  </si>
  <si>
    <t>N신봉호</t>
    <phoneticPr fontId="42" type="noConversion"/>
  </si>
  <si>
    <t>N김인기3</t>
    <phoneticPr fontId="42" type="noConversion"/>
  </si>
  <si>
    <t>N한정완</t>
    <phoneticPr fontId="42" type="noConversion"/>
  </si>
  <si>
    <t>RM이준구2</t>
    <phoneticPr fontId="42" type="noConversion"/>
  </si>
  <si>
    <t>RN맹형열</t>
    <phoneticPr fontId="42" type="noConversion"/>
  </si>
  <si>
    <t>최현수</t>
    <phoneticPr fontId="42" type="noConversion"/>
  </si>
  <si>
    <t>N홍은남</t>
    <phoneticPr fontId="42" type="noConversion"/>
  </si>
  <si>
    <t>MM한상진C</t>
  </si>
  <si>
    <t>RN김을순2</t>
    <phoneticPr fontId="42" type="noConversion"/>
  </si>
  <si>
    <t>N정화구</t>
    <phoneticPr fontId="42" type="noConversion"/>
  </si>
  <si>
    <t>RM조영란2</t>
    <phoneticPr fontId="42" type="noConversion"/>
  </si>
  <si>
    <t>RN권영배</t>
    <phoneticPr fontId="42" type="noConversion"/>
  </si>
  <si>
    <t>RG한청자2</t>
    <phoneticPr fontId="42" type="noConversion"/>
  </si>
  <si>
    <t>송영규</t>
    <phoneticPr fontId="42" type="noConversion"/>
  </si>
  <si>
    <t>간호간병</t>
    <phoneticPr fontId="42" type="noConversion"/>
  </si>
  <si>
    <t>RN채규칠</t>
  </si>
  <si>
    <t>RG최의숙</t>
    <phoneticPr fontId="42" type="noConversion"/>
  </si>
  <si>
    <t>RG조남옥2</t>
    <phoneticPr fontId="42" type="noConversion"/>
  </si>
  <si>
    <t>범성희</t>
    <phoneticPr fontId="42" type="noConversion"/>
  </si>
  <si>
    <t>RA권영배</t>
    <phoneticPr fontId="42" type="noConversion"/>
  </si>
  <si>
    <t>CA권순예</t>
    <phoneticPr fontId="42" type="noConversion"/>
  </si>
  <si>
    <t>RA정농숙</t>
    <phoneticPr fontId="42" type="noConversion"/>
  </si>
  <si>
    <t>CA정상범3</t>
  </si>
  <si>
    <t>RS차미영3</t>
    <phoneticPr fontId="42" type="noConversion"/>
  </si>
  <si>
    <t>CA이묘헌</t>
    <phoneticPr fontId="42" type="noConversion"/>
  </si>
  <si>
    <t>CA조희자</t>
    <phoneticPr fontId="42" type="noConversion"/>
  </si>
  <si>
    <t>RA최의숙</t>
    <phoneticPr fontId="42" type="noConversion"/>
  </si>
  <si>
    <t>CA장현성</t>
    <phoneticPr fontId="42" type="noConversion"/>
  </si>
  <si>
    <t>O7박명숙10A</t>
  </si>
  <si>
    <t>이현아</t>
    <phoneticPr fontId="42" type="noConversion"/>
  </si>
  <si>
    <t>RA김무길</t>
    <phoneticPr fontId="42" type="noConversion"/>
  </si>
  <si>
    <t>CA김태수5</t>
    <phoneticPr fontId="42" type="noConversion"/>
  </si>
  <si>
    <t>RD이준구2</t>
    <phoneticPr fontId="42" type="noConversion"/>
  </si>
  <si>
    <t>RA정묘순</t>
    <phoneticPr fontId="42" type="noConversion"/>
  </si>
  <si>
    <t>D이주민</t>
    <phoneticPr fontId="42" type="noConversion"/>
  </si>
  <si>
    <t>CA권정숙</t>
    <phoneticPr fontId="42" type="noConversion"/>
  </si>
  <si>
    <t>C김인기3</t>
    <phoneticPr fontId="42" type="noConversion"/>
  </si>
  <si>
    <t>CA장덕한</t>
    <phoneticPr fontId="42" type="noConversion"/>
  </si>
  <si>
    <t>RA연미재</t>
    <phoneticPr fontId="42" type="noConversion"/>
  </si>
  <si>
    <t>RM곽수열</t>
  </si>
  <si>
    <t xml:space="preserve">  * 퇴원 및 HOLD</t>
    <phoneticPr fontId="42" type="noConversion"/>
  </si>
  <si>
    <t>유희주</t>
    <phoneticPr fontId="42" type="noConversion"/>
  </si>
  <si>
    <t>CA오영환3</t>
    <phoneticPr fontId="42" type="noConversion"/>
  </si>
  <si>
    <t>RD김석기2</t>
    <phoneticPr fontId="42" type="noConversion"/>
  </si>
  <si>
    <t>MM연미재Tt</t>
    <phoneticPr fontId="42" type="noConversion"/>
  </si>
  <si>
    <t>RS우병주</t>
    <phoneticPr fontId="42" type="noConversion"/>
  </si>
  <si>
    <t>RA한상진</t>
    <phoneticPr fontId="42" type="noConversion"/>
  </si>
  <si>
    <t>O7양덕점D</t>
    <phoneticPr fontId="42" type="noConversion"/>
  </si>
  <si>
    <t>CA김인기3</t>
    <phoneticPr fontId="42" type="noConversion"/>
  </si>
  <si>
    <t>H송병태</t>
    <phoneticPr fontId="42" type="noConversion"/>
  </si>
  <si>
    <t>RA차미영3</t>
    <phoneticPr fontId="42" type="noConversion"/>
  </si>
  <si>
    <t>RS목진구</t>
    <phoneticPr fontId="42" type="noConversion"/>
  </si>
  <si>
    <t>이지원</t>
    <phoneticPr fontId="42" type="noConversion"/>
  </si>
  <si>
    <t>CA우재천</t>
    <phoneticPr fontId="42" type="noConversion"/>
  </si>
  <si>
    <t>RA김을순2</t>
    <phoneticPr fontId="42" type="noConversion"/>
  </si>
  <si>
    <t>CA박창현3</t>
  </si>
  <si>
    <t>RS조영란2</t>
    <phoneticPr fontId="42" type="noConversion"/>
  </si>
  <si>
    <t>D오경호V</t>
    <phoneticPr fontId="72" type="noConversion"/>
  </si>
  <si>
    <t>RA곽수열</t>
    <phoneticPr fontId="42" type="noConversion"/>
  </si>
  <si>
    <t>RA김석기2</t>
    <phoneticPr fontId="42" type="noConversion"/>
  </si>
  <si>
    <t>RA조항만</t>
    <phoneticPr fontId="42" type="noConversion"/>
  </si>
  <si>
    <t>C이주민</t>
    <phoneticPr fontId="42" type="noConversion"/>
  </si>
  <si>
    <t>RD황춘자</t>
    <phoneticPr fontId="42" type="noConversion"/>
  </si>
  <si>
    <t>RA맹형열</t>
    <phoneticPr fontId="42" type="noConversion"/>
  </si>
  <si>
    <t>이효정</t>
    <phoneticPr fontId="42" type="noConversion"/>
  </si>
  <si>
    <t>정호용</t>
    <phoneticPr fontId="42" type="noConversion"/>
  </si>
  <si>
    <t>RS정농숙</t>
    <phoneticPr fontId="42" type="noConversion"/>
  </si>
  <si>
    <t>RA한청자2</t>
    <phoneticPr fontId="42" type="noConversion"/>
  </si>
  <si>
    <t>RA김진태5</t>
    <phoneticPr fontId="42" type="noConversion"/>
  </si>
  <si>
    <t>CA고해봉</t>
    <phoneticPr fontId="42" type="noConversion"/>
  </si>
  <si>
    <t>CA손재영</t>
    <phoneticPr fontId="72" type="noConversion"/>
  </si>
  <si>
    <t>RD정묘순</t>
    <phoneticPr fontId="42" type="noConversion"/>
  </si>
  <si>
    <t>C이경순10
C고해봉</t>
    <phoneticPr fontId="42" type="noConversion"/>
  </si>
  <si>
    <t>CA이주민</t>
    <phoneticPr fontId="42" type="noConversion"/>
  </si>
  <si>
    <t>CA오경호</t>
    <phoneticPr fontId="42" type="noConversion"/>
  </si>
  <si>
    <t>D손재영V</t>
    <phoneticPr fontId="72" type="noConversion"/>
  </si>
  <si>
    <t>RA김진권2</t>
    <phoneticPr fontId="42" type="noConversion"/>
  </si>
  <si>
    <t>RA최의숙</t>
    <phoneticPr fontId="42" type="noConversion"/>
  </si>
  <si>
    <t>CA홍은남</t>
    <phoneticPr fontId="42" type="noConversion"/>
  </si>
  <si>
    <t>RS김갑태2</t>
    <phoneticPr fontId="42" type="noConversion"/>
  </si>
  <si>
    <t>C오경호
C박창현3</t>
    <phoneticPr fontId="42" type="noConversion"/>
  </si>
  <si>
    <t>RA조영란2</t>
    <phoneticPr fontId="42" type="noConversion"/>
  </si>
  <si>
    <t>RS조항만</t>
    <phoneticPr fontId="42" type="noConversion"/>
  </si>
  <si>
    <t>CA송병태</t>
    <phoneticPr fontId="42" type="noConversion"/>
  </si>
  <si>
    <t>이진주</t>
    <phoneticPr fontId="42" type="noConversion"/>
  </si>
  <si>
    <t>RA목진구</t>
    <phoneticPr fontId="42" type="noConversion"/>
  </si>
  <si>
    <t>RA조남옥2</t>
    <phoneticPr fontId="42" type="noConversion"/>
  </si>
  <si>
    <t>RA김갑태2</t>
    <phoneticPr fontId="42" type="noConversion"/>
  </si>
  <si>
    <t>RS곽수열</t>
    <phoneticPr fontId="42" type="noConversion"/>
  </si>
  <si>
    <t>RS김진권2</t>
  </si>
  <si>
    <t>이소미
(연차)</t>
    <phoneticPr fontId="42" type="noConversion"/>
  </si>
  <si>
    <t>D홍은남</t>
    <phoneticPr fontId="42" type="noConversion"/>
  </si>
  <si>
    <t xml:space="preserve">* 당일시간변경 </t>
    <phoneticPr fontId="42" type="noConversion"/>
  </si>
  <si>
    <t>오성균</t>
    <phoneticPr fontId="42" type="noConversion"/>
  </si>
  <si>
    <t>RS연미재</t>
    <phoneticPr fontId="42" type="noConversion"/>
  </si>
  <si>
    <t>RS맹형열</t>
    <phoneticPr fontId="42" type="noConversion"/>
  </si>
  <si>
    <t>CA신봉호</t>
    <phoneticPr fontId="42" type="noConversion"/>
  </si>
  <si>
    <t>D송병태</t>
    <phoneticPr fontId="42" type="noConversion"/>
  </si>
  <si>
    <t>이수연</t>
    <phoneticPr fontId="42" type="noConversion"/>
  </si>
  <si>
    <t>RA맹형열</t>
    <phoneticPr fontId="42" type="noConversion"/>
  </si>
  <si>
    <t>D이산옥V</t>
    <phoneticPr fontId="42" type="noConversion"/>
  </si>
  <si>
    <t>RN연미재</t>
  </si>
  <si>
    <t>O7양덕점D</t>
  </si>
  <si>
    <t>CA박명숙10</t>
  </si>
  <si>
    <t>CA정화구</t>
    <phoneticPr fontId="42" type="noConversion"/>
  </si>
  <si>
    <t>이유빈</t>
    <phoneticPr fontId="42" type="noConversion"/>
  </si>
  <si>
    <t>D김인기3V</t>
    <phoneticPr fontId="42" type="noConversion"/>
  </si>
  <si>
    <t>CA이산옥</t>
    <phoneticPr fontId="42" type="noConversion"/>
  </si>
  <si>
    <t>RA우병주</t>
    <phoneticPr fontId="42" type="noConversion"/>
  </si>
  <si>
    <t>D강점귀V</t>
    <phoneticPr fontId="42" type="noConversion"/>
  </si>
  <si>
    <t>팀장</t>
    <phoneticPr fontId="42" type="noConversion"/>
  </si>
  <si>
    <t>이송희
(연차)</t>
    <phoneticPr fontId="42" type="noConversion"/>
  </si>
  <si>
    <t>계장</t>
    <phoneticPr fontId="42" type="noConversion"/>
  </si>
  <si>
    <t>CA김은미11</t>
    <phoneticPr fontId="42" type="noConversion"/>
  </si>
  <si>
    <t>신지아
(공가)</t>
    <phoneticPr fontId="42" type="noConversion"/>
  </si>
  <si>
    <t>* A : 박명숙10님, 김남규4님
* B : 정화구님, 김남규4님, 한상진(A오후 투석)
* 추가치료 거부 : 신봉호님, 목진구님(기구희망)
* TT2대 : 10:15, 10:50 / 코끼리6대 : 9:05, 11:25
* 3층 치료 : 11/4 시작. 2타임</t>
    <phoneticPr fontId="42" type="noConversion"/>
  </si>
  <si>
    <t>최유진</t>
    <phoneticPr fontId="42" type="noConversion"/>
  </si>
  <si>
    <t>F한미송
F박창현3
F이주민
F고해봉</t>
    <phoneticPr fontId="42" type="noConversion"/>
  </si>
  <si>
    <t>F김태수5
F이묘헌
F김인기3
F송수연2</t>
    <phoneticPr fontId="42" type="noConversion"/>
  </si>
  <si>
    <t>F이산옥
F송병태
F강점귀</t>
    <phoneticPr fontId="42" type="noConversion"/>
  </si>
  <si>
    <t>F우재천
F장현성
F김은미11</t>
    <phoneticPr fontId="42" type="noConversion"/>
  </si>
  <si>
    <t>F권정숙
F장덕한
F박명숙10
F오영환3
F권순예</t>
    <phoneticPr fontId="42" type="noConversion"/>
  </si>
  <si>
    <t>F오경호</t>
    <phoneticPr fontId="42" type="noConversion"/>
  </si>
  <si>
    <t>F손재영</t>
    <phoneticPr fontId="42" type="noConversion"/>
  </si>
  <si>
    <t>F최무정
F조희자
F한정완
F정화구</t>
    <phoneticPr fontId="42" type="noConversion"/>
  </si>
  <si>
    <t>F신봉호
F김진철4
F정상범3
F배영수</t>
    <phoneticPr fontId="42" type="noConversion"/>
  </si>
  <si>
    <t xml:space="preserve">
단축근무
</t>
    <phoneticPr fontId="42" type="noConversion"/>
  </si>
  <si>
    <t>추가</t>
    <phoneticPr fontId="42" type="noConversion"/>
  </si>
  <si>
    <t>NDT</t>
    <phoneticPr fontId="42" type="noConversion"/>
  </si>
  <si>
    <t>N최무정
N송병태
N박명숙10</t>
    <phoneticPr fontId="42" type="noConversion"/>
  </si>
  <si>
    <t>N우재천
N조희자</t>
    <phoneticPr fontId="42" type="noConversion"/>
  </si>
  <si>
    <t>N김태수5
N이묘헌
N손재영</t>
    <phoneticPr fontId="42" type="noConversion"/>
  </si>
  <si>
    <t>N강점귀
N정상범3</t>
    <phoneticPr fontId="42" type="noConversion"/>
  </si>
  <si>
    <t>N한미송
N배영수</t>
    <phoneticPr fontId="42" type="noConversion"/>
  </si>
  <si>
    <r>
      <rPr>
        <sz val="10"/>
        <color theme="1"/>
        <rFont val="돋움"/>
        <family val="3"/>
        <charset val="129"/>
      </rPr>
      <t>N장현성</t>
    </r>
    <r>
      <rPr>
        <sz val="10"/>
        <rFont val="돋움"/>
        <family val="3"/>
        <charset val="129"/>
      </rPr>
      <t xml:space="preserve">
N김은미11</t>
    </r>
    <phoneticPr fontId="42" type="noConversion"/>
  </si>
  <si>
    <t>N정화구
N장덕한</t>
    <phoneticPr fontId="42" type="noConversion"/>
  </si>
  <si>
    <t>CA</t>
    <phoneticPr fontId="42" type="noConversion"/>
  </si>
  <si>
    <t>CA강점귀</t>
    <phoneticPr fontId="42" type="noConversion"/>
  </si>
  <si>
    <t>D</t>
    <phoneticPr fontId="42" type="noConversion"/>
  </si>
  <si>
    <t>D오경호</t>
    <phoneticPr fontId="42" type="noConversion"/>
  </si>
  <si>
    <t>D김인기3</t>
    <phoneticPr fontId="42" type="noConversion"/>
  </si>
  <si>
    <t>D손재영</t>
    <phoneticPr fontId="42" type="noConversion"/>
  </si>
  <si>
    <t>D이산옥</t>
    <phoneticPr fontId="42" type="noConversion"/>
  </si>
  <si>
    <t>D강점귀</t>
    <phoneticPr fontId="42" type="noConversion"/>
  </si>
  <si>
    <t>D배영수</t>
    <phoneticPr fontId="42" type="noConversion"/>
  </si>
  <si>
    <t>C</t>
    <phoneticPr fontId="42" type="noConversion"/>
  </si>
  <si>
    <t>C배영수</t>
    <phoneticPr fontId="42" type="noConversion"/>
  </si>
  <si>
    <t xml:space="preserve"> C최무정</t>
    <phoneticPr fontId="42" type="noConversion"/>
  </si>
  <si>
    <t>C장덕한
C정상범3</t>
    <phoneticPr fontId="42" type="noConversion"/>
  </si>
  <si>
    <t>C오영환3
C우재천</t>
    <phoneticPr fontId="42" type="noConversion"/>
  </si>
  <si>
    <t>C손재영</t>
    <phoneticPr fontId="42" type="noConversion"/>
  </si>
  <si>
    <t>C김태수5</t>
    <phoneticPr fontId="42" type="noConversion"/>
  </si>
  <si>
    <t>C권순예
C홍은남
C강점귀</t>
    <phoneticPr fontId="42" type="noConversion"/>
  </si>
  <si>
    <t>C김은미11</t>
    <phoneticPr fontId="42" type="noConversion"/>
  </si>
  <si>
    <r>
      <t xml:space="preserve">C이산옥
</t>
    </r>
    <r>
      <rPr>
        <sz val="10"/>
        <color theme="1"/>
        <rFont val="돋움"/>
        <family val="3"/>
        <charset val="129"/>
      </rPr>
      <t>C이묘헌</t>
    </r>
    <phoneticPr fontId="42" type="noConversion"/>
  </si>
  <si>
    <t>C박명숙10
C정화구</t>
    <phoneticPr fontId="42" type="noConversion"/>
  </si>
  <si>
    <r>
      <t xml:space="preserve">C송병태
</t>
    </r>
    <r>
      <rPr>
        <sz val="10"/>
        <color theme="1"/>
        <rFont val="돋움"/>
        <family val="3"/>
        <charset val="129"/>
      </rPr>
      <t>C조희자</t>
    </r>
    <phoneticPr fontId="42" type="noConversion"/>
  </si>
  <si>
    <t>C장현성
C권정숙</t>
    <phoneticPr fontId="42" type="noConversion"/>
  </si>
  <si>
    <r>
      <t>회복기 MM :  정농숙, 우병주,</t>
    </r>
    <r>
      <rPr>
        <sz val="11"/>
        <color theme="0" tint="-0.249977111117893"/>
        <rFont val="돋움"/>
        <family val="3"/>
        <charset val="129"/>
      </rPr>
      <t xml:space="preserve"> </t>
    </r>
    <r>
      <rPr>
        <sz val="11"/>
        <rFont val="돋움"/>
        <family val="3"/>
        <charset val="129"/>
      </rPr>
      <t>맹형열, 황춘자, 김진권2, 조항만, 채규칠, 정태철, 김석기2, 곽수열님, 차미영3, 염재호,  이인기3(RG), 권영배, 김진태, 김을순2, 
                    한청자2(RG), 김남규4, 조남옥2(RG), RG한상진, 조영란2, 염미재, 이준구2, 정묘순, 김무길(RG)
NDT : 최무정, 강점귀, 우재천, 김태수5, 조희자, 권순예, 장현성, 이산옥,  권정숙, 신봉호(거부), 홍은남, 송병태, 박명숙10, 김은미11, 이묘헌, 정상범3, 장덕한, 한미송(para), 정화구
         배영수, 오영환3, 손재영
CA : 강점귀
D : 강점귀, 이산옥, 송병태, 김인기3, 배영수, 오경호, 손재영
C : 최무정, 강점귀, 우재천, 김태수5, 조희자, ,권순예, 이산옥, 권정숙, 장현성, 신봉호(거부), 홍은남, 송병태, 박명숙10, 김은미11, 이묘헌, 정상범3, 장덕한, 정화구, 배영수, 오영환3, 손재영</t>
    </r>
    <phoneticPr fontId="42" type="noConversion"/>
  </si>
  <si>
    <t>10:50~
11:20</t>
    <phoneticPr fontId="42" type="noConversion"/>
  </si>
  <si>
    <t>16:25~
16:55</t>
    <phoneticPr fontId="42" type="noConversion"/>
  </si>
  <si>
    <t>통증</t>
    <phoneticPr fontId="42" type="noConversion"/>
  </si>
  <si>
    <t>조희자
우병주</t>
    <phoneticPr fontId="42" type="noConversion"/>
  </si>
  <si>
    <t>김갑태2</t>
    <phoneticPr fontId="42" type="noConversion"/>
  </si>
  <si>
    <t>채규칠
박명숙10</t>
    <phoneticPr fontId="42" type="noConversion"/>
  </si>
  <si>
    <t>황춘자</t>
    <phoneticPr fontId="42" type="noConversion"/>
  </si>
  <si>
    <t>언어</t>
    <phoneticPr fontId="42" type="noConversion"/>
  </si>
  <si>
    <t>L7정화구(A)</t>
    <phoneticPr fontId="42" type="noConversion"/>
  </si>
  <si>
    <t>로봇 /
 RG2-R</t>
    <phoneticPr fontId="42" type="noConversion"/>
  </si>
  <si>
    <t>W조영란2(A)
W김인기3(B)</t>
    <phoneticPr fontId="42" type="noConversion"/>
  </si>
  <si>
    <t>H7김남규4(B)</t>
    <phoneticPr fontId="42" type="noConversion"/>
  </si>
  <si>
    <t>김진철4
RG2R채규칠</t>
    <phoneticPr fontId="42" type="noConversion"/>
  </si>
  <si>
    <t>H7정화구(B)</t>
    <phoneticPr fontId="42" type="noConversion"/>
  </si>
  <si>
    <t>H7맹형열(D)
W배영수님(B)
W정화구(A)</t>
    <phoneticPr fontId="42" type="noConversion"/>
  </si>
  <si>
    <t>W황춘자(A)
W김남규4(B)</t>
    <phoneticPr fontId="42" type="noConversion"/>
  </si>
  <si>
    <t>2층 도수</t>
    <phoneticPr fontId="42" type="noConversion"/>
  </si>
  <si>
    <t>전산화인지</t>
    <phoneticPr fontId="42" type="noConversion"/>
  </si>
  <si>
    <t>RA채규칠</t>
    <phoneticPr fontId="42" type="noConversion"/>
  </si>
  <si>
    <t>12:00~
12:30</t>
    <phoneticPr fontId="42" type="noConversion"/>
  </si>
  <si>
    <t>16:25~
16:55</t>
    <phoneticPr fontId="42" type="noConversion"/>
  </si>
  <si>
    <t>3층</t>
    <phoneticPr fontId="42" type="noConversion"/>
  </si>
  <si>
    <r>
      <t>R</t>
    </r>
    <r>
      <rPr>
        <sz val="10"/>
        <color theme="1"/>
        <rFont val="돋움"/>
        <family val="2"/>
        <charset val="129"/>
      </rPr>
      <t>A한상진</t>
    </r>
    <phoneticPr fontId="42" type="noConversion"/>
  </si>
  <si>
    <t>5층 재활센터 시간표     2025. 11. 17 (월)</t>
    <phoneticPr fontId="42" type="noConversion"/>
  </si>
  <si>
    <t xml:space="preserve">           시간    치료사</t>
    <phoneticPr fontId="42" type="noConversion"/>
  </si>
  <si>
    <t>8:00~
8:30</t>
    <phoneticPr fontId="42" type="noConversion"/>
  </si>
  <si>
    <t>8:30~
9:35</t>
    <phoneticPr fontId="42" type="noConversion"/>
  </si>
  <si>
    <t>12:00~
12:30</t>
    <phoneticPr fontId="42" type="noConversion"/>
  </si>
  <si>
    <t>13:30~
14:00</t>
    <phoneticPr fontId="42" type="noConversion"/>
  </si>
  <si>
    <t>홍지민</t>
    <phoneticPr fontId="42" type="noConversion"/>
  </si>
  <si>
    <t>N서승달</t>
    <phoneticPr fontId="42" type="noConversion"/>
  </si>
  <si>
    <t>N박성구</t>
    <phoneticPr fontId="42" type="noConversion"/>
  </si>
  <si>
    <t>RM이난주</t>
    <phoneticPr fontId="42" type="noConversion"/>
  </si>
  <si>
    <t>N임헌수2</t>
    <phoneticPr fontId="42" type="noConversion"/>
  </si>
  <si>
    <t>RM김성자10</t>
    <phoneticPr fontId="42" type="noConversion"/>
  </si>
  <si>
    <t>N임종범</t>
    <phoneticPr fontId="42" type="noConversion"/>
  </si>
  <si>
    <t>N권용길</t>
    <phoneticPr fontId="72" type="noConversion"/>
  </si>
  <si>
    <t>RM김기연5</t>
    <phoneticPr fontId="42" type="noConversion"/>
  </si>
  <si>
    <t>N김택중</t>
    <phoneticPr fontId="42" type="noConversion"/>
  </si>
  <si>
    <t>RN전동순</t>
    <phoneticPr fontId="42" type="noConversion"/>
  </si>
  <si>
    <t>* 신환</t>
    <phoneticPr fontId="42" type="noConversion"/>
  </si>
  <si>
    <t>김채린</t>
    <phoneticPr fontId="42" type="noConversion"/>
  </si>
  <si>
    <t>N박은용</t>
    <phoneticPr fontId="42" type="noConversion"/>
  </si>
  <si>
    <t>N황종길</t>
    <phoneticPr fontId="42" type="noConversion"/>
  </si>
  <si>
    <t>N최지선3</t>
    <phoneticPr fontId="42" type="noConversion"/>
  </si>
  <si>
    <t>RM전동순</t>
    <phoneticPr fontId="42" type="noConversion"/>
  </si>
  <si>
    <t>N조정자</t>
    <phoneticPr fontId="42" type="noConversion"/>
  </si>
  <si>
    <t>RM홍선화</t>
    <phoneticPr fontId="42" type="noConversion"/>
  </si>
  <si>
    <t>RM김석군</t>
    <phoneticPr fontId="42" type="noConversion"/>
  </si>
  <si>
    <t>N7지복례D</t>
    <phoneticPr fontId="42" type="noConversion"/>
  </si>
  <si>
    <t>N구본창</t>
    <phoneticPr fontId="42" type="noConversion"/>
  </si>
  <si>
    <t>N유혜영4</t>
    <phoneticPr fontId="42" type="noConversion"/>
  </si>
  <si>
    <t>N김을언</t>
    <phoneticPr fontId="42" type="noConversion"/>
  </si>
  <si>
    <t>윤은정님 : N2, M2, F2, Tt, Y
우영희님 : RN2, RM2, RS2,RA6,MM4</t>
    <phoneticPr fontId="42" type="noConversion"/>
  </si>
  <si>
    <t>오휘원</t>
    <phoneticPr fontId="42" type="noConversion"/>
  </si>
  <si>
    <t>N7김진옥7A</t>
    <phoneticPr fontId="42" type="noConversion"/>
  </si>
  <si>
    <t>N김종운3</t>
    <phoneticPr fontId="42" type="noConversion"/>
  </si>
  <si>
    <t>RM윤소희3</t>
    <phoneticPr fontId="42" type="noConversion"/>
  </si>
  <si>
    <t>N송갑헌</t>
    <phoneticPr fontId="42" type="noConversion"/>
  </si>
  <si>
    <t>N지복례</t>
    <phoneticPr fontId="72" type="noConversion"/>
  </si>
  <si>
    <t>RM김명배3</t>
    <phoneticPr fontId="42" type="noConversion"/>
  </si>
  <si>
    <t>RG심옥자2</t>
    <phoneticPr fontId="42" type="noConversion"/>
  </si>
  <si>
    <t>RG최상근3</t>
    <phoneticPr fontId="42" type="noConversion"/>
  </si>
  <si>
    <t>최예원</t>
    <phoneticPr fontId="42" type="noConversion"/>
  </si>
  <si>
    <t>RN우영희</t>
    <phoneticPr fontId="42" type="noConversion"/>
  </si>
  <si>
    <t>RM김인순3</t>
    <phoneticPr fontId="42" type="noConversion"/>
  </si>
  <si>
    <t>RN윤소희3</t>
    <phoneticPr fontId="42" type="noConversion"/>
  </si>
  <si>
    <t>N윤은정</t>
    <phoneticPr fontId="72" type="noConversion"/>
  </si>
  <si>
    <t>N7유혜영4</t>
    <phoneticPr fontId="42" type="noConversion"/>
  </si>
  <si>
    <t>RN강용수</t>
    <phoneticPr fontId="42" type="noConversion"/>
  </si>
  <si>
    <t>RM유정순3</t>
    <phoneticPr fontId="42" type="noConversion"/>
  </si>
  <si>
    <t>N신연애</t>
    <phoneticPr fontId="42" type="noConversion"/>
  </si>
  <si>
    <t>RN홍선화</t>
    <phoneticPr fontId="42" type="noConversion"/>
  </si>
  <si>
    <t>N박상훈3</t>
    <phoneticPr fontId="42" type="noConversion"/>
  </si>
  <si>
    <t>서원빈</t>
    <phoneticPr fontId="42" type="noConversion"/>
  </si>
  <si>
    <t>RN김석군</t>
    <phoneticPr fontId="42" type="noConversion"/>
  </si>
  <si>
    <t>N전혜옥</t>
    <phoneticPr fontId="42" type="noConversion"/>
  </si>
  <si>
    <t>N우학송</t>
    <phoneticPr fontId="72" type="noConversion"/>
  </si>
  <si>
    <t>RN박인규4</t>
    <phoneticPr fontId="42" type="noConversion"/>
  </si>
  <si>
    <t>RM임낙규</t>
    <phoneticPr fontId="42" type="noConversion"/>
  </si>
  <si>
    <t>RN이진봉</t>
    <phoneticPr fontId="42" type="noConversion"/>
  </si>
  <si>
    <t>박민경</t>
    <phoneticPr fontId="42" type="noConversion"/>
  </si>
  <si>
    <t>RN김인순3</t>
    <phoneticPr fontId="42" type="noConversion"/>
  </si>
  <si>
    <t>RM서극원</t>
    <phoneticPr fontId="42" type="noConversion"/>
  </si>
  <si>
    <t>RM김기연5</t>
    <phoneticPr fontId="42" type="noConversion"/>
  </si>
  <si>
    <t>N배성범</t>
    <phoneticPr fontId="42" type="noConversion"/>
  </si>
  <si>
    <t>N김시철</t>
    <phoneticPr fontId="42" type="noConversion"/>
  </si>
  <si>
    <t>RM한경애4</t>
    <phoneticPr fontId="42" type="noConversion"/>
  </si>
  <si>
    <t>RN임낙규</t>
    <phoneticPr fontId="42" type="noConversion"/>
  </si>
  <si>
    <t>RN유정순3</t>
    <phoneticPr fontId="42" type="noConversion"/>
  </si>
  <si>
    <t>RM강용수</t>
    <phoneticPr fontId="42" type="noConversion"/>
  </si>
  <si>
    <t>* 변경사항</t>
    <phoneticPr fontId="42" type="noConversion"/>
  </si>
  <si>
    <t>김성자10님, 유정순3님, 권오운님 서극원님 홍선화님 김명배님 RM2 → RA2 변경
김정희25님 치료시간 변경
권오운님 치료시간 변경
서극원님 치료시간 변경
지복례님 통증 종결
정선숙님 회복기종결 M15, 통증X2
한경애4님 로봇 삭제 스케줄 다시
*김재환님 6→5 전실 / 월요일은 우선 6층 선생님 진행</t>
    <phoneticPr fontId="42" type="noConversion"/>
  </si>
  <si>
    <t>박수진</t>
    <phoneticPr fontId="42" type="noConversion"/>
  </si>
  <si>
    <t>강지영</t>
    <phoneticPr fontId="42" type="noConversion"/>
  </si>
  <si>
    <t>N조정자</t>
  </si>
  <si>
    <t>N신연애</t>
  </si>
  <si>
    <t>N김시철</t>
    <phoneticPr fontId="42" type="noConversion"/>
  </si>
  <si>
    <t>RN권오운</t>
    <phoneticPr fontId="42" type="noConversion"/>
  </si>
  <si>
    <t>N송옥경</t>
    <phoneticPr fontId="42" type="noConversion"/>
  </si>
  <si>
    <t>N박진희6</t>
    <phoneticPr fontId="42" type="noConversion"/>
  </si>
  <si>
    <t>N김대용2</t>
    <phoneticPr fontId="42" type="noConversion"/>
  </si>
  <si>
    <t>RN김명배3</t>
    <phoneticPr fontId="42" type="noConversion"/>
  </si>
  <si>
    <t>RN한경애4</t>
    <phoneticPr fontId="42" type="noConversion"/>
  </si>
  <si>
    <t>RM이진봉</t>
    <phoneticPr fontId="42" type="noConversion"/>
  </si>
  <si>
    <t>N박오영</t>
    <phoneticPr fontId="72" type="noConversion"/>
  </si>
  <si>
    <t>장수빈</t>
    <phoneticPr fontId="42" type="noConversion"/>
  </si>
  <si>
    <t>N박오영</t>
    <phoneticPr fontId="42" type="noConversion"/>
  </si>
  <si>
    <t>RN이난주</t>
    <phoneticPr fontId="72" type="noConversion"/>
  </si>
  <si>
    <t>N서재학</t>
    <phoneticPr fontId="42" type="noConversion"/>
  </si>
  <si>
    <t>N우학송</t>
    <phoneticPr fontId="42" type="noConversion"/>
  </si>
  <si>
    <t>N신기순2</t>
    <phoneticPr fontId="42" type="noConversion"/>
  </si>
  <si>
    <t>N김진옥7</t>
    <phoneticPr fontId="42" type="noConversion"/>
  </si>
  <si>
    <t>N임종범</t>
    <phoneticPr fontId="42" type="noConversion"/>
  </si>
  <si>
    <t>장해민</t>
    <phoneticPr fontId="42" type="noConversion"/>
  </si>
  <si>
    <t>CA지복례</t>
    <phoneticPr fontId="72" type="noConversion"/>
  </si>
  <si>
    <t>RA최상근3</t>
    <phoneticPr fontId="42" type="noConversion"/>
  </si>
  <si>
    <t>H7임낙규D</t>
    <phoneticPr fontId="42" type="noConversion"/>
  </si>
  <si>
    <t>D김택중V</t>
    <phoneticPr fontId="42" type="noConversion"/>
  </si>
  <si>
    <t>CA서재학</t>
    <phoneticPr fontId="42" type="noConversion"/>
  </si>
  <si>
    <t>C김대용2
C김을언</t>
    <phoneticPr fontId="42" type="noConversion"/>
  </si>
  <si>
    <t>CA임종범</t>
    <phoneticPr fontId="42" type="noConversion"/>
  </si>
  <si>
    <t>CA유혜영4</t>
    <phoneticPr fontId="42" type="noConversion"/>
  </si>
  <si>
    <t>RD박인규4</t>
    <phoneticPr fontId="42" type="noConversion"/>
  </si>
  <si>
    <t>장효원</t>
    <phoneticPr fontId="42" type="noConversion"/>
  </si>
  <si>
    <t>CA박오영</t>
    <phoneticPr fontId="42" type="noConversion"/>
  </si>
  <si>
    <t>RA임낙규</t>
    <phoneticPr fontId="42" type="noConversion"/>
  </si>
  <si>
    <t>O7구본창D</t>
    <phoneticPr fontId="42" type="noConversion"/>
  </si>
  <si>
    <t>CA송옥경</t>
    <phoneticPr fontId="42" type="noConversion"/>
  </si>
  <si>
    <t>RA권오운</t>
    <phoneticPr fontId="42" type="noConversion"/>
  </si>
  <si>
    <t>RS유정순3</t>
    <phoneticPr fontId="42" type="noConversion"/>
  </si>
  <si>
    <t>RS김성자10</t>
    <phoneticPr fontId="42" type="noConversion"/>
  </si>
  <si>
    <t>O7박은용D</t>
    <phoneticPr fontId="42" type="noConversion"/>
  </si>
  <si>
    <t>RS한경애4</t>
    <phoneticPr fontId="42" type="noConversion"/>
  </si>
  <si>
    <t>RA이난주</t>
    <phoneticPr fontId="42" type="noConversion"/>
  </si>
  <si>
    <t>이경미</t>
    <phoneticPr fontId="42" type="noConversion"/>
  </si>
  <si>
    <t>RA서극원</t>
    <phoneticPr fontId="42" type="noConversion"/>
  </si>
  <si>
    <t>RD이진봉</t>
    <phoneticPr fontId="42" type="noConversion"/>
  </si>
  <si>
    <t>RA심옥자2</t>
    <phoneticPr fontId="42" type="noConversion"/>
  </si>
  <si>
    <t>RS김석군</t>
    <phoneticPr fontId="42" type="noConversion"/>
  </si>
  <si>
    <t>RS강용수</t>
    <phoneticPr fontId="42" type="noConversion"/>
  </si>
  <si>
    <t>CA김진옥7</t>
    <phoneticPr fontId="42" type="noConversion"/>
  </si>
  <si>
    <t>CA박은용</t>
    <phoneticPr fontId="42" type="noConversion"/>
  </si>
  <si>
    <t>RA한경애4</t>
    <phoneticPr fontId="42" type="noConversion"/>
  </si>
  <si>
    <t>CA조정자</t>
  </si>
  <si>
    <t>RM우영희</t>
    <phoneticPr fontId="42" type="noConversion"/>
  </si>
  <si>
    <t>장세희</t>
    <phoneticPr fontId="42" type="noConversion"/>
  </si>
  <si>
    <t>CA박성구</t>
    <phoneticPr fontId="42" type="noConversion"/>
  </si>
  <si>
    <t>RA강용수</t>
    <phoneticPr fontId="42" type="noConversion"/>
  </si>
  <si>
    <t>D김종운3V</t>
    <phoneticPr fontId="42" type="noConversion"/>
  </si>
  <si>
    <t>RN김성자10</t>
    <phoneticPr fontId="42" type="noConversion"/>
  </si>
  <si>
    <t>RA김정희25</t>
    <phoneticPr fontId="42" type="noConversion"/>
  </si>
  <si>
    <t>RD전동순</t>
    <phoneticPr fontId="42" type="noConversion"/>
  </si>
  <si>
    <t>CA김을언</t>
    <phoneticPr fontId="42" type="noConversion"/>
  </si>
  <si>
    <t>RS권오운</t>
    <phoneticPr fontId="42" type="noConversion"/>
  </si>
  <si>
    <t>RA김명배3</t>
    <phoneticPr fontId="42" type="noConversion"/>
  </si>
  <si>
    <t>이은지4</t>
    <phoneticPr fontId="42" type="noConversion"/>
  </si>
  <si>
    <t>RD김기연5</t>
    <phoneticPr fontId="42" type="noConversion"/>
  </si>
  <si>
    <t>RA박인규4</t>
    <phoneticPr fontId="42" type="noConversion"/>
  </si>
  <si>
    <t>CA최지선3</t>
    <phoneticPr fontId="42" type="noConversion"/>
  </si>
  <si>
    <t>RA김석군</t>
    <phoneticPr fontId="42" type="noConversion"/>
  </si>
  <si>
    <t>RA김기연5</t>
    <phoneticPr fontId="42" type="noConversion"/>
  </si>
  <si>
    <t>전산화인지
박상훈3</t>
    <phoneticPr fontId="42" type="noConversion"/>
  </si>
  <si>
    <t>C임종범
C서승달</t>
    <phoneticPr fontId="42" type="noConversion"/>
  </si>
  <si>
    <t>김희수</t>
    <phoneticPr fontId="42" type="noConversion"/>
  </si>
  <si>
    <t>RS임낙규</t>
    <phoneticPr fontId="42" type="noConversion"/>
  </si>
  <si>
    <t>RA우영희</t>
    <phoneticPr fontId="42" type="noConversion"/>
  </si>
  <si>
    <t>CA전혜옥</t>
    <phoneticPr fontId="42" type="noConversion"/>
  </si>
  <si>
    <t>C송갑헌
C박상훈3</t>
    <phoneticPr fontId="42" type="noConversion"/>
  </si>
  <si>
    <t>CA서승달</t>
    <phoneticPr fontId="42" type="noConversion"/>
  </si>
  <si>
    <t>RA전동순</t>
    <phoneticPr fontId="42" type="noConversion"/>
  </si>
  <si>
    <t>RS김인순3</t>
    <phoneticPr fontId="42" type="noConversion"/>
  </si>
  <si>
    <t>C송옥경
C지복례</t>
    <phoneticPr fontId="42" type="noConversion"/>
  </si>
  <si>
    <t>CA김택중</t>
    <phoneticPr fontId="42" type="noConversion"/>
  </si>
  <si>
    <t>정상환</t>
    <phoneticPr fontId="42" type="noConversion"/>
  </si>
  <si>
    <t>RA전동순</t>
    <phoneticPr fontId="42" type="noConversion"/>
  </si>
  <si>
    <t>O7우학송A</t>
    <phoneticPr fontId="42" type="noConversion"/>
  </si>
  <si>
    <t>RD윤소희3</t>
    <phoneticPr fontId="42" type="noConversion"/>
  </si>
  <si>
    <t>RD김명배3</t>
    <phoneticPr fontId="42" type="noConversion"/>
  </si>
  <si>
    <t>RA윤소희3</t>
    <phoneticPr fontId="42" type="noConversion"/>
  </si>
  <si>
    <t>Y윤은정</t>
    <phoneticPr fontId="42" type="noConversion"/>
  </si>
  <si>
    <t>D김시철V</t>
    <phoneticPr fontId="42" type="noConversion"/>
  </si>
  <si>
    <t>CA임헌수2</t>
    <phoneticPr fontId="42" type="noConversion"/>
  </si>
  <si>
    <t>H서재학</t>
    <phoneticPr fontId="42" type="noConversion"/>
  </si>
  <si>
    <t>* 퇴원 및 HOLD</t>
    <phoneticPr fontId="40" type="noConversion"/>
  </si>
  <si>
    <t>김영빈</t>
    <phoneticPr fontId="42" type="noConversion"/>
  </si>
  <si>
    <t>C신연애</t>
    <phoneticPr fontId="42" type="noConversion"/>
  </si>
  <si>
    <t>C황종길
C조정자</t>
    <phoneticPr fontId="42" type="noConversion"/>
  </si>
  <si>
    <t>RS이난주</t>
    <phoneticPr fontId="42" type="noConversion"/>
  </si>
  <si>
    <t>CA우학송</t>
    <phoneticPr fontId="42" type="noConversion"/>
  </si>
  <si>
    <t>RA강용수</t>
    <phoneticPr fontId="42" type="noConversion"/>
  </si>
  <si>
    <t>CA권용길</t>
    <phoneticPr fontId="42" type="noConversion"/>
  </si>
  <si>
    <t>C우학송
C신기순2</t>
    <phoneticPr fontId="42" type="noConversion"/>
  </si>
  <si>
    <t>CA양병후</t>
    <phoneticPr fontId="42" type="noConversion"/>
  </si>
  <si>
    <t>RA최상근3</t>
    <phoneticPr fontId="42" type="noConversion"/>
  </si>
  <si>
    <t>권영순님 ALL HOLD
윤소희님 RA2, MM2, H7
최상근님 : RG4, RA2</t>
    <phoneticPr fontId="42" type="noConversion"/>
  </si>
  <si>
    <t>최예은</t>
    <phoneticPr fontId="42" type="noConversion"/>
  </si>
  <si>
    <t>MM윤소희3C</t>
    <phoneticPr fontId="42" type="noConversion"/>
  </si>
  <si>
    <t>MM서극원M</t>
    <phoneticPr fontId="42" type="noConversion"/>
  </si>
  <si>
    <t>CA김시철</t>
    <phoneticPr fontId="42" type="noConversion"/>
  </si>
  <si>
    <t>H박오영</t>
    <phoneticPr fontId="42" type="noConversion"/>
  </si>
  <si>
    <t>RA이진봉</t>
    <phoneticPr fontId="42" type="noConversion"/>
  </si>
  <si>
    <t>RS정현숙4</t>
    <phoneticPr fontId="42" type="noConversion"/>
  </si>
  <si>
    <t>H김을언</t>
    <phoneticPr fontId="42" type="noConversion"/>
  </si>
  <si>
    <t>RS서극원</t>
    <phoneticPr fontId="42" type="noConversion"/>
  </si>
  <si>
    <t>강인화</t>
    <phoneticPr fontId="42" type="noConversion"/>
  </si>
  <si>
    <t>CA박상훈3</t>
    <phoneticPr fontId="42" type="noConversion"/>
  </si>
  <si>
    <t>S박진희6</t>
    <phoneticPr fontId="42" type="noConversion"/>
  </si>
  <si>
    <t>CA배성범</t>
    <phoneticPr fontId="42" type="noConversion"/>
  </si>
  <si>
    <t>RA홍선화</t>
    <phoneticPr fontId="42" type="noConversion"/>
  </si>
  <si>
    <t>CA김대용2</t>
    <phoneticPr fontId="42" type="noConversion"/>
  </si>
  <si>
    <t>김윤종
(연차)</t>
    <phoneticPr fontId="42" type="noConversion"/>
  </si>
  <si>
    <t>* 당일시간변경</t>
    <phoneticPr fontId="42" type="noConversion"/>
  </si>
  <si>
    <t>유태현</t>
    <phoneticPr fontId="42" type="noConversion"/>
  </si>
  <si>
    <t>M김을언C
C이문찬2CPM</t>
    <phoneticPr fontId="42" type="noConversion"/>
  </si>
  <si>
    <t>M김을언S
M박오영C
M박진희6C
M송옥경C
M김종운3Tt
Tt윤은정Tt</t>
    <phoneticPr fontId="42" type="noConversion"/>
  </si>
  <si>
    <t>M박은용C
M박성구S
M지복례C
M박상훈3C
M김시철T
M윤은정M
C최종성2CPM</t>
    <phoneticPr fontId="42" type="noConversion"/>
  </si>
  <si>
    <t>M최지선3T
M양병후C
M황종길C
M임헌수2M
M서재학C
M신기순2S
M김대용2C</t>
    <phoneticPr fontId="42" type="noConversion"/>
  </si>
  <si>
    <t>M김진옥7C
M전혜옥S
M구본창C
M김택중C
M권용길S
M지복례T</t>
    <phoneticPr fontId="42" type="noConversion"/>
  </si>
  <si>
    <t>M배성범S
M신연애C
M조정자C
M임종범C
M서승달Tt</t>
    <phoneticPr fontId="42" type="noConversion"/>
  </si>
  <si>
    <t>M우학송S</t>
    <phoneticPr fontId="42" type="noConversion"/>
  </si>
  <si>
    <t>M김진옥7S
M양병후C
M서재학C
M박오영C</t>
    <phoneticPr fontId="42" type="noConversion"/>
  </si>
  <si>
    <t>M조정자C
M김시철C
M박은용C
M신기순2S
M박성구C
M서승달Tt</t>
    <phoneticPr fontId="42" type="noConversion"/>
  </si>
  <si>
    <t>M황종길C
M전혜옥S
M송옥경C
M임종범C
M권용길C
M김택중S
M배성범T</t>
    <phoneticPr fontId="42" type="noConversion"/>
  </si>
  <si>
    <t>M최지선3C
Tt김을언Tt
M박상훈3C
M김대용2T
M신연애S
M윤은정C</t>
    <phoneticPr fontId="42" type="noConversion"/>
  </si>
  <si>
    <t>M우학송C
M임헌수2S</t>
    <phoneticPr fontId="42" type="noConversion"/>
  </si>
  <si>
    <r>
      <t xml:space="preserve">MM한경애4C
MM김석군S
MM전동순C
MM심옥자2CPM
</t>
    </r>
    <r>
      <rPr>
        <u/>
        <sz val="10"/>
        <rFont val="돋움"/>
        <family val="3"/>
        <charset val="129"/>
      </rPr>
      <t>MM윤소희3T</t>
    </r>
    <phoneticPr fontId="42" type="noConversion"/>
  </si>
  <si>
    <t>MM박인규4C
MM권병호C
MM김명배3Tt
MM이진봉S</t>
    <phoneticPr fontId="42" type="noConversion"/>
  </si>
  <si>
    <t>MM정현숙4Tt
MM강용수C
MM권오운Tt</t>
    <phoneticPr fontId="42" type="noConversion"/>
  </si>
  <si>
    <r>
      <t xml:space="preserve">MM이난주T
MM유정순3C
</t>
    </r>
    <r>
      <rPr>
        <u/>
        <sz val="10"/>
        <rFont val="돋움"/>
        <family val="3"/>
        <charset val="129"/>
      </rPr>
      <t>MM서극원M</t>
    </r>
    <phoneticPr fontId="42" type="noConversion"/>
  </si>
  <si>
    <t>MM우영희M</t>
    <phoneticPr fontId="42" type="noConversion"/>
  </si>
  <si>
    <t>MM이난주C
MM홍선화C
MM이진봉S</t>
    <phoneticPr fontId="42" type="noConversion"/>
  </si>
  <si>
    <t>MM임낙규T
MM김석군C
MM권오운Tt
MM김인순3Tt</t>
    <phoneticPr fontId="42" type="noConversion"/>
  </si>
  <si>
    <t>MM한경애4C
MM심옥자2CPM
MM우영희Tt</t>
    <phoneticPr fontId="42" type="noConversion"/>
  </si>
  <si>
    <t>MM박인규4S
MM김기연5C
MM전동순C
MM권병호C
MM김명배3M
MM최상근3CPM
MM서극원Tt</t>
    <phoneticPr fontId="42" type="noConversion"/>
  </si>
  <si>
    <t>MM정현숙4Tt
MM김성자10C
MM김정희25
MM강용수T</t>
    <phoneticPr fontId="42" type="noConversion"/>
  </si>
  <si>
    <t>이나예</t>
    <phoneticPr fontId="42" type="noConversion"/>
  </si>
  <si>
    <t>F지복례
F박은용
F김택중</t>
    <phoneticPr fontId="42" type="noConversion"/>
  </si>
  <si>
    <t>F배성범
F신기순2
F김종운3
F김대용2</t>
    <phoneticPr fontId="42" type="noConversion"/>
  </si>
  <si>
    <t>F조정자
F김시철
F권용길</t>
    <phoneticPr fontId="42" type="noConversion"/>
  </si>
  <si>
    <t>F임헌수2
F양병후
F우학송
F임종범</t>
    <phoneticPr fontId="42" type="noConversion"/>
  </si>
  <si>
    <t>F신기순2
F송옥경
F서재학</t>
    <phoneticPr fontId="42" type="noConversion"/>
  </si>
  <si>
    <t>F신연애
F유혜영4
F윤은정</t>
    <phoneticPr fontId="42" type="noConversion"/>
  </si>
  <si>
    <t>F서승달</t>
    <phoneticPr fontId="42" type="noConversion"/>
  </si>
  <si>
    <t>F최지선3
F박성구
F윤은정</t>
    <phoneticPr fontId="42" type="noConversion"/>
  </si>
  <si>
    <t>추가</t>
    <phoneticPr fontId="42" type="noConversion"/>
  </si>
  <si>
    <t>추가치료 특이사항
유혜영4님 : N1, D2 추가 가능 - 최대 2개까지만!
김택중님 : 월, 수, 금은 추가치료 거부
유정순3님 : MM2 HOLD, 아침재활 주에는 HOLDX →청구
서극원님, 강용수님 언어치료 추가 우선 부탁드립니다.
양병후님, 전혜옥님 : OT COM, 추가치료는X, 아침재활은O</t>
    <phoneticPr fontId="42" type="noConversion"/>
  </si>
  <si>
    <t>N</t>
    <phoneticPr fontId="42" type="noConversion"/>
  </si>
  <si>
    <t>N양병후
N권용길</t>
    <phoneticPr fontId="42" type="noConversion"/>
  </si>
  <si>
    <t>N서재학</t>
    <phoneticPr fontId="42" type="noConversion"/>
  </si>
  <si>
    <t>N최지선3
N유혜영4</t>
    <phoneticPr fontId="42" type="noConversion"/>
  </si>
  <si>
    <t>CA</t>
    <phoneticPr fontId="42" type="noConversion"/>
  </si>
  <si>
    <t>D박은용</t>
    <phoneticPr fontId="42" type="noConversion"/>
  </si>
  <si>
    <t>D유혜영4</t>
    <phoneticPr fontId="42" type="noConversion"/>
  </si>
  <si>
    <t>D김택중(B)</t>
    <phoneticPr fontId="42" type="noConversion"/>
  </si>
  <si>
    <t>D유혜영4</t>
    <phoneticPr fontId="42" type="noConversion"/>
  </si>
  <si>
    <t>C</t>
    <phoneticPr fontId="42" type="noConversion"/>
  </si>
  <si>
    <t xml:space="preserve"> C서재학</t>
    <phoneticPr fontId="42" type="noConversion"/>
  </si>
  <si>
    <t>C임헌수2</t>
    <phoneticPr fontId="42" type="noConversion"/>
  </si>
  <si>
    <t>C황종길</t>
    <phoneticPr fontId="42" type="noConversion"/>
  </si>
  <si>
    <t>C조정자</t>
    <phoneticPr fontId="42" type="noConversion"/>
  </si>
  <si>
    <t>C신연애</t>
    <phoneticPr fontId="42" type="noConversion"/>
  </si>
  <si>
    <t>C김진옥7</t>
    <phoneticPr fontId="42" type="noConversion"/>
  </si>
  <si>
    <t>C배성범
C권용길</t>
    <phoneticPr fontId="42" type="noConversion"/>
  </si>
  <si>
    <t>C박오영</t>
    <phoneticPr fontId="42" type="noConversion"/>
  </si>
  <si>
    <t>문희연</t>
    <phoneticPr fontId="42" type="noConversion"/>
  </si>
  <si>
    <t>RA김인순3</t>
    <phoneticPr fontId="42" type="noConversion"/>
  </si>
  <si>
    <t>RA서극원</t>
  </si>
  <si>
    <t xml:space="preserve">           시간    
치료사</t>
    <phoneticPr fontId="42" type="noConversion"/>
  </si>
  <si>
    <t>14:05~
14:35</t>
    <phoneticPr fontId="42" type="noConversion"/>
  </si>
  <si>
    <t>15:50~
16:20</t>
    <phoneticPr fontId="42" type="noConversion"/>
  </si>
  <si>
    <t>수중재활</t>
    <phoneticPr fontId="42" type="noConversion"/>
  </si>
  <si>
    <t>P배성범B</t>
    <phoneticPr fontId="42" type="noConversion"/>
  </si>
  <si>
    <t>P우학송D</t>
    <phoneticPr fontId="40" type="noConversion"/>
  </si>
  <si>
    <t xml:space="preserve"> </t>
    <phoneticPr fontId="42" type="noConversion"/>
  </si>
  <si>
    <t>RTMS &amp; HAND &amp; 호흡 &amp; 바이오피드백 시간표</t>
    <phoneticPr fontId="42" type="noConversion"/>
  </si>
  <si>
    <t>HAND</t>
    <phoneticPr fontId="42" type="noConversion"/>
  </si>
  <si>
    <t>김진옥7A</t>
    <phoneticPr fontId="42" type="noConversion"/>
  </si>
  <si>
    <t>임낙규D</t>
    <phoneticPr fontId="42" type="noConversion"/>
  </si>
  <si>
    <t>H7윤소희A</t>
    <phoneticPr fontId="40" type="noConversion"/>
  </si>
  <si>
    <t>호흡치료</t>
    <phoneticPr fontId="42" type="noConversion"/>
  </si>
  <si>
    <t>박오영</t>
    <phoneticPr fontId="42" type="noConversion"/>
  </si>
  <si>
    <t>서재학</t>
    <phoneticPr fontId="42" type="noConversion"/>
  </si>
  <si>
    <t>바이오
피드백</t>
    <phoneticPr fontId="42" type="noConversion"/>
  </si>
  <si>
    <t>전산화인지치료 시간표</t>
    <phoneticPr fontId="42" type="noConversion"/>
  </si>
  <si>
    <t>베러코그(5)</t>
    <phoneticPr fontId="42" type="noConversion"/>
  </si>
  <si>
    <t>R-TMS &amp; WALKBOT &amp; MORNING WALK &amp; R-BOT 시간표</t>
    <phoneticPr fontId="42" type="noConversion"/>
  </si>
  <si>
    <t>모닝워크</t>
    <phoneticPr fontId="42" type="noConversion"/>
  </si>
  <si>
    <t>RG박인규4R</t>
    <phoneticPr fontId="42" type="noConversion"/>
  </si>
  <si>
    <t>W한경애4A</t>
    <phoneticPr fontId="42" type="noConversion"/>
  </si>
  <si>
    <t>워크봇</t>
    <phoneticPr fontId="42" type="noConversion"/>
  </si>
  <si>
    <t>W권용길B</t>
    <phoneticPr fontId="42" type="noConversion"/>
  </si>
  <si>
    <t>W전동순B</t>
    <phoneticPr fontId="40" type="noConversion"/>
  </si>
  <si>
    <t>W김택중A</t>
    <phoneticPr fontId="42" type="noConversion"/>
  </si>
  <si>
    <t>알봇</t>
    <phoneticPr fontId="42" type="noConversion"/>
  </si>
  <si>
    <t>RG서극원R</t>
    <phoneticPr fontId="40" type="noConversion"/>
  </si>
  <si>
    <t>W권오운D</t>
    <phoneticPr fontId="42" type="noConversion"/>
  </si>
  <si>
    <t>*전혜옥</t>
    <phoneticPr fontId="42" type="noConversion"/>
  </si>
  <si>
    <t>*박상훈3</t>
    <phoneticPr fontId="42" type="noConversion"/>
  </si>
  <si>
    <t>*지복례
*이문찬2</t>
    <phoneticPr fontId="42" type="noConversion"/>
  </si>
  <si>
    <t>*이문찬2</t>
    <phoneticPr fontId="42" type="noConversion"/>
  </si>
  <si>
    <t>ESWT5한경애4(목)</t>
    <phoneticPr fontId="42" type="noConversion"/>
  </si>
  <si>
    <r>
      <t xml:space="preserve">MM윤미기자C
MM김영한2Tt
</t>
    </r>
    <r>
      <rPr>
        <sz val="10"/>
        <color rgb="FFFF0000"/>
        <rFont val="돋움"/>
        <family val="3"/>
        <charset val="129"/>
      </rPr>
      <t>MM윤현숙3CPM</t>
    </r>
    <r>
      <rPr>
        <sz val="10"/>
        <rFont val="돋움"/>
        <family val="3"/>
        <charset val="129"/>
      </rPr>
      <t xml:space="preserve">
</t>
    </r>
    <phoneticPr fontId="40" type="noConversion"/>
  </si>
  <si>
    <r>
      <t xml:space="preserve">MM서대성C
MM정명자5C
MM이정임4C
MM전효식C
</t>
    </r>
    <r>
      <rPr>
        <b/>
        <u/>
        <sz val="10"/>
        <rFont val="돋움"/>
        <family val="3"/>
        <charset val="129"/>
      </rPr>
      <t>MM김귀례2Tt</t>
    </r>
    <r>
      <rPr>
        <sz val="10"/>
        <rFont val="돋움"/>
        <family val="3"/>
        <charset val="129"/>
      </rPr>
      <t xml:space="preserve">
MM이정례3S
</t>
    </r>
    <r>
      <rPr>
        <sz val="10"/>
        <color rgb="FFFF0000"/>
        <rFont val="돋움"/>
        <family val="3"/>
        <charset val="129"/>
      </rPr>
      <t>MM오병찬CPM</t>
    </r>
    <r>
      <rPr>
        <sz val="10"/>
        <rFont val="돋움"/>
        <family val="3"/>
        <charset val="129"/>
      </rPr>
      <t xml:space="preserve">
</t>
    </r>
    <phoneticPr fontId="40" type="noConversion"/>
  </si>
  <si>
    <r>
      <t>MM김을순2C
MM김무길님S</t>
    </r>
    <r>
      <rPr>
        <sz val="10"/>
        <color theme="0" tint="-0.249977111117893"/>
        <rFont val="돋움"/>
        <family val="3"/>
        <charset val="129"/>
      </rPr>
      <t xml:space="preserve">
</t>
    </r>
    <r>
      <rPr>
        <sz val="10"/>
        <color rgb="FFFF0000"/>
        <rFont val="돋움"/>
        <family val="3"/>
        <charset val="129"/>
      </rPr>
      <t>MM이준구2M(소)</t>
    </r>
    <phoneticPr fontId="42" type="noConversion"/>
  </si>
  <si>
    <t>MM이준구2M</t>
    <phoneticPr fontId="40" type="noConversion"/>
  </si>
  <si>
    <r>
      <t xml:space="preserve">MM임낙규C
MM홍선화C
</t>
    </r>
    <r>
      <rPr>
        <sz val="10"/>
        <color rgb="FFFF0000"/>
        <rFont val="돋움"/>
        <family val="3"/>
        <charset val="129"/>
      </rPr>
      <t xml:space="preserve">
MM김인순3Tt(소)</t>
    </r>
    <phoneticPr fontId="42" type="noConversion"/>
  </si>
  <si>
    <t>MM김인순3Tt</t>
    <phoneticPr fontId="40" type="noConversion"/>
  </si>
  <si>
    <r>
      <t xml:space="preserve">
MM김재환2(발로)
</t>
    </r>
    <r>
      <rPr>
        <sz val="10"/>
        <color rgb="FFFF0000"/>
        <rFont val="돋움"/>
        <family val="3"/>
        <charset val="129"/>
      </rPr>
      <t>MM진호연C(소)</t>
    </r>
    <r>
      <rPr>
        <sz val="10"/>
        <rFont val="돋움"/>
        <family val="3"/>
        <charset val="129"/>
      </rPr>
      <t xml:space="preserve">
</t>
    </r>
    <phoneticPr fontId="42" type="noConversion"/>
  </si>
  <si>
    <t>MM진호연C</t>
    <phoneticPr fontId="40" type="noConversion"/>
  </si>
  <si>
    <t xml:space="preserve">MM배희숙Tt
MM한순근CPM
</t>
    <phoneticPr fontId="40" type="noConversion"/>
  </si>
  <si>
    <t xml:space="preserve">MM송진영C
MM이정임4C
</t>
    <phoneticPr fontId="40" type="noConversion"/>
  </si>
  <si>
    <r>
      <t xml:space="preserve">
</t>
    </r>
    <r>
      <rPr>
        <b/>
        <sz val="10"/>
        <color rgb="FFFF0000"/>
        <rFont val="돋움"/>
        <family val="3"/>
        <charset val="129"/>
      </rPr>
      <t>MM이강은C</t>
    </r>
    <r>
      <rPr>
        <sz val="10"/>
        <rFont val="돋움"/>
        <family val="3"/>
        <charset val="129"/>
      </rPr>
      <t xml:space="preserve">
MM정명자5Tt
</t>
    </r>
    <r>
      <rPr>
        <b/>
        <u/>
        <sz val="10"/>
        <rFont val="돋움"/>
        <family val="3"/>
        <charset val="129"/>
      </rPr>
      <t>MM권병호C</t>
    </r>
    <r>
      <rPr>
        <sz val="10"/>
        <rFont val="돋움"/>
        <family val="3"/>
        <charset val="129"/>
      </rPr>
      <t xml:space="preserve">
MM이두현C</t>
    </r>
    <phoneticPr fontId="40" type="noConversion"/>
  </si>
  <si>
    <t>MM이강은C</t>
    <phoneticPr fontId="40" type="noConversion"/>
  </si>
  <si>
    <r>
      <t xml:space="preserve">MM오연숙C
MM이재용2C
</t>
    </r>
    <r>
      <rPr>
        <sz val="10"/>
        <rFont val="돋움"/>
        <family val="3"/>
        <charset val="129"/>
      </rPr>
      <t xml:space="preserve">MM조남선S
</t>
    </r>
    <phoneticPr fontId="40" type="noConversion"/>
  </si>
  <si>
    <t>RA서정욱2</t>
    <phoneticPr fontId="40" type="noConversion"/>
  </si>
  <si>
    <t>MM권병호C</t>
    <phoneticPr fontId="40" type="noConversion"/>
  </si>
  <si>
    <r>
      <rPr>
        <b/>
        <sz val="10"/>
        <color rgb="FFFF0000"/>
        <rFont val="돋움"/>
        <family val="3"/>
        <charset val="129"/>
      </rPr>
      <t>MM권병호C
MM전효식C</t>
    </r>
    <r>
      <rPr>
        <sz val="10"/>
        <rFont val="돋움"/>
        <family val="3"/>
        <charset val="129"/>
      </rPr>
      <t xml:space="preserve">
MM서정욱2C
MM박미정4Tt
MM한순근CPM</t>
    </r>
    <phoneticPr fontId="40" type="noConversion"/>
  </si>
  <si>
    <t xml:space="preserve">MM박미정4M
MM이두현S
</t>
    <phoneticPr fontId="40" type="noConversion"/>
  </si>
  <si>
    <r>
      <rPr>
        <b/>
        <sz val="10"/>
        <color rgb="FFFF0000"/>
        <rFont val="돋움"/>
        <family val="3"/>
        <charset val="129"/>
      </rPr>
      <t>MM서정욱2C</t>
    </r>
    <r>
      <rPr>
        <sz val="10"/>
        <rFont val="돋움"/>
        <family val="3"/>
        <charset val="129"/>
      </rPr>
      <t xml:space="preserve">
MM조남선S
MM이재용2C
MM배희숙C
MM윤현숙3CPM
</t>
    </r>
    <phoneticPr fontId="40" type="noConversion"/>
  </si>
  <si>
    <t>MM서정욱2C</t>
    <phoneticPr fontId="40" type="noConversion"/>
  </si>
  <si>
    <t>N윤영섭</t>
    <phoneticPr fontId="40" type="noConversion"/>
  </si>
  <si>
    <t>N이재남4</t>
    <phoneticPr fontId="40" type="noConversion"/>
  </si>
  <si>
    <t>RM이재용2</t>
    <phoneticPr fontId="40" type="noConversion"/>
  </si>
  <si>
    <t>RM박미정4</t>
    <phoneticPr fontId="40" type="noConversion"/>
  </si>
  <si>
    <t>N이순희5</t>
    <phoneticPr fontId="40" type="noConversion"/>
  </si>
  <si>
    <t>RM윤미기자</t>
    <phoneticPr fontId="40" type="noConversion"/>
  </si>
  <si>
    <t>RG한순근</t>
    <phoneticPr fontId="40" type="noConversion"/>
  </si>
  <si>
    <t>N권음전</t>
    <phoneticPr fontId="40" type="noConversion"/>
  </si>
  <si>
    <t>RM조남선</t>
    <phoneticPr fontId="40" type="noConversion"/>
  </si>
  <si>
    <t>RG윤현숙3</t>
    <phoneticPr fontId="40" type="noConversion"/>
  </si>
  <si>
    <t>CA김기일A</t>
    <phoneticPr fontId="40" type="noConversion"/>
  </si>
  <si>
    <t>S김소재A</t>
    <phoneticPr fontId="42" type="noConversion"/>
  </si>
  <si>
    <t>S배석현A</t>
    <phoneticPr fontId="42" type="noConversion"/>
  </si>
  <si>
    <t>김용하</t>
    <phoneticPr fontId="42" type="noConversion"/>
  </si>
  <si>
    <t>RG한상진(4)</t>
    <phoneticPr fontId="40" type="noConversion"/>
  </si>
  <si>
    <t>RG이강은(3)</t>
    <phoneticPr fontId="40" type="noConversion"/>
  </si>
  <si>
    <t>RG오병찬(3)</t>
    <phoneticPr fontId="40" type="noConversion"/>
  </si>
  <si>
    <t>N홍숙희A</t>
    <phoneticPr fontId="40" type="noConversion"/>
  </si>
  <si>
    <t>N나기태A</t>
    <phoneticPr fontId="40" type="noConversion"/>
  </si>
  <si>
    <t>S오도경A</t>
    <phoneticPr fontId="40" type="noConversion"/>
  </si>
  <si>
    <t>S이남희3A</t>
    <phoneticPr fontId="40" type="noConversion"/>
  </si>
  <si>
    <t>S이용출A</t>
    <phoneticPr fontId="40" type="noConversion"/>
  </si>
  <si>
    <t>S임상미2A</t>
    <phoneticPr fontId="40" type="noConversion"/>
  </si>
  <si>
    <t>D홍은남</t>
    <phoneticPr fontId="40" type="noConversion"/>
  </si>
  <si>
    <t>RM우병주</t>
    <phoneticPr fontId="40" type="noConversion"/>
  </si>
  <si>
    <t>RA정태철</t>
    <phoneticPr fontId="40" type="noConversion"/>
  </si>
  <si>
    <t>RD김석기2</t>
    <phoneticPr fontId="40" type="noConversion"/>
  </si>
  <si>
    <t>RA정농숙</t>
    <phoneticPr fontId="40" type="noConversion"/>
  </si>
  <si>
    <t>RN김진권2</t>
    <phoneticPr fontId="40" type="noConversion"/>
  </si>
  <si>
    <t>CA송갑헌</t>
    <phoneticPr fontId="40" type="noConversion"/>
  </si>
  <si>
    <t>N7최지선3</t>
    <phoneticPr fontId="40" type="noConversion"/>
  </si>
  <si>
    <t>N양병후</t>
    <phoneticPr fontId="40" type="noConversion"/>
  </si>
  <si>
    <t>N박상훈3</t>
    <phoneticPr fontId="40" type="noConversion"/>
  </si>
  <si>
    <t>RS홍선화</t>
    <phoneticPr fontId="40" type="noConversion"/>
  </si>
  <si>
    <t>CA황종길</t>
    <phoneticPr fontId="40" type="noConversion"/>
  </si>
  <si>
    <t>H7김진옥7A</t>
    <phoneticPr fontId="40" type="noConversion"/>
  </si>
  <si>
    <t>N송갑헌</t>
    <phoneticPr fontId="40" type="noConversion"/>
  </si>
  <si>
    <t>RG심옥자2</t>
    <phoneticPr fontId="40" type="noConversion"/>
  </si>
  <si>
    <t>RS우영희</t>
    <phoneticPr fontId="40" type="noConversion"/>
  </si>
  <si>
    <t>RA유정순3</t>
    <phoneticPr fontId="40" type="noConversion"/>
  </si>
  <si>
    <t>RA김성자10</t>
    <phoneticPr fontId="40" type="noConversion"/>
  </si>
  <si>
    <t>RM김인순3</t>
    <phoneticPr fontId="40" type="noConversion"/>
  </si>
  <si>
    <t>RA김석군</t>
  </si>
  <si>
    <t>N이동열</t>
    <phoneticPr fontId="40" type="noConversion"/>
  </si>
  <si>
    <t>N홍우표2</t>
    <phoneticPr fontId="40" type="noConversion"/>
  </si>
  <si>
    <t>N김지윤7</t>
    <phoneticPr fontId="40" type="noConversion"/>
  </si>
  <si>
    <t>N신옥남</t>
    <phoneticPr fontId="40" type="noConversion"/>
  </si>
  <si>
    <t>RM정명자5</t>
    <phoneticPr fontId="40" type="noConversion"/>
  </si>
  <si>
    <t>RM배희숙</t>
    <phoneticPr fontId="40" type="noConversion"/>
  </si>
  <si>
    <t>N연현숙2</t>
    <phoneticPr fontId="40" type="noConversion"/>
  </si>
  <si>
    <t>RG오연숙</t>
    <phoneticPr fontId="40" type="noConversion"/>
  </si>
  <si>
    <t xml:space="preserve">
* 3층
- 윤현숙3님 통증서비스 추가 09:40
- 주현수2님 ESWT7 삭제
* 4층 
- 박명숙10님 통증추가13:30
* 5층 
- 지복례님 통증 종결
- 정선숙2님 M15 도수치료 12:00, 16:25 추가, 통증치료 11:25, 15:50 추가
* 6층 
- 
HOLD
- 입원 : 김수태님
- 외래 : 권오식2님, 김기천님
* 변경
- 정금숙2님 산재 마지막날로 월요일 하루만 오전에 스케줄 추가
- 5층 반진용님 오후 도수치료, 통증치료시간 30분씩 앞으로 변경 15:50 &gt; 15:15
- 외래 김미순3님 운동치료 &lt;&gt; 기구시간 순서 변경
- 외래 반지환님 기구 홀드 워크봇 진행(월요일만)
- 외래 이홍섭님 17일만 운동치료, 로봇치료 순서 변경
- 박종규T 대체 : 4층, 6층, 소아
- 3층 N홍우표2님 N 12:00 → 09;40
- 3층 N김지윤7님 14:40 → 10:50
- 3층 N신옥남님 12:00 → 15:15
- 3층 N연현숙2님 09:05 → 14:05
- 3층 RG오연숙님 11:25 → 13:30
- 3층 RM정명자5님 13:30 → 15:50</t>
    <phoneticPr fontId="42" type="noConversion"/>
  </si>
  <si>
    <t>RN윤미기자</t>
    <phoneticPr fontId="40" type="noConversion"/>
  </si>
  <si>
    <t>RG권병호</t>
    <phoneticPr fontId="40" type="noConversion"/>
  </si>
  <si>
    <t>4층
김동선님, 김긍회님 퇴원 스케줄 삭제
이인기님 외출 ALL 홀드
김남규4님 외박 ALL 홀드
이경순10님 외진 오전 홀드
김을순2님 외진 11:25, 12:00 홀드
정태철2님 외진 오후 홀드
염재호님 외진 오전 홀드</t>
    <phoneticPr fontId="42" type="noConversion"/>
  </si>
  <si>
    <t>김동선님, 김긍회님 퇴원 스케줄 삭제
김용하T 이동치료사로 2층 소속으로 변경, 스케줄 변경
박명숙10님 2주 통증 추가</t>
    <phoneticPr fontId="42" type="noConversion"/>
  </si>
  <si>
    <t>권순예님 10:15→11:25 시간변경 (엑스바디)
박명숙10님 10:15→12:00 시간변경 (엑스바디)
고해봉님 12:00→9:05 시간변경 (엑스바디)
홍은남님 D 09:40 → 12:00
우병주님 RM 10:50 → 08:30
정태철님 RA 10:50 → 08:30
김석기님 RD 14:40 → 12:00
정농숙님 RA 15:15 → 15:50
김진권님 RM 14:05 ↔ RN 14:40
3층 권병호님 RG 10:15 → 14:05</t>
    <phoneticPr fontId="42" type="noConversion"/>
  </si>
  <si>
    <t>RN박미정4</t>
    <phoneticPr fontId="40" type="noConversion"/>
  </si>
  <si>
    <t>RN배희숙</t>
    <phoneticPr fontId="40" type="noConversion"/>
  </si>
  <si>
    <t>RS박종순13님 10:15 -&gt; 12:00
MM강기태님 10:50 -&gt; 12:00(10시50분 XBODY 검사)
5층 송갑헌님 N 15:50 → 14:05
5층 홍선화님 RS 08:30 → 09:05
3층 배희숙님 RN 09:40 → 14:40</t>
    <phoneticPr fontId="42" type="noConversion"/>
  </si>
  <si>
    <r>
      <rPr>
        <sz val="9"/>
        <color rgb="FFFF0000"/>
        <rFont val="맑은 고딕"/>
        <family val="3"/>
        <charset val="129"/>
        <scheme val="minor"/>
      </rPr>
      <t xml:space="preserve">* 언어 &amp; 특수 스케줄 확인해서 수정해주세요.
</t>
    </r>
    <r>
      <rPr>
        <sz val="10"/>
        <color theme="1"/>
        <rFont val="맑은 고딕"/>
        <family val="3"/>
        <charset val="129"/>
        <scheme val="minor"/>
      </rPr>
      <t xml:space="preserve">
* 2층
- 
* 3층
-
* 4층 
- 
* 5층 
- 
* 6층 
- 
* 소아
- 에민님 : OPD 스케줄추가 (M7)
권성윤님 : 낮병동(A) 스케줄추가
유기분님 : 회복기종결 , 언어스케줄 삭제
주현수2님 : 회복기종결, 치료오더변경 (RL2&gt;L7 D)
유재환님 : OPD(A) 스케줄삭제 (L7)
최윤아2님 : OPD(A) 스케줄삭제 (RM2,RA2,RL2)
이라함님 : 오전 낮병동 내원
 낮병동 
김수태님 : L(산재) HOLD
*치료시간변경
5층 김석군님 RA 10:15 → 13:30
5층 김성자10님 RA 09:40 → 09:05
*오더변경
14:40 이정담(RM&gt;RA)
*외래 오더변경
10:15 신아린(RM&gt;RA)
</t>
    </r>
    <phoneticPr fontId="42" type="noConversion"/>
  </si>
  <si>
    <t>홍선화님 RS 08:30 → 09:05 대체 : 6층
김석군님 RA 10:15 → 13:30
송갑헌님 N 15:50 → 14:05
김성자10님 RA 09:40 → 09:05
임지현T 대체 : 6층, 소아
김윤종T 대체 : 6층, 소아</t>
    <phoneticPr fontId="40" type="noConversion"/>
  </si>
  <si>
    <t>RG김철기</t>
    <phoneticPr fontId="40" type="noConversion"/>
  </si>
  <si>
    <t>N7주현수2D</t>
    <phoneticPr fontId="40" type="noConversion"/>
  </si>
  <si>
    <t>RG오연숙</t>
    <phoneticPr fontId="40" type="noConversion"/>
  </si>
  <si>
    <t>RG서정욱2</t>
    <phoneticPr fontId="40" type="noConversion"/>
  </si>
  <si>
    <r>
      <t xml:space="preserve">서대성님 MM 14:40 → 14:05
송진영님 MM 09:05 → 11:25
이강은님 MM 13:30 → 08:30
권병호님 MM 15:15 → 10:15
서정욱님 MM 15:50 → 09:05
윤영섭님 N 09:40 → 10:50
RG윤현숙3 14:05 대체 : 2층
N홍우표2님 N 12:00 → 09;40
</t>
    </r>
    <r>
      <rPr>
        <sz val="11"/>
        <color theme="1"/>
        <rFont val="맑은 고딕"/>
        <family val="3"/>
        <charset val="129"/>
        <scheme val="minor"/>
      </rPr>
      <t>N김지윤7님 14:40 → 10:50
N신옥남님 12:00 → 15:15
N연현숙2님 09:05 → 14:05
RG오연숙님 11:25 → 13:30
권병호님 RG 10:15 → 14:05
김은채T 대체 : 2층, 6층, 소아
배서현T 대체 : 2층, 4층
김선영T 대체 : 4층, 6층
주현수2님, 김영한2님, 오연숙님, 서정욱2님 HOLD</t>
    </r>
    <phoneticPr fontId="40" type="noConversion"/>
  </si>
  <si>
    <t>S함도경</t>
    <phoneticPr fontId="4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</si>
</sst>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%"/>
  </numFmts>
  <fonts count="107">
    <font>
      <sz val="10"/>
      <color theme="1"/>
      <name val="돋움"/>
      <family val="2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.5"/>
      <color rgb="FF000000"/>
      <name val="돋움"/>
      <family val="3"/>
      <charset val="129"/>
    </font>
    <font>
      <sz val="8"/>
      <name val="돋움"/>
      <family val="2"/>
      <charset val="129"/>
    </font>
    <font>
      <b/>
      <sz val="12"/>
      <color rgb="FF000000"/>
      <name val="돋움"/>
      <family val="3"/>
      <charset val="129"/>
    </font>
    <font>
      <sz val="8"/>
      <name val="맑은 고딕"/>
      <family val="2"/>
      <charset val="129"/>
      <scheme val="minor"/>
    </font>
    <font>
      <sz val="8.5"/>
      <color rgb="FF000000"/>
      <name val="굴림"/>
      <family val="3"/>
      <charset val="129"/>
    </font>
    <font>
      <sz val="8.5"/>
      <name val="돋움"/>
      <family val="3"/>
      <charset val="129"/>
    </font>
    <font>
      <sz val="11"/>
      <color rgb="FF000000"/>
      <name val="돋움"/>
      <family val="3"/>
      <charset val="129"/>
    </font>
    <font>
      <sz val="10"/>
      <name val="돋움"/>
      <family val="3"/>
      <charset val="129"/>
    </font>
    <font>
      <b/>
      <sz val="10"/>
      <name val="돋움"/>
      <family val="3"/>
      <charset val="129"/>
    </font>
    <font>
      <sz val="10"/>
      <color theme="1"/>
      <name val="돋움"/>
      <family val="3"/>
      <charset val="129"/>
    </font>
    <font>
      <sz val="10"/>
      <color rgb="FF0070C0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rgb="FF000000"/>
      <name val="돋움"/>
      <family val="3"/>
      <charset val="129"/>
    </font>
    <font>
      <sz val="10"/>
      <color rgb="FF0070C0"/>
      <name val="굴림"/>
      <family val="3"/>
      <charset val="129"/>
    </font>
    <font>
      <b/>
      <sz val="12"/>
      <color theme="1"/>
      <name val="돋움"/>
      <family val="3"/>
      <charset val="129"/>
    </font>
    <font>
      <sz val="8.5"/>
      <name val="굴림"/>
      <family val="3"/>
      <charset val="129"/>
    </font>
    <font>
      <sz val="11"/>
      <name val="맑은 고딕"/>
      <family val="2"/>
      <charset val="129"/>
      <scheme val="minor"/>
    </font>
    <font>
      <sz val="10"/>
      <color rgb="FF000000"/>
      <name val="굴림"/>
      <family val="3"/>
      <charset val="129"/>
    </font>
    <font>
      <sz val="11"/>
      <color theme="1"/>
      <name val="돋움"/>
      <family val="3"/>
      <charset val="129"/>
    </font>
    <font>
      <sz val="10"/>
      <color rgb="FF7030A0"/>
      <name val="돋움"/>
      <family val="3"/>
      <charset val="129"/>
    </font>
    <font>
      <sz val="8"/>
      <name val="굴림"/>
      <family val="3"/>
      <charset val="129"/>
    </font>
    <font>
      <b/>
      <sz val="10"/>
      <color rgb="FF000000"/>
      <name val="굴림"/>
      <family val="3"/>
      <charset val="129"/>
    </font>
    <font>
      <sz val="10"/>
      <name val="굴림"/>
      <family val="3"/>
      <charset val="129"/>
    </font>
    <font>
      <sz val="10"/>
      <color theme="1"/>
      <name val="굴림"/>
      <family val="3"/>
      <charset val="129"/>
    </font>
    <font>
      <b/>
      <sz val="10"/>
      <color theme="1"/>
      <name val="굴림"/>
      <family val="3"/>
      <charset val="129"/>
    </font>
    <font>
      <b/>
      <sz val="10"/>
      <name val="굴림"/>
      <family val="3"/>
      <charset val="129"/>
    </font>
    <font>
      <sz val="11"/>
      <name val="돋움"/>
      <family val="3"/>
      <charset val="129"/>
    </font>
    <font>
      <sz val="10"/>
      <color theme="8" tint="-0.249977111117893"/>
      <name val="돋움"/>
      <family val="3"/>
      <charset val="129"/>
    </font>
    <font>
      <sz val="10"/>
      <color theme="1"/>
      <name val="돋움"/>
      <family val="2"/>
      <charset val="129"/>
    </font>
    <font>
      <sz val="10"/>
      <color rgb="FF00B050"/>
      <name val="돋움"/>
      <family val="3"/>
      <charset val="129"/>
    </font>
    <font>
      <sz val="11"/>
      <color theme="1"/>
      <name val="맑은 고딕"/>
      <family val="3"/>
      <charset val="129"/>
      <scheme val="major"/>
    </font>
    <font>
      <sz val="10"/>
      <color rgb="FF000000"/>
      <name val="돋움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u/>
      <sz val="10"/>
      <name val="돋움"/>
      <family val="3"/>
      <charset val="129"/>
    </font>
    <font>
      <sz val="8"/>
      <color theme="1"/>
      <name val="맑은 고딕"/>
      <family val="2"/>
      <charset val="129"/>
      <scheme val="minor"/>
    </font>
    <font>
      <sz val="10"/>
      <color rgb="FFFF0000"/>
      <name val="돋움"/>
      <family val="3"/>
      <charset val="129"/>
    </font>
    <font>
      <b/>
      <sz val="8.5"/>
      <name val="돋움"/>
      <family val="3"/>
      <charset val="129"/>
    </font>
    <font>
      <sz val="10"/>
      <color theme="0" tint="-0.249977111117893"/>
      <name val="돋움"/>
      <family val="3"/>
      <charset val="129"/>
    </font>
    <font>
      <sz val="10"/>
      <name val="맑은 고딕"/>
      <family val="2"/>
      <charset val="129"/>
      <scheme val="minor"/>
    </font>
    <font>
      <sz val="11"/>
      <name val="맑은 고딕"/>
      <family val="3"/>
      <charset val="129"/>
      <scheme val="major"/>
    </font>
    <font>
      <sz val="11"/>
      <color rgb="FFFF0000"/>
      <name val="돋움"/>
      <family val="3"/>
      <charset val="129"/>
    </font>
    <font>
      <sz val="10"/>
      <color theme="0"/>
      <name val="돋움"/>
      <family val="3"/>
      <charset val="129"/>
    </font>
    <font>
      <b/>
      <u/>
      <sz val="10"/>
      <name val="돋움"/>
      <family val="3"/>
      <charset val="129"/>
    </font>
    <font>
      <b/>
      <u/>
      <sz val="10"/>
      <color rgb="FF000000"/>
      <name val="돋움"/>
      <family val="3"/>
      <charset val="129"/>
    </font>
    <font>
      <sz val="8"/>
      <name val="돋움"/>
      <family val="3"/>
      <charset val="129"/>
    </font>
    <font>
      <b/>
      <u/>
      <sz val="10"/>
      <color theme="1"/>
      <name val="돋움"/>
      <family val="3"/>
      <charset val="129"/>
    </font>
    <font>
      <b/>
      <sz val="10"/>
      <color rgb="FFFF0000"/>
      <name val="돋움"/>
      <family val="3"/>
      <charset val="129"/>
    </font>
    <font>
      <sz val="12"/>
      <name val="돋움"/>
      <family val="3"/>
      <charset val="129"/>
    </font>
    <font>
      <sz val="11"/>
      <color theme="0" tint="-0.249977111117893"/>
      <name val="돋움"/>
      <family val="3"/>
      <charset val="129"/>
    </font>
    <font>
      <b/>
      <sz val="10"/>
      <color theme="1"/>
      <name val="돋움"/>
      <family val="3"/>
      <charset val="129"/>
    </font>
    <font>
      <sz val="9"/>
      <color rgb="FF000000"/>
      <name val="돋움"/>
      <family val="3"/>
      <charset val="129"/>
    </font>
    <font>
      <sz val="11"/>
      <color rgb="FF000000"/>
      <name val="맑은 고딕"/>
      <family val="3"/>
      <charset val="129"/>
      <scheme val="major"/>
    </font>
    <font>
      <sz val="10"/>
      <color theme="1"/>
      <name val="맑은 고딕"/>
      <family val="2"/>
      <charset val="129"/>
      <scheme val="minor"/>
    </font>
    <font>
      <b/>
      <sz val="10"/>
      <color rgb="FF0070C0"/>
      <name val="돋움"/>
      <family val="3"/>
      <charset val="129"/>
    </font>
    <font>
      <u/>
      <sz val="10"/>
      <color theme="1"/>
      <name val="돋움"/>
      <family val="3"/>
      <charset val="129"/>
    </font>
    <font>
      <sz val="9"/>
      <color rgb="FFFF0000"/>
      <name val="맑은 고딕"/>
      <family val="3"/>
      <charset val="129"/>
      <scheme val="minor"/>
    </font>
    <font>
      <sz val="9"/>
      <color rgb="FF0070C0"/>
      <name val="돋움"/>
      <family val="3"/>
      <charset val="129"/>
    </font>
    <font>
      <sz val="9"/>
      <color theme="1"/>
      <name val="맑은 고딕"/>
      <family val="2"/>
      <charset val="129"/>
      <scheme val="minor"/>
    </font>
    <font>
      <sz val="9"/>
      <name val="맑은 고딕"/>
      <family val="3"/>
      <charset val="129"/>
      <scheme val="minor"/>
    </font>
    <font>
      <sz val="8"/>
      <color rgb="FF000000"/>
      <name val="돋움"/>
      <family val="3"/>
      <charset val="129"/>
    </font>
    <font>
      <sz val="11"/>
      <color rgb="FFFF0000"/>
      <name val="맑은 고딕"/>
      <family val="3"/>
      <charset val="129"/>
      <scheme val="minor"/>
    </font>
    <font>
      <sz val="8"/>
      <color rgb="FF000000"/>
      <name val="굴림"/>
      <family val="3"/>
      <charset val="129"/>
    </font>
    <font>
      <sz val="12"/>
      <color theme="1"/>
      <name val="돋움"/>
      <family val="3"/>
      <charset val="129"/>
    </font>
    <font>
      <sz val="11"/>
      <color rgb="FF00B050"/>
      <name val="맑은 고딕"/>
      <family val="3"/>
      <charset val="129"/>
      <scheme val="minor"/>
    </font>
    <font>
      <sz val="11"/>
      <color rgb="FF0070C0"/>
      <name val="맑은 고딕"/>
      <family val="3"/>
      <charset val="129"/>
      <scheme val="minor"/>
    </font>
    <font>
      <b/>
      <sz val="10"/>
      <color rgb="FF00B050"/>
      <name val="돋움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8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Down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 style="hair">
        <color rgb="FF969696"/>
      </diagonal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auto="1"/>
      </top>
      <bottom/>
      <diagonal/>
    </border>
  </borders>
  <cellStyleXfs count="220">
    <xf numFmtId="0" fontId="0" fillId="0" borderId="0">
      <alignment vertical="center"/>
    </xf>
    <xf numFmtId="0" fontId="38" fillId="0" borderId="0">
      <alignment vertical="center"/>
    </xf>
    <xf numFmtId="0" fontId="45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45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5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9" fontId="68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9" fontId="10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9" fontId="68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508">
    <xf numFmtId="0" fontId="0" fillId="0" borderId="0" xfId="0">
      <alignment vertical="center"/>
    </xf>
    <xf numFmtId="0" fontId="38" fillId="0" borderId="0" xfId="1">
      <alignment vertical="center"/>
    </xf>
    <xf numFmtId="0" fontId="43" fillId="2" borderId="1" xfId="1" applyNumberFormat="1" applyFont="1" applyFill="1" applyBorder="1" applyAlignment="1" applyProtection="1">
      <alignment horizontal="center" vertical="center" wrapText="1"/>
    </xf>
    <xf numFmtId="0" fontId="39" fillId="2" borderId="2" xfId="1" applyNumberFormat="1" applyFont="1" applyFill="1" applyBorder="1" applyAlignment="1" applyProtection="1">
      <alignment horizontal="left" vertical="center" wrapText="1"/>
    </xf>
    <xf numFmtId="0" fontId="38" fillId="0" borderId="0" xfId="1" applyFill="1">
      <alignment vertical="center"/>
    </xf>
    <xf numFmtId="0" fontId="50" fillId="0" borderId="0" xfId="1" applyFont="1" applyFill="1" applyBorder="1" applyAlignment="1">
      <alignment vertical="center"/>
    </xf>
    <xf numFmtId="0" fontId="43" fillId="2" borderId="1" xfId="1" applyNumberFormat="1" applyFont="1" applyFill="1" applyBorder="1" applyAlignment="1" applyProtection="1">
      <alignment horizontal="center" vertical="center"/>
    </xf>
    <xf numFmtId="0" fontId="55" fillId="2" borderId="1" xfId="1" applyNumberFormat="1" applyFont="1" applyFill="1" applyBorder="1" applyAlignment="1" applyProtection="1">
      <alignment horizontal="center" vertical="center"/>
    </xf>
    <xf numFmtId="0" fontId="43" fillId="2" borderId="1" xfId="2" applyNumberFormat="1" applyFont="1" applyFill="1" applyBorder="1" applyAlignment="1" applyProtection="1">
      <alignment horizontal="center" vertical="center" wrapText="1"/>
    </xf>
    <xf numFmtId="0" fontId="38" fillId="0" borderId="0" xfId="1" applyAlignment="1">
      <alignment vertical="center" wrapText="1"/>
    </xf>
    <xf numFmtId="0" fontId="56" fillId="0" borderId="0" xfId="1" applyFont="1">
      <alignment vertical="center"/>
    </xf>
    <xf numFmtId="0" fontId="41" fillId="0" borderId="0" xfId="1" applyNumberFormat="1" applyFont="1" applyFill="1" applyBorder="1" applyAlignment="1" applyProtection="1">
      <alignment horizontal="center" vertical="center"/>
    </xf>
    <xf numFmtId="0" fontId="46" fillId="0" borderId="18" xfId="2" applyFont="1" applyFill="1" applyBorder="1" applyAlignment="1">
      <alignment horizontal="center" vertical="center" wrapText="1"/>
    </xf>
    <xf numFmtId="0" fontId="50" fillId="0" borderId="0" xfId="2" applyFont="1" applyFill="1" applyBorder="1" applyAlignment="1">
      <alignment vertical="center"/>
    </xf>
    <xf numFmtId="0" fontId="43" fillId="2" borderId="1" xfId="2" applyNumberFormat="1" applyFont="1" applyFill="1" applyBorder="1" applyAlignment="1" applyProtection="1">
      <alignment horizontal="center" vertical="center"/>
    </xf>
    <xf numFmtId="0" fontId="39" fillId="2" borderId="2" xfId="2" applyNumberFormat="1" applyFont="1" applyFill="1" applyBorder="1" applyAlignment="1" applyProtection="1">
      <alignment horizontal="left" vertical="center" wrapText="1"/>
    </xf>
    <xf numFmtId="0" fontId="44" fillId="2" borderId="1" xfId="2" applyNumberFormat="1" applyFont="1" applyFill="1" applyBorder="1" applyAlignment="1" applyProtection="1">
      <alignment horizontal="center" vertical="center"/>
    </xf>
    <xf numFmtId="0" fontId="47" fillId="0" borderId="18" xfId="2" applyFont="1" applyBorder="1" applyAlignment="1">
      <alignment horizontal="center" vertical="center"/>
    </xf>
    <xf numFmtId="0" fontId="60" fillId="0" borderId="0" xfId="1" applyFont="1" applyFill="1" applyBorder="1" applyAlignment="1">
      <alignment horizontal="center" vertical="center"/>
    </xf>
    <xf numFmtId="0" fontId="62" fillId="0" borderId="1" xfId="2" applyFont="1" applyFill="1" applyBorder="1" applyAlignment="1">
      <alignment horizontal="center" vertical="center" wrapText="1"/>
    </xf>
    <xf numFmtId="0" fontId="53" fillId="0" borderId="1" xfId="1" applyNumberFormat="1" applyFont="1" applyFill="1" applyBorder="1" applyAlignment="1" applyProtection="1">
      <alignment horizontal="center" vertical="center" wrapText="1"/>
    </xf>
    <xf numFmtId="0" fontId="57" fillId="0" borderId="1" xfId="1" applyNumberFormat="1" applyFont="1" applyFill="1" applyBorder="1" applyAlignment="1" applyProtection="1">
      <alignment horizontal="center" vertical="center" wrapText="1"/>
    </xf>
    <xf numFmtId="0" fontId="62" fillId="0" borderId="1" xfId="1" applyNumberFormat="1" applyFont="1" applyFill="1" applyBorder="1" applyAlignment="1" applyProtection="1">
      <alignment horizontal="center" vertical="center" wrapText="1"/>
    </xf>
    <xf numFmtId="0" fontId="62" fillId="0" borderId="1" xfId="1" applyNumberFormat="1" applyFont="1" applyFill="1" applyBorder="1" applyAlignment="1" applyProtection="1">
      <alignment horizontal="center" vertical="center"/>
    </xf>
    <xf numFmtId="0" fontId="53" fillId="0" borderId="0" xfId="1" applyFont="1" applyFill="1" applyBorder="1" applyAlignment="1">
      <alignment horizontal="center" vertical="center"/>
    </xf>
    <xf numFmtId="0" fontId="57" fillId="0" borderId="1" xfId="1" applyNumberFormat="1" applyFont="1" applyFill="1" applyBorder="1" applyAlignment="1" applyProtection="1">
      <alignment horizontal="center" vertical="center"/>
    </xf>
    <xf numFmtId="0" fontId="63" fillId="0" borderId="1" xfId="1" applyFont="1" applyFill="1" applyBorder="1" applyAlignment="1">
      <alignment horizontal="center" vertical="center"/>
    </xf>
    <xf numFmtId="0" fontId="62" fillId="0" borderId="1" xfId="1" applyFont="1" applyFill="1" applyBorder="1" applyAlignment="1">
      <alignment horizontal="center" vertical="center" wrapText="1"/>
    </xf>
    <xf numFmtId="0" fontId="53" fillId="0" borderId="1" xfId="1" applyNumberFormat="1" applyFont="1" applyFill="1" applyBorder="1" applyAlignment="1" applyProtection="1">
      <alignment horizontal="center" vertical="center"/>
    </xf>
    <xf numFmtId="0" fontId="53" fillId="0" borderId="23" xfId="1" applyNumberFormat="1" applyFont="1" applyFill="1" applyBorder="1" applyAlignment="1" applyProtection="1">
      <alignment horizontal="center" vertical="center"/>
    </xf>
    <xf numFmtId="0" fontId="62" fillId="0" borderId="23" xfId="1" applyNumberFormat="1" applyFont="1" applyFill="1" applyBorder="1" applyAlignment="1" applyProtection="1">
      <alignment horizontal="center" vertical="center" wrapText="1"/>
    </xf>
    <xf numFmtId="0" fontId="53" fillId="0" borderId="23" xfId="1" applyNumberFormat="1" applyFont="1" applyFill="1" applyBorder="1" applyAlignment="1" applyProtection="1">
      <alignment horizontal="center" vertical="center" wrapText="1"/>
    </xf>
    <xf numFmtId="0" fontId="63" fillId="0" borderId="23" xfId="1" applyFont="1" applyFill="1" applyBorder="1" applyAlignment="1">
      <alignment horizontal="center" vertical="center" wrapText="1"/>
    </xf>
    <xf numFmtId="0" fontId="63" fillId="0" borderId="23" xfId="1" applyFont="1" applyFill="1" applyBorder="1" applyAlignment="1">
      <alignment horizontal="center" vertical="center"/>
    </xf>
    <xf numFmtId="0" fontId="57" fillId="0" borderId="23" xfId="1" applyNumberFormat="1" applyFont="1" applyFill="1" applyBorder="1" applyAlignment="1" applyProtection="1">
      <alignment horizontal="center" vertical="center"/>
    </xf>
    <xf numFmtId="0" fontId="62" fillId="0" borderId="23" xfId="1" applyFont="1" applyFill="1" applyBorder="1" applyAlignment="1">
      <alignment horizontal="center" vertical="center" wrapText="1"/>
    </xf>
    <xf numFmtId="0" fontId="62" fillId="0" borderId="23" xfId="1" applyFont="1" applyFill="1" applyBorder="1" applyAlignment="1">
      <alignment horizontal="center" vertical="center"/>
    </xf>
    <xf numFmtId="0" fontId="62" fillId="0" borderId="1" xfId="1" applyFont="1" applyFill="1" applyBorder="1" applyAlignment="1">
      <alignment horizontal="center" vertical="center"/>
    </xf>
    <xf numFmtId="0" fontId="61" fillId="0" borderId="1" xfId="1" applyFont="1" applyFill="1" applyBorder="1" applyAlignment="1">
      <alignment horizontal="center" vertical="center" wrapText="1"/>
    </xf>
    <xf numFmtId="0" fontId="63" fillId="0" borderId="1" xfId="1" applyFont="1" applyFill="1" applyBorder="1" applyAlignment="1">
      <alignment horizontal="center" vertical="center" wrapText="1"/>
    </xf>
    <xf numFmtId="0" fontId="64" fillId="0" borderId="23" xfId="1" applyFont="1" applyFill="1" applyBorder="1" applyAlignment="1">
      <alignment horizontal="center" vertical="center" wrapText="1"/>
    </xf>
    <xf numFmtId="0" fontId="53" fillId="0" borderId="23" xfId="1" applyFont="1" applyFill="1" applyBorder="1" applyAlignment="1">
      <alignment horizontal="center" vertical="center" wrapText="1"/>
    </xf>
    <xf numFmtId="0" fontId="43" fillId="0" borderId="23" xfId="5" applyNumberFormat="1" applyFont="1" applyFill="1" applyBorder="1" applyAlignment="1" applyProtection="1">
      <alignment horizontal="center" vertical="center"/>
    </xf>
    <xf numFmtId="0" fontId="43" fillId="0" borderId="19" xfId="5" applyNumberFormat="1" applyFont="1" applyFill="1" applyBorder="1" applyAlignment="1" applyProtection="1">
      <alignment horizontal="center" vertical="center"/>
    </xf>
    <xf numFmtId="0" fontId="47" fillId="0" borderId="18" xfId="2" applyFont="1" applyBorder="1" applyAlignment="1">
      <alignment horizontal="center" vertical="center" wrapText="1"/>
    </xf>
    <xf numFmtId="0" fontId="48" fillId="0" borderId="18" xfId="1" applyFont="1" applyFill="1" applyBorder="1" applyAlignment="1">
      <alignment horizontal="center" vertical="center"/>
    </xf>
    <xf numFmtId="0" fontId="49" fillId="0" borderId="18" xfId="1" applyFont="1" applyFill="1" applyBorder="1" applyAlignment="1">
      <alignment horizontal="center" vertical="center" wrapText="1"/>
    </xf>
    <xf numFmtId="0" fontId="49" fillId="0" borderId="3" xfId="1" applyFont="1" applyFill="1" applyBorder="1" applyAlignment="1">
      <alignment horizontal="center" vertical="center" wrapText="1"/>
    </xf>
    <xf numFmtId="0" fontId="43" fillId="0" borderId="19" xfId="1" applyNumberFormat="1" applyFont="1" applyFill="1" applyBorder="1" applyAlignment="1" applyProtection="1">
      <alignment horizontal="center" vertical="center"/>
    </xf>
    <xf numFmtId="0" fontId="61" fillId="0" borderId="18" xfId="1" applyNumberFormat="1" applyFont="1" applyFill="1" applyBorder="1" applyAlignment="1" applyProtection="1">
      <alignment horizontal="center" vertical="center" wrapText="1"/>
    </xf>
    <xf numFmtId="0" fontId="53" fillId="0" borderId="13" xfId="1" applyNumberFormat="1" applyFont="1" applyFill="1" applyBorder="1" applyAlignment="1" applyProtection="1">
      <alignment horizontal="center" vertical="center"/>
    </xf>
    <xf numFmtId="0" fontId="53" fillId="0" borderId="18" xfId="1" applyNumberFormat="1" applyFont="1" applyFill="1" applyBorder="1" applyAlignment="1" applyProtection="1">
      <alignment horizontal="center" vertical="center"/>
    </xf>
    <xf numFmtId="0" fontId="62" fillId="0" borderId="18" xfId="1" applyNumberFormat="1" applyFont="1" applyFill="1" applyBorder="1" applyAlignment="1" applyProtection="1">
      <alignment horizontal="center" vertical="center" wrapText="1"/>
    </xf>
    <xf numFmtId="0" fontId="53" fillId="0" borderId="18" xfId="1" applyNumberFormat="1" applyFont="1" applyFill="1" applyBorder="1" applyAlignment="1" applyProtection="1">
      <alignment horizontal="center" vertical="center" wrapText="1"/>
    </xf>
    <xf numFmtId="0" fontId="63" fillId="0" borderId="18" xfId="1" applyFont="1" applyFill="1" applyBorder="1" applyAlignment="1">
      <alignment horizontal="center" vertical="center" wrapText="1"/>
    </xf>
    <xf numFmtId="0" fontId="63" fillId="0" borderId="18" xfId="1" applyFont="1" applyFill="1" applyBorder="1" applyAlignment="1">
      <alignment horizontal="center" vertical="center"/>
    </xf>
    <xf numFmtId="0" fontId="57" fillId="0" borderId="18" xfId="1" applyNumberFormat="1" applyFont="1" applyFill="1" applyBorder="1" applyAlignment="1" applyProtection="1">
      <alignment horizontal="center" vertical="center"/>
    </xf>
    <xf numFmtId="0" fontId="62" fillId="0" borderId="18" xfId="1" applyFont="1" applyFill="1" applyBorder="1" applyAlignment="1">
      <alignment horizontal="center" vertical="center" wrapText="1"/>
    </xf>
    <xf numFmtId="0" fontId="62" fillId="0" borderId="18" xfId="1" applyFont="1" applyFill="1" applyBorder="1" applyAlignment="1">
      <alignment horizontal="center" vertical="center"/>
    </xf>
    <xf numFmtId="0" fontId="57" fillId="0" borderId="3" xfId="1" applyNumberFormat="1" applyFont="1" applyFill="1" applyBorder="1" applyAlignment="1" applyProtection="1">
      <alignment horizontal="center" vertical="center"/>
    </xf>
    <xf numFmtId="49" fontId="48" fillId="0" borderId="18" xfId="2" applyNumberFormat="1" applyFont="1" applyFill="1" applyBorder="1" applyAlignment="1">
      <alignment horizontal="center" vertical="center" wrapText="1"/>
    </xf>
    <xf numFmtId="49" fontId="49" fillId="0" borderId="18" xfId="2" applyNumberFormat="1" applyFont="1" applyFill="1" applyBorder="1" applyAlignment="1">
      <alignment horizontal="center" vertical="center" wrapText="1"/>
    </xf>
    <xf numFmtId="0" fontId="59" fillId="0" borderId="18" xfId="2" applyFont="1" applyFill="1" applyBorder="1" applyAlignment="1">
      <alignment horizontal="center" vertical="center" wrapText="1"/>
    </xf>
    <xf numFmtId="0" fontId="41" fillId="0" borderId="3" xfId="2" applyFont="1" applyBorder="1" applyAlignment="1">
      <alignment horizontal="center" vertical="center"/>
    </xf>
    <xf numFmtId="0" fontId="41" fillId="0" borderId="21" xfId="2" applyFont="1" applyBorder="1" applyAlignment="1">
      <alignment horizontal="center" vertical="center"/>
    </xf>
    <xf numFmtId="0" fontId="41" fillId="0" borderId="17" xfId="2" applyFont="1" applyBorder="1" applyAlignment="1">
      <alignment horizontal="center" vertical="center"/>
    </xf>
    <xf numFmtId="0" fontId="38" fillId="0" borderId="27" xfId="1" applyBorder="1">
      <alignment vertical="center"/>
    </xf>
    <xf numFmtId="0" fontId="38" fillId="0" borderId="27" xfId="1" applyBorder="1" applyAlignment="1">
      <alignment vertical="center" wrapText="1"/>
    </xf>
    <xf numFmtId="0" fontId="56" fillId="0" borderId="27" xfId="1" applyFont="1" applyBorder="1">
      <alignment vertical="center"/>
    </xf>
    <xf numFmtId="0" fontId="51" fillId="0" borderId="0" xfId="1" applyFont="1">
      <alignment vertical="center"/>
    </xf>
    <xf numFmtId="0" fontId="46" fillId="0" borderId="13" xfId="2" applyFont="1" applyFill="1" applyBorder="1" applyAlignment="1">
      <alignment horizontal="center" vertical="center" wrapText="1"/>
    </xf>
    <xf numFmtId="0" fontId="57" fillId="0" borderId="25" xfId="1" applyNumberFormat="1" applyFont="1" applyFill="1" applyBorder="1" applyAlignment="1" applyProtection="1">
      <alignment horizontal="center" vertical="center"/>
    </xf>
    <xf numFmtId="0" fontId="53" fillId="0" borderId="1" xfId="2" applyFont="1" applyFill="1" applyBorder="1" applyAlignment="1">
      <alignment horizontal="center" vertical="center" wrapText="1"/>
    </xf>
    <xf numFmtId="0" fontId="43" fillId="2" borderId="1" xfId="16" applyNumberFormat="1" applyFont="1" applyFill="1" applyBorder="1" applyAlignment="1" applyProtection="1">
      <alignment horizontal="center" vertical="center"/>
    </xf>
    <xf numFmtId="0" fontId="39" fillId="2" borderId="2" xfId="16" applyNumberFormat="1" applyFont="1" applyFill="1" applyBorder="1" applyAlignment="1" applyProtection="1">
      <alignment horizontal="left" vertical="center" wrapText="1"/>
    </xf>
    <xf numFmtId="0" fontId="43" fillId="2" borderId="1" xfId="16" applyNumberFormat="1" applyFont="1" applyFill="1" applyBorder="1" applyAlignment="1" applyProtection="1">
      <alignment horizontal="center" vertical="center" wrapText="1"/>
    </xf>
    <xf numFmtId="0" fontId="55" fillId="2" borderId="1" xfId="16" applyNumberFormat="1" applyFont="1" applyFill="1" applyBorder="1" applyAlignment="1" applyProtection="1">
      <alignment horizontal="center" vertical="center"/>
    </xf>
    <xf numFmtId="0" fontId="50" fillId="0" borderId="3" xfId="16" applyFont="1" applyBorder="1" applyAlignment="1">
      <alignment vertical="center"/>
    </xf>
    <xf numFmtId="0" fontId="32" fillId="0" borderId="0" xfId="16">
      <alignment vertical="center"/>
    </xf>
    <xf numFmtId="0" fontId="50" fillId="0" borderId="0" xfId="16" applyFont="1" applyFill="1" applyBorder="1" applyAlignment="1">
      <alignment vertical="center"/>
    </xf>
    <xf numFmtId="0" fontId="32" fillId="0" borderId="0" xfId="16" applyFill="1">
      <alignment vertical="center"/>
    </xf>
    <xf numFmtId="0" fontId="66" fillId="0" borderId="0" xfId="2" applyFont="1" applyFill="1" applyBorder="1" applyAlignment="1">
      <alignment horizontal="center" vertical="center" wrapText="1"/>
    </xf>
    <xf numFmtId="0" fontId="53" fillId="3" borderId="1" xfId="2" applyFont="1" applyFill="1" applyBorder="1" applyAlignment="1">
      <alignment horizontal="center" vertical="center" wrapText="1"/>
    </xf>
    <xf numFmtId="0" fontId="62" fillId="3" borderId="1" xfId="2" applyFont="1" applyFill="1" applyBorder="1" applyAlignment="1">
      <alignment horizontal="center" vertical="center" wrapText="1"/>
    </xf>
    <xf numFmtId="0" fontId="63" fillId="3" borderId="1" xfId="2" applyFont="1" applyFill="1" applyBorder="1" applyAlignment="1">
      <alignment horizontal="center" vertical="center" wrapText="1"/>
    </xf>
    <xf numFmtId="0" fontId="63" fillId="3" borderId="1" xfId="1" applyNumberFormat="1" applyFont="1" applyFill="1" applyBorder="1" applyAlignment="1" applyProtection="1">
      <alignment horizontal="center" vertical="center" wrapText="1"/>
    </xf>
    <xf numFmtId="0" fontId="63" fillId="0" borderId="1" xfId="1" applyNumberFormat="1" applyFont="1" applyFill="1" applyBorder="1" applyAlignment="1" applyProtection="1">
      <alignment horizontal="center" vertical="center" wrapText="1"/>
    </xf>
    <xf numFmtId="0" fontId="48" fillId="3" borderId="1" xfId="2" applyFont="1" applyFill="1" applyBorder="1" applyAlignment="1">
      <alignment horizontal="center" vertical="center" wrapText="1"/>
    </xf>
    <xf numFmtId="0" fontId="43" fillId="0" borderId="1" xfId="5" applyNumberFormat="1" applyFont="1" applyFill="1" applyBorder="1" applyAlignment="1" applyProtection="1">
      <alignment horizontal="center" vertical="center"/>
    </xf>
    <xf numFmtId="0" fontId="46" fillId="3" borderId="1" xfId="57" applyNumberFormat="1" applyFont="1" applyFill="1" applyBorder="1" applyAlignment="1" applyProtection="1">
      <alignment horizontal="center" vertical="center" wrapText="1"/>
    </xf>
    <xf numFmtId="0" fontId="48" fillId="3" borderId="4" xfId="0" applyNumberFormat="1" applyFont="1" applyFill="1" applyBorder="1" applyAlignment="1" applyProtection="1">
      <alignment horizontal="center" vertical="center" wrapText="1"/>
    </xf>
    <xf numFmtId="0" fontId="23" fillId="0" borderId="1" xfId="57" applyFill="1" applyBorder="1">
      <alignment vertical="center"/>
    </xf>
    <xf numFmtId="0" fontId="48" fillId="3" borderId="1" xfId="57" applyFont="1" applyFill="1" applyBorder="1" applyAlignment="1">
      <alignment horizontal="center" vertical="center"/>
    </xf>
    <xf numFmtId="0" fontId="59" fillId="3" borderId="1" xfId="57" applyFont="1" applyFill="1" applyBorder="1" applyAlignment="1">
      <alignment horizontal="center" vertical="center"/>
    </xf>
    <xf numFmtId="0" fontId="49" fillId="3" borderId="13" xfId="2" applyFont="1" applyFill="1" applyBorder="1" applyAlignment="1">
      <alignment horizontal="center" vertical="center" wrapText="1"/>
    </xf>
    <xf numFmtId="0" fontId="59" fillId="3" borderId="29" xfId="2" applyFont="1" applyFill="1" applyBorder="1" applyAlignment="1">
      <alignment horizontal="center" vertical="center" wrapText="1"/>
    </xf>
    <xf numFmtId="0" fontId="59" fillId="0" borderId="4" xfId="57" applyFont="1" applyFill="1" applyBorder="1" applyAlignment="1">
      <alignment horizontal="center" vertical="center"/>
    </xf>
    <xf numFmtId="0" fontId="59" fillId="0" borderId="10" xfId="57" applyFont="1" applyFill="1" applyBorder="1" applyAlignment="1">
      <alignment horizontal="center" vertical="center"/>
    </xf>
    <xf numFmtId="0" fontId="46" fillId="3" borderId="23" xfId="2" applyFont="1" applyFill="1" applyBorder="1" applyAlignment="1">
      <alignment horizontal="center" vertical="center" wrapText="1"/>
    </xf>
    <xf numFmtId="0" fontId="48" fillId="3" borderId="23" xfId="57" applyFont="1" applyFill="1" applyBorder="1" applyAlignment="1">
      <alignment horizontal="center" vertical="center"/>
    </xf>
    <xf numFmtId="0" fontId="23" fillId="0" borderId="23" xfId="57" applyFill="1" applyBorder="1">
      <alignment vertical="center"/>
    </xf>
    <xf numFmtId="0" fontId="48" fillId="3" borderId="23" xfId="0" applyNumberFormat="1" applyFont="1" applyFill="1" applyBorder="1" applyAlignment="1" applyProtection="1">
      <alignment horizontal="center" vertical="center" wrapText="1"/>
    </xf>
    <xf numFmtId="0" fontId="49" fillId="3" borderId="23" xfId="0" applyFont="1" applyFill="1" applyBorder="1" applyAlignment="1">
      <alignment horizontal="center" vertical="center" wrapText="1"/>
    </xf>
    <xf numFmtId="0" fontId="67" fillId="3" borderId="23" xfId="0" applyNumberFormat="1" applyFont="1" applyFill="1" applyBorder="1" applyAlignment="1" applyProtection="1">
      <alignment horizontal="center" vertical="center" wrapText="1"/>
    </xf>
    <xf numFmtId="0" fontId="48" fillId="3" borderId="30" xfId="0" applyNumberFormat="1" applyFont="1" applyFill="1" applyBorder="1" applyAlignment="1" applyProtection="1">
      <alignment horizontal="center" vertical="center" wrapText="1"/>
    </xf>
    <xf numFmtId="0" fontId="62" fillId="0" borderId="12" xfId="1" applyNumberFormat="1" applyFont="1" applyFill="1" applyBorder="1" applyAlignment="1" applyProtection="1">
      <alignment horizontal="center" vertical="center" wrapText="1"/>
    </xf>
    <xf numFmtId="0" fontId="43" fillId="0" borderId="1" xfId="1" applyNumberFormat="1" applyFont="1" applyFill="1" applyBorder="1" applyAlignment="1" applyProtection="1">
      <alignment horizontal="center" vertical="center"/>
    </xf>
    <xf numFmtId="49" fontId="58" fillId="0" borderId="8" xfId="3" applyNumberFormat="1" applyFont="1" applyBorder="1" applyAlignment="1">
      <alignment horizontal="left" vertical="top" wrapText="1"/>
    </xf>
    <xf numFmtId="49" fontId="58" fillId="0" borderId="0" xfId="3" applyNumberFormat="1" applyFont="1" applyBorder="1" applyAlignment="1">
      <alignment horizontal="left" vertical="top" wrapText="1"/>
    </xf>
    <xf numFmtId="49" fontId="58" fillId="0" borderId="9" xfId="3" applyNumberFormat="1" applyFont="1" applyBorder="1" applyAlignment="1">
      <alignment horizontal="left" vertical="top" wrapText="1"/>
    </xf>
    <xf numFmtId="0" fontId="63" fillId="0" borderId="1" xfId="2" applyFont="1" applyFill="1" applyBorder="1" applyAlignment="1">
      <alignment horizontal="center" vertical="center" wrapText="1"/>
    </xf>
    <xf numFmtId="0" fontId="43" fillId="0" borderId="23" xfId="1" applyNumberFormat="1" applyFont="1" applyFill="1" applyBorder="1" applyAlignment="1" applyProtection="1">
      <alignment horizontal="center" vertical="center"/>
    </xf>
    <xf numFmtId="0" fontId="61" fillId="0" borderId="1" xfId="1" applyNumberFormat="1" applyFont="1" applyFill="1" applyBorder="1" applyAlignment="1" applyProtection="1">
      <alignment horizontal="center" vertical="center" wrapText="1"/>
    </xf>
    <xf numFmtId="0" fontId="46" fillId="0" borderId="1" xfId="2" applyFont="1" applyFill="1" applyBorder="1" applyAlignment="1">
      <alignment horizontal="center" vertical="center" wrapText="1"/>
    </xf>
    <xf numFmtId="0" fontId="3" fillId="0" borderId="0" xfId="1" applyFont="1" applyFill="1">
      <alignment vertical="center"/>
    </xf>
    <xf numFmtId="0" fontId="49" fillId="3" borderId="23" xfId="0" applyNumberFormat="1" applyFont="1" applyFill="1" applyBorder="1" applyAlignment="1" applyProtection="1">
      <alignment horizontal="center" vertical="center" wrapText="1"/>
    </xf>
    <xf numFmtId="9" fontId="71" fillId="0" borderId="0" xfId="99" applyFont="1" applyFill="1" applyBorder="1" applyAlignment="1" applyProtection="1">
      <alignment horizontal="center" vertical="center" wrapText="1"/>
    </xf>
    <xf numFmtId="0" fontId="69" fillId="0" borderId="1" xfId="2" applyFont="1" applyFill="1" applyBorder="1" applyAlignment="1">
      <alignment horizontal="center" vertical="center" wrapText="1"/>
    </xf>
    <xf numFmtId="0" fontId="69" fillId="5" borderId="1" xfId="2" applyFont="1" applyFill="1" applyBorder="1" applyAlignment="1">
      <alignment horizontal="center" vertical="center" wrapText="1"/>
    </xf>
    <xf numFmtId="0" fontId="46" fillId="0" borderId="12" xfId="2" applyFont="1" applyFill="1" applyBorder="1" applyAlignment="1">
      <alignment horizontal="center" vertical="center"/>
    </xf>
    <xf numFmtId="0" fontId="46" fillId="0" borderId="43" xfId="2" applyFont="1" applyFill="1" applyBorder="1" applyAlignment="1">
      <alignment horizontal="center" vertical="center" wrapText="1"/>
    </xf>
    <xf numFmtId="0" fontId="48" fillId="6" borderId="13" xfId="2" applyFont="1" applyFill="1" applyBorder="1" applyAlignment="1">
      <alignment horizontal="center" vertical="center" wrapText="1"/>
    </xf>
    <xf numFmtId="0" fontId="46" fillId="0" borderId="1" xfId="2" applyFont="1" applyFill="1" applyBorder="1" applyAlignment="1">
      <alignment horizontal="center" vertical="center"/>
    </xf>
    <xf numFmtId="0" fontId="46" fillId="0" borderId="40" xfId="2" applyFont="1" applyFill="1" applyBorder="1" applyAlignment="1">
      <alignment horizontal="center" vertical="center" wrapText="1"/>
    </xf>
    <xf numFmtId="0" fontId="69" fillId="5" borderId="40" xfId="2" applyFont="1" applyFill="1" applyBorder="1" applyAlignment="1">
      <alignment horizontal="center" vertical="center" wrapText="1"/>
    </xf>
    <xf numFmtId="0" fontId="46" fillId="4" borderId="1" xfId="2" applyFont="1" applyFill="1" applyBorder="1" applyAlignment="1">
      <alignment horizontal="center" vertical="center" wrapText="1"/>
    </xf>
    <xf numFmtId="0" fontId="48" fillId="3" borderId="12" xfId="2" applyFont="1" applyFill="1" applyBorder="1" applyAlignment="1">
      <alignment horizontal="center" vertical="center" wrapText="1"/>
    </xf>
    <xf numFmtId="0" fontId="49" fillId="3" borderId="18" xfId="2" applyFont="1" applyFill="1" applyBorder="1" applyAlignment="1">
      <alignment horizontal="center" vertical="center" wrapText="1"/>
    </xf>
    <xf numFmtId="0" fontId="59" fillId="3" borderId="3" xfId="2" applyFont="1" applyFill="1" applyBorder="1" applyAlignment="1">
      <alignment horizontal="center" vertical="center" wrapText="1"/>
    </xf>
    <xf numFmtId="0" fontId="47" fillId="0" borderId="1" xfId="2" applyFont="1" applyBorder="1" applyAlignment="1">
      <alignment horizontal="center" vertical="center"/>
    </xf>
    <xf numFmtId="0" fontId="65" fillId="0" borderId="1" xfId="2" applyNumberFormat="1" applyFont="1" applyFill="1" applyBorder="1" applyAlignment="1" applyProtection="1">
      <alignment horizontal="center" vertical="center" wrapText="1"/>
    </xf>
    <xf numFmtId="0" fontId="46" fillId="0" borderId="1" xfId="2" applyNumberFormat="1" applyFont="1" applyFill="1" applyBorder="1" applyAlignment="1" applyProtection="1">
      <alignment horizontal="center" vertical="center" wrapText="1"/>
    </xf>
    <xf numFmtId="0" fontId="48" fillId="0" borderId="1" xfId="2" applyNumberFormat="1" applyFont="1" applyFill="1" applyBorder="1" applyAlignment="1" applyProtection="1">
      <alignment horizontal="center" vertical="center" wrapText="1"/>
    </xf>
    <xf numFmtId="0" fontId="46" fillId="0" borderId="1" xfId="196" applyNumberFormat="1" applyFont="1" applyFill="1" applyBorder="1" applyAlignment="1" applyProtection="1">
      <alignment horizontal="center" vertical="center" wrapText="1"/>
    </xf>
    <xf numFmtId="0" fontId="46" fillId="0" borderId="13" xfId="196" applyNumberFormat="1" applyFont="1" applyFill="1" applyBorder="1" applyAlignment="1" applyProtection="1">
      <alignment horizontal="center" vertical="center" wrapText="1"/>
    </xf>
    <xf numFmtId="0" fontId="69" fillId="0" borderId="1" xfId="196" applyNumberFormat="1" applyFont="1" applyFill="1" applyBorder="1" applyAlignment="1" applyProtection="1">
      <alignment horizontal="center" vertical="center" wrapText="1"/>
    </xf>
    <xf numFmtId="0" fontId="46" fillId="0" borderId="1" xfId="196" applyFont="1" applyFill="1" applyBorder="1" applyAlignment="1">
      <alignment horizontal="center" vertical="center" wrapText="1"/>
    </xf>
    <xf numFmtId="0" fontId="69" fillId="5" borderId="12" xfId="2" applyFont="1" applyFill="1" applyBorder="1" applyAlignment="1">
      <alignment horizontal="center" vertical="center" wrapText="1"/>
    </xf>
    <xf numFmtId="0" fontId="46" fillId="5" borderId="1" xfId="2" applyFont="1" applyFill="1" applyBorder="1" applyAlignment="1">
      <alignment horizontal="center" vertical="center" wrapText="1"/>
    </xf>
    <xf numFmtId="0" fontId="46" fillId="0" borderId="1" xfId="196" applyFont="1" applyFill="1" applyBorder="1" applyAlignment="1">
      <alignment horizontal="center" vertical="center"/>
    </xf>
    <xf numFmtId="0" fontId="48" fillId="0" borderId="12" xfId="2" applyFont="1" applyFill="1" applyBorder="1" applyAlignment="1">
      <alignment horizontal="center" vertical="center" wrapText="1"/>
    </xf>
    <xf numFmtId="0" fontId="69" fillId="0" borderId="1" xfId="196" applyFont="1" applyFill="1" applyBorder="1" applyAlignment="1">
      <alignment horizontal="center" vertical="center" wrapText="1"/>
    </xf>
    <xf numFmtId="0" fontId="48" fillId="0" borderId="13" xfId="2" applyFont="1" applyFill="1" applyBorder="1" applyAlignment="1">
      <alignment horizontal="center" vertical="center" wrapText="1"/>
    </xf>
    <xf numFmtId="0" fontId="76" fillId="0" borderId="1" xfId="2" applyFont="1" applyFill="1" applyBorder="1" applyAlignment="1">
      <alignment horizontal="center" vertical="center" wrapText="1"/>
    </xf>
    <xf numFmtId="0" fontId="52" fillId="0" borderId="10" xfId="196" applyNumberFormat="1" applyFont="1" applyFill="1" applyBorder="1" applyAlignment="1" applyProtection="1">
      <alignment horizontal="center" vertical="center" wrapText="1"/>
    </xf>
    <xf numFmtId="0" fontId="46" fillId="0" borderId="64" xfId="2" applyFont="1" applyFill="1" applyBorder="1" applyAlignment="1">
      <alignment horizontal="center" vertical="center" wrapText="1"/>
    </xf>
    <xf numFmtId="9" fontId="71" fillId="0" borderId="0" xfId="188" applyFont="1" applyFill="1" applyBorder="1" applyAlignment="1" applyProtection="1">
      <alignment horizontal="center" vertical="center" wrapText="1"/>
    </xf>
    <xf numFmtId="0" fontId="46" fillId="6" borderId="13" xfId="2" applyFont="1" applyFill="1" applyBorder="1" applyAlignment="1">
      <alignment horizontal="center" vertical="center" wrapText="1"/>
    </xf>
    <xf numFmtId="0" fontId="46" fillId="0" borderId="13" xfId="2" applyNumberFormat="1" applyFont="1" applyFill="1" applyBorder="1" applyAlignment="1" applyProtection="1">
      <alignment horizontal="center" vertical="center" wrapText="1"/>
    </xf>
    <xf numFmtId="9" fontId="71" fillId="0" borderId="3" xfId="188" applyFont="1" applyFill="1" applyBorder="1" applyAlignment="1" applyProtection="1">
      <alignment horizontal="center" vertical="center" wrapText="1"/>
    </xf>
    <xf numFmtId="0" fontId="46" fillId="0" borderId="13" xfId="2" applyFont="1" applyFill="1" applyBorder="1" applyAlignment="1">
      <alignment horizontal="center" vertical="center"/>
    </xf>
    <xf numFmtId="0" fontId="76" fillId="0" borderId="12" xfId="2" applyFont="1" applyFill="1" applyBorder="1" applyAlignment="1">
      <alignment horizontal="center" vertical="center" wrapText="1"/>
    </xf>
    <xf numFmtId="0" fontId="76" fillId="0" borderId="64" xfId="2" applyFont="1" applyFill="1" applyBorder="1" applyAlignment="1">
      <alignment horizontal="center" vertical="center" wrapText="1"/>
    </xf>
    <xf numFmtId="0" fontId="47" fillId="0" borderId="1" xfId="2" applyFont="1" applyFill="1" applyBorder="1" applyAlignment="1">
      <alignment horizontal="center" vertical="center" wrapText="1"/>
    </xf>
    <xf numFmtId="0" fontId="49" fillId="0" borderId="1" xfId="2" applyFont="1" applyFill="1" applyBorder="1" applyAlignment="1">
      <alignment horizontal="center" vertical="center" wrapText="1"/>
    </xf>
    <xf numFmtId="0" fontId="49" fillId="0" borderId="1" xfId="2" applyFont="1" applyFill="1" applyBorder="1" applyAlignment="1">
      <alignment horizontal="center" vertical="center"/>
    </xf>
    <xf numFmtId="0" fontId="48" fillId="5" borderId="1" xfId="2" applyFont="1" applyFill="1" applyBorder="1" applyAlignment="1">
      <alignment horizontal="center" vertical="center" wrapText="1"/>
    </xf>
    <xf numFmtId="0" fontId="49" fillId="3" borderId="1" xfId="2" applyFont="1" applyFill="1" applyBorder="1" applyAlignment="1">
      <alignment horizontal="center" vertical="center" wrapText="1"/>
    </xf>
    <xf numFmtId="0" fontId="94" fillId="0" borderId="1" xfId="2" applyFont="1" applyFill="1" applyBorder="1" applyAlignment="1">
      <alignment horizontal="center" vertical="center" wrapText="1"/>
    </xf>
    <xf numFmtId="0" fontId="49" fillId="5" borderId="1" xfId="2" applyFont="1" applyFill="1" applyBorder="1" applyAlignment="1">
      <alignment horizontal="center" vertical="center" wrapText="1"/>
    </xf>
    <xf numFmtId="0" fontId="49" fillId="3" borderId="1" xfId="2" applyFont="1" applyFill="1" applyBorder="1" applyAlignment="1">
      <alignment horizontal="center" vertical="center"/>
    </xf>
    <xf numFmtId="0" fontId="47" fillId="5" borderId="1" xfId="2" applyFont="1" applyFill="1" applyBorder="1" applyAlignment="1">
      <alignment horizontal="center" vertical="center" wrapText="1"/>
    </xf>
    <xf numFmtId="0" fontId="69" fillId="5" borderId="1" xfId="2" applyFont="1" applyFill="1" applyBorder="1" applyAlignment="1">
      <alignment horizontal="center" vertical="center"/>
    </xf>
    <xf numFmtId="0" fontId="49" fillId="4" borderId="1" xfId="2" applyFont="1" applyFill="1" applyBorder="1" applyAlignment="1">
      <alignment horizontal="center" vertical="center" wrapText="1"/>
    </xf>
    <xf numFmtId="0" fontId="48" fillId="4" borderId="1" xfId="2" applyFont="1" applyFill="1" applyBorder="1" applyAlignment="1">
      <alignment horizontal="center" vertical="center" wrapText="1"/>
    </xf>
    <xf numFmtId="0" fontId="53" fillId="0" borderId="1" xfId="2" applyNumberFormat="1" applyFont="1" applyFill="1" applyBorder="1" applyAlignment="1" applyProtection="1">
      <alignment horizontal="center" vertical="center" wrapText="1"/>
    </xf>
    <xf numFmtId="0" fontId="95" fillId="0" borderId="1" xfId="2" applyFont="1" applyFill="1" applyBorder="1" applyAlignment="1">
      <alignment horizontal="center" vertical="center" wrapText="1"/>
    </xf>
    <xf numFmtId="0" fontId="44" fillId="0" borderId="12" xfId="2" applyFont="1" applyBorder="1" applyAlignment="1">
      <alignment horizontal="center" vertical="center"/>
    </xf>
    <xf numFmtId="0" fontId="59" fillId="5" borderId="1" xfId="2" applyFont="1" applyFill="1" applyBorder="1" applyAlignment="1">
      <alignment horizontal="center" vertical="center" wrapText="1"/>
    </xf>
    <xf numFmtId="0" fontId="59" fillId="5" borderId="13" xfId="2" applyFont="1" applyFill="1" applyBorder="1" applyAlignment="1">
      <alignment horizontal="center" vertical="center" wrapText="1"/>
    </xf>
    <xf numFmtId="0" fontId="49" fillId="5" borderId="13" xfId="2" applyFont="1" applyFill="1" applyBorder="1" applyAlignment="1">
      <alignment horizontal="center" vertical="center" wrapText="1"/>
    </xf>
    <xf numFmtId="0" fontId="59" fillId="0" borderId="1" xfId="2" applyFont="1" applyFill="1" applyBorder="1" applyAlignment="1">
      <alignment horizontal="center" vertical="center" wrapText="1"/>
    </xf>
    <xf numFmtId="0" fontId="69" fillId="0" borderId="40" xfId="2" applyFont="1" applyFill="1" applyBorder="1" applyAlignment="1">
      <alignment horizontal="center" vertical="center" wrapText="1"/>
    </xf>
    <xf numFmtId="0" fontId="49" fillId="0" borderId="40" xfId="2" applyFont="1" applyFill="1" applyBorder="1" applyAlignment="1">
      <alignment horizontal="center" vertical="center" wrapText="1"/>
    </xf>
    <xf numFmtId="0" fontId="59" fillId="0" borderId="40" xfId="2" applyFont="1" applyFill="1" applyBorder="1" applyAlignment="1">
      <alignment horizontal="center" vertical="center" wrapText="1"/>
    </xf>
    <xf numFmtId="0" fontId="44" fillId="0" borderId="18" xfId="2" applyFont="1" applyBorder="1" applyAlignment="1">
      <alignment horizontal="center" vertical="center"/>
    </xf>
    <xf numFmtId="0" fontId="69" fillId="5" borderId="13" xfId="2" applyFont="1" applyFill="1" applyBorder="1" applyAlignment="1">
      <alignment horizontal="center" vertical="center" wrapText="1"/>
    </xf>
    <xf numFmtId="0" fontId="59" fillId="4" borderId="1" xfId="2" applyFont="1" applyFill="1" applyBorder="1" applyAlignment="1">
      <alignment horizontal="center" vertical="center" wrapText="1"/>
    </xf>
    <xf numFmtId="0" fontId="76" fillId="4" borderId="1" xfId="2" applyFont="1" applyFill="1" applyBorder="1" applyAlignment="1">
      <alignment horizontal="center" vertical="center" wrapText="1"/>
    </xf>
    <xf numFmtId="0" fontId="69" fillId="0" borderId="13" xfId="2" applyFont="1" applyFill="1" applyBorder="1" applyAlignment="1">
      <alignment horizontal="center" vertical="center" wrapText="1"/>
    </xf>
    <xf numFmtId="0" fontId="49" fillId="0" borderId="13" xfId="2" applyFont="1" applyFill="1" applyBorder="1" applyAlignment="1">
      <alignment horizontal="center" vertical="center" wrapText="1"/>
    </xf>
    <xf numFmtId="0" fontId="59" fillId="0" borderId="13" xfId="2" applyFont="1" applyFill="1" applyBorder="1" applyAlignment="1">
      <alignment horizontal="center" vertical="center" wrapText="1"/>
    </xf>
    <xf numFmtId="0" fontId="76" fillId="0" borderId="13" xfId="2" applyFont="1" applyFill="1" applyBorder="1" applyAlignment="1">
      <alignment horizontal="center" vertical="center" wrapText="1"/>
    </xf>
    <xf numFmtId="0" fontId="97" fillId="0" borderId="1" xfId="2" applyFont="1" applyFill="1" applyBorder="1" applyAlignment="1">
      <alignment horizontal="center" vertical="center" wrapText="1"/>
    </xf>
    <xf numFmtId="49" fontId="48" fillId="0" borderId="1" xfId="2" applyNumberFormat="1" applyFont="1" applyFill="1" applyBorder="1" applyAlignment="1">
      <alignment horizontal="center" vertical="center" wrapText="1"/>
    </xf>
    <xf numFmtId="0" fontId="44" fillId="0" borderId="43" xfId="2" applyFont="1" applyBorder="1" applyAlignment="1">
      <alignment horizontal="center" vertical="center"/>
    </xf>
    <xf numFmtId="0" fontId="47" fillId="5" borderId="43" xfId="2" applyFont="1" applyFill="1" applyBorder="1" applyAlignment="1">
      <alignment horizontal="center" vertical="center" wrapText="1"/>
    </xf>
    <xf numFmtId="0" fontId="59" fillId="5" borderId="43" xfId="2" applyFont="1" applyFill="1" applyBorder="1" applyAlignment="1">
      <alignment horizontal="center" vertical="center" wrapText="1"/>
    </xf>
    <xf numFmtId="0" fontId="69" fillId="5" borderId="43" xfId="2" applyFont="1" applyFill="1" applyBorder="1" applyAlignment="1">
      <alignment horizontal="center" vertical="center" wrapText="1"/>
    </xf>
    <xf numFmtId="0" fontId="49" fillId="5" borderId="43" xfId="2" applyFont="1" applyFill="1" applyBorder="1" applyAlignment="1">
      <alignment horizontal="center" vertical="center" wrapText="1"/>
    </xf>
    <xf numFmtId="0" fontId="47" fillId="5" borderId="13" xfId="2" applyFont="1" applyFill="1" applyBorder="1" applyAlignment="1">
      <alignment horizontal="center" vertical="center" wrapText="1"/>
    </xf>
    <xf numFmtId="49" fontId="49" fillId="0" borderId="1" xfId="2" applyNumberFormat="1" applyFont="1" applyFill="1" applyBorder="1" applyAlignment="1">
      <alignment horizontal="center" vertical="center" wrapText="1"/>
    </xf>
    <xf numFmtId="0" fontId="47" fillId="0" borderId="40" xfId="2" applyFont="1" applyBorder="1" applyAlignment="1">
      <alignment horizontal="center" vertical="center" wrapText="1"/>
    </xf>
    <xf numFmtId="49" fontId="48" fillId="0" borderId="40" xfId="2" applyNumberFormat="1" applyFont="1" applyFill="1" applyBorder="1" applyAlignment="1">
      <alignment horizontal="center" vertical="center" wrapText="1"/>
    </xf>
    <xf numFmtId="49" fontId="49" fillId="0" borderId="40" xfId="2" applyNumberFormat="1" applyFont="1" applyFill="1" applyBorder="1" applyAlignment="1">
      <alignment horizontal="center" vertical="center" wrapText="1"/>
    </xf>
    <xf numFmtId="0" fontId="46" fillId="3" borderId="13" xfId="2" applyFont="1" applyFill="1" applyBorder="1" applyAlignment="1">
      <alignment horizontal="center" vertical="center" wrapText="1"/>
    </xf>
    <xf numFmtId="0" fontId="46" fillId="3" borderId="1" xfId="2" applyFont="1" applyFill="1" applyBorder="1" applyAlignment="1">
      <alignment horizontal="center" vertical="center" wrapText="1"/>
    </xf>
    <xf numFmtId="0" fontId="46" fillId="5" borderId="13" xfId="2" applyFont="1" applyFill="1" applyBorder="1" applyAlignment="1">
      <alignment horizontal="center" vertical="center" wrapText="1"/>
    </xf>
    <xf numFmtId="0" fontId="46" fillId="3" borderId="17" xfId="2" applyFont="1" applyFill="1" applyBorder="1" applyAlignment="1">
      <alignment horizontal="center" vertical="center" wrapText="1"/>
    </xf>
    <xf numFmtId="0" fontId="46" fillId="3" borderId="43" xfId="2" applyFont="1" applyFill="1" applyBorder="1" applyAlignment="1">
      <alignment horizontal="center" vertical="center" wrapText="1"/>
    </xf>
    <xf numFmtId="0" fontId="46" fillId="3" borderId="38" xfId="2" applyFont="1" applyFill="1" applyBorder="1" applyAlignment="1">
      <alignment horizontal="center" vertical="center" wrapText="1"/>
    </xf>
    <xf numFmtId="0" fontId="46" fillId="4" borderId="13" xfId="2" applyFont="1" applyFill="1" applyBorder="1" applyAlignment="1">
      <alignment horizontal="center" vertical="center" wrapText="1"/>
    </xf>
    <xf numFmtId="0" fontId="48" fillId="3" borderId="38" xfId="2" applyFont="1" applyFill="1" applyBorder="1" applyAlignment="1">
      <alignment horizontal="center" vertical="center" wrapText="1"/>
    </xf>
    <xf numFmtId="0" fontId="48" fillId="6" borderId="1" xfId="2" applyFont="1" applyFill="1" applyBorder="1" applyAlignment="1">
      <alignment horizontal="center" vertical="center" wrapText="1"/>
    </xf>
    <xf numFmtId="0" fontId="46" fillId="6" borderId="1" xfId="2" applyFont="1" applyFill="1" applyBorder="1" applyAlignment="1">
      <alignment horizontal="center" vertical="center" wrapText="1"/>
    </xf>
    <xf numFmtId="0" fontId="48" fillId="3" borderId="20" xfId="2" applyFont="1" applyFill="1" applyBorder="1" applyAlignment="1">
      <alignment horizontal="center" vertical="center" wrapText="1"/>
    </xf>
    <xf numFmtId="0" fontId="48" fillId="3" borderId="64" xfId="2" applyFont="1" applyFill="1" applyBorder="1" applyAlignment="1">
      <alignment horizontal="center" vertical="center" wrapText="1"/>
    </xf>
    <xf numFmtId="0" fontId="48" fillId="4" borderId="12" xfId="2" applyFont="1" applyFill="1" applyBorder="1" applyAlignment="1">
      <alignment horizontal="center" vertical="center" wrapText="1"/>
    </xf>
    <xf numFmtId="0" fontId="48" fillId="3" borderId="12" xfId="2" applyFont="1" applyFill="1" applyBorder="1" applyAlignment="1">
      <alignment horizontal="center" vertical="center"/>
    </xf>
    <xf numFmtId="0" fontId="48" fillId="3" borderId="10" xfId="2" applyFont="1" applyFill="1" applyBorder="1" applyAlignment="1">
      <alignment horizontal="center" vertical="center" wrapText="1"/>
    </xf>
    <xf numFmtId="0" fontId="59" fillId="3" borderId="40" xfId="2" applyFont="1" applyFill="1" applyBorder="1" applyAlignment="1">
      <alignment horizontal="center" vertical="center" wrapText="1"/>
    </xf>
    <xf numFmtId="0" fontId="48" fillId="3" borderId="23" xfId="2" applyFont="1" applyFill="1" applyBorder="1" applyAlignment="1">
      <alignment horizontal="center" vertical="center" wrapText="1"/>
    </xf>
    <xf numFmtId="0" fontId="48" fillId="0" borderId="1" xfId="2" applyFont="1" applyFill="1" applyBorder="1" applyAlignment="1">
      <alignment horizontal="center" vertical="center" wrapText="1"/>
    </xf>
    <xf numFmtId="0" fontId="46" fillId="0" borderId="12" xfId="2" applyFont="1" applyFill="1" applyBorder="1" applyAlignment="1">
      <alignment horizontal="center" vertical="center" wrapText="1"/>
    </xf>
    <xf numFmtId="0" fontId="46" fillId="0" borderId="13" xfId="2" applyFont="1" applyFill="1" applyBorder="1" applyAlignment="1">
      <alignment horizontal="center" vertical="center" wrapText="1"/>
    </xf>
    <xf numFmtId="0" fontId="46" fillId="0" borderId="10" xfId="2" applyFont="1" applyFill="1" applyBorder="1" applyAlignment="1">
      <alignment horizontal="center" vertical="center" wrapText="1"/>
    </xf>
    <xf numFmtId="0" fontId="47" fillId="0" borderId="18" xfId="2" applyNumberFormat="1" applyFont="1" applyFill="1" applyBorder="1" applyAlignment="1" applyProtection="1">
      <alignment horizontal="center" vertical="center" wrapText="1"/>
    </xf>
    <xf numFmtId="0" fontId="47" fillId="0" borderId="1" xfId="2" applyNumberFormat="1" applyFont="1" applyFill="1" applyBorder="1" applyAlignment="1" applyProtection="1">
      <alignment horizontal="center" vertical="center" wrapText="1"/>
    </xf>
    <xf numFmtId="0" fontId="48" fillId="3" borderId="28" xfId="2" applyFont="1" applyFill="1" applyBorder="1" applyAlignment="1">
      <alignment horizontal="center" vertical="center" wrapText="1"/>
    </xf>
    <xf numFmtId="0" fontId="65" fillId="0" borderId="12" xfId="2" applyNumberFormat="1" applyFont="1" applyFill="1" applyBorder="1" applyAlignment="1" applyProtection="1">
      <alignment horizontal="center" vertical="center" wrapText="1"/>
    </xf>
    <xf numFmtId="0" fontId="63" fillId="3" borderId="12" xfId="2" applyFont="1" applyFill="1" applyBorder="1" applyAlignment="1">
      <alignment horizontal="center" vertical="center" wrapText="1"/>
    </xf>
    <xf numFmtId="0" fontId="63" fillId="3" borderId="13" xfId="2" applyFont="1" applyFill="1" applyBorder="1" applyAlignment="1">
      <alignment horizontal="center" vertical="center" wrapText="1"/>
    </xf>
    <xf numFmtId="0" fontId="63" fillId="0" borderId="12" xfId="2" applyFont="1" applyFill="1" applyBorder="1" applyAlignment="1">
      <alignment horizontal="center" vertical="center" wrapText="1"/>
    </xf>
    <xf numFmtId="0" fontId="62" fillId="0" borderId="12" xfId="2" applyFont="1" applyFill="1" applyBorder="1" applyAlignment="1">
      <alignment horizontal="center" vertical="center" wrapText="1"/>
    </xf>
    <xf numFmtId="0" fontId="47" fillId="0" borderId="12" xfId="2" applyFont="1" applyBorder="1" applyAlignment="1">
      <alignment horizontal="center" vertical="center"/>
    </xf>
    <xf numFmtId="0" fontId="62" fillId="3" borderId="12" xfId="2" applyFont="1" applyFill="1" applyBorder="1" applyAlignment="1">
      <alignment horizontal="center" vertical="center" wrapText="1"/>
    </xf>
    <xf numFmtId="0" fontId="63" fillId="0" borderId="4" xfId="2" applyFont="1" applyFill="1" applyBorder="1" applyAlignment="1">
      <alignment horizontal="center" vertical="center" wrapText="1"/>
    </xf>
    <xf numFmtId="0" fontId="63" fillId="0" borderId="10" xfId="2" applyFont="1" applyFill="1" applyBorder="1" applyAlignment="1">
      <alignment horizontal="center" vertical="center" wrapText="1"/>
    </xf>
    <xf numFmtId="0" fontId="63" fillId="0" borderId="1" xfId="2" applyFont="1" applyFill="1" applyBorder="1" applyAlignment="1">
      <alignment horizontal="center" vertical="center" wrapText="1"/>
    </xf>
    <xf numFmtId="0" fontId="47" fillId="0" borderId="12" xfId="2" applyFont="1" applyBorder="1" applyAlignment="1">
      <alignment horizontal="center" vertical="center" wrapText="1"/>
    </xf>
    <xf numFmtId="0" fontId="53" fillId="3" borderId="12" xfId="2" applyFont="1" applyFill="1" applyBorder="1" applyAlignment="1">
      <alignment horizontal="center" vertical="center" wrapText="1"/>
    </xf>
    <xf numFmtId="0" fontId="69" fillId="7" borderId="1" xfId="196" applyFont="1" applyFill="1" applyBorder="1" applyAlignment="1">
      <alignment horizontal="center" vertical="center" wrapText="1"/>
    </xf>
    <xf numFmtId="0" fontId="69" fillId="7" borderId="1" xfId="196" applyNumberFormat="1" applyFont="1" applyFill="1" applyBorder="1" applyAlignment="1" applyProtection="1">
      <alignment horizontal="center" vertical="center" wrapText="1"/>
    </xf>
    <xf numFmtId="0" fontId="69" fillId="7" borderId="1" xfId="2" applyFont="1" applyFill="1" applyBorder="1" applyAlignment="1">
      <alignment horizontal="center" vertical="center" wrapText="1"/>
    </xf>
    <xf numFmtId="0" fontId="49" fillId="7" borderId="1" xfId="2" applyFont="1" applyFill="1" applyBorder="1" applyAlignment="1">
      <alignment horizontal="center" vertical="center" wrapText="1"/>
    </xf>
    <xf numFmtId="0" fontId="41" fillId="0" borderId="0" xfId="205" applyNumberFormat="1" applyFont="1" applyFill="1" applyBorder="1" applyAlignment="1" applyProtection="1">
      <alignment horizontal="center" vertical="center"/>
    </xf>
    <xf numFmtId="0" fontId="1" fillId="0" borderId="0" xfId="204">
      <alignment vertical="center"/>
    </xf>
    <xf numFmtId="0" fontId="1" fillId="0" borderId="0" xfId="204" applyFill="1">
      <alignment vertical="center"/>
    </xf>
    <xf numFmtId="176" fontId="71" fillId="0" borderId="0" xfId="206" applyNumberFormat="1" applyFont="1" applyFill="1" applyBorder="1" applyAlignment="1" applyProtection="1">
      <alignment horizontal="center" vertical="center" wrapText="1"/>
    </xf>
    <xf numFmtId="0" fontId="69" fillId="4" borderId="1" xfId="206" applyNumberFormat="1" applyFont="1" applyFill="1" applyBorder="1" applyAlignment="1" applyProtection="1">
      <alignment horizontal="center" vertical="center" wrapText="1"/>
    </xf>
    <xf numFmtId="9" fontId="71" fillId="0" borderId="0" xfId="207" applyFont="1" applyFill="1" applyBorder="1" applyAlignment="1" applyProtection="1">
      <alignment horizontal="center" vertical="center" wrapText="1"/>
    </xf>
    <xf numFmtId="0" fontId="49" fillId="0" borderId="1" xfId="206" applyNumberFormat="1" applyFont="1" applyFill="1" applyBorder="1" applyAlignment="1" applyProtection="1">
      <alignment horizontal="center" vertical="center" wrapText="1"/>
    </xf>
    <xf numFmtId="0" fontId="47" fillId="5" borderId="40" xfId="2" applyFont="1" applyFill="1" applyBorder="1" applyAlignment="1">
      <alignment horizontal="center" vertical="center" wrapText="1"/>
    </xf>
    <xf numFmtId="0" fontId="59" fillId="5" borderId="40" xfId="2" applyFont="1" applyFill="1" applyBorder="1" applyAlignment="1">
      <alignment horizontal="center" vertical="center" wrapText="1"/>
    </xf>
    <xf numFmtId="0" fontId="69" fillId="5" borderId="40" xfId="206" applyNumberFormat="1" applyFont="1" applyFill="1" applyBorder="1" applyAlignment="1" applyProtection="1">
      <alignment horizontal="center" vertical="center" wrapText="1"/>
    </xf>
    <xf numFmtId="0" fontId="49" fillId="5" borderId="40" xfId="2" applyFont="1" applyFill="1" applyBorder="1" applyAlignment="1">
      <alignment horizontal="center" vertical="center" wrapText="1"/>
    </xf>
    <xf numFmtId="0" fontId="1" fillId="0" borderId="0" xfId="204" applyFill="1" applyBorder="1">
      <alignment vertical="center"/>
    </xf>
    <xf numFmtId="0" fontId="76" fillId="4" borderId="13" xfId="2" applyFont="1" applyFill="1" applyBorder="1" applyAlignment="1">
      <alignment horizontal="center" vertical="center" wrapText="1"/>
    </xf>
    <xf numFmtId="0" fontId="59" fillId="4" borderId="13" xfId="206" applyNumberFormat="1" applyFont="1" applyFill="1" applyBorder="1" applyAlignment="1" applyProtection="1">
      <alignment horizontal="center" vertical="center" wrapText="1"/>
    </xf>
    <xf numFmtId="0" fontId="49" fillId="0" borderId="13" xfId="206" applyNumberFormat="1" applyFont="1" applyFill="1" applyBorder="1" applyAlignment="1" applyProtection="1">
      <alignment horizontal="center" vertical="center" wrapText="1"/>
    </xf>
    <xf numFmtId="0" fontId="54" fillId="0" borderId="0" xfId="205" applyFont="1" applyFill="1" applyBorder="1" applyAlignment="1">
      <alignment horizontal="center" vertical="center"/>
    </xf>
    <xf numFmtId="0" fontId="46" fillId="4" borderId="1" xfId="206" applyNumberFormat="1" applyFont="1" applyFill="1" applyBorder="1" applyAlignment="1" applyProtection="1">
      <alignment horizontal="center" vertical="center" wrapText="1"/>
    </xf>
    <xf numFmtId="0" fontId="69" fillId="0" borderId="1" xfId="206" applyNumberFormat="1" applyFont="1" applyFill="1" applyBorder="1" applyAlignment="1" applyProtection="1">
      <alignment horizontal="center" vertical="center" wrapText="1"/>
    </xf>
    <xf numFmtId="0" fontId="60" fillId="0" borderId="0" xfId="205" applyFont="1" applyFill="1" applyBorder="1" applyAlignment="1">
      <alignment horizontal="center" vertical="center"/>
    </xf>
    <xf numFmtId="0" fontId="1" fillId="0" borderId="0" xfId="205" applyFill="1">
      <alignment vertical="center"/>
    </xf>
    <xf numFmtId="0" fontId="46" fillId="0" borderId="1" xfId="208" applyNumberFormat="1" applyFont="1" applyFill="1" applyBorder="1" applyAlignment="1" applyProtection="1">
      <alignment horizontal="center" vertical="center" wrapText="1"/>
    </xf>
    <xf numFmtId="0" fontId="48" fillId="0" borderId="13" xfId="206" applyNumberFormat="1" applyFont="1" applyFill="1" applyBorder="1" applyAlignment="1" applyProtection="1">
      <alignment horizontal="center" vertical="center" wrapText="1"/>
    </xf>
    <xf numFmtId="0" fontId="69" fillId="5" borderId="43" xfId="206" applyNumberFormat="1" applyFont="1" applyFill="1" applyBorder="1" applyAlignment="1" applyProtection="1">
      <alignment horizontal="center" vertical="center" wrapText="1"/>
    </xf>
    <xf numFmtId="0" fontId="1" fillId="5" borderId="43" xfId="204" applyFill="1" applyBorder="1">
      <alignment vertical="center"/>
    </xf>
    <xf numFmtId="0" fontId="1" fillId="5" borderId="63" xfId="204" applyFill="1" applyBorder="1">
      <alignment vertical="center"/>
    </xf>
    <xf numFmtId="0" fontId="69" fillId="5" borderId="43" xfId="208" applyNumberFormat="1" applyFont="1" applyFill="1" applyBorder="1" applyAlignment="1" applyProtection="1">
      <alignment horizontal="center" vertical="center" wrapText="1"/>
    </xf>
    <xf numFmtId="0" fontId="69" fillId="5" borderId="13" xfId="206" applyNumberFormat="1" applyFont="1" applyFill="1" applyBorder="1" applyAlignment="1" applyProtection="1">
      <alignment horizontal="center" vertical="center" wrapText="1"/>
    </xf>
    <xf numFmtId="0" fontId="1" fillId="5" borderId="18" xfId="204" applyFill="1" applyBorder="1">
      <alignment vertical="center"/>
    </xf>
    <xf numFmtId="0" fontId="1" fillId="5" borderId="0" xfId="204" applyFill="1">
      <alignment vertical="center"/>
    </xf>
    <xf numFmtId="0" fontId="69" fillId="5" borderId="13" xfId="208" applyNumberFormat="1" applyFont="1" applyFill="1" applyBorder="1" applyAlignment="1" applyProtection="1">
      <alignment horizontal="center" vertical="center" wrapText="1"/>
    </xf>
    <xf numFmtId="0" fontId="1" fillId="5" borderId="15" xfId="204" applyFill="1" applyBorder="1">
      <alignment vertical="center"/>
    </xf>
    <xf numFmtId="0" fontId="1" fillId="5" borderId="46" xfId="204" applyFill="1" applyBorder="1">
      <alignment vertical="center"/>
    </xf>
    <xf numFmtId="0" fontId="1" fillId="5" borderId="13" xfId="204" applyFill="1" applyBorder="1">
      <alignment vertical="center"/>
    </xf>
    <xf numFmtId="0" fontId="49" fillId="0" borderId="12" xfId="206" applyFont="1" applyFill="1" applyBorder="1" applyAlignment="1">
      <alignment horizontal="center" vertical="center" wrapText="1"/>
    </xf>
    <xf numFmtId="0" fontId="48" fillId="0" borderId="40" xfId="206" applyNumberFormat="1" applyFont="1" applyFill="1" applyBorder="1" applyAlignment="1" applyProtection="1">
      <alignment horizontal="center" vertical="center" wrapText="1"/>
    </xf>
    <xf numFmtId="0" fontId="1" fillId="0" borderId="39" xfId="204" applyBorder="1">
      <alignment vertical="center"/>
    </xf>
    <xf numFmtId="0" fontId="1" fillId="0" borderId="62" xfId="204" applyBorder="1">
      <alignment vertical="center"/>
    </xf>
    <xf numFmtId="0" fontId="49" fillId="0" borderId="40" xfId="206" applyNumberFormat="1" applyFont="1" applyFill="1" applyBorder="1" applyAlignment="1" applyProtection="1">
      <alignment horizontal="center" vertical="center" wrapText="1"/>
    </xf>
    <xf numFmtId="0" fontId="49" fillId="0" borderId="40" xfId="206" applyFont="1" applyFill="1" applyBorder="1" applyAlignment="1">
      <alignment horizontal="center" vertical="center" wrapText="1"/>
    </xf>
    <xf numFmtId="0" fontId="1" fillId="0" borderId="0" xfId="204" applyAlignment="1">
      <alignment vertical="center" wrapText="1"/>
    </xf>
    <xf numFmtId="0" fontId="56" fillId="0" borderId="0" xfId="204" applyFont="1">
      <alignment vertical="center"/>
    </xf>
    <xf numFmtId="0" fontId="41" fillId="0" borderId="3" xfId="209" applyNumberFormat="1" applyFont="1" applyFill="1" applyBorder="1" applyAlignment="1" applyProtection="1">
      <alignment horizontal="center" vertical="center"/>
    </xf>
    <xf numFmtId="0" fontId="1" fillId="0" borderId="0" xfId="209" applyAlignment="1">
      <alignment horizontal="center" vertical="center"/>
    </xf>
    <xf numFmtId="0" fontId="1" fillId="0" borderId="0" xfId="209">
      <alignment vertical="center"/>
    </xf>
    <xf numFmtId="0" fontId="41" fillId="0" borderId="0" xfId="209" applyNumberFormat="1" applyFont="1" applyFill="1" applyBorder="1" applyAlignment="1" applyProtection="1">
      <alignment vertical="center"/>
    </xf>
    <xf numFmtId="0" fontId="41" fillId="0" borderId="0" xfId="209" applyNumberFormat="1" applyFont="1" applyFill="1" applyBorder="1" applyAlignment="1" applyProtection="1">
      <alignment horizontal="center" vertical="center"/>
    </xf>
    <xf numFmtId="0" fontId="1" fillId="0" borderId="0" xfId="209" applyFill="1">
      <alignment vertical="center"/>
    </xf>
    <xf numFmtId="0" fontId="39" fillId="2" borderId="13" xfId="209" applyNumberFormat="1" applyFont="1" applyFill="1" applyBorder="1" applyAlignment="1" applyProtection="1">
      <alignment horizontal="center" vertical="center"/>
    </xf>
    <xf numFmtId="0" fontId="39" fillId="2" borderId="13" xfId="209" applyNumberFormat="1" applyFont="1" applyFill="1" applyBorder="1" applyAlignment="1" applyProtection="1">
      <alignment horizontal="left" vertical="center" wrapText="1"/>
    </xf>
    <xf numFmtId="0" fontId="39" fillId="2" borderId="13" xfId="209" applyNumberFormat="1" applyFont="1" applyFill="1" applyBorder="1" applyAlignment="1" applyProtection="1">
      <alignment horizontal="center" vertical="center" wrapText="1"/>
    </xf>
    <xf numFmtId="0" fontId="39" fillId="2" borderId="1" xfId="209" applyNumberFormat="1" applyFont="1" applyFill="1" applyBorder="1" applyAlignment="1" applyProtection="1">
      <alignment horizontal="center" vertical="center" wrapText="1"/>
    </xf>
    <xf numFmtId="0" fontId="44" fillId="2" borderId="13" xfId="209" applyNumberFormat="1" applyFont="1" applyFill="1" applyBorder="1" applyAlignment="1" applyProtection="1">
      <alignment horizontal="center" vertical="center"/>
    </xf>
    <xf numFmtId="0" fontId="100" fillId="0" borderId="3" xfId="209" applyNumberFormat="1" applyFont="1" applyFill="1" applyBorder="1" applyAlignment="1" applyProtection="1">
      <alignment horizontal="center" vertical="center" wrapText="1"/>
    </xf>
    <xf numFmtId="0" fontId="71" fillId="0" borderId="1" xfId="209" applyFont="1" applyBorder="1" applyAlignment="1">
      <alignment horizontal="center" vertical="center"/>
    </xf>
    <xf numFmtId="0" fontId="90" fillId="0" borderId="4" xfId="209" applyNumberFormat="1" applyFont="1" applyFill="1" applyBorder="1" applyAlignment="1" applyProtection="1">
      <alignment horizontal="center" vertical="center" wrapText="1"/>
    </xf>
    <xf numFmtId="0" fontId="46" fillId="3" borderId="1" xfId="209" applyNumberFormat="1" applyFont="1" applyFill="1" applyBorder="1" applyAlignment="1" applyProtection="1">
      <alignment horizontal="center" vertical="center" wrapText="1"/>
    </xf>
    <xf numFmtId="0" fontId="48" fillId="3" borderId="1" xfId="209" applyFont="1" applyFill="1" applyBorder="1" applyAlignment="1">
      <alignment horizontal="center" vertical="center"/>
    </xf>
    <xf numFmtId="0" fontId="46" fillId="3" borderId="1" xfId="209" applyFont="1" applyFill="1" applyBorder="1" applyAlignment="1">
      <alignment horizontal="center" vertical="center" wrapText="1"/>
    </xf>
    <xf numFmtId="0" fontId="48" fillId="3" borderId="0" xfId="209" applyFont="1" applyFill="1" applyAlignment="1">
      <alignment horizontal="center" vertical="center"/>
    </xf>
    <xf numFmtId="0" fontId="48" fillId="3" borderId="10" xfId="209" applyFont="1" applyFill="1" applyBorder="1" applyAlignment="1">
      <alignment horizontal="center" vertical="center"/>
    </xf>
    <xf numFmtId="0" fontId="48" fillId="4" borderId="0" xfId="209" applyFont="1" applyFill="1" applyAlignment="1">
      <alignment horizontal="center" vertical="center"/>
    </xf>
    <xf numFmtId="0" fontId="80" fillId="0" borderId="3" xfId="209" applyFont="1" applyFill="1" applyBorder="1" applyAlignment="1">
      <alignment horizontal="center" vertical="center" wrapText="1"/>
    </xf>
    <xf numFmtId="0" fontId="70" fillId="0" borderId="0" xfId="209" applyFont="1" applyAlignment="1">
      <alignment horizontal="center" vertical="center"/>
    </xf>
    <xf numFmtId="0" fontId="1" fillId="0" borderId="0" xfId="209" applyBorder="1">
      <alignment vertical="center"/>
    </xf>
    <xf numFmtId="0" fontId="69" fillId="3" borderId="1" xfId="209" applyFont="1" applyFill="1" applyBorder="1" applyAlignment="1">
      <alignment horizontal="center" vertical="center"/>
    </xf>
    <xf numFmtId="0" fontId="48" fillId="3" borderId="1" xfId="209" applyNumberFormat="1" applyFont="1" applyFill="1" applyBorder="1" applyAlignment="1" applyProtection="1">
      <alignment horizontal="center" vertical="center" wrapText="1"/>
    </xf>
    <xf numFmtId="0" fontId="48" fillId="0" borderId="1" xfId="209" applyFont="1" applyFill="1" applyBorder="1" applyAlignment="1">
      <alignment horizontal="center" vertical="center"/>
    </xf>
    <xf numFmtId="0" fontId="48" fillId="3" borderId="4" xfId="209" applyNumberFormat="1" applyFont="1" applyFill="1" applyBorder="1" applyAlignment="1" applyProtection="1">
      <alignment horizontal="center" vertical="center" wrapText="1"/>
    </xf>
    <xf numFmtId="0" fontId="48" fillId="0" borderId="12" xfId="209" applyFont="1" applyFill="1" applyBorder="1" applyAlignment="1">
      <alignment horizontal="center" vertical="center"/>
    </xf>
    <xf numFmtId="0" fontId="69" fillId="3" borderId="1" xfId="209" applyNumberFormat="1" applyFont="1" applyFill="1" applyBorder="1" applyAlignment="1" applyProtection="1">
      <alignment horizontal="center" vertical="center" wrapText="1"/>
    </xf>
    <xf numFmtId="0" fontId="69" fillId="3" borderId="1" xfId="209" applyFont="1" applyFill="1" applyBorder="1" applyAlignment="1">
      <alignment horizontal="center" vertical="center" wrapText="1"/>
    </xf>
    <xf numFmtId="0" fontId="69" fillId="3" borderId="4" xfId="209" applyFont="1" applyFill="1" applyBorder="1" applyAlignment="1">
      <alignment horizontal="center" vertical="center"/>
    </xf>
    <xf numFmtId="0" fontId="1" fillId="0" borderId="0" xfId="209" applyFill="1" applyBorder="1">
      <alignment vertical="center"/>
    </xf>
    <xf numFmtId="0" fontId="90" fillId="5" borderId="0" xfId="209" applyFont="1" applyFill="1" applyAlignment="1">
      <alignment horizontal="center" vertical="center" wrapText="1"/>
    </xf>
    <xf numFmtId="0" fontId="46" fillId="5" borderId="1" xfId="209" applyFont="1" applyFill="1" applyBorder="1" applyAlignment="1">
      <alignment horizontal="center" vertical="center" wrapText="1"/>
    </xf>
    <xf numFmtId="0" fontId="48" fillId="5" borderId="12" xfId="209" applyFont="1" applyFill="1" applyBorder="1" applyAlignment="1">
      <alignment horizontal="center" vertical="center"/>
    </xf>
    <xf numFmtId="0" fontId="48" fillId="5" borderId="0" xfId="209" applyFont="1" applyFill="1" applyAlignment="1">
      <alignment horizontal="center" vertical="center"/>
    </xf>
    <xf numFmtId="0" fontId="48" fillId="5" borderId="1" xfId="209" applyNumberFormat="1" applyFont="1" applyFill="1" applyBorder="1" applyAlignment="1" applyProtection="1">
      <alignment horizontal="center" vertical="center" wrapText="1"/>
    </xf>
    <xf numFmtId="0" fontId="48" fillId="5" borderId="1" xfId="209" applyFont="1" applyFill="1" applyBorder="1" applyAlignment="1">
      <alignment horizontal="center" vertical="center"/>
    </xf>
    <xf numFmtId="0" fontId="48" fillId="5" borderId="29" xfId="2" applyFont="1" applyFill="1" applyBorder="1" applyAlignment="1">
      <alignment horizontal="center" vertical="center" wrapText="1"/>
    </xf>
    <xf numFmtId="0" fontId="90" fillId="0" borderId="28" xfId="209" applyNumberFormat="1" applyFont="1" applyFill="1" applyBorder="1" applyAlignment="1" applyProtection="1">
      <alignment horizontal="center" vertical="center" wrapText="1"/>
    </xf>
    <xf numFmtId="0" fontId="48" fillId="3" borderId="4" xfId="209" applyFont="1" applyFill="1" applyBorder="1" applyAlignment="1">
      <alignment horizontal="center" vertical="center"/>
    </xf>
    <xf numFmtId="0" fontId="90" fillId="0" borderId="28" xfId="2" applyNumberFormat="1" applyFont="1" applyFill="1" applyBorder="1" applyAlignment="1" applyProtection="1">
      <alignment horizontal="center" vertical="center" wrapText="1"/>
    </xf>
    <xf numFmtId="0" fontId="48" fillId="3" borderId="12" xfId="209" applyFont="1" applyFill="1" applyBorder="1" applyAlignment="1">
      <alignment horizontal="center" vertical="center"/>
    </xf>
    <xf numFmtId="0" fontId="90" fillId="0" borderId="4" xfId="209" applyFont="1" applyFill="1" applyBorder="1" applyAlignment="1">
      <alignment horizontal="center" vertical="center" wrapText="1"/>
    </xf>
    <xf numFmtId="0" fontId="69" fillId="0" borderId="0" xfId="209" applyFont="1" applyFill="1" applyAlignment="1">
      <alignment horizontal="center" vertical="center"/>
    </xf>
    <xf numFmtId="0" fontId="46" fillId="3" borderId="10" xfId="209" applyNumberFormat="1" applyFont="1" applyFill="1" applyBorder="1" applyAlignment="1" applyProtection="1">
      <alignment horizontal="center" vertical="center" wrapText="1"/>
    </xf>
    <xf numFmtId="0" fontId="69" fillId="3" borderId="13" xfId="209" applyFont="1" applyFill="1" applyBorder="1" applyAlignment="1">
      <alignment horizontal="center" vertical="center"/>
    </xf>
    <xf numFmtId="0" fontId="48" fillId="3" borderId="10" xfId="209" applyNumberFormat="1" applyFont="1" applyFill="1" applyBorder="1" applyAlignment="1" applyProtection="1">
      <alignment horizontal="center" vertical="center" wrapText="1"/>
    </xf>
    <xf numFmtId="0" fontId="80" fillId="0" borderId="0" xfId="209" applyFont="1" applyFill="1" applyBorder="1" applyAlignment="1">
      <alignment horizontal="center" vertical="center" wrapText="1"/>
    </xf>
    <xf numFmtId="0" fontId="52" fillId="0" borderId="39" xfId="209" applyNumberFormat="1" applyFont="1" applyFill="1" applyBorder="1" applyAlignment="1" applyProtection="1">
      <alignment horizontal="center" vertical="center" wrapText="1"/>
    </xf>
    <xf numFmtId="0" fontId="48" fillId="3" borderId="40" xfId="209" applyFont="1" applyFill="1" applyBorder="1" applyAlignment="1">
      <alignment horizontal="center" vertical="center"/>
    </xf>
    <xf numFmtId="0" fontId="46" fillId="3" borderId="40" xfId="209" applyFont="1" applyFill="1" applyBorder="1" applyAlignment="1">
      <alignment horizontal="center" vertical="center" wrapText="1"/>
    </xf>
    <xf numFmtId="0" fontId="48" fillId="3" borderId="40" xfId="209" applyFont="1" applyFill="1" applyBorder="1" applyAlignment="1">
      <alignment horizontal="center" vertical="center" wrapText="1"/>
    </xf>
    <xf numFmtId="0" fontId="46" fillId="4" borderId="12" xfId="2" applyFont="1" applyFill="1" applyBorder="1" applyAlignment="1">
      <alignment horizontal="center" vertical="center" wrapText="1"/>
    </xf>
    <xf numFmtId="0" fontId="48" fillId="0" borderId="40" xfId="209" applyFont="1" applyBorder="1" applyAlignment="1">
      <alignment horizontal="center" vertical="center"/>
    </xf>
    <xf numFmtId="0" fontId="48" fillId="4" borderId="1" xfId="209" applyFont="1" applyFill="1" applyBorder="1" applyAlignment="1">
      <alignment horizontal="center" vertical="center"/>
    </xf>
    <xf numFmtId="0" fontId="69" fillId="0" borderId="40" xfId="209" applyFont="1" applyFill="1" applyBorder="1" applyAlignment="1">
      <alignment horizontal="center" vertical="center"/>
    </xf>
    <xf numFmtId="0" fontId="47" fillId="0" borderId="4" xfId="209" applyNumberFormat="1" applyFont="1" applyFill="1" applyBorder="1" applyAlignment="1" applyProtection="1">
      <alignment horizontal="center" vertical="center" wrapText="1"/>
    </xf>
    <xf numFmtId="0" fontId="46" fillId="3" borderId="43" xfId="209" applyNumberFormat="1" applyFont="1" applyFill="1" applyBorder="1" applyAlignment="1" applyProtection="1">
      <alignment horizontal="center" vertical="center" wrapText="1"/>
    </xf>
    <xf numFmtId="0" fontId="48" fillId="3" borderId="13" xfId="209" applyNumberFormat="1" applyFont="1" applyFill="1" applyBorder="1" applyAlignment="1" applyProtection="1">
      <alignment horizontal="center" vertical="center" wrapText="1"/>
    </xf>
    <xf numFmtId="0" fontId="46" fillId="3" borderId="13" xfId="209" applyNumberFormat="1" applyFont="1" applyFill="1" applyBorder="1" applyAlignment="1" applyProtection="1">
      <alignment horizontal="center" vertical="center" wrapText="1"/>
    </xf>
    <xf numFmtId="0" fontId="48" fillId="3" borderId="43" xfId="209" applyFont="1" applyFill="1" applyBorder="1" applyAlignment="1">
      <alignment horizontal="center" vertical="center" wrapText="1"/>
    </xf>
    <xf numFmtId="0" fontId="46" fillId="3" borderId="13" xfId="209" applyFont="1" applyFill="1" applyBorder="1" applyAlignment="1">
      <alignment horizontal="center" vertical="center" wrapText="1"/>
    </xf>
    <xf numFmtId="0" fontId="48" fillId="0" borderId="13" xfId="209" applyFont="1" applyFill="1" applyBorder="1" applyAlignment="1">
      <alignment horizontal="center" vertical="center"/>
    </xf>
    <xf numFmtId="0" fontId="48" fillId="3" borderId="1" xfId="209" applyFont="1" applyFill="1" applyBorder="1" applyAlignment="1">
      <alignment horizontal="center" vertical="center" wrapText="1"/>
    </xf>
    <xf numFmtId="0" fontId="48" fillId="3" borderId="43" xfId="209" applyFont="1" applyFill="1" applyBorder="1" applyAlignment="1">
      <alignment horizontal="center" vertical="center"/>
    </xf>
    <xf numFmtId="0" fontId="46" fillId="3" borderId="43" xfId="209" applyFont="1" applyFill="1" applyBorder="1" applyAlignment="1">
      <alignment horizontal="center" vertical="center" wrapText="1"/>
    </xf>
    <xf numFmtId="0" fontId="46" fillId="0" borderId="13" xfId="209" applyNumberFormat="1" applyFont="1" applyFill="1" applyBorder="1" applyAlignment="1" applyProtection="1">
      <alignment horizontal="center" vertical="center" wrapText="1"/>
    </xf>
    <xf numFmtId="0" fontId="46" fillId="3" borderId="38" xfId="209" applyFont="1" applyFill="1" applyBorder="1" applyAlignment="1">
      <alignment horizontal="center" vertical="center" wrapText="1"/>
    </xf>
    <xf numFmtId="0" fontId="47" fillId="0" borderId="4" xfId="209" applyFont="1" applyFill="1" applyBorder="1" applyAlignment="1">
      <alignment horizontal="center" vertical="center" wrapText="1"/>
    </xf>
    <xf numFmtId="0" fontId="48" fillId="3" borderId="0" xfId="209" applyFont="1" applyFill="1" applyAlignment="1">
      <alignment horizontal="center" vertical="center" wrapText="1"/>
    </xf>
    <xf numFmtId="0" fontId="48" fillId="4" borderId="12" xfId="209" applyFont="1" applyFill="1" applyBorder="1" applyAlignment="1">
      <alignment horizontal="center" vertical="center"/>
    </xf>
    <xf numFmtId="0" fontId="46" fillId="3" borderId="12" xfId="209" applyNumberFormat="1" applyFont="1" applyFill="1" applyBorder="1" applyAlignment="1" applyProtection="1">
      <alignment horizontal="center" vertical="center" wrapText="1"/>
    </xf>
    <xf numFmtId="0" fontId="82" fillId="3" borderId="4" xfId="209" applyFont="1" applyFill="1" applyBorder="1" applyAlignment="1">
      <alignment horizontal="center" vertical="center" wrapText="1"/>
    </xf>
    <xf numFmtId="0" fontId="71" fillId="0" borderId="1" xfId="209" applyNumberFormat="1" applyFont="1" applyFill="1" applyBorder="1" applyAlignment="1" applyProtection="1">
      <alignment horizontal="center" vertical="center"/>
    </xf>
    <xf numFmtId="0" fontId="47" fillId="0" borderId="29" xfId="209" applyNumberFormat="1" applyFont="1" applyFill="1" applyBorder="1" applyAlignment="1" applyProtection="1">
      <alignment horizontal="center" vertical="center" wrapText="1"/>
    </xf>
    <xf numFmtId="0" fontId="95" fillId="0" borderId="12" xfId="209" applyFont="1" applyFill="1" applyBorder="1" applyAlignment="1">
      <alignment horizontal="center" vertical="center"/>
    </xf>
    <xf numFmtId="0" fontId="46" fillId="3" borderId="12" xfId="209" applyFont="1" applyFill="1" applyBorder="1" applyAlignment="1">
      <alignment horizontal="center" vertical="center" wrapText="1"/>
    </xf>
    <xf numFmtId="0" fontId="46" fillId="0" borderId="1" xfId="209" applyFont="1" applyFill="1" applyBorder="1" applyAlignment="1">
      <alignment horizontal="center" vertical="center" wrapText="1"/>
    </xf>
    <xf numFmtId="0" fontId="46" fillId="3" borderId="4" xfId="209" applyNumberFormat="1" applyFont="1" applyFill="1" applyBorder="1" applyAlignment="1" applyProtection="1">
      <alignment horizontal="center" vertical="center" wrapText="1"/>
    </xf>
    <xf numFmtId="0" fontId="1" fillId="0" borderId="9" xfId="209" applyBorder="1" applyAlignment="1">
      <alignment horizontal="center" vertical="center"/>
    </xf>
    <xf numFmtId="0" fontId="71" fillId="0" borderId="46" xfId="209" applyNumberFormat="1" applyFont="1" applyFill="1" applyBorder="1" applyAlignment="1" applyProtection="1">
      <alignment horizontal="center" vertical="center"/>
    </xf>
    <xf numFmtId="0" fontId="46" fillId="3" borderId="62" xfId="209" applyNumberFormat="1" applyFont="1" applyFill="1" applyBorder="1" applyAlignment="1" applyProtection="1">
      <alignment horizontal="center" vertical="center" wrapText="1"/>
    </xf>
    <xf numFmtId="0" fontId="69" fillId="0" borderId="39" xfId="209" applyFont="1" applyFill="1" applyBorder="1" applyAlignment="1">
      <alignment horizontal="center" vertical="center"/>
    </xf>
    <xf numFmtId="0" fontId="48" fillId="4" borderId="40" xfId="209" applyFont="1" applyFill="1" applyBorder="1" applyAlignment="1">
      <alignment horizontal="center" vertical="center"/>
    </xf>
    <xf numFmtId="0" fontId="69" fillId="7" borderId="12" xfId="209" applyFont="1" applyFill="1" applyBorder="1" applyAlignment="1">
      <alignment horizontal="center" vertical="center" wrapText="1"/>
    </xf>
    <xf numFmtId="0" fontId="48" fillId="0" borderId="40" xfId="209" applyFont="1" applyFill="1" applyBorder="1" applyAlignment="1">
      <alignment horizontal="center" vertical="center"/>
    </xf>
    <xf numFmtId="0" fontId="46" fillId="3" borderId="40" xfId="209" applyNumberFormat="1" applyFont="1" applyFill="1" applyBorder="1" applyAlignment="1" applyProtection="1">
      <alignment horizontal="center" vertical="center" wrapText="1"/>
    </xf>
    <xf numFmtId="0" fontId="48" fillId="3" borderId="62" xfId="209" applyFont="1" applyFill="1" applyBorder="1" applyAlignment="1">
      <alignment horizontal="center" vertical="center"/>
    </xf>
    <xf numFmtId="0" fontId="43" fillId="0" borderId="13" xfId="209" applyNumberFormat="1" applyFont="1" applyFill="1" applyBorder="1" applyAlignment="1" applyProtection="1">
      <alignment horizontal="center" vertical="center"/>
    </xf>
    <xf numFmtId="0" fontId="52" fillId="0" borderId="13" xfId="209" applyFont="1" applyFill="1" applyBorder="1" applyAlignment="1">
      <alignment horizontal="center" vertical="center" wrapText="1"/>
    </xf>
    <xf numFmtId="0" fontId="48" fillId="0" borderId="13" xfId="209" applyFont="1" applyFill="1" applyBorder="1" applyAlignment="1">
      <alignment horizontal="center" vertical="center" wrapText="1"/>
    </xf>
    <xf numFmtId="0" fontId="48" fillId="0" borderId="43" xfId="209" applyFont="1" applyFill="1" applyBorder="1" applyAlignment="1">
      <alignment horizontal="center" vertical="center" wrapText="1"/>
    </xf>
    <xf numFmtId="0" fontId="76" fillId="3" borderId="43" xfId="209" applyFont="1" applyFill="1" applyBorder="1" applyAlignment="1">
      <alignment horizontal="center" vertical="center"/>
    </xf>
    <xf numFmtId="0" fontId="76" fillId="3" borderId="13" xfId="209" applyNumberFormat="1" applyFont="1" applyFill="1" applyBorder="1" applyAlignment="1" applyProtection="1">
      <alignment horizontal="center" vertical="center" wrapText="1"/>
    </xf>
    <xf numFmtId="0" fontId="46" fillId="3" borderId="18" xfId="209" applyFont="1" applyFill="1" applyBorder="1" applyAlignment="1">
      <alignment horizontal="center" vertical="center" wrapText="1"/>
    </xf>
    <xf numFmtId="0" fontId="102" fillId="0" borderId="0" xfId="209" applyNumberFormat="1" applyFont="1" applyFill="1" applyBorder="1" applyAlignment="1" applyProtection="1">
      <alignment horizontal="center" vertical="center" wrapText="1"/>
    </xf>
    <xf numFmtId="0" fontId="1" fillId="0" borderId="0" xfId="209" applyFill="1" applyAlignment="1">
      <alignment horizontal="center" vertical="center"/>
    </xf>
    <xf numFmtId="0" fontId="1" fillId="0" borderId="9" xfId="209" applyFill="1" applyBorder="1" applyAlignment="1">
      <alignment horizontal="center" vertical="center"/>
    </xf>
    <xf numFmtId="0" fontId="48" fillId="0" borderId="46" xfId="209" applyFont="1" applyBorder="1">
      <alignment vertical="center"/>
    </xf>
    <xf numFmtId="0" fontId="90" fillId="5" borderId="40" xfId="209" applyFont="1" applyFill="1" applyBorder="1" applyAlignment="1">
      <alignment horizontal="center" vertical="center" wrapText="1"/>
    </xf>
    <xf numFmtId="0" fontId="48" fillId="5" borderId="40" xfId="209" applyFont="1" applyFill="1" applyBorder="1" applyAlignment="1">
      <alignment horizontal="center" vertical="center"/>
    </xf>
    <xf numFmtId="0" fontId="48" fillId="5" borderId="40" xfId="209" applyNumberFormat="1" applyFont="1" applyFill="1" applyBorder="1" applyAlignment="1" applyProtection="1">
      <alignment horizontal="center" vertical="center" wrapText="1"/>
    </xf>
    <xf numFmtId="0" fontId="48" fillId="5" borderId="40" xfId="209" applyFont="1" applyFill="1" applyBorder="1" applyAlignment="1">
      <alignment horizontal="center" vertical="center" wrapText="1"/>
    </xf>
    <xf numFmtId="0" fontId="48" fillId="0" borderId="40" xfId="209" applyNumberFormat="1" applyFont="1" applyFill="1" applyBorder="1" applyAlignment="1" applyProtection="1">
      <alignment horizontal="center" vertical="center" wrapText="1"/>
    </xf>
    <xf numFmtId="0" fontId="69" fillId="5" borderId="40" xfId="209" applyNumberFormat="1" applyFont="1" applyFill="1" applyBorder="1" applyAlignment="1" applyProtection="1">
      <alignment horizontal="center" vertical="center" wrapText="1"/>
    </xf>
    <xf numFmtId="0" fontId="48" fillId="5" borderId="39" xfId="209" applyFont="1" applyFill="1" applyBorder="1" applyAlignment="1">
      <alignment horizontal="center" vertical="center"/>
    </xf>
    <xf numFmtId="0" fontId="102" fillId="0" borderId="3" xfId="209" applyNumberFormat="1" applyFont="1" applyFill="1" applyBorder="1" applyAlignment="1" applyProtection="1">
      <alignment horizontal="center" vertical="center" wrapText="1"/>
    </xf>
    <xf numFmtId="0" fontId="39" fillId="0" borderId="20" xfId="209" applyFont="1" applyBorder="1" applyAlignment="1">
      <alignment horizontal="center" vertical="center"/>
    </xf>
    <xf numFmtId="0" fontId="90" fillId="0" borderId="64" xfId="209" applyFont="1" applyFill="1" applyBorder="1" applyAlignment="1">
      <alignment horizontal="center" vertical="center" wrapText="1"/>
    </xf>
    <xf numFmtId="0" fontId="46" fillId="3" borderId="59" xfId="209" applyFont="1" applyFill="1" applyBorder="1" applyAlignment="1">
      <alignment horizontal="center" vertical="center" wrapText="1"/>
    </xf>
    <xf numFmtId="0" fontId="46" fillId="3" borderId="60" xfId="209" applyFont="1" applyFill="1" applyBorder="1" applyAlignment="1">
      <alignment horizontal="center" vertical="center" wrapText="1"/>
    </xf>
    <xf numFmtId="0" fontId="48" fillId="3" borderId="20" xfId="209" applyFont="1" applyFill="1" applyBorder="1" applyAlignment="1">
      <alignment horizontal="center" vertical="center"/>
    </xf>
    <xf numFmtId="0" fontId="48" fillId="3" borderId="64" xfId="209" applyFont="1" applyFill="1" applyBorder="1" applyAlignment="1">
      <alignment horizontal="center" vertical="center"/>
    </xf>
    <xf numFmtId="0" fontId="48" fillId="3" borderId="20" xfId="209" applyFont="1" applyFill="1" applyBorder="1" applyAlignment="1">
      <alignment horizontal="center" vertical="center" wrapText="1"/>
    </xf>
    <xf numFmtId="0" fontId="48" fillId="3" borderId="64" xfId="209" applyNumberFormat="1" applyFont="1" applyFill="1" applyBorder="1" applyAlignment="1" applyProtection="1">
      <alignment horizontal="center" vertical="center" wrapText="1"/>
    </xf>
    <xf numFmtId="0" fontId="48" fillId="0" borderId="20" xfId="209" applyNumberFormat="1" applyFont="1" applyFill="1" applyBorder="1" applyAlignment="1" applyProtection="1">
      <alignment horizontal="center" vertical="center" wrapText="1"/>
    </xf>
    <xf numFmtId="0" fontId="46" fillId="3" borderId="20" xfId="209" applyNumberFormat="1" applyFont="1" applyFill="1" applyBorder="1" applyAlignment="1" applyProtection="1">
      <alignment horizontal="center" vertical="center" wrapText="1"/>
    </xf>
    <xf numFmtId="0" fontId="69" fillId="3" borderId="64" xfId="209" applyNumberFormat="1" applyFont="1" applyFill="1" applyBorder="1" applyAlignment="1" applyProtection="1">
      <alignment horizontal="center" vertical="center" wrapText="1"/>
    </xf>
    <xf numFmtId="0" fontId="48" fillId="3" borderId="20" xfId="209" applyNumberFormat="1" applyFont="1" applyFill="1" applyBorder="1" applyAlignment="1" applyProtection="1">
      <alignment horizontal="center" vertical="center" wrapText="1"/>
    </xf>
    <xf numFmtId="0" fontId="48" fillId="0" borderId="20" xfId="209" applyFont="1" applyBorder="1">
      <alignment vertical="center"/>
    </xf>
    <xf numFmtId="0" fontId="46" fillId="3" borderId="43" xfId="209" applyFont="1" applyFill="1" applyBorder="1" applyAlignment="1">
      <alignment horizontal="center" vertical="center"/>
    </xf>
    <xf numFmtId="0" fontId="48" fillId="3" borderId="43" xfId="209" applyNumberFormat="1" applyFont="1" applyFill="1" applyBorder="1" applyAlignment="1" applyProtection="1">
      <alignment horizontal="center" vertical="center" wrapText="1"/>
    </xf>
    <xf numFmtId="0" fontId="48" fillId="0" borderId="43" xfId="209" applyNumberFormat="1" applyFont="1" applyFill="1" applyBorder="1" applyAlignment="1" applyProtection="1">
      <alignment horizontal="center" vertical="center" wrapText="1"/>
    </xf>
    <xf numFmtId="0" fontId="85" fillId="0" borderId="3" xfId="209" applyFont="1" applyFill="1" applyBorder="1" applyAlignment="1">
      <alignment horizontal="center" vertical="center" wrapText="1"/>
    </xf>
    <xf numFmtId="0" fontId="48" fillId="0" borderId="1" xfId="209" applyFont="1" applyBorder="1">
      <alignment vertical="center"/>
    </xf>
    <xf numFmtId="0" fontId="48" fillId="4" borderId="1" xfId="209" applyNumberFormat="1" applyFont="1" applyFill="1" applyBorder="1" applyAlignment="1" applyProtection="1">
      <alignment horizontal="center" vertical="center" wrapText="1"/>
    </xf>
    <xf numFmtId="0" fontId="48" fillId="7" borderId="12" xfId="2" applyFont="1" applyFill="1" applyBorder="1" applyAlignment="1">
      <alignment horizontal="center" vertical="center" wrapText="1"/>
    </xf>
    <xf numFmtId="0" fontId="46" fillId="0" borderId="1" xfId="209" applyNumberFormat="1" applyFont="1" applyFill="1" applyBorder="1" applyAlignment="1" applyProtection="1">
      <alignment horizontal="center" vertical="center" wrapText="1"/>
    </xf>
    <xf numFmtId="0" fontId="48" fillId="3" borderId="13" xfId="2" applyFont="1" applyFill="1" applyBorder="1" applyAlignment="1">
      <alignment horizontal="center" vertical="center" wrapText="1"/>
    </xf>
    <xf numFmtId="0" fontId="85" fillId="0" borderId="3" xfId="211" applyFont="1" applyFill="1" applyBorder="1" applyAlignment="1">
      <alignment horizontal="center" vertical="center" wrapText="1"/>
    </xf>
    <xf numFmtId="0" fontId="48" fillId="0" borderId="40" xfId="209" applyFont="1" applyBorder="1">
      <alignment vertical="center"/>
    </xf>
    <xf numFmtId="0" fontId="52" fillId="0" borderId="40" xfId="209" applyNumberFormat="1" applyFont="1" applyFill="1" applyBorder="1" applyAlignment="1" applyProtection="1">
      <alignment horizontal="center" vertical="center" wrapText="1"/>
    </xf>
    <xf numFmtId="0" fontId="82" fillId="8" borderId="40" xfId="209" applyFont="1" applyFill="1" applyBorder="1" applyAlignment="1">
      <alignment horizontal="center" vertical="center" wrapText="1"/>
    </xf>
    <xf numFmtId="0" fontId="48" fillId="3" borderId="40" xfId="209" applyNumberFormat="1" applyFont="1" applyFill="1" applyBorder="1" applyAlignment="1" applyProtection="1">
      <alignment horizontal="center" vertical="center" wrapText="1"/>
    </xf>
    <xf numFmtId="0" fontId="46" fillId="0" borderId="40" xfId="209" applyFont="1" applyFill="1" applyBorder="1" applyAlignment="1">
      <alignment horizontal="center" vertical="center"/>
    </xf>
    <xf numFmtId="0" fontId="46" fillId="0" borderId="40" xfId="209" applyFont="1" applyFill="1" applyBorder="1" applyAlignment="1">
      <alignment horizontal="center" vertical="center" wrapText="1"/>
    </xf>
    <xf numFmtId="0" fontId="82" fillId="3" borderId="39" xfId="209" applyNumberFormat="1" applyFont="1" applyFill="1" applyBorder="1" applyAlignment="1" applyProtection="1">
      <alignment horizontal="center" vertical="center" wrapText="1"/>
    </xf>
    <xf numFmtId="0" fontId="82" fillId="8" borderId="21" xfId="209" applyNumberFormat="1" applyFont="1" applyFill="1" applyBorder="1" applyAlignment="1" applyProtection="1">
      <alignment horizontal="center" vertical="center" wrapText="1"/>
    </xf>
    <xf numFmtId="0" fontId="73" fillId="0" borderId="6" xfId="210" applyFont="1" applyBorder="1" applyAlignment="1">
      <alignment vertical="center" wrapText="1"/>
    </xf>
    <xf numFmtId="0" fontId="73" fillId="0" borderId="0" xfId="210" applyFont="1" applyBorder="1" applyAlignment="1">
      <alignment vertical="center" wrapText="1"/>
    </xf>
    <xf numFmtId="0" fontId="44" fillId="0" borderId="64" xfId="209" applyFont="1" applyFill="1" applyBorder="1" applyAlignment="1">
      <alignment horizontal="center" vertical="center"/>
    </xf>
    <xf numFmtId="0" fontId="52" fillId="0" borderId="46" xfId="209" applyNumberFormat="1" applyFont="1" applyFill="1" applyBorder="1" applyAlignment="1" applyProtection="1">
      <alignment horizontal="center" vertical="center" wrapText="1"/>
    </xf>
    <xf numFmtId="0" fontId="1" fillId="0" borderId="41" xfId="209" applyFill="1" applyBorder="1" applyAlignment="1">
      <alignment horizontal="center" vertical="center"/>
    </xf>
    <xf numFmtId="0" fontId="1" fillId="0" borderId="42" xfId="209" applyFill="1" applyBorder="1" applyAlignment="1">
      <alignment horizontal="center" vertical="center"/>
    </xf>
    <xf numFmtId="0" fontId="82" fillId="0" borderId="64" xfId="209" applyFont="1" applyFill="1" applyBorder="1" applyAlignment="1">
      <alignment horizontal="center" vertical="center" wrapText="1"/>
    </xf>
    <xf numFmtId="0" fontId="46" fillId="0" borderId="64" xfId="209" applyNumberFormat="1" applyFont="1" applyFill="1" applyBorder="1" applyAlignment="1" applyProtection="1">
      <alignment horizontal="center" vertical="center" wrapText="1"/>
    </xf>
    <xf numFmtId="0" fontId="48" fillId="0" borderId="64" xfId="209" applyFont="1" applyFill="1" applyBorder="1" applyAlignment="1">
      <alignment horizontal="center" vertical="center" wrapText="1"/>
    </xf>
    <xf numFmtId="0" fontId="46" fillId="0" borderId="64" xfId="209" applyFont="1" applyFill="1" applyBorder="1" applyAlignment="1">
      <alignment horizontal="center" vertical="center" wrapText="1"/>
    </xf>
    <xf numFmtId="0" fontId="48" fillId="0" borderId="64" xfId="209" applyNumberFormat="1" applyFont="1" applyFill="1" applyBorder="1" applyAlignment="1" applyProtection="1">
      <alignment horizontal="center" vertical="center" wrapText="1"/>
    </xf>
    <xf numFmtId="0" fontId="46" fillId="0" borderId="46" xfId="209" applyFont="1" applyFill="1" applyBorder="1" applyAlignment="1">
      <alignment horizontal="center" vertical="center" wrapText="1"/>
    </xf>
    <xf numFmtId="0" fontId="46" fillId="0" borderId="64" xfId="209" applyFont="1" applyFill="1" applyBorder="1" applyAlignment="1">
      <alignment horizontal="center" vertical="center"/>
    </xf>
    <xf numFmtId="0" fontId="82" fillId="0" borderId="59" xfId="209" applyNumberFormat="1" applyFont="1" applyFill="1" applyBorder="1" applyAlignment="1" applyProtection="1">
      <alignment vertical="center" wrapText="1"/>
    </xf>
    <xf numFmtId="0" fontId="82" fillId="0" borderId="36" xfId="209" applyNumberFormat="1" applyFont="1" applyFill="1" applyBorder="1" applyAlignment="1" applyProtection="1">
      <alignment horizontal="center" vertical="center" wrapText="1"/>
    </xf>
    <xf numFmtId="0" fontId="85" fillId="0" borderId="15" xfId="209" applyFont="1" applyFill="1" applyBorder="1" applyAlignment="1">
      <alignment horizontal="center" vertical="center" wrapText="1"/>
    </xf>
    <xf numFmtId="0" fontId="1" fillId="0" borderId="15" xfId="209" applyFill="1" applyBorder="1" applyAlignment="1">
      <alignment horizontal="center" vertical="center"/>
    </xf>
    <xf numFmtId="0" fontId="1" fillId="0" borderId="0" xfId="209" applyFill="1" applyBorder="1" applyAlignment="1">
      <alignment horizontal="center" vertical="center"/>
    </xf>
    <xf numFmtId="0" fontId="73" fillId="0" borderId="15" xfId="210" applyFont="1" applyBorder="1" applyAlignment="1">
      <alignment vertical="center" wrapText="1"/>
    </xf>
    <xf numFmtId="0" fontId="71" fillId="2" borderId="13" xfId="209" applyNumberFormat="1" applyFont="1" applyFill="1" applyBorder="1" applyAlignment="1" applyProtection="1">
      <alignment horizontal="center" vertical="center"/>
    </xf>
    <xf numFmtId="0" fontId="39" fillId="2" borderId="18" xfId="209" applyNumberFormat="1" applyFont="1" applyFill="1" applyBorder="1" applyAlignment="1" applyProtection="1">
      <alignment horizontal="center" vertical="center" wrapText="1"/>
    </xf>
    <xf numFmtId="0" fontId="58" fillId="0" borderId="10" xfId="209" applyFont="1" applyBorder="1">
      <alignment vertical="center"/>
    </xf>
    <xf numFmtId="0" fontId="90" fillId="0" borderId="1" xfId="209" applyNumberFormat="1" applyFont="1" applyFill="1" applyBorder="1" applyAlignment="1" applyProtection="1">
      <alignment horizontal="center" vertical="center" wrapText="1"/>
    </xf>
    <xf numFmtId="0" fontId="49" fillId="3" borderId="12" xfId="209" applyNumberFormat="1" applyFont="1" applyFill="1" applyBorder="1" applyAlignment="1" applyProtection="1">
      <alignment horizontal="center" vertical="center" wrapText="1"/>
    </xf>
    <xf numFmtId="0" fontId="48" fillId="3" borderId="12" xfId="209" applyNumberFormat="1" applyFont="1" applyFill="1" applyBorder="1" applyAlignment="1" applyProtection="1">
      <alignment horizontal="center" vertical="center" wrapText="1"/>
    </xf>
    <xf numFmtId="0" fontId="1" fillId="0" borderId="1" xfId="209" applyFill="1" applyBorder="1">
      <alignment vertical="center"/>
    </xf>
    <xf numFmtId="0" fontId="58" fillId="0" borderId="62" xfId="209" applyFont="1" applyBorder="1">
      <alignment vertical="center"/>
    </xf>
    <xf numFmtId="0" fontId="90" fillId="0" borderId="39" xfId="209" applyNumberFormat="1" applyFont="1" applyFill="1" applyBorder="1" applyAlignment="1" applyProtection="1">
      <alignment horizontal="center" vertical="center" wrapText="1"/>
    </xf>
    <xf numFmtId="0" fontId="1" fillId="0" borderId="40" xfId="209" applyFill="1" applyBorder="1">
      <alignment vertical="center"/>
    </xf>
    <xf numFmtId="0" fontId="48" fillId="3" borderId="62" xfId="209" applyNumberFormat="1" applyFont="1" applyFill="1" applyBorder="1" applyAlignment="1" applyProtection="1">
      <alignment horizontal="center" vertical="center" wrapText="1"/>
    </xf>
    <xf numFmtId="0" fontId="49" fillId="3" borderId="40" xfId="209" applyFont="1" applyFill="1" applyBorder="1" applyAlignment="1">
      <alignment horizontal="center" vertical="center" wrapText="1"/>
    </xf>
    <xf numFmtId="0" fontId="59" fillId="3" borderId="40" xfId="209" applyFont="1" applyFill="1" applyBorder="1" applyAlignment="1">
      <alignment horizontal="center" vertical="center" wrapText="1"/>
    </xf>
    <xf numFmtId="0" fontId="59" fillId="3" borderId="46" xfId="209" applyNumberFormat="1" applyFont="1" applyFill="1" applyBorder="1" applyAlignment="1" applyProtection="1">
      <alignment horizontal="center" vertical="center" wrapText="1"/>
    </xf>
    <xf numFmtId="0" fontId="49" fillId="3" borderId="46" xfId="209" applyFont="1" applyFill="1" applyBorder="1" applyAlignment="1">
      <alignment horizontal="center" vertical="center" wrapText="1"/>
    </xf>
    <xf numFmtId="0" fontId="49" fillId="3" borderId="0" xfId="209" applyFont="1" applyFill="1" applyBorder="1" applyAlignment="1">
      <alignment horizontal="center" vertical="center" wrapText="1"/>
    </xf>
    <xf numFmtId="0" fontId="77" fillId="0" borderId="0" xfId="209" applyFont="1" applyFill="1" applyBorder="1" applyAlignment="1">
      <alignment horizontal="center" vertical="center" wrapText="1"/>
    </xf>
    <xf numFmtId="0" fontId="77" fillId="0" borderId="79" xfId="209" applyFont="1" applyFill="1" applyBorder="1" applyAlignment="1">
      <alignment horizontal="center" vertical="center" wrapText="1"/>
    </xf>
    <xf numFmtId="0" fontId="77" fillId="0" borderId="6" xfId="209" applyFont="1" applyFill="1" applyBorder="1" applyAlignment="1">
      <alignment horizontal="center" vertical="center" wrapText="1"/>
    </xf>
    <xf numFmtId="0" fontId="50" fillId="0" borderId="0" xfId="209" applyFont="1" applyFill="1" applyBorder="1" applyAlignment="1">
      <alignment vertical="center"/>
    </xf>
    <xf numFmtId="0" fontId="88" fillId="0" borderId="0" xfId="209" applyFont="1" applyFill="1" applyBorder="1" applyAlignment="1">
      <alignment vertical="center" wrapText="1"/>
    </xf>
    <xf numFmtId="0" fontId="46" fillId="2" borderId="49" xfId="209" applyNumberFormat="1" applyFont="1" applyFill="1" applyBorder="1" applyAlignment="1" applyProtection="1">
      <alignment horizontal="center" vertical="center" wrapText="1"/>
    </xf>
    <xf numFmtId="0" fontId="46" fillId="2" borderId="50" xfId="209" applyNumberFormat="1" applyFont="1" applyFill="1" applyBorder="1" applyAlignment="1" applyProtection="1">
      <alignment horizontal="center" vertical="center" wrapText="1"/>
    </xf>
    <xf numFmtId="0" fontId="46" fillId="2" borderId="80" xfId="209" applyNumberFormat="1" applyFont="1" applyFill="1" applyBorder="1" applyAlignment="1" applyProtection="1">
      <alignment horizontal="center" vertical="center" wrapText="1"/>
    </xf>
    <xf numFmtId="0" fontId="46" fillId="2" borderId="24" xfId="209" applyNumberFormat="1" applyFont="1" applyFill="1" applyBorder="1" applyAlignment="1" applyProtection="1">
      <alignment horizontal="center" vertical="center" wrapText="1"/>
    </xf>
    <xf numFmtId="0" fontId="46" fillId="2" borderId="66" xfId="209" applyNumberFormat="1" applyFont="1" applyFill="1" applyBorder="1" applyAlignment="1" applyProtection="1">
      <alignment horizontal="center" vertical="center"/>
    </xf>
    <xf numFmtId="0" fontId="46" fillId="2" borderId="22" xfId="209" applyNumberFormat="1" applyFont="1" applyFill="1" applyBorder="1" applyAlignment="1" applyProtection="1">
      <alignment horizontal="center" vertical="center" wrapText="1"/>
    </xf>
    <xf numFmtId="0" fontId="46" fillId="2" borderId="67" xfId="209" applyNumberFormat="1" applyFont="1" applyFill="1" applyBorder="1" applyAlignment="1" applyProtection="1">
      <alignment horizontal="center" vertical="center" wrapText="1"/>
    </xf>
    <xf numFmtId="0" fontId="46" fillId="0" borderId="52" xfId="209" applyFont="1" applyBorder="1" applyAlignment="1">
      <alignment horizontal="center" vertical="center" wrapText="1"/>
    </xf>
    <xf numFmtId="0" fontId="46" fillId="0" borderId="13" xfId="209" applyFont="1" applyFill="1" applyBorder="1" applyAlignment="1">
      <alignment horizontal="center" vertical="center" wrapText="1"/>
    </xf>
    <xf numFmtId="0" fontId="48" fillId="0" borderId="53" xfId="209" applyFont="1" applyFill="1" applyBorder="1" applyAlignment="1">
      <alignment horizontal="center" vertical="center"/>
    </xf>
    <xf numFmtId="0" fontId="46" fillId="0" borderId="54" xfId="209" applyFont="1" applyBorder="1" applyAlignment="1">
      <alignment horizontal="center" vertical="center" wrapText="1"/>
    </xf>
    <xf numFmtId="0" fontId="48" fillId="0" borderId="0" xfId="209" applyFont="1">
      <alignment vertical="center"/>
    </xf>
    <xf numFmtId="0" fontId="46" fillId="0" borderId="12" xfId="209" applyNumberFormat="1" applyFont="1" applyFill="1" applyBorder="1" applyAlignment="1" applyProtection="1">
      <alignment horizontal="center" vertical="center" wrapText="1"/>
    </xf>
    <xf numFmtId="0" fontId="46" fillId="0" borderId="53" xfId="209" applyFont="1" applyFill="1" applyBorder="1" applyAlignment="1">
      <alignment horizontal="center" vertical="center" wrapText="1"/>
    </xf>
    <xf numFmtId="0" fontId="48" fillId="0" borderId="1" xfId="209" applyFont="1" applyBorder="1" applyAlignment="1">
      <alignment horizontal="center" vertical="center"/>
    </xf>
    <xf numFmtId="0" fontId="48" fillId="0" borderId="0" xfId="209" applyFont="1" applyAlignment="1">
      <alignment horizontal="center" vertical="center"/>
    </xf>
    <xf numFmtId="0" fontId="46" fillId="0" borderId="55" xfId="209" applyFont="1" applyBorder="1" applyAlignment="1">
      <alignment horizontal="center" vertical="center" wrapText="1"/>
    </xf>
    <xf numFmtId="0" fontId="74" fillId="3" borderId="23" xfId="209" applyNumberFormat="1" applyFont="1" applyFill="1" applyBorder="1" applyAlignment="1" applyProtection="1">
      <alignment horizontal="center" vertical="center" wrapText="1"/>
    </xf>
    <xf numFmtId="0" fontId="48" fillId="0" borderId="23" xfId="209" applyFont="1" applyBorder="1" applyAlignment="1">
      <alignment horizontal="center" vertical="center"/>
    </xf>
    <xf numFmtId="0" fontId="48" fillId="0" borderId="23" xfId="209" applyFont="1" applyBorder="1" applyAlignment="1">
      <alignment horizontal="center" vertical="center" wrapText="1"/>
    </xf>
    <xf numFmtId="0" fontId="46" fillId="3" borderId="23" xfId="209" applyNumberFormat="1" applyFont="1" applyFill="1" applyBorder="1" applyAlignment="1" applyProtection="1">
      <alignment horizontal="center" vertical="center" wrapText="1"/>
    </xf>
    <xf numFmtId="0" fontId="48" fillId="3" borderId="23" xfId="209" applyFont="1" applyFill="1" applyBorder="1" applyAlignment="1">
      <alignment horizontal="center" vertical="center"/>
    </xf>
    <xf numFmtId="0" fontId="95" fillId="0" borderId="23" xfId="209" applyFont="1" applyBorder="1" applyAlignment="1">
      <alignment horizontal="center" vertical="center" wrapText="1"/>
    </xf>
    <xf numFmtId="0" fontId="48" fillId="0" borderId="23" xfId="209" applyFont="1" applyFill="1" applyBorder="1" applyAlignment="1">
      <alignment horizontal="center" vertical="center" wrapText="1"/>
    </xf>
    <xf numFmtId="0" fontId="46" fillId="3" borderId="57" xfId="209" applyFont="1" applyFill="1" applyBorder="1" applyAlignment="1">
      <alignment horizontal="center" vertical="center" wrapText="1"/>
    </xf>
    <xf numFmtId="0" fontId="1" fillId="0" borderId="8" xfId="209" applyBorder="1">
      <alignment vertical="center"/>
    </xf>
    <xf numFmtId="0" fontId="103" fillId="0" borderId="68" xfId="209" applyFont="1" applyFill="1" applyBorder="1" applyAlignment="1">
      <alignment vertical="center" wrapText="1"/>
    </xf>
    <xf numFmtId="0" fontId="103" fillId="0" borderId="0" xfId="209" applyFont="1" applyFill="1" applyBorder="1" applyAlignment="1">
      <alignment vertical="center" wrapText="1"/>
    </xf>
    <xf numFmtId="0" fontId="56" fillId="0" borderId="0" xfId="209" applyFont="1" applyBorder="1">
      <alignment vertical="center"/>
    </xf>
    <xf numFmtId="0" fontId="56" fillId="0" borderId="0" xfId="209" applyFont="1" applyBorder="1" applyAlignment="1">
      <alignment vertical="center" wrapText="1"/>
    </xf>
    <xf numFmtId="0" fontId="1" fillId="0" borderId="0" xfId="209" applyAlignment="1">
      <alignment vertical="center" wrapText="1"/>
    </xf>
    <xf numFmtId="0" fontId="56" fillId="0" borderId="0" xfId="209" applyFont="1">
      <alignment vertical="center"/>
    </xf>
    <xf numFmtId="0" fontId="1" fillId="0" borderId="0" xfId="209" applyBorder="1" applyAlignment="1">
      <alignment vertical="center" wrapText="1"/>
    </xf>
    <xf numFmtId="0" fontId="48" fillId="0" borderId="78" xfId="209" applyFont="1" applyBorder="1" applyAlignment="1">
      <alignment vertical="center" wrapText="1"/>
    </xf>
    <xf numFmtId="0" fontId="71" fillId="2" borderId="22" xfId="209" applyNumberFormat="1" applyFont="1" applyFill="1" applyBorder="1" applyAlignment="1" applyProtection="1">
      <alignment horizontal="center" vertical="center" wrapText="1"/>
    </xf>
    <xf numFmtId="0" fontId="46" fillId="2" borderId="22" xfId="209" applyNumberFormat="1" applyFont="1" applyFill="1" applyBorder="1" applyAlignment="1" applyProtection="1">
      <alignment horizontal="center" vertical="center"/>
    </xf>
    <xf numFmtId="0" fontId="71" fillId="2" borderId="74" xfId="209" applyNumberFormat="1" applyFont="1" applyFill="1" applyBorder="1" applyAlignment="1" applyProtection="1">
      <alignment horizontal="center" vertical="center" wrapText="1"/>
    </xf>
    <xf numFmtId="0" fontId="48" fillId="0" borderId="54" xfId="209" applyFont="1" applyBorder="1" applyAlignment="1">
      <alignment horizontal="center" vertical="center" wrapText="1"/>
    </xf>
    <xf numFmtId="0" fontId="58" fillId="3" borderId="1" xfId="209" applyFont="1" applyFill="1" applyBorder="1" applyAlignment="1">
      <alignment horizontal="center" vertical="center" wrapText="1"/>
    </xf>
    <xf numFmtId="0" fontId="58" fillId="0" borderId="1" xfId="209" applyFont="1" applyBorder="1" applyAlignment="1">
      <alignment horizontal="center" vertical="center" wrapText="1"/>
    </xf>
    <xf numFmtId="0" fontId="46" fillId="0" borderId="1" xfId="209" applyFont="1" applyBorder="1" applyAlignment="1">
      <alignment horizontal="center" vertical="center"/>
    </xf>
    <xf numFmtId="0" fontId="58" fillId="0" borderId="53" xfId="209" applyFont="1" applyBorder="1" applyAlignment="1">
      <alignment horizontal="center" vertical="center" wrapText="1"/>
    </xf>
    <xf numFmtId="0" fontId="58" fillId="0" borderId="1" xfId="209" applyFont="1" applyBorder="1" applyAlignment="1">
      <alignment horizontal="center" vertical="center"/>
    </xf>
    <xf numFmtId="0" fontId="48" fillId="0" borderId="1" xfId="209" applyFont="1" applyBorder="1" applyAlignment="1">
      <alignment horizontal="center" vertical="center" wrapText="1"/>
    </xf>
    <xf numFmtId="0" fontId="46" fillId="0" borderId="1" xfId="209" applyFont="1" applyFill="1" applyBorder="1" applyAlignment="1">
      <alignment horizontal="center" vertical="center"/>
    </xf>
    <xf numFmtId="0" fontId="58" fillId="0" borderId="53" xfId="209" applyFont="1" applyBorder="1" applyAlignment="1">
      <alignment horizontal="center" vertical="center"/>
    </xf>
    <xf numFmtId="0" fontId="58" fillId="3" borderId="1" xfId="209" applyFont="1" applyFill="1" applyBorder="1" applyAlignment="1">
      <alignment horizontal="center" vertical="center"/>
    </xf>
    <xf numFmtId="0" fontId="58" fillId="0" borderId="1" xfId="209" applyFont="1" applyBorder="1">
      <alignment vertical="center"/>
    </xf>
    <xf numFmtId="0" fontId="48" fillId="0" borderId="55" xfId="209" applyFont="1" applyBorder="1" applyAlignment="1">
      <alignment horizontal="center" vertical="center" wrapText="1"/>
    </xf>
    <xf numFmtId="0" fontId="48" fillId="0" borderId="23" xfId="209" applyFont="1" applyBorder="1">
      <alignment vertical="center"/>
    </xf>
    <xf numFmtId="0" fontId="48" fillId="0" borderId="23" xfId="209" applyFont="1" applyFill="1" applyBorder="1" applyAlignment="1">
      <alignment horizontal="center" vertical="center"/>
    </xf>
    <xf numFmtId="0" fontId="46" fillId="0" borderId="23" xfId="209" applyFont="1" applyBorder="1">
      <alignment vertical="center"/>
    </xf>
    <xf numFmtId="0" fontId="48" fillId="0" borderId="57" xfId="209" applyFont="1" applyFill="1" applyBorder="1">
      <alignment vertical="center"/>
    </xf>
    <xf numFmtId="0" fontId="1" fillId="0" borderId="0" xfId="209" applyBorder="1" applyAlignment="1">
      <alignment horizontal="center" vertical="center"/>
    </xf>
    <xf numFmtId="49" fontId="73" fillId="0" borderId="0" xfId="209" applyNumberFormat="1" applyFont="1" applyBorder="1" applyAlignment="1">
      <alignment vertical="top" wrapText="1"/>
    </xf>
    <xf numFmtId="0" fontId="58" fillId="0" borderId="0" xfId="209" applyFont="1" applyBorder="1" applyAlignment="1">
      <alignment horizontal="center" vertical="center" wrapText="1"/>
    </xf>
    <xf numFmtId="0" fontId="58" fillId="0" borderId="0" xfId="209" applyFont="1" applyBorder="1" applyAlignment="1">
      <alignment horizontal="center" vertical="center"/>
    </xf>
    <xf numFmtId="0" fontId="58" fillId="0" borderId="0" xfId="209" applyFont="1" applyBorder="1">
      <alignment vertical="center"/>
    </xf>
    <xf numFmtId="0" fontId="1" fillId="0" borderId="0" xfId="206" applyAlignment="1">
      <alignment horizontal="center" vertical="center" wrapText="1"/>
    </xf>
    <xf numFmtId="0" fontId="1" fillId="0" borderId="0" xfId="206">
      <alignment vertical="center"/>
    </xf>
    <xf numFmtId="0" fontId="43" fillId="2" borderId="1" xfId="206" applyNumberFormat="1" applyFont="1" applyFill="1" applyBorder="1" applyAlignment="1" applyProtection="1">
      <alignment horizontal="center" vertical="center" wrapText="1"/>
    </xf>
    <xf numFmtId="0" fontId="39" fillId="2" borderId="2" xfId="206" applyNumberFormat="1" applyFont="1" applyFill="1" applyBorder="1" applyAlignment="1" applyProtection="1">
      <alignment horizontal="left" vertical="center" wrapText="1"/>
    </xf>
    <xf numFmtId="0" fontId="44" fillId="2" borderId="1" xfId="206" applyNumberFormat="1" applyFont="1" applyFill="1" applyBorder="1" applyAlignment="1" applyProtection="1">
      <alignment horizontal="center" vertical="center"/>
    </xf>
    <xf numFmtId="0" fontId="106" fillId="7" borderId="1" xfId="2" applyFont="1" applyFill="1" applyBorder="1" applyAlignment="1">
      <alignment horizontal="center" vertical="center" wrapText="1"/>
    </xf>
    <xf numFmtId="0" fontId="106" fillId="0" borderId="1" xfId="2" applyFont="1" applyFill="1" applyBorder="1" applyAlignment="1">
      <alignment horizontal="center" vertical="center" wrapText="1"/>
    </xf>
    <xf numFmtId="0" fontId="50" fillId="0" borderId="3" xfId="206" applyFont="1" applyBorder="1" applyAlignment="1">
      <alignment vertical="center"/>
    </xf>
    <xf numFmtId="0" fontId="49" fillId="3" borderId="1" xfId="206" applyNumberFormat="1" applyFont="1" applyFill="1" applyBorder="1" applyAlignment="1" applyProtection="1">
      <alignment horizontal="center" vertical="center" wrapText="1"/>
    </xf>
    <xf numFmtId="0" fontId="50" fillId="0" borderId="0" xfId="206" applyFont="1" applyBorder="1" applyAlignment="1">
      <alignment vertical="center"/>
    </xf>
    <xf numFmtId="0" fontId="69" fillId="5" borderId="1" xfId="206" applyNumberFormat="1" applyFont="1" applyFill="1" applyBorder="1" applyAlignment="1" applyProtection="1">
      <alignment horizontal="center" vertical="center" wrapText="1"/>
    </xf>
    <xf numFmtId="0" fontId="106" fillId="5" borderId="1" xfId="2" applyFont="1" applyFill="1" applyBorder="1" applyAlignment="1">
      <alignment horizontal="center" vertical="center" wrapText="1"/>
    </xf>
    <xf numFmtId="0" fontId="82" fillId="8" borderId="1" xfId="206" applyNumberFormat="1" applyFont="1" applyFill="1" applyBorder="1" applyAlignment="1" applyProtection="1">
      <alignment horizontal="center" vertical="center" wrapText="1"/>
    </xf>
    <xf numFmtId="0" fontId="71" fillId="0" borderId="1" xfId="206" applyFont="1" applyFill="1" applyBorder="1" applyAlignment="1">
      <alignment horizontal="center" vertical="center"/>
    </xf>
    <xf numFmtId="0" fontId="52" fillId="0" borderId="1" xfId="206" applyFont="1" applyFill="1" applyBorder="1" applyAlignment="1">
      <alignment horizontal="center" vertical="center" wrapText="1"/>
    </xf>
    <xf numFmtId="0" fontId="48" fillId="4" borderId="1" xfId="2" applyNumberFormat="1" applyFont="1" applyFill="1" applyBorder="1" applyAlignment="1" applyProtection="1">
      <alignment horizontal="center" vertical="center" wrapText="1"/>
    </xf>
    <xf numFmtId="0" fontId="46" fillId="4" borderId="1" xfId="2" applyNumberFormat="1" applyFont="1" applyFill="1" applyBorder="1" applyAlignment="1" applyProtection="1">
      <alignment horizontal="center" vertical="center" wrapText="1"/>
    </xf>
    <xf numFmtId="0" fontId="47" fillId="0" borderId="1" xfId="206" applyNumberFormat="1" applyFont="1" applyFill="1" applyBorder="1" applyAlignment="1" applyProtection="1">
      <alignment horizontal="center" vertical="center" wrapText="1"/>
    </xf>
    <xf numFmtId="0" fontId="85" fillId="0" borderId="0" xfId="206" applyFont="1" applyFill="1" applyBorder="1" applyAlignment="1">
      <alignment horizontal="center" vertical="center" wrapText="1"/>
    </xf>
    <xf numFmtId="0" fontId="1" fillId="0" borderId="0" xfId="206" applyFill="1">
      <alignment vertical="center"/>
    </xf>
    <xf numFmtId="0" fontId="48" fillId="0" borderId="1" xfId="206" applyFont="1" applyBorder="1" applyAlignment="1">
      <alignment horizontal="center" vertical="center"/>
    </xf>
    <xf numFmtId="0" fontId="1" fillId="0" borderId="1" xfId="206" applyBorder="1">
      <alignment vertical="center"/>
    </xf>
    <xf numFmtId="0" fontId="49" fillId="7" borderId="1" xfId="206" applyNumberFormat="1" applyFont="1" applyFill="1" applyBorder="1" applyAlignment="1" applyProtection="1">
      <alignment horizontal="center" vertical="center" wrapText="1"/>
    </xf>
    <xf numFmtId="0" fontId="50" fillId="0" borderId="0" xfId="206" applyFont="1" applyFill="1" applyBorder="1" applyAlignment="1">
      <alignment vertical="center"/>
    </xf>
    <xf numFmtId="0" fontId="43" fillId="2" borderId="1" xfId="206" applyNumberFormat="1" applyFont="1" applyFill="1" applyBorder="1" applyAlignment="1" applyProtection="1">
      <alignment horizontal="center" vertical="center"/>
    </xf>
    <xf numFmtId="0" fontId="55" fillId="2" borderId="1" xfId="206" applyNumberFormat="1" applyFont="1" applyFill="1" applyBorder="1" applyAlignment="1" applyProtection="1">
      <alignment horizontal="center" vertical="center"/>
    </xf>
    <xf numFmtId="0" fontId="69" fillId="3" borderId="1" xfId="2" applyFont="1" applyFill="1" applyBorder="1" applyAlignment="1">
      <alignment horizontal="center" vertical="center" wrapText="1"/>
    </xf>
    <xf numFmtId="0" fontId="47" fillId="4" borderId="1" xfId="2" applyFont="1" applyFill="1" applyBorder="1" applyAlignment="1">
      <alignment horizontal="center" vertical="center" wrapText="1"/>
    </xf>
    <xf numFmtId="0" fontId="1" fillId="0" borderId="0" xfId="206" applyAlignment="1">
      <alignment horizontal="center" vertical="center"/>
    </xf>
    <xf numFmtId="0" fontId="1" fillId="0" borderId="0" xfId="206" applyAlignment="1">
      <alignment vertical="center" wrapText="1"/>
    </xf>
    <xf numFmtId="0" fontId="56" fillId="0" borderId="0" xfId="206" applyFont="1">
      <alignment vertical="center"/>
    </xf>
    <xf numFmtId="0" fontId="41" fillId="0" borderId="3" xfId="211" applyNumberFormat="1" applyFont="1" applyFill="1" applyBorder="1" applyAlignment="1" applyProtection="1">
      <alignment horizontal="center" vertical="center"/>
    </xf>
    <xf numFmtId="0" fontId="1" fillId="0" borderId="0" xfId="213">
      <alignment vertical="center"/>
    </xf>
    <xf numFmtId="0" fontId="1" fillId="0" borderId="0" xfId="213" applyAlignment="1">
      <alignment vertical="center"/>
    </xf>
    <xf numFmtId="0" fontId="1" fillId="0" borderId="0" xfId="213" applyAlignment="1">
      <alignment vertical="top"/>
    </xf>
    <xf numFmtId="0" fontId="41" fillId="0" borderId="0" xfId="211" applyNumberFormat="1" applyFont="1" applyFill="1" applyBorder="1" applyAlignment="1" applyProtection="1">
      <alignment horizontal="center" vertical="center"/>
    </xf>
    <xf numFmtId="0" fontId="39" fillId="2" borderId="1" xfId="213" applyNumberFormat="1" applyFont="1" applyFill="1" applyBorder="1" applyAlignment="1" applyProtection="1">
      <alignment horizontal="center" vertical="center"/>
    </xf>
    <xf numFmtId="0" fontId="39" fillId="2" borderId="1" xfId="213" applyNumberFormat="1" applyFont="1" applyFill="1" applyBorder="1" applyAlignment="1" applyProtection="1">
      <alignment horizontal="left" vertical="center" wrapText="1"/>
    </xf>
    <xf numFmtId="0" fontId="39" fillId="2" borderId="1" xfId="213" applyNumberFormat="1" applyFont="1" applyFill="1" applyBorder="1" applyAlignment="1" applyProtection="1">
      <alignment horizontal="center" vertical="center" wrapText="1"/>
    </xf>
    <xf numFmtId="0" fontId="39" fillId="2" borderId="12" xfId="213" applyNumberFormat="1" applyFont="1" applyFill="1" applyBorder="1" applyAlignment="1" applyProtection="1">
      <alignment horizontal="center" vertical="center" wrapText="1"/>
    </xf>
    <xf numFmtId="0" fontId="44" fillId="2" borderId="12" xfId="213" applyNumberFormat="1" applyFont="1" applyFill="1" applyBorder="1" applyAlignment="1" applyProtection="1">
      <alignment horizontal="center" vertical="center"/>
    </xf>
    <xf numFmtId="0" fontId="71" fillId="0" borderId="13" xfId="213" applyFont="1" applyFill="1" applyBorder="1" applyAlignment="1">
      <alignment horizontal="center" vertical="center"/>
    </xf>
    <xf numFmtId="0" fontId="47" fillId="0" borderId="1" xfId="213" applyFont="1" applyFill="1" applyBorder="1" applyAlignment="1">
      <alignment horizontal="center" vertical="center" wrapText="1"/>
    </xf>
    <xf numFmtId="0" fontId="46" fillId="0" borderId="1" xfId="213" applyNumberFormat="1" applyFont="1" applyFill="1" applyBorder="1" applyAlignment="1" applyProtection="1">
      <alignment horizontal="center" vertical="center" wrapText="1"/>
    </xf>
    <xf numFmtId="0" fontId="46" fillId="0" borderId="12" xfId="213" applyNumberFormat="1" applyFont="1" applyFill="1" applyBorder="1" applyAlignment="1" applyProtection="1">
      <alignment horizontal="center" vertical="center" wrapText="1"/>
    </xf>
    <xf numFmtId="0" fontId="46" fillId="0" borderId="13" xfId="213" applyNumberFormat="1" applyFont="1" applyFill="1" applyBorder="1" applyAlignment="1" applyProtection="1">
      <alignment horizontal="center" vertical="center" wrapText="1"/>
    </xf>
    <xf numFmtId="0" fontId="46" fillId="0" borderId="13" xfId="213" applyFont="1" applyFill="1" applyBorder="1" applyAlignment="1">
      <alignment horizontal="center" vertical="center"/>
    </xf>
    <xf numFmtId="0" fontId="46" fillId="0" borderId="13" xfId="213" applyFont="1" applyFill="1" applyBorder="1" applyAlignment="1">
      <alignment horizontal="center" vertical="center" wrapText="1"/>
    </xf>
    <xf numFmtId="0" fontId="48" fillId="0" borderId="1" xfId="213" applyFont="1" applyFill="1" applyBorder="1" applyAlignment="1">
      <alignment horizontal="center" vertical="center"/>
    </xf>
    <xf numFmtId="0" fontId="46" fillId="0" borderId="1" xfId="213" applyFont="1" applyFill="1" applyBorder="1" applyAlignment="1">
      <alignment horizontal="center" vertical="center" wrapText="1"/>
    </xf>
    <xf numFmtId="0" fontId="1" fillId="0" borderId="0" xfId="213" applyAlignment="1">
      <alignment horizontal="center" vertical="center"/>
    </xf>
    <xf numFmtId="0" fontId="1" fillId="0" borderId="0" xfId="213" applyFill="1">
      <alignment vertical="center"/>
    </xf>
    <xf numFmtId="0" fontId="1" fillId="0" borderId="0" xfId="213" applyFill="1" applyAlignment="1">
      <alignment vertical="top"/>
    </xf>
    <xf numFmtId="0" fontId="71" fillId="0" borderId="12" xfId="213" applyFont="1" applyFill="1" applyBorder="1" applyAlignment="1">
      <alignment horizontal="center" vertical="center"/>
    </xf>
    <xf numFmtId="0" fontId="52" fillId="0" borderId="13" xfId="213" applyNumberFormat="1" applyFont="1" applyFill="1" applyBorder="1" applyAlignment="1" applyProtection="1">
      <alignment horizontal="center" vertical="center" wrapText="1"/>
    </xf>
    <xf numFmtId="0" fontId="69" fillId="0" borderId="1" xfId="213" applyNumberFormat="1" applyFont="1" applyFill="1" applyBorder="1" applyAlignment="1" applyProtection="1">
      <alignment horizontal="center" vertical="center" wrapText="1"/>
    </xf>
    <xf numFmtId="0" fontId="46" fillId="4" borderId="1" xfId="213" applyNumberFormat="1" applyFont="1" applyFill="1" applyBorder="1" applyAlignment="1" applyProtection="1">
      <alignment horizontal="center" vertical="center" wrapText="1"/>
    </xf>
    <xf numFmtId="0" fontId="47" fillId="0" borderId="12" xfId="213" applyNumberFormat="1" applyFont="1" applyFill="1" applyBorder="1" applyAlignment="1" applyProtection="1">
      <alignment horizontal="center" vertical="center" wrapText="1"/>
    </xf>
    <xf numFmtId="0" fontId="46" fillId="0" borderId="1" xfId="213" applyFont="1" applyFill="1" applyBorder="1" applyAlignment="1">
      <alignment horizontal="center" vertical="center"/>
    </xf>
    <xf numFmtId="0" fontId="46" fillId="0" borderId="18" xfId="213" applyFont="1" applyFill="1" applyBorder="1" applyAlignment="1">
      <alignment horizontal="center" vertical="center" wrapText="1"/>
    </xf>
    <xf numFmtId="0" fontId="47" fillId="0" borderId="1" xfId="213" applyNumberFormat="1" applyFont="1" applyFill="1" applyBorder="1" applyAlignment="1" applyProtection="1">
      <alignment horizontal="center" vertical="center" wrapText="1"/>
    </xf>
    <xf numFmtId="0" fontId="48" fillId="0" borderId="0" xfId="213" applyFont="1" applyFill="1" applyAlignment="1">
      <alignment horizontal="center" vertical="center"/>
    </xf>
    <xf numFmtId="0" fontId="46" fillId="0" borderId="40" xfId="213" applyFont="1" applyFill="1" applyBorder="1" applyAlignment="1">
      <alignment horizontal="center" vertical="center" wrapText="1"/>
    </xf>
    <xf numFmtId="0" fontId="46" fillId="0" borderId="12" xfId="213" applyFont="1" applyFill="1" applyBorder="1" applyAlignment="1">
      <alignment horizontal="center" vertical="center" wrapText="1"/>
    </xf>
    <xf numFmtId="0" fontId="46" fillId="0" borderId="40" xfId="213" applyNumberFormat="1" applyFont="1" applyFill="1" applyBorder="1" applyAlignment="1" applyProtection="1">
      <alignment horizontal="center" vertical="center" wrapText="1"/>
    </xf>
    <xf numFmtId="0" fontId="71" fillId="0" borderId="43" xfId="213" applyFont="1" applyFill="1" applyBorder="1" applyAlignment="1">
      <alignment horizontal="center" vertical="center"/>
    </xf>
    <xf numFmtId="0" fontId="52" fillId="0" borderId="43" xfId="213" applyNumberFormat="1" applyFont="1" applyFill="1" applyBorder="1" applyAlignment="1" applyProtection="1">
      <alignment horizontal="center" vertical="center" wrapText="1"/>
    </xf>
    <xf numFmtId="0" fontId="84" fillId="0" borderId="43" xfId="213" applyNumberFormat="1" applyFont="1" applyFill="1" applyBorder="1" applyAlignment="1" applyProtection="1">
      <alignment horizontal="center" vertical="center" wrapText="1"/>
    </xf>
    <xf numFmtId="0" fontId="46" fillId="0" borderId="43" xfId="213" applyNumberFormat="1" applyFont="1" applyFill="1" applyBorder="1" applyAlignment="1" applyProtection="1">
      <alignment horizontal="center" vertical="center" wrapText="1"/>
    </xf>
    <xf numFmtId="0" fontId="69" fillId="0" borderId="18" xfId="213" applyFont="1" applyFill="1" applyBorder="1" applyAlignment="1">
      <alignment horizontal="center" vertical="center" wrapText="1"/>
    </xf>
    <xf numFmtId="0" fontId="46" fillId="0" borderId="43" xfId="213" applyFont="1" applyFill="1" applyBorder="1" applyAlignment="1">
      <alignment horizontal="center" vertical="center"/>
    </xf>
    <xf numFmtId="0" fontId="84" fillId="0" borderId="1" xfId="213" applyNumberFormat="1" applyFont="1" applyFill="1" applyBorder="1" applyAlignment="1" applyProtection="1">
      <alignment horizontal="center" vertical="center" wrapText="1"/>
    </xf>
    <xf numFmtId="0" fontId="47" fillId="5" borderId="1" xfId="213" applyNumberFormat="1" applyFont="1" applyFill="1" applyBorder="1" applyAlignment="1" applyProtection="1">
      <alignment horizontal="center" vertical="center" wrapText="1"/>
    </xf>
    <xf numFmtId="0" fontId="47" fillId="5" borderId="18" xfId="213" applyNumberFormat="1" applyFont="1" applyFill="1" applyBorder="1" applyAlignment="1" applyProtection="1">
      <alignment horizontal="center" vertical="center" wrapText="1"/>
    </xf>
    <xf numFmtId="0" fontId="69" fillId="5" borderId="13" xfId="213" applyFont="1" applyFill="1" applyBorder="1" applyAlignment="1">
      <alignment horizontal="center" vertical="center" wrapText="1"/>
    </xf>
    <xf numFmtId="0" fontId="69" fillId="5" borderId="13" xfId="213" applyNumberFormat="1" applyFont="1" applyFill="1" applyBorder="1" applyAlignment="1" applyProtection="1">
      <alignment horizontal="center" vertical="center" wrapText="1"/>
    </xf>
    <xf numFmtId="0" fontId="71" fillId="0" borderId="1" xfId="213" applyFont="1" applyFill="1" applyBorder="1" applyAlignment="1">
      <alignment horizontal="center" vertical="center"/>
    </xf>
    <xf numFmtId="0" fontId="47" fillId="0" borderId="12" xfId="2" applyNumberFormat="1" applyFont="1" applyFill="1" applyBorder="1" applyAlignment="1" applyProtection="1">
      <alignment horizontal="center" vertical="center" wrapText="1"/>
    </xf>
    <xf numFmtId="0" fontId="84" fillId="0" borderId="12" xfId="213" applyNumberFormat="1" applyFont="1" applyFill="1" applyBorder="1" applyAlignment="1" applyProtection="1">
      <alignment horizontal="center" vertical="center" wrapText="1"/>
    </xf>
    <xf numFmtId="0" fontId="46" fillId="0" borderId="12" xfId="213" applyFont="1" applyFill="1" applyBorder="1" applyAlignment="1">
      <alignment horizontal="center" vertical="center"/>
    </xf>
    <xf numFmtId="0" fontId="48" fillId="0" borderId="12" xfId="213" applyNumberFormat="1" applyFont="1" applyFill="1" applyBorder="1" applyAlignment="1" applyProtection="1">
      <alignment horizontal="center" vertical="center" wrapText="1"/>
    </xf>
    <xf numFmtId="0" fontId="71" fillId="0" borderId="18" xfId="213" applyFont="1" applyFill="1" applyBorder="1" applyAlignment="1">
      <alignment horizontal="center" vertical="center"/>
    </xf>
    <xf numFmtId="0" fontId="48" fillId="0" borderId="18" xfId="213" applyFont="1" applyFill="1" applyBorder="1" applyAlignment="1">
      <alignment horizontal="center" vertical="center"/>
    </xf>
    <xf numFmtId="0" fontId="48" fillId="0" borderId="1" xfId="213" applyNumberFormat="1" applyFont="1" applyFill="1" applyBorder="1" applyAlignment="1" applyProtection="1">
      <alignment horizontal="center" vertical="center" wrapText="1"/>
    </xf>
    <xf numFmtId="0" fontId="46" fillId="0" borderId="18" xfId="213" applyNumberFormat="1" applyFont="1" applyFill="1" applyBorder="1" applyAlignment="1" applyProtection="1">
      <alignment horizontal="center" vertical="center" wrapText="1"/>
    </xf>
    <xf numFmtId="0" fontId="48" fillId="0" borderId="4" xfId="213" applyFont="1" applyFill="1" applyBorder="1" applyAlignment="1">
      <alignment horizontal="center" vertical="center"/>
    </xf>
    <xf numFmtId="0" fontId="52" fillId="0" borderId="1" xfId="213" applyNumberFormat="1" applyFont="1" applyFill="1" applyBorder="1" applyAlignment="1" applyProtection="1">
      <alignment horizontal="center" vertical="center" wrapText="1"/>
    </xf>
    <xf numFmtId="0" fontId="46" fillId="4" borderId="1" xfId="213" applyFont="1" applyFill="1" applyBorder="1" applyAlignment="1">
      <alignment horizontal="center" vertical="center" wrapText="1"/>
    </xf>
    <xf numFmtId="0" fontId="71" fillId="0" borderId="40" xfId="213" applyFont="1" applyFill="1" applyBorder="1" applyAlignment="1">
      <alignment horizontal="center" vertical="center"/>
    </xf>
    <xf numFmtId="0" fontId="52" fillId="0" borderId="40" xfId="213" applyNumberFormat="1" applyFont="1" applyFill="1" applyBorder="1" applyAlignment="1" applyProtection="1">
      <alignment horizontal="center" vertical="center" wrapText="1"/>
    </xf>
    <xf numFmtId="0" fontId="46" fillId="0" borderId="40" xfId="213" applyFont="1" applyFill="1" applyBorder="1" applyAlignment="1">
      <alignment horizontal="center" vertical="center"/>
    </xf>
    <xf numFmtId="0" fontId="76" fillId="0" borderId="40" xfId="213" applyNumberFormat="1" applyFont="1" applyFill="1" applyBorder="1" applyAlignment="1" applyProtection="1">
      <alignment horizontal="center" vertical="center" wrapText="1"/>
    </xf>
    <xf numFmtId="0" fontId="69" fillId="0" borderId="40" xfId="213" applyNumberFormat="1" applyFont="1" applyFill="1" applyBorder="1" applyAlignment="1" applyProtection="1">
      <alignment horizontal="center" vertical="center" wrapText="1"/>
    </xf>
    <xf numFmtId="0" fontId="46" fillId="0" borderId="46" xfId="213" applyNumberFormat="1" applyFont="1" applyFill="1" applyBorder="1" applyAlignment="1" applyProtection="1">
      <alignment horizontal="center" vertical="center" wrapText="1"/>
    </xf>
    <xf numFmtId="0" fontId="47" fillId="0" borderId="13" xfId="213" applyNumberFormat="1" applyFont="1" applyFill="1" applyBorder="1" applyAlignment="1" applyProtection="1">
      <alignment horizontal="center" vertical="center" wrapText="1"/>
    </xf>
    <xf numFmtId="0" fontId="46" fillId="4" borderId="13" xfId="213" applyNumberFormat="1" applyFont="1" applyFill="1" applyBorder="1" applyAlignment="1" applyProtection="1">
      <alignment horizontal="center" vertical="center" wrapText="1"/>
    </xf>
    <xf numFmtId="0" fontId="71" fillId="0" borderId="12" xfId="213" applyNumberFormat="1" applyFont="1" applyFill="1" applyBorder="1" applyAlignment="1" applyProtection="1">
      <alignment horizontal="center" vertical="center" wrapText="1"/>
    </xf>
    <xf numFmtId="0" fontId="46" fillId="6" borderId="1" xfId="213" applyNumberFormat="1" applyFont="1" applyFill="1" applyBorder="1" applyAlignment="1" applyProtection="1">
      <alignment horizontal="center" vertical="center" wrapText="1"/>
    </xf>
    <xf numFmtId="0" fontId="46" fillId="6" borderId="12" xfId="213" applyNumberFormat="1" applyFont="1" applyFill="1" applyBorder="1" applyAlignment="1" applyProtection="1">
      <alignment horizontal="center" vertical="center" wrapText="1"/>
    </xf>
    <xf numFmtId="0" fontId="47" fillId="0" borderId="40" xfId="213" applyFont="1" applyFill="1" applyBorder="1" applyAlignment="1">
      <alignment horizontal="center" vertical="center" wrapText="1"/>
    </xf>
    <xf numFmtId="0" fontId="82" fillId="8" borderId="40" xfId="213" applyFont="1" applyFill="1" applyBorder="1" applyAlignment="1">
      <alignment horizontal="center" vertical="center"/>
    </xf>
    <xf numFmtId="0" fontId="46" fillId="4" borderId="40" xfId="213" applyNumberFormat="1" applyFont="1" applyFill="1" applyBorder="1" applyAlignment="1" applyProtection="1">
      <alignment horizontal="center" vertical="center" wrapText="1"/>
    </xf>
    <xf numFmtId="0" fontId="46" fillId="6" borderId="18" xfId="213" applyNumberFormat="1" applyFont="1" applyFill="1" applyBorder="1" applyAlignment="1" applyProtection="1">
      <alignment horizontal="center" vertical="center" wrapText="1"/>
    </xf>
    <xf numFmtId="0" fontId="82" fillId="8" borderId="39" xfId="213" applyFont="1" applyFill="1" applyBorder="1" applyAlignment="1">
      <alignment horizontal="center" vertical="center" wrapText="1"/>
    </xf>
    <xf numFmtId="0" fontId="46" fillId="0" borderId="20" xfId="213" applyFont="1" applyFill="1" applyBorder="1" applyAlignment="1">
      <alignment horizontal="center" vertical="center" wrapText="1"/>
    </xf>
    <xf numFmtId="0" fontId="46" fillId="0" borderId="43" xfId="213" applyFont="1" applyFill="1" applyBorder="1" applyAlignment="1">
      <alignment horizontal="center" vertical="center" wrapText="1"/>
    </xf>
    <xf numFmtId="0" fontId="90" fillId="0" borderId="1" xfId="213" applyFont="1" applyFill="1" applyBorder="1" applyAlignment="1">
      <alignment horizontal="center" vertical="center" wrapText="1"/>
    </xf>
    <xf numFmtId="0" fontId="46" fillId="4" borderId="1" xfId="213" applyFont="1" applyFill="1" applyBorder="1" applyAlignment="1">
      <alignment horizontal="center" vertical="center"/>
    </xf>
    <xf numFmtId="17" fontId="1" fillId="0" borderId="0" xfId="213" applyNumberFormat="1" applyAlignment="1">
      <alignment vertical="top"/>
    </xf>
    <xf numFmtId="0" fontId="90" fillId="0" borderId="12" xfId="213" applyFont="1" applyFill="1" applyBorder="1" applyAlignment="1">
      <alignment horizontal="center" vertical="center" wrapText="1"/>
    </xf>
    <xf numFmtId="0" fontId="48" fillId="0" borderId="40" xfId="213" applyFont="1" applyFill="1" applyBorder="1" applyAlignment="1">
      <alignment horizontal="center" vertical="center"/>
    </xf>
    <xf numFmtId="0" fontId="91" fillId="0" borderId="43" xfId="213" applyNumberFormat="1" applyFont="1" applyFill="1" applyBorder="1" applyAlignment="1" applyProtection="1">
      <alignment horizontal="center" vertical="center"/>
    </xf>
    <xf numFmtId="0" fontId="52" fillId="0" borderId="43" xfId="213" applyFont="1" applyFill="1" applyBorder="1" applyAlignment="1">
      <alignment horizontal="center" vertical="center" wrapText="1"/>
    </xf>
    <xf numFmtId="0" fontId="47" fillId="0" borderId="43" xfId="213" applyFont="1" applyFill="1" applyBorder="1" applyAlignment="1">
      <alignment horizontal="center" vertical="center" wrapText="1"/>
    </xf>
    <xf numFmtId="0" fontId="71" fillId="0" borderId="40" xfId="213" applyNumberFormat="1" applyFont="1" applyFill="1" applyBorder="1" applyAlignment="1" applyProtection="1">
      <alignment horizontal="center" vertical="center"/>
    </xf>
    <xf numFmtId="0" fontId="52" fillId="5" borderId="40" xfId="213" applyFont="1" applyFill="1" applyBorder="1" applyAlignment="1">
      <alignment horizontal="center" vertical="center" wrapText="1"/>
    </xf>
    <xf numFmtId="0" fontId="76" fillId="0" borderId="40" xfId="213" applyFont="1" applyFill="1" applyBorder="1" applyAlignment="1">
      <alignment horizontal="center" vertical="center" wrapText="1"/>
    </xf>
    <xf numFmtId="0" fontId="75" fillId="0" borderId="0" xfId="213" applyFont="1">
      <alignment vertical="center"/>
    </xf>
    <xf numFmtId="0" fontId="75" fillId="0" borderId="0" xfId="213" applyFont="1" applyAlignment="1">
      <alignment vertical="top"/>
    </xf>
    <xf numFmtId="0" fontId="71" fillId="0" borderId="18" xfId="213" applyNumberFormat="1" applyFont="1" applyFill="1" applyBorder="1" applyAlignment="1" applyProtection="1">
      <alignment horizontal="center" vertical="center"/>
    </xf>
    <xf numFmtId="0" fontId="52" fillId="0" borderId="18" xfId="213" applyFont="1" applyFill="1" applyBorder="1" applyAlignment="1">
      <alignment horizontal="center" vertical="center" wrapText="1"/>
    </xf>
    <xf numFmtId="0" fontId="52" fillId="0" borderId="3" xfId="213" applyFont="1" applyFill="1" applyBorder="1" applyAlignment="1">
      <alignment horizontal="center" vertical="center" wrapText="1"/>
    </xf>
    <xf numFmtId="0" fontId="52" fillId="0" borderId="19" xfId="213" applyFont="1" applyFill="1" applyBorder="1" applyAlignment="1">
      <alignment horizontal="center" vertical="center" wrapText="1"/>
    </xf>
    <xf numFmtId="0" fontId="46" fillId="0" borderId="64" xfId="213" applyNumberFormat="1" applyFont="1" applyFill="1" applyBorder="1" applyAlignment="1" applyProtection="1">
      <alignment horizontal="center" vertical="center" wrapText="1"/>
    </xf>
    <xf numFmtId="0" fontId="46" fillId="0" borderId="64" xfId="213" applyFont="1" applyFill="1" applyBorder="1" applyAlignment="1">
      <alignment horizontal="center" vertical="center" wrapText="1"/>
    </xf>
    <xf numFmtId="0" fontId="46" fillId="0" borderId="64" xfId="213" applyFont="1" applyFill="1" applyBorder="1" applyAlignment="1">
      <alignment horizontal="center" vertical="center"/>
    </xf>
    <xf numFmtId="0" fontId="76" fillId="0" borderId="64" xfId="213" applyFont="1" applyFill="1" applyBorder="1" applyAlignment="1">
      <alignment horizontal="center" vertical="center" wrapText="1"/>
    </xf>
    <xf numFmtId="0" fontId="48" fillId="0" borderId="13" xfId="213" applyNumberFormat="1" applyFont="1" applyFill="1" applyBorder="1" applyAlignment="1" applyProtection="1">
      <alignment horizontal="center" vertical="center" wrapText="1"/>
    </xf>
    <xf numFmtId="0" fontId="46" fillId="4" borderId="13" xfId="213" applyFont="1" applyFill="1" applyBorder="1" applyAlignment="1">
      <alignment horizontal="center" vertical="center" wrapText="1"/>
    </xf>
    <xf numFmtId="0" fontId="48" fillId="0" borderId="13" xfId="213" applyFont="1" applyFill="1" applyBorder="1" applyAlignment="1">
      <alignment horizontal="center" vertical="center" wrapText="1"/>
    </xf>
    <xf numFmtId="0" fontId="46" fillId="4" borderId="43" xfId="213" applyFont="1" applyFill="1" applyBorder="1" applyAlignment="1">
      <alignment horizontal="center" vertical="center" wrapText="1"/>
    </xf>
    <xf numFmtId="0" fontId="71" fillId="0" borderId="40" xfId="213" applyFont="1" applyBorder="1" applyAlignment="1">
      <alignment horizontal="center" vertical="center"/>
    </xf>
    <xf numFmtId="0" fontId="47" fillId="0" borderId="40" xfId="213" applyNumberFormat="1" applyFont="1" applyFill="1" applyBorder="1" applyAlignment="1" applyProtection="1">
      <alignment horizontal="center" vertical="center" wrapText="1"/>
    </xf>
    <xf numFmtId="0" fontId="46" fillId="4" borderId="12" xfId="213" applyNumberFormat="1" applyFont="1" applyFill="1" applyBorder="1" applyAlignment="1" applyProtection="1">
      <alignment horizontal="center" vertical="center" wrapText="1"/>
    </xf>
    <xf numFmtId="0" fontId="46" fillId="4" borderId="40" xfId="213" applyFont="1" applyFill="1" applyBorder="1" applyAlignment="1">
      <alignment horizontal="center" vertical="center" wrapText="1"/>
    </xf>
    <xf numFmtId="0" fontId="71" fillId="0" borderId="0" xfId="213" applyFont="1" applyFill="1" applyBorder="1" applyAlignment="1">
      <alignment horizontal="center" vertical="center"/>
    </xf>
    <xf numFmtId="0" fontId="52" fillId="0" borderId="19" xfId="213" applyNumberFormat="1" applyFont="1" applyFill="1" applyBorder="1" applyAlignment="1" applyProtection="1">
      <alignment horizontal="center" vertical="center" wrapText="1"/>
    </xf>
    <xf numFmtId="0" fontId="83" fillId="0" borderId="3" xfId="213" applyNumberFormat="1" applyFont="1" applyFill="1" applyBorder="1" applyAlignment="1" applyProtection="1">
      <alignment vertical="center" wrapText="1"/>
    </xf>
    <xf numFmtId="0" fontId="83" fillId="0" borderId="79" xfId="213" applyNumberFormat="1" applyFont="1" applyFill="1" applyBorder="1" applyAlignment="1" applyProtection="1">
      <alignment vertical="center" wrapText="1"/>
    </xf>
    <xf numFmtId="0" fontId="70" fillId="0" borderId="0" xfId="213" applyFont="1" applyFill="1" applyAlignment="1">
      <alignment vertical="center" wrapText="1"/>
    </xf>
    <xf numFmtId="0" fontId="1" fillId="0" borderId="0" xfId="213" applyFill="1" applyAlignment="1">
      <alignment vertical="center"/>
    </xf>
    <xf numFmtId="0" fontId="57" fillId="0" borderId="0" xfId="213" applyNumberFormat="1" applyFont="1" applyFill="1" applyBorder="1" applyAlignment="1" applyProtection="1">
      <alignment horizontal="center" vertical="center"/>
    </xf>
    <xf numFmtId="0" fontId="65" fillId="0" borderId="0" xfId="213" applyFont="1" applyFill="1" applyBorder="1" applyAlignment="1">
      <alignment horizontal="center" vertical="center" wrapText="1"/>
    </xf>
    <xf numFmtId="0" fontId="65" fillId="0" borderId="69" xfId="213" applyFont="1" applyFill="1" applyBorder="1" applyAlignment="1">
      <alignment horizontal="center" vertical="center" wrapText="1"/>
    </xf>
    <xf numFmtId="0" fontId="39" fillId="2" borderId="65" xfId="213" applyNumberFormat="1" applyFont="1" applyFill="1" applyBorder="1" applyAlignment="1" applyProtection="1">
      <alignment horizontal="center" vertical="center" wrapText="1"/>
    </xf>
    <xf numFmtId="0" fontId="44" fillId="2" borderId="26" xfId="213" applyNumberFormat="1" applyFont="1" applyFill="1" applyBorder="1" applyAlignment="1" applyProtection="1">
      <alignment horizontal="center" vertical="center" wrapText="1"/>
    </xf>
    <xf numFmtId="0" fontId="44" fillId="2" borderId="22" xfId="213" applyNumberFormat="1" applyFont="1" applyFill="1" applyBorder="1" applyAlignment="1" applyProtection="1">
      <alignment horizontal="center" vertical="center" wrapText="1"/>
    </xf>
    <xf numFmtId="0" fontId="44" fillId="2" borderId="22" xfId="213" applyNumberFormat="1" applyFont="1" applyFill="1" applyBorder="1" applyAlignment="1" applyProtection="1">
      <alignment horizontal="center" vertical="center"/>
    </xf>
    <xf numFmtId="0" fontId="44" fillId="2" borderId="74" xfId="213" applyNumberFormat="1" applyFont="1" applyFill="1" applyBorder="1" applyAlignment="1" applyProtection="1">
      <alignment horizontal="center" vertical="center" wrapText="1"/>
    </xf>
    <xf numFmtId="0" fontId="85" fillId="0" borderId="0" xfId="211" applyFont="1" applyFill="1" applyBorder="1" applyAlignment="1">
      <alignment horizontal="center" vertical="center" wrapText="1"/>
    </xf>
    <xf numFmtId="0" fontId="1" fillId="0" borderId="0" xfId="213" applyAlignment="1">
      <alignment vertical="center" wrapText="1"/>
    </xf>
    <xf numFmtId="0" fontId="46" fillId="0" borderId="1" xfId="213" applyFont="1" applyBorder="1" applyAlignment="1">
      <alignment horizontal="center" vertical="center" wrapText="1"/>
    </xf>
    <xf numFmtId="0" fontId="46" fillId="0" borderId="1" xfId="213" applyFont="1" applyBorder="1" applyAlignment="1">
      <alignment horizontal="center" vertical="center"/>
    </xf>
    <xf numFmtId="0" fontId="80" fillId="0" borderId="0" xfId="213" applyFont="1" applyFill="1" applyBorder="1" applyAlignment="1">
      <alignment horizontal="center" vertical="center" wrapText="1"/>
    </xf>
    <xf numFmtId="0" fontId="46" fillId="0" borderId="0" xfId="211" applyFont="1" applyFill="1" applyBorder="1" applyAlignment="1">
      <alignment horizontal="left" vertical="top" wrapText="1"/>
    </xf>
    <xf numFmtId="0" fontId="92" fillId="0" borderId="0" xfId="213" applyNumberFormat="1" applyFont="1" applyFill="1" applyBorder="1" applyAlignment="1" applyProtection="1">
      <alignment horizontal="center" vertical="center" wrapText="1"/>
    </xf>
    <xf numFmtId="0" fontId="46" fillId="3" borderId="54" xfId="213" applyFont="1" applyFill="1" applyBorder="1" applyAlignment="1">
      <alignment horizontal="center" vertical="center" wrapText="1"/>
    </xf>
    <xf numFmtId="0" fontId="56" fillId="0" borderId="0" xfId="213" applyFont="1">
      <alignment vertical="center"/>
    </xf>
    <xf numFmtId="0" fontId="57" fillId="0" borderId="0" xfId="211" applyNumberFormat="1" applyFont="1" applyFill="1" applyBorder="1" applyAlignment="1" applyProtection="1">
      <alignment horizontal="left" vertical="top" wrapText="1"/>
    </xf>
    <xf numFmtId="0" fontId="46" fillId="0" borderId="0" xfId="213" applyFont="1" applyAlignment="1">
      <alignment horizontal="center" vertical="center" wrapText="1"/>
    </xf>
    <xf numFmtId="0" fontId="70" fillId="0" borderId="0" xfId="213" applyFont="1" applyFill="1" applyAlignment="1">
      <alignment horizontal="center" vertical="center"/>
    </xf>
    <xf numFmtId="0" fontId="46" fillId="3" borderId="55" xfId="213" applyFont="1" applyFill="1" applyBorder="1" applyAlignment="1">
      <alignment horizontal="center" vertical="center" wrapText="1"/>
    </xf>
    <xf numFmtId="0" fontId="74" fillId="0" borderId="1" xfId="213" applyFont="1" applyBorder="1" applyAlignment="1">
      <alignment horizontal="center" vertical="center" wrapText="1"/>
    </xf>
    <xf numFmtId="0" fontId="46" fillId="0" borderId="23" xfId="213" applyFont="1" applyBorder="1" applyAlignment="1">
      <alignment horizontal="center" vertical="center"/>
    </xf>
    <xf numFmtId="0" fontId="93" fillId="0" borderId="0" xfId="211" applyFont="1" applyFill="1" applyAlignment="1">
      <alignment horizontal="left" vertical="top"/>
    </xf>
    <xf numFmtId="0" fontId="75" fillId="0" borderId="0" xfId="213" applyFont="1" applyAlignment="1">
      <alignment vertical="center"/>
    </xf>
    <xf numFmtId="0" fontId="1" fillId="0" borderId="49" xfId="213" applyBorder="1" applyAlignment="1">
      <alignment vertical="center" wrapText="1"/>
    </xf>
    <xf numFmtId="0" fontId="39" fillId="2" borderId="24" xfId="213" applyNumberFormat="1" applyFont="1" applyFill="1" applyBorder="1" applyAlignment="1" applyProtection="1">
      <alignment horizontal="center" vertical="center" wrapText="1"/>
    </xf>
    <xf numFmtId="0" fontId="39" fillId="2" borderId="22" xfId="213" applyNumberFormat="1" applyFont="1" applyFill="1" applyBorder="1" applyAlignment="1" applyProtection="1">
      <alignment horizontal="center" vertical="center" wrapText="1"/>
    </xf>
    <xf numFmtId="0" fontId="39" fillId="2" borderId="26" xfId="213" applyNumberFormat="1" applyFont="1" applyFill="1" applyBorder="1" applyAlignment="1" applyProtection="1">
      <alignment horizontal="center" vertical="center" wrapText="1"/>
    </xf>
    <xf numFmtId="0" fontId="39" fillId="2" borderId="73" xfId="213" applyNumberFormat="1" applyFont="1" applyFill="1" applyBorder="1" applyAlignment="1" applyProtection="1">
      <alignment horizontal="center" vertical="center" wrapText="1"/>
    </xf>
    <xf numFmtId="0" fontId="39" fillId="2" borderId="74" xfId="211" applyNumberFormat="1" applyFont="1" applyFill="1" applyBorder="1" applyAlignment="1" applyProtection="1">
      <alignment horizontal="center" vertical="center" wrapText="1"/>
    </xf>
    <xf numFmtId="0" fontId="39" fillId="2" borderId="74" xfId="213" applyNumberFormat="1" applyFont="1" applyFill="1" applyBorder="1" applyAlignment="1" applyProtection="1">
      <alignment horizontal="center" vertical="center" wrapText="1"/>
    </xf>
    <xf numFmtId="0" fontId="48" fillId="0" borderId="54" xfId="213" applyFont="1" applyBorder="1" applyAlignment="1">
      <alignment horizontal="center" vertical="center" wrapText="1"/>
    </xf>
    <xf numFmtId="0" fontId="48" fillId="0" borderId="38" xfId="213" applyFont="1" applyFill="1" applyBorder="1" applyAlignment="1">
      <alignment horizontal="center" vertical="center" wrapText="1"/>
    </xf>
    <xf numFmtId="0" fontId="48" fillId="0" borderId="13" xfId="213" applyFont="1" applyBorder="1" applyAlignment="1">
      <alignment horizontal="center" vertical="center"/>
    </xf>
    <xf numFmtId="0" fontId="48" fillId="0" borderId="13" xfId="213" applyFont="1" applyFill="1" applyBorder="1" applyAlignment="1">
      <alignment horizontal="center" vertical="center"/>
    </xf>
    <xf numFmtId="0" fontId="48" fillId="0" borderId="13" xfId="213" applyFont="1" applyBorder="1" applyAlignment="1">
      <alignment horizontal="center" vertical="center" wrapText="1"/>
    </xf>
    <xf numFmtId="0" fontId="46" fillId="0" borderId="13" xfId="213" applyFont="1" applyBorder="1" applyAlignment="1">
      <alignment horizontal="center" vertical="center"/>
    </xf>
    <xf numFmtId="0" fontId="48" fillId="0" borderId="38" xfId="213" applyFont="1" applyBorder="1" applyAlignment="1">
      <alignment horizontal="center" vertical="center"/>
    </xf>
    <xf numFmtId="0" fontId="48" fillId="0" borderId="75" xfId="211" applyFont="1" applyFill="1" applyBorder="1" applyAlignment="1">
      <alignment horizontal="center" vertical="center"/>
    </xf>
    <xf numFmtId="0" fontId="48" fillId="0" borderId="75" xfId="213" applyFont="1" applyFill="1" applyBorder="1" applyAlignment="1">
      <alignment horizontal="center" vertical="center"/>
    </xf>
    <xf numFmtId="0" fontId="48" fillId="0" borderId="77" xfId="213" applyFont="1" applyBorder="1" applyAlignment="1">
      <alignment horizontal="center" vertical="center" wrapText="1"/>
    </xf>
    <xf numFmtId="0" fontId="48" fillId="0" borderId="10" xfId="213" applyFont="1" applyBorder="1" applyAlignment="1">
      <alignment horizontal="center" vertical="center"/>
    </xf>
    <xf numFmtId="0" fontId="48" fillId="0" borderId="1" xfId="213" applyFont="1" applyBorder="1" applyAlignment="1">
      <alignment horizontal="center" vertical="center"/>
    </xf>
    <xf numFmtId="0" fontId="48" fillId="0" borderId="1" xfId="213" applyFont="1" applyFill="1" applyBorder="1" applyAlignment="1">
      <alignment horizontal="center" vertical="center" wrapText="1"/>
    </xf>
    <xf numFmtId="0" fontId="48" fillId="0" borderId="53" xfId="211" applyFont="1" applyFill="1" applyBorder="1" applyAlignment="1">
      <alignment horizontal="center" vertical="center"/>
    </xf>
    <xf numFmtId="0" fontId="48" fillId="0" borderId="53" xfId="213" applyFont="1" applyFill="1" applyBorder="1" applyAlignment="1">
      <alignment horizontal="center" vertical="center"/>
    </xf>
    <xf numFmtId="0" fontId="1" fillId="0" borderId="0" xfId="213" applyAlignment="1">
      <alignment horizontal="center" vertical="top"/>
    </xf>
    <xf numFmtId="0" fontId="48" fillId="0" borderId="1" xfId="213" applyFont="1" applyBorder="1" applyAlignment="1">
      <alignment horizontal="center" vertical="center" wrapText="1"/>
    </xf>
    <xf numFmtId="0" fontId="48" fillId="0" borderId="53" xfId="211" applyFont="1" applyFill="1" applyBorder="1" applyAlignment="1">
      <alignment horizontal="center" vertical="center" wrapText="1"/>
    </xf>
    <xf numFmtId="0" fontId="48" fillId="0" borderId="53" xfId="213" applyFont="1" applyFill="1" applyBorder="1" applyAlignment="1">
      <alignment horizontal="center" vertical="center" wrapText="1"/>
    </xf>
    <xf numFmtId="0" fontId="48" fillId="0" borderId="55" xfId="213" applyFont="1" applyBorder="1" applyAlignment="1">
      <alignment horizontal="center" vertical="center" wrapText="1"/>
    </xf>
    <xf numFmtId="0" fontId="48" fillId="0" borderId="30" xfId="213" applyFont="1" applyBorder="1" applyAlignment="1">
      <alignment horizontal="center" vertical="center"/>
    </xf>
    <xf numFmtId="0" fontId="48" fillId="0" borderId="23" xfId="213" applyFont="1" applyBorder="1" applyAlignment="1">
      <alignment horizontal="center" vertical="center"/>
    </xf>
    <xf numFmtId="0" fontId="48" fillId="0" borderId="23" xfId="213" applyFont="1" applyFill="1" applyBorder="1" applyAlignment="1">
      <alignment horizontal="center" vertical="center"/>
    </xf>
    <xf numFmtId="0" fontId="48" fillId="0" borderId="57" xfId="211" applyFont="1" applyFill="1" applyBorder="1" applyAlignment="1">
      <alignment horizontal="center" vertical="center"/>
    </xf>
    <xf numFmtId="0" fontId="48" fillId="0" borderId="57" xfId="213" applyFont="1" applyFill="1" applyBorder="1" applyAlignment="1">
      <alignment horizontal="center" vertical="center"/>
    </xf>
    <xf numFmtId="0" fontId="1" fillId="0" borderId="0" xfId="211" applyAlignment="1">
      <alignment vertical="center" wrapText="1"/>
    </xf>
    <xf numFmtId="0" fontId="0" fillId="0" borderId="0" xfId="213" applyFont="1" applyAlignment="1">
      <alignment vertical="center" wrapText="1"/>
    </xf>
    <xf numFmtId="0" fontId="1" fillId="0" borderId="0" xfId="211" applyFill="1">
      <alignment vertical="center"/>
    </xf>
    <xf numFmtId="0" fontId="44" fillId="2" borderId="1" xfId="213" applyNumberFormat="1" applyFont="1" applyFill="1" applyBorder="1" applyAlignment="1" applyProtection="1">
      <alignment horizontal="center" vertical="center"/>
    </xf>
    <xf numFmtId="0" fontId="81" fillId="0" borderId="0" xfId="213" applyFont="1" applyAlignment="1">
      <alignment vertical="top" wrapText="1"/>
    </xf>
    <xf numFmtId="0" fontId="39" fillId="0" borderId="1" xfId="213" applyFont="1" applyBorder="1" applyAlignment="1">
      <alignment horizontal="center" vertical="center"/>
    </xf>
    <xf numFmtId="0" fontId="69" fillId="0" borderId="13" xfId="213" applyNumberFormat="1" applyFont="1" applyFill="1" applyBorder="1" applyAlignment="1" applyProtection="1">
      <alignment horizontal="center" vertical="center" wrapText="1"/>
    </xf>
    <xf numFmtId="0" fontId="46" fillId="5" borderId="1" xfId="213" applyNumberFormat="1" applyFont="1" applyFill="1" applyBorder="1" applyAlignment="1" applyProtection="1">
      <alignment horizontal="center" vertical="center" wrapText="1"/>
    </xf>
    <xf numFmtId="0" fontId="48" fillId="5" borderId="1" xfId="213" applyFont="1" applyFill="1" applyBorder="1" applyAlignment="1">
      <alignment horizontal="center" vertical="center"/>
    </xf>
    <xf numFmtId="0" fontId="46" fillId="0" borderId="38" xfId="213" applyFont="1" applyFill="1" applyBorder="1" applyAlignment="1">
      <alignment horizontal="center" vertical="center" wrapText="1"/>
    </xf>
    <xf numFmtId="0" fontId="48" fillId="0" borderId="39" xfId="213" applyNumberFormat="1" applyFont="1" applyFill="1" applyBorder="1" applyAlignment="1" applyProtection="1">
      <alignment horizontal="center" vertical="center" wrapText="1"/>
    </xf>
    <xf numFmtId="0" fontId="48" fillId="0" borderId="62" xfId="213" applyNumberFormat="1" applyFont="1" applyFill="1" applyBorder="1" applyAlignment="1" applyProtection="1">
      <alignment horizontal="center" vertical="center" wrapText="1"/>
    </xf>
    <xf numFmtId="0" fontId="48" fillId="0" borderId="40" xfId="213" applyNumberFormat="1" applyFont="1" applyFill="1" applyBorder="1" applyAlignment="1" applyProtection="1">
      <alignment horizontal="center" vertical="center" wrapText="1"/>
    </xf>
    <xf numFmtId="0" fontId="46" fillId="0" borderId="10" xfId="213" applyNumberFormat="1" applyFont="1" applyFill="1" applyBorder="1" applyAlignment="1" applyProtection="1">
      <alignment horizontal="center" vertical="center" wrapText="1"/>
    </xf>
    <xf numFmtId="0" fontId="83" fillId="0" borderId="43" xfId="213" applyFont="1" applyFill="1" applyBorder="1" applyAlignment="1">
      <alignment horizontal="center" vertical="center" wrapText="1"/>
    </xf>
    <xf numFmtId="0" fontId="47" fillId="0" borderId="13" xfId="213" applyFont="1" applyFill="1" applyBorder="1" applyAlignment="1">
      <alignment horizontal="center" vertical="center" wrapText="1"/>
    </xf>
    <xf numFmtId="0" fontId="83" fillId="0" borderId="1" xfId="213" applyFont="1" applyFill="1" applyBorder="1" applyAlignment="1">
      <alignment horizontal="center" vertical="center" wrapText="1"/>
    </xf>
    <xf numFmtId="0" fontId="0" fillId="0" borderId="0" xfId="213" applyFont="1" applyFill="1">
      <alignment vertical="center"/>
    </xf>
    <xf numFmtId="0" fontId="52" fillId="0" borderId="46" xfId="213" applyNumberFormat="1" applyFont="1" applyFill="1" applyBorder="1" applyAlignment="1" applyProtection="1">
      <alignment horizontal="center" vertical="center" wrapText="1"/>
    </xf>
    <xf numFmtId="0" fontId="83" fillId="0" borderId="40" xfId="213" applyFont="1" applyFill="1" applyBorder="1" applyAlignment="1">
      <alignment horizontal="center" vertical="center" wrapText="1"/>
    </xf>
    <xf numFmtId="0" fontId="69" fillId="0" borderId="39" xfId="213" applyFont="1" applyFill="1" applyBorder="1" applyAlignment="1">
      <alignment horizontal="center" vertical="center"/>
    </xf>
    <xf numFmtId="0" fontId="46" fillId="0" borderId="46" xfId="213" applyFont="1" applyFill="1" applyBorder="1" applyAlignment="1">
      <alignment horizontal="center" vertical="center" wrapText="1"/>
    </xf>
    <xf numFmtId="0" fontId="47" fillId="0" borderId="46" xfId="213" applyFont="1" applyFill="1" applyBorder="1" applyAlignment="1">
      <alignment horizontal="center" vertical="center" wrapText="1"/>
    </xf>
    <xf numFmtId="0" fontId="48" fillId="0" borderId="46" xfId="213" applyFont="1" applyFill="1" applyBorder="1" applyAlignment="1">
      <alignment horizontal="center" vertical="center"/>
    </xf>
    <xf numFmtId="0" fontId="46" fillId="0" borderId="46" xfId="213" applyFont="1" applyFill="1" applyBorder="1" applyAlignment="1">
      <alignment horizontal="center" vertical="center"/>
    </xf>
    <xf numFmtId="0" fontId="69" fillId="0" borderId="46" xfId="213" applyNumberFormat="1" applyFont="1" applyFill="1" applyBorder="1" applyAlignment="1" applyProtection="1">
      <alignment horizontal="center" vertical="center" wrapText="1"/>
    </xf>
    <xf numFmtId="0" fontId="46" fillId="4" borderId="64" xfId="213" applyNumberFormat="1" applyFont="1" applyFill="1" applyBorder="1" applyAlignment="1" applyProtection="1">
      <alignment horizontal="center" vertical="center" wrapText="1"/>
    </xf>
    <xf numFmtId="0" fontId="1" fillId="0" borderId="0" xfId="213" applyFill="1" applyBorder="1">
      <alignment vertical="center"/>
    </xf>
    <xf numFmtId="0" fontId="69" fillId="0" borderId="13" xfId="213" applyFont="1" applyFill="1" applyBorder="1" applyAlignment="1">
      <alignment horizontal="center" vertical="center" wrapText="1"/>
    </xf>
    <xf numFmtId="0" fontId="69" fillId="0" borderId="1" xfId="213" applyFont="1" applyFill="1" applyBorder="1" applyAlignment="1">
      <alignment horizontal="center" vertical="center" wrapText="1"/>
    </xf>
    <xf numFmtId="0" fontId="48" fillId="0" borderId="0" xfId="213" applyFont="1" applyFill="1" applyBorder="1" applyAlignment="1">
      <alignment horizontal="center" vertical="center" wrapText="1"/>
    </xf>
    <xf numFmtId="0" fontId="46" fillId="6" borderId="13" xfId="213" applyNumberFormat="1" applyFont="1" applyFill="1" applyBorder="1" applyAlignment="1" applyProtection="1">
      <alignment horizontal="center" vertical="center" wrapText="1"/>
    </xf>
    <xf numFmtId="0" fontId="46" fillId="5" borderId="1" xfId="213" applyFont="1" applyFill="1" applyBorder="1" applyAlignment="1">
      <alignment horizontal="center" vertical="center" wrapText="1"/>
    </xf>
    <xf numFmtId="0" fontId="46" fillId="5" borderId="13" xfId="213" applyNumberFormat="1" applyFont="1" applyFill="1" applyBorder="1" applyAlignment="1" applyProtection="1">
      <alignment horizontal="center" vertical="center" wrapText="1"/>
    </xf>
    <xf numFmtId="0" fontId="46" fillId="5" borderId="13" xfId="213" applyFont="1" applyFill="1" applyBorder="1" applyAlignment="1">
      <alignment horizontal="center" vertical="center"/>
    </xf>
    <xf numFmtId="0" fontId="46" fillId="5" borderId="13" xfId="213" applyFont="1" applyFill="1" applyBorder="1" applyAlignment="1">
      <alignment horizontal="center" vertical="center" wrapText="1"/>
    </xf>
    <xf numFmtId="0" fontId="46" fillId="5" borderId="12" xfId="213" applyFont="1" applyFill="1" applyBorder="1" applyAlignment="1">
      <alignment horizontal="center" vertical="center" wrapText="1"/>
    </xf>
    <xf numFmtId="0" fontId="46" fillId="3" borderId="1" xfId="213" applyFont="1" applyFill="1" applyBorder="1" applyAlignment="1">
      <alignment horizontal="center" vertical="center" wrapText="1"/>
    </xf>
    <xf numFmtId="0" fontId="47" fillId="0" borderId="46" xfId="213" applyNumberFormat="1" applyFont="1" applyFill="1" applyBorder="1" applyAlignment="1" applyProtection="1">
      <alignment horizontal="center" vertical="center" wrapText="1"/>
    </xf>
    <xf numFmtId="0" fontId="48" fillId="0" borderId="15" xfId="213" applyFont="1" applyFill="1" applyBorder="1" applyAlignment="1">
      <alignment horizontal="center" vertical="center"/>
    </xf>
    <xf numFmtId="0" fontId="52" fillId="5" borderId="61" xfId="213" applyNumberFormat="1" applyFont="1" applyFill="1" applyBorder="1" applyAlignment="1" applyProtection="1">
      <alignment horizontal="center" vertical="center" wrapText="1"/>
    </xf>
    <xf numFmtId="0" fontId="83" fillId="3" borderId="43" xfId="213" applyFont="1" applyFill="1" applyBorder="1" applyAlignment="1">
      <alignment horizontal="center" vertical="center" wrapText="1"/>
    </xf>
    <xf numFmtId="0" fontId="69" fillId="5" borderId="38" xfId="213" applyNumberFormat="1" applyFont="1" applyFill="1" applyBorder="1" applyAlignment="1" applyProtection="1">
      <alignment horizontal="center" vertical="center" wrapText="1"/>
    </xf>
    <xf numFmtId="0" fontId="69" fillId="5" borderId="13" xfId="213" applyNumberFormat="1" applyFont="1" applyFill="1" applyBorder="1" applyAlignment="1" applyProtection="1">
      <alignment horizontal="center" vertical="center"/>
    </xf>
    <xf numFmtId="0" fontId="69" fillId="5" borderId="13" xfId="213" applyFont="1" applyFill="1" applyBorder="1" applyAlignment="1">
      <alignment horizontal="center" vertical="center"/>
    </xf>
    <xf numFmtId="0" fontId="52" fillId="0" borderId="10" xfId="213" applyNumberFormat="1" applyFont="1" applyFill="1" applyBorder="1" applyAlignment="1" applyProtection="1">
      <alignment horizontal="center" vertical="center" wrapText="1"/>
    </xf>
    <xf numFmtId="0" fontId="83" fillId="3" borderId="1" xfId="213" applyFont="1" applyFill="1" applyBorder="1" applyAlignment="1">
      <alignment horizontal="center" vertical="center" wrapText="1"/>
    </xf>
    <xf numFmtId="0" fontId="47" fillId="0" borderId="38" xfId="213" applyFont="1" applyFill="1" applyBorder="1" applyAlignment="1">
      <alignment horizontal="center" vertical="center" wrapText="1"/>
    </xf>
    <xf numFmtId="0" fontId="46" fillId="7" borderId="13" xfId="213" applyFont="1" applyFill="1" applyBorder="1" applyAlignment="1">
      <alignment horizontal="center" vertical="center" wrapText="1"/>
    </xf>
    <xf numFmtId="0" fontId="52" fillId="0" borderId="42" xfId="213" applyNumberFormat="1" applyFont="1" applyFill="1" applyBorder="1" applyAlignment="1" applyProtection="1">
      <alignment horizontal="center" vertical="center" wrapText="1"/>
    </xf>
    <xf numFmtId="0" fontId="83" fillId="3" borderId="46" xfId="213" applyFont="1" applyFill="1" applyBorder="1" applyAlignment="1">
      <alignment horizontal="center" vertical="center" wrapText="1"/>
    </xf>
    <xf numFmtId="0" fontId="46" fillId="6" borderId="40" xfId="213" applyFont="1" applyFill="1" applyBorder="1" applyAlignment="1">
      <alignment horizontal="center" vertical="center" wrapText="1"/>
    </xf>
    <xf numFmtId="0" fontId="46" fillId="3" borderId="40" xfId="213" applyNumberFormat="1" applyFont="1" applyFill="1" applyBorder="1" applyAlignment="1" applyProtection="1">
      <alignment horizontal="center" vertical="center" wrapText="1"/>
    </xf>
    <xf numFmtId="0" fontId="46" fillId="6" borderId="40" xfId="213" applyNumberFormat="1" applyFont="1" applyFill="1" applyBorder="1" applyAlignment="1" applyProtection="1">
      <alignment horizontal="center" vertical="center" wrapText="1"/>
    </xf>
    <xf numFmtId="0" fontId="39" fillId="0" borderId="43" xfId="213" applyFont="1" applyBorder="1" applyAlignment="1">
      <alignment horizontal="center" vertical="center"/>
    </xf>
    <xf numFmtId="0" fontId="52" fillId="5" borderId="29" xfId="213" applyNumberFormat="1" applyFont="1" applyFill="1" applyBorder="1" applyAlignment="1" applyProtection="1">
      <alignment horizontal="center" vertical="center" wrapText="1"/>
    </xf>
    <xf numFmtId="0" fontId="69" fillId="5" borderId="43" xfId="213" applyNumberFormat="1" applyFont="1" applyFill="1" applyBorder="1" applyAlignment="1" applyProtection="1">
      <alignment horizontal="center" vertical="center" wrapText="1"/>
    </xf>
    <xf numFmtId="0" fontId="69" fillId="5" borderId="63" xfId="213" applyFont="1" applyFill="1" applyBorder="1" applyAlignment="1">
      <alignment horizontal="center" vertical="center" wrapText="1"/>
    </xf>
    <xf numFmtId="0" fontId="69" fillId="5" borderId="29" xfId="213" applyFont="1" applyFill="1" applyBorder="1" applyAlignment="1">
      <alignment horizontal="center" vertical="center" wrapText="1"/>
    </xf>
    <xf numFmtId="0" fontId="39" fillId="0" borderId="13" xfId="213" applyNumberFormat="1" applyFont="1" applyFill="1" applyBorder="1" applyAlignment="1" applyProtection="1">
      <alignment horizontal="center" vertical="center"/>
    </xf>
    <xf numFmtId="0" fontId="47" fillId="0" borderId="29" xfId="213" applyFont="1" applyFill="1" applyBorder="1" applyAlignment="1">
      <alignment horizontal="center" vertical="center" wrapText="1"/>
    </xf>
    <xf numFmtId="0" fontId="46" fillId="0" borderId="0" xfId="213" applyFont="1" applyFill="1" applyBorder="1" applyAlignment="1">
      <alignment horizontal="center" vertical="center"/>
    </xf>
    <xf numFmtId="0" fontId="39" fillId="0" borderId="64" xfId="213" applyFont="1" applyBorder="1" applyAlignment="1">
      <alignment horizontal="center" vertical="center"/>
    </xf>
    <xf numFmtId="0" fontId="47" fillId="0" borderId="64" xfId="213" applyFont="1" applyFill="1" applyBorder="1" applyAlignment="1">
      <alignment horizontal="center" vertical="center" wrapText="1"/>
    </xf>
    <xf numFmtId="0" fontId="48" fillId="5" borderId="13" xfId="213" applyFont="1" applyFill="1" applyBorder="1" applyAlignment="1">
      <alignment horizontal="center" vertical="center" wrapText="1"/>
    </xf>
    <xf numFmtId="0" fontId="46" fillId="5" borderId="18" xfId="213" applyNumberFormat="1" applyFont="1" applyFill="1" applyBorder="1" applyAlignment="1" applyProtection="1">
      <alignment horizontal="center" vertical="center" wrapText="1"/>
    </xf>
    <xf numFmtId="0" fontId="48" fillId="5" borderId="13" xfId="213" applyNumberFormat="1" applyFont="1" applyFill="1" applyBorder="1" applyAlignment="1" applyProtection="1">
      <alignment horizontal="center" vertical="center" wrapText="1"/>
    </xf>
    <xf numFmtId="0" fontId="48" fillId="5" borderId="4" xfId="213" applyNumberFormat="1" applyFont="1" applyFill="1" applyBorder="1" applyAlignment="1" applyProtection="1">
      <alignment horizontal="center" vertical="center" wrapText="1"/>
    </xf>
    <xf numFmtId="0" fontId="48" fillId="5" borderId="10" xfId="213" applyNumberFormat="1" applyFont="1" applyFill="1" applyBorder="1" applyAlignment="1" applyProtection="1">
      <alignment horizontal="center" vertical="center" wrapText="1"/>
    </xf>
    <xf numFmtId="0" fontId="48" fillId="5" borderId="1" xfId="213" applyNumberFormat="1" applyFont="1" applyFill="1" applyBorder="1" applyAlignment="1" applyProtection="1">
      <alignment horizontal="center" vertical="center" wrapText="1"/>
    </xf>
    <xf numFmtId="0" fontId="46" fillId="5" borderId="10" xfId="213" applyNumberFormat="1" applyFont="1" applyFill="1" applyBorder="1" applyAlignment="1" applyProtection="1">
      <alignment horizontal="center" vertical="center" wrapText="1"/>
    </xf>
    <xf numFmtId="0" fontId="39" fillId="0" borderId="40" xfId="213" applyFont="1" applyBorder="1" applyAlignment="1">
      <alignment horizontal="center" vertical="center"/>
    </xf>
    <xf numFmtId="0" fontId="82" fillId="8" borderId="40" xfId="213" applyFont="1" applyFill="1" applyBorder="1" applyAlignment="1">
      <alignment horizontal="center" vertical="center" wrapText="1"/>
    </xf>
    <xf numFmtId="0" fontId="48" fillId="7" borderId="46" xfId="213" applyNumberFormat="1" applyFont="1" applyFill="1" applyBorder="1" applyAlignment="1" applyProtection="1">
      <alignment horizontal="center" vertical="center" wrapText="1"/>
    </xf>
    <xf numFmtId="0" fontId="46" fillId="7" borderId="40" xfId="213" applyFont="1" applyFill="1" applyBorder="1" applyAlignment="1">
      <alignment horizontal="center" vertical="center" wrapText="1"/>
    </xf>
    <xf numFmtId="0" fontId="82" fillId="8" borderId="39" xfId="213" applyNumberFormat="1" applyFont="1" applyFill="1" applyBorder="1" applyAlignment="1" applyProtection="1">
      <alignment horizontal="center" vertical="center" wrapText="1"/>
    </xf>
    <xf numFmtId="0" fontId="1" fillId="0" borderId="6" xfId="213" applyBorder="1" applyAlignment="1">
      <alignment vertical="center"/>
    </xf>
    <xf numFmtId="0" fontId="1" fillId="0" borderId="0" xfId="213" applyBorder="1" applyAlignment="1">
      <alignment vertical="center"/>
    </xf>
    <xf numFmtId="0" fontId="1" fillId="0" borderId="0" xfId="211" applyFill="1" applyAlignment="1">
      <alignment horizontal="center" vertical="center"/>
    </xf>
    <xf numFmtId="0" fontId="39" fillId="2" borderId="66" xfId="213" applyNumberFormat="1" applyFont="1" applyFill="1" applyBorder="1" applyAlignment="1" applyProtection="1">
      <alignment horizontal="center" vertical="center" wrapText="1"/>
    </xf>
    <xf numFmtId="0" fontId="44" fillId="2" borderId="66" xfId="213" applyNumberFormat="1" applyFont="1" applyFill="1" applyBorder="1" applyAlignment="1" applyProtection="1">
      <alignment horizontal="center" vertical="center"/>
    </xf>
    <xf numFmtId="0" fontId="39" fillId="2" borderId="67" xfId="213" applyNumberFormat="1" applyFont="1" applyFill="1" applyBorder="1" applyAlignment="1" applyProtection="1">
      <alignment horizontal="center" vertical="center" wrapText="1"/>
    </xf>
    <xf numFmtId="0" fontId="1" fillId="0" borderId="0" xfId="211" applyAlignment="1">
      <alignment horizontal="center" vertical="center"/>
    </xf>
    <xf numFmtId="0" fontId="0" fillId="0" borderId="0" xfId="213" applyFont="1" applyFill="1" applyAlignment="1">
      <alignment vertical="center" wrapText="1"/>
    </xf>
    <xf numFmtId="0" fontId="46" fillId="3" borderId="1" xfId="213" applyNumberFormat="1" applyFont="1" applyFill="1" applyBorder="1" applyAlignment="1" applyProtection="1">
      <alignment horizontal="center" vertical="center" wrapText="1"/>
    </xf>
    <xf numFmtId="0" fontId="46" fillId="0" borderId="53" xfId="213" applyNumberFormat="1" applyFont="1" applyFill="1" applyBorder="1" applyAlignment="1" applyProtection="1">
      <alignment horizontal="center" vertical="center" wrapText="1"/>
    </xf>
    <xf numFmtId="0" fontId="78" fillId="3" borderId="1" xfId="213" applyFont="1" applyFill="1" applyBorder="1" applyAlignment="1">
      <alignment horizontal="center" vertical="center" wrapText="1"/>
    </xf>
    <xf numFmtId="0" fontId="46" fillId="3" borderId="53" xfId="213" applyFont="1" applyFill="1" applyBorder="1" applyAlignment="1">
      <alignment horizontal="center" vertical="center" wrapText="1"/>
    </xf>
    <xf numFmtId="0" fontId="46" fillId="0" borderId="38" xfId="213" applyFont="1" applyBorder="1" applyAlignment="1">
      <alignment horizontal="center" vertical="center"/>
    </xf>
    <xf numFmtId="0" fontId="78" fillId="0" borderId="1" xfId="213" applyFont="1" applyFill="1" applyBorder="1" applyAlignment="1">
      <alignment horizontal="center" vertical="center"/>
    </xf>
    <xf numFmtId="0" fontId="46" fillId="0" borderId="0" xfId="213" applyFont="1" applyFill="1" applyAlignment="1">
      <alignment horizontal="center" vertical="center"/>
    </xf>
    <xf numFmtId="0" fontId="46" fillId="0" borderId="53" xfId="213" applyFont="1" applyBorder="1" applyAlignment="1">
      <alignment horizontal="center" vertical="center"/>
    </xf>
    <xf numFmtId="0" fontId="46" fillId="3" borderId="23" xfId="213" applyFont="1" applyFill="1" applyBorder="1" applyAlignment="1">
      <alignment horizontal="center" vertical="center" wrapText="1"/>
    </xf>
    <xf numFmtId="0" fontId="46" fillId="0" borderId="23" xfId="213" applyFont="1" applyFill="1" applyBorder="1" applyAlignment="1">
      <alignment horizontal="center" vertical="center" wrapText="1"/>
    </xf>
    <xf numFmtId="0" fontId="48" fillId="0" borderId="23" xfId="213" applyFont="1" applyFill="1" applyBorder="1" applyAlignment="1">
      <alignment horizontal="center" vertical="center" wrapText="1"/>
    </xf>
    <xf numFmtId="0" fontId="48" fillId="3" borderId="57" xfId="213" applyFont="1" applyFill="1" applyBorder="1" applyAlignment="1">
      <alignment horizontal="center" vertical="center" wrapText="1"/>
    </xf>
    <xf numFmtId="0" fontId="88" fillId="0" borderId="0" xfId="213" applyFont="1" applyFill="1" applyBorder="1" applyAlignment="1">
      <alignment vertical="center" wrapText="1"/>
    </xf>
    <xf numFmtId="0" fontId="48" fillId="0" borderId="65" xfId="213" applyFont="1" applyBorder="1" applyAlignment="1">
      <alignment vertical="center" wrapText="1"/>
    </xf>
    <xf numFmtId="0" fontId="71" fillId="2" borderId="24" xfId="213" applyNumberFormat="1" applyFont="1" applyFill="1" applyBorder="1" applyAlignment="1" applyProtection="1">
      <alignment horizontal="center" vertical="center" wrapText="1"/>
    </xf>
    <xf numFmtId="0" fontId="71" fillId="2" borderId="22" xfId="213" applyNumberFormat="1" applyFont="1" applyFill="1" applyBorder="1" applyAlignment="1" applyProtection="1">
      <alignment horizontal="center" vertical="center" wrapText="1"/>
    </xf>
    <xf numFmtId="0" fontId="46" fillId="2" borderId="22" xfId="213" applyNumberFormat="1" applyFont="1" applyFill="1" applyBorder="1" applyAlignment="1" applyProtection="1">
      <alignment horizontal="center" vertical="center"/>
    </xf>
    <xf numFmtId="0" fontId="71" fillId="2" borderId="73" xfId="213" applyNumberFormat="1" applyFont="1" applyFill="1" applyBorder="1" applyAlignment="1" applyProtection="1">
      <alignment horizontal="center" vertical="center" wrapText="1"/>
    </xf>
    <xf numFmtId="0" fontId="71" fillId="2" borderId="74" xfId="211" applyNumberFormat="1" applyFont="1" applyFill="1" applyBorder="1" applyAlignment="1" applyProtection="1">
      <alignment horizontal="center" vertical="center" wrapText="1"/>
    </xf>
    <xf numFmtId="0" fontId="48" fillId="0" borderId="76" xfId="213" applyFont="1" applyBorder="1" applyAlignment="1">
      <alignment horizontal="center" vertical="center" wrapText="1"/>
    </xf>
    <xf numFmtId="0" fontId="48" fillId="0" borderId="10" xfId="213" applyFont="1" applyFill="1" applyBorder="1" applyAlignment="1">
      <alignment horizontal="center" vertical="center"/>
    </xf>
    <xf numFmtId="0" fontId="48" fillId="0" borderId="10" xfId="213" applyFont="1" applyFill="1" applyBorder="1" applyAlignment="1">
      <alignment horizontal="center" vertical="center" wrapText="1"/>
    </xf>
    <xf numFmtId="0" fontId="48" fillId="0" borderId="30" xfId="213" applyFont="1" applyBorder="1">
      <alignment vertical="center"/>
    </xf>
    <xf numFmtId="0" fontId="48" fillId="0" borderId="23" xfId="213" applyFont="1" applyBorder="1">
      <alignment vertical="center"/>
    </xf>
    <xf numFmtId="0" fontId="46" fillId="0" borderId="23" xfId="213" applyFont="1" applyBorder="1">
      <alignment vertical="center"/>
    </xf>
    <xf numFmtId="0" fontId="48" fillId="0" borderId="78" xfId="213" applyFont="1" applyBorder="1" applyAlignment="1">
      <alignment vertical="center" wrapText="1"/>
    </xf>
    <xf numFmtId="0" fontId="0" fillId="0" borderId="54" xfId="213" applyFont="1" applyBorder="1" applyAlignment="1">
      <alignment horizontal="center" vertical="center" wrapText="1"/>
    </xf>
    <xf numFmtId="0" fontId="1" fillId="0" borderId="1" xfId="213" applyBorder="1">
      <alignment vertical="center"/>
    </xf>
    <xf numFmtId="0" fontId="0" fillId="0" borderId="1" xfId="213" applyFont="1" applyFill="1" applyBorder="1" applyAlignment="1">
      <alignment horizontal="center" vertical="center"/>
    </xf>
    <xf numFmtId="0" fontId="1" fillId="0" borderId="1" xfId="213" applyFill="1" applyBorder="1">
      <alignment vertical="center"/>
    </xf>
    <xf numFmtId="0" fontId="56" fillId="0" borderId="1" xfId="213" applyFont="1" applyBorder="1">
      <alignment vertical="center"/>
    </xf>
    <xf numFmtId="0" fontId="1" fillId="0" borderId="53" xfId="211" applyFill="1" applyBorder="1" applyAlignment="1">
      <alignment horizontal="center" vertical="center"/>
    </xf>
    <xf numFmtId="0" fontId="1" fillId="0" borderId="55" xfId="213" applyBorder="1" applyAlignment="1">
      <alignment vertical="center" wrapText="1"/>
    </xf>
    <xf numFmtId="0" fontId="1" fillId="0" borderId="23" xfId="213" applyBorder="1">
      <alignment vertical="center"/>
    </xf>
    <xf numFmtId="0" fontId="0" fillId="0" borderId="23" xfId="213" applyFont="1" applyFill="1" applyBorder="1">
      <alignment vertical="center"/>
    </xf>
    <xf numFmtId="0" fontId="0" fillId="0" borderId="23" xfId="213" applyFont="1" applyFill="1" applyBorder="1" applyAlignment="1">
      <alignment horizontal="center" vertical="center"/>
    </xf>
    <xf numFmtId="0" fontId="56" fillId="0" borderId="23" xfId="213" applyFont="1" applyBorder="1">
      <alignment vertical="center"/>
    </xf>
    <xf numFmtId="0" fontId="1" fillId="0" borderId="57" xfId="211" applyFill="1" applyBorder="1" applyAlignment="1">
      <alignment horizontal="center" vertical="center"/>
    </xf>
    <xf numFmtId="0" fontId="70" fillId="0" borderId="0" xfId="206" applyFont="1" applyAlignment="1">
      <alignment horizontal="center" vertical="center"/>
    </xf>
    <xf numFmtId="0" fontId="39" fillId="2" borderId="1" xfId="206" applyNumberFormat="1" applyFont="1" applyFill="1" applyBorder="1" applyAlignment="1" applyProtection="1">
      <alignment horizontal="center" vertical="center"/>
    </xf>
    <xf numFmtId="0" fontId="39" fillId="2" borderId="1" xfId="206" applyNumberFormat="1" applyFont="1" applyFill="1" applyBorder="1" applyAlignment="1" applyProtection="1">
      <alignment horizontal="left" vertical="center" wrapText="1"/>
    </xf>
    <xf numFmtId="0" fontId="39" fillId="2" borderId="1" xfId="206" applyNumberFormat="1" applyFont="1" applyFill="1" applyBorder="1" applyAlignment="1" applyProtection="1">
      <alignment horizontal="center" vertical="center" wrapText="1"/>
    </xf>
    <xf numFmtId="0" fontId="39" fillId="0" borderId="1" xfId="206" applyFont="1" applyFill="1" applyBorder="1" applyAlignment="1">
      <alignment horizontal="center" vertical="center"/>
    </xf>
    <xf numFmtId="0" fontId="47" fillId="0" borderId="1" xfId="206" applyFont="1" applyFill="1" applyBorder="1" applyAlignment="1">
      <alignment horizontal="center" vertical="center" wrapText="1"/>
    </xf>
    <xf numFmtId="0" fontId="46" fillId="0" borderId="1" xfId="206" applyNumberFormat="1" applyFont="1" applyFill="1" applyBorder="1" applyAlignment="1" applyProtection="1">
      <alignment horizontal="center" vertical="center" wrapText="1"/>
    </xf>
    <xf numFmtId="0" fontId="48" fillId="4" borderId="12" xfId="206" applyFont="1" applyFill="1" applyBorder="1" applyAlignment="1">
      <alignment horizontal="center" vertical="center"/>
    </xf>
    <xf numFmtId="0" fontId="1" fillId="0" borderId="0" xfId="206" applyBorder="1">
      <alignment vertical="center"/>
    </xf>
    <xf numFmtId="0" fontId="47" fillId="0" borderId="13" xfId="206" applyFont="1" applyFill="1" applyBorder="1" applyAlignment="1">
      <alignment horizontal="center" vertical="center" wrapText="1"/>
    </xf>
    <xf numFmtId="0" fontId="46" fillId="0" borderId="1" xfId="206" applyFont="1" applyFill="1" applyBorder="1" applyAlignment="1">
      <alignment horizontal="center" vertical="center" wrapText="1"/>
    </xf>
    <xf numFmtId="0" fontId="46" fillId="0" borderId="1" xfId="206" applyFont="1" applyFill="1" applyBorder="1" applyAlignment="1">
      <alignment horizontal="center" vertical="center"/>
    </xf>
    <xf numFmtId="0" fontId="1" fillId="0" borderId="0" xfId="206" applyFill="1" applyBorder="1">
      <alignment vertical="center"/>
    </xf>
    <xf numFmtId="0" fontId="46" fillId="0" borderId="4" xfId="206" applyNumberFormat="1" applyFont="1" applyFill="1" applyBorder="1" applyAlignment="1" applyProtection="1">
      <alignment horizontal="center" vertical="center" wrapText="1"/>
    </xf>
    <xf numFmtId="0" fontId="52" fillId="0" borderId="1" xfId="206" applyNumberFormat="1" applyFont="1" applyFill="1" applyBorder="1" applyAlignment="1" applyProtection="1">
      <alignment horizontal="center" vertical="center" wrapText="1"/>
    </xf>
    <xf numFmtId="0" fontId="48" fillId="0" borderId="12" xfId="206" applyFont="1" applyFill="1" applyBorder="1" applyAlignment="1">
      <alignment horizontal="center" vertical="center"/>
    </xf>
    <xf numFmtId="0" fontId="46" fillId="0" borderId="4" xfId="206" applyFont="1" applyFill="1" applyBorder="1" applyAlignment="1">
      <alignment horizontal="center" vertical="center"/>
    </xf>
    <xf numFmtId="0" fontId="46" fillId="0" borderId="1" xfId="206" applyNumberFormat="1" applyFont="1" applyFill="1" applyBorder="1" applyAlignment="1" applyProtection="1">
      <alignment horizontal="center" vertical="center"/>
    </xf>
    <xf numFmtId="0" fontId="46" fillId="0" borderId="13" xfId="206" applyNumberFormat="1" applyFont="1" applyFill="1" applyBorder="1" applyAlignment="1" applyProtection="1">
      <alignment horizontal="center" vertical="center" wrapText="1"/>
    </xf>
    <xf numFmtId="0" fontId="69" fillId="0" borderId="1" xfId="206" applyFont="1" applyFill="1" applyBorder="1" applyAlignment="1">
      <alignment horizontal="center" vertical="center" wrapText="1"/>
    </xf>
    <xf numFmtId="0" fontId="46" fillId="0" borderId="0" xfId="206" applyFont="1" applyFill="1" applyBorder="1" applyAlignment="1">
      <alignment horizontal="center" vertical="center"/>
    </xf>
    <xf numFmtId="0" fontId="52" fillId="5" borderId="1" xfId="206" applyNumberFormat="1" applyFont="1" applyFill="1" applyBorder="1" applyAlignment="1" applyProtection="1">
      <alignment horizontal="center" vertical="center" wrapText="1"/>
    </xf>
    <xf numFmtId="0" fontId="69" fillId="5" borderId="1" xfId="206" applyFont="1" applyFill="1" applyBorder="1" applyAlignment="1">
      <alignment horizontal="center" vertical="center" wrapText="1"/>
    </xf>
    <xf numFmtId="0" fontId="69" fillId="5" borderId="1" xfId="206" applyFont="1" applyFill="1" applyBorder="1" applyAlignment="1">
      <alignment horizontal="center" vertical="center"/>
    </xf>
    <xf numFmtId="0" fontId="52" fillId="0" borderId="13" xfId="206" applyNumberFormat="1" applyFont="1" applyFill="1" applyBorder="1" applyAlignment="1" applyProtection="1">
      <alignment horizontal="center" vertical="center" wrapText="1"/>
    </xf>
    <xf numFmtId="0" fontId="69" fillId="0" borderId="13" xfId="206" applyFont="1" applyFill="1" applyBorder="1" applyAlignment="1">
      <alignment horizontal="center" vertical="center" wrapText="1"/>
    </xf>
    <xf numFmtId="0" fontId="69" fillId="0" borderId="13" xfId="206" applyNumberFormat="1" applyFont="1" applyFill="1" applyBorder="1" applyAlignment="1" applyProtection="1">
      <alignment horizontal="center" vertical="center" wrapText="1"/>
    </xf>
    <xf numFmtId="0" fontId="69" fillId="0" borderId="1" xfId="206" applyFont="1" applyFill="1" applyBorder="1" applyAlignment="1">
      <alignment horizontal="center" vertical="center"/>
    </xf>
    <xf numFmtId="0" fontId="69" fillId="0" borderId="13" xfId="206" applyFont="1" applyFill="1" applyBorder="1" applyAlignment="1">
      <alignment horizontal="center" vertical="center"/>
    </xf>
    <xf numFmtId="0" fontId="69" fillId="0" borderId="28" xfId="2" applyFont="1" applyFill="1" applyBorder="1" applyAlignment="1">
      <alignment horizontal="center" vertical="center" wrapText="1"/>
    </xf>
    <xf numFmtId="0" fontId="69" fillId="0" borderId="17" xfId="206" applyNumberFormat="1" applyFont="1" applyFill="1" applyBorder="1" applyAlignment="1" applyProtection="1">
      <alignment horizontal="center" vertical="center" wrapText="1"/>
    </xf>
    <xf numFmtId="0" fontId="74" fillId="0" borderId="12" xfId="215" applyFont="1" applyFill="1" applyBorder="1" applyAlignment="1">
      <alignment horizontal="center" vertical="center" wrapText="1"/>
    </xf>
    <xf numFmtId="0" fontId="74" fillId="0" borderId="1" xfId="215" applyNumberFormat="1" applyFont="1" applyFill="1" applyBorder="1" applyAlignment="1" applyProtection="1">
      <alignment horizontal="center" vertical="center" wrapText="1"/>
    </xf>
    <xf numFmtId="0" fontId="74" fillId="0" borderId="39" xfId="215" applyFont="1" applyFill="1" applyBorder="1" applyAlignment="1">
      <alignment horizontal="center" vertical="center" wrapText="1"/>
    </xf>
    <xf numFmtId="0" fontId="46" fillId="0" borderId="40" xfId="206" applyNumberFormat="1" applyFont="1" applyFill="1" applyBorder="1" applyAlignment="1" applyProtection="1">
      <alignment horizontal="center" vertical="center" wrapText="1"/>
    </xf>
    <xf numFmtId="0" fontId="46" fillId="0" borderId="40" xfId="206" applyFont="1" applyFill="1" applyBorder="1" applyAlignment="1">
      <alignment horizontal="center" vertical="center" wrapText="1"/>
    </xf>
    <xf numFmtId="0" fontId="39" fillId="0" borderId="43" xfId="206" applyFont="1" applyFill="1" applyBorder="1" applyAlignment="1">
      <alignment horizontal="center" vertical="center"/>
    </xf>
    <xf numFmtId="0" fontId="65" fillId="0" borderId="43" xfId="206" applyFont="1" applyFill="1" applyBorder="1" applyAlignment="1">
      <alignment horizontal="center" vertical="center" wrapText="1"/>
    </xf>
    <xf numFmtId="0" fontId="46" fillId="0" borderId="43" xfId="206" applyNumberFormat="1" applyFont="1" applyFill="1" applyBorder="1" applyAlignment="1" applyProtection="1">
      <alignment horizontal="center" vertical="center" wrapText="1"/>
    </xf>
    <xf numFmtId="0" fontId="46" fillId="6" borderId="43" xfId="2" applyFont="1" applyFill="1" applyBorder="1" applyAlignment="1">
      <alignment horizontal="center" vertical="center" wrapText="1"/>
    </xf>
    <xf numFmtId="0" fontId="48" fillId="0" borderId="20" xfId="2" applyFont="1" applyFill="1" applyBorder="1" applyAlignment="1">
      <alignment horizontal="center" vertical="center" wrapText="1"/>
    </xf>
    <xf numFmtId="0" fontId="48" fillId="0" borderId="43" xfId="206" applyFont="1" applyFill="1" applyBorder="1" applyAlignment="1">
      <alignment horizontal="center" vertical="center" wrapText="1"/>
    </xf>
    <xf numFmtId="0" fontId="46" fillId="0" borderId="20" xfId="206" applyFont="1" applyFill="1" applyBorder="1" applyAlignment="1">
      <alignment horizontal="center" vertical="center"/>
    </xf>
    <xf numFmtId="0" fontId="48" fillId="0" borderId="20" xfId="206" applyFont="1" applyFill="1" applyBorder="1" applyAlignment="1">
      <alignment horizontal="center" vertical="center"/>
    </xf>
    <xf numFmtId="0" fontId="39" fillId="0" borderId="13" xfId="206" applyFont="1" applyFill="1" applyBorder="1" applyAlignment="1">
      <alignment horizontal="center" vertical="center"/>
    </xf>
    <xf numFmtId="0" fontId="65" fillId="0" borderId="1" xfId="206" applyFont="1" applyFill="1" applyBorder="1" applyAlignment="1">
      <alignment horizontal="center" vertical="center" wrapText="1"/>
    </xf>
    <xf numFmtId="0" fontId="65" fillId="0" borderId="1" xfId="206" applyNumberFormat="1" applyFont="1" applyFill="1" applyBorder="1" applyAlignment="1" applyProtection="1">
      <alignment horizontal="center" vertical="center" wrapText="1"/>
    </xf>
    <xf numFmtId="0" fontId="69" fillId="0" borderId="10" xfId="206" applyNumberFormat="1" applyFont="1" applyFill="1" applyBorder="1" applyAlignment="1" applyProtection="1">
      <alignment horizontal="center" vertical="center" wrapText="1"/>
    </xf>
    <xf numFmtId="0" fontId="47" fillId="0" borderId="4" xfId="206" applyNumberFormat="1" applyFont="1" applyFill="1" applyBorder="1" applyAlignment="1" applyProtection="1">
      <alignment horizontal="center" vertical="center" wrapText="1"/>
    </xf>
    <xf numFmtId="0" fontId="46" fillId="0" borderId="13" xfId="206" applyNumberFormat="1" applyFont="1" applyFill="1" applyBorder="1" applyAlignment="1" applyProtection="1">
      <alignment horizontal="center" vertical="center"/>
    </xf>
    <xf numFmtId="0" fontId="46" fillId="0" borderId="13" xfId="206" applyFont="1" applyFill="1" applyBorder="1" applyAlignment="1">
      <alignment horizontal="center" vertical="center" wrapText="1"/>
    </xf>
    <xf numFmtId="0" fontId="48" fillId="0" borderId="18" xfId="206" applyFont="1" applyFill="1" applyBorder="1" applyAlignment="1">
      <alignment horizontal="center" vertical="center"/>
    </xf>
    <xf numFmtId="0" fontId="69" fillId="4" borderId="11" xfId="206" applyFont="1" applyFill="1" applyBorder="1" applyAlignment="1">
      <alignment horizontal="center" vertical="center"/>
    </xf>
    <xf numFmtId="0" fontId="69" fillId="0" borderId="12" xfId="2" applyFont="1" applyFill="1" applyBorder="1" applyAlignment="1">
      <alignment horizontal="center" vertical="center" wrapText="1"/>
    </xf>
    <xf numFmtId="0" fontId="46" fillId="4" borderId="13" xfId="206" applyNumberFormat="1" applyFont="1" applyFill="1" applyBorder="1" applyAlignment="1" applyProtection="1">
      <alignment horizontal="center" vertical="center" wrapText="1"/>
    </xf>
    <xf numFmtId="0" fontId="46" fillId="6" borderId="1" xfId="206" applyNumberFormat="1" applyFont="1" applyFill="1" applyBorder="1" applyAlignment="1" applyProtection="1">
      <alignment horizontal="center" vertical="center" wrapText="1"/>
    </xf>
    <xf numFmtId="0" fontId="74" fillId="0" borderId="1" xfId="216" applyFont="1" applyBorder="1" applyAlignment="1">
      <alignment horizontal="center" vertical="center" wrapText="1"/>
    </xf>
    <xf numFmtId="0" fontId="39" fillId="0" borderId="46" xfId="206" applyFont="1" applyFill="1" applyBorder="1" applyAlignment="1">
      <alignment horizontal="center" vertical="center"/>
    </xf>
    <xf numFmtId="0" fontId="47" fillId="0" borderId="40" xfId="206" applyNumberFormat="1" applyFont="1" applyFill="1" applyBorder="1" applyAlignment="1" applyProtection="1">
      <alignment horizontal="center" vertical="center" wrapText="1"/>
    </xf>
    <xf numFmtId="0" fontId="74" fillId="0" borderId="40" xfId="215" applyFont="1" applyBorder="1" applyAlignment="1">
      <alignment horizontal="center" vertical="center"/>
    </xf>
    <xf numFmtId="0" fontId="74" fillId="0" borderId="40" xfId="215" applyFont="1" applyBorder="1" applyAlignment="1">
      <alignment horizontal="center" vertical="center" wrapText="1"/>
    </xf>
    <xf numFmtId="0" fontId="46" fillId="0" borderId="40" xfId="206" applyFont="1" applyFill="1" applyBorder="1" applyAlignment="1">
      <alignment horizontal="center" vertical="center"/>
    </xf>
    <xf numFmtId="0" fontId="43" fillId="0" borderId="13" xfId="206" applyNumberFormat="1" applyFont="1" applyFill="1" applyBorder="1" applyAlignment="1" applyProtection="1">
      <alignment horizontal="center" vertical="center"/>
    </xf>
    <xf numFmtId="0" fontId="65" fillId="0" borderId="29" xfId="206" applyFont="1" applyFill="1" applyBorder="1" applyAlignment="1">
      <alignment horizontal="center" vertical="center" wrapText="1"/>
    </xf>
    <xf numFmtId="0" fontId="46" fillId="0" borderId="13" xfId="206" applyFont="1" applyFill="1" applyBorder="1" applyAlignment="1">
      <alignment horizontal="center" vertical="center"/>
    </xf>
    <xf numFmtId="0" fontId="39" fillId="0" borderId="40" xfId="206" applyFont="1" applyBorder="1" applyAlignment="1">
      <alignment horizontal="center" vertical="center"/>
    </xf>
    <xf numFmtId="0" fontId="47" fillId="5" borderId="40" xfId="206" applyFont="1" applyFill="1" applyBorder="1" applyAlignment="1">
      <alignment horizontal="center" vertical="center" wrapText="1"/>
    </xf>
    <xf numFmtId="0" fontId="69" fillId="5" borderId="40" xfId="206" applyFont="1" applyFill="1" applyBorder="1" applyAlignment="1">
      <alignment horizontal="center" vertical="center" wrapText="1"/>
    </xf>
    <xf numFmtId="0" fontId="69" fillId="5" borderId="0" xfId="206" applyFont="1" applyFill="1" applyBorder="1" applyAlignment="1">
      <alignment horizontal="center" vertical="center"/>
    </xf>
    <xf numFmtId="0" fontId="69" fillId="5" borderId="11" xfId="206" applyFont="1" applyFill="1" applyBorder="1" applyAlignment="1">
      <alignment horizontal="center" vertical="center"/>
    </xf>
    <xf numFmtId="0" fontId="75" fillId="0" borderId="0" xfId="206" applyFont="1">
      <alignment vertical="center"/>
    </xf>
    <xf numFmtId="0" fontId="75" fillId="0" borderId="0" xfId="206" applyFont="1" applyBorder="1">
      <alignment vertical="center"/>
    </xf>
    <xf numFmtId="0" fontId="39" fillId="0" borderId="64" xfId="206" applyFont="1" applyBorder="1" applyAlignment="1">
      <alignment horizontal="center" vertical="center"/>
    </xf>
    <xf numFmtId="0" fontId="47" fillId="0" borderId="18" xfId="206" applyFont="1" applyFill="1" applyBorder="1" applyAlignment="1">
      <alignment horizontal="center" vertical="center" wrapText="1"/>
    </xf>
    <xf numFmtId="0" fontId="65" fillId="0" borderId="3" xfId="206" applyFont="1" applyFill="1" applyBorder="1" applyAlignment="1">
      <alignment horizontal="center" vertical="center" wrapText="1"/>
    </xf>
    <xf numFmtId="0" fontId="65" fillId="0" borderId="19" xfId="206" applyFont="1" applyFill="1" applyBorder="1" applyAlignment="1">
      <alignment horizontal="center" vertical="center" wrapText="1"/>
    </xf>
    <xf numFmtId="0" fontId="69" fillId="0" borderId="64" xfId="206" applyFont="1" applyFill="1" applyBorder="1" applyAlignment="1">
      <alignment horizontal="center" vertical="center" wrapText="1"/>
    </xf>
    <xf numFmtId="0" fontId="69" fillId="0" borderId="64" xfId="206" applyFont="1" applyFill="1" applyBorder="1" applyAlignment="1">
      <alignment horizontal="center" vertical="center"/>
    </xf>
    <xf numFmtId="0" fontId="69" fillId="0" borderId="18" xfId="206" applyFont="1" applyFill="1" applyBorder="1" applyAlignment="1">
      <alignment horizontal="center" vertical="center"/>
    </xf>
    <xf numFmtId="0" fontId="69" fillId="0" borderId="64" xfId="2" applyFont="1" applyFill="1" applyBorder="1" applyAlignment="1">
      <alignment horizontal="center" vertical="center" wrapText="1"/>
    </xf>
    <xf numFmtId="0" fontId="69" fillId="0" borderId="64" xfId="206" applyNumberFormat="1" applyFont="1" applyFill="1" applyBorder="1" applyAlignment="1" applyProtection="1">
      <alignment horizontal="center" vertical="center" wrapText="1"/>
    </xf>
    <xf numFmtId="0" fontId="69" fillId="0" borderId="18" xfId="206" applyNumberFormat="1" applyFont="1" applyFill="1" applyBorder="1" applyAlignment="1" applyProtection="1">
      <alignment horizontal="center" vertical="center" wrapText="1"/>
    </xf>
    <xf numFmtId="0" fontId="69" fillId="0" borderId="18" xfId="206" applyFont="1" applyFill="1" applyBorder="1" applyAlignment="1">
      <alignment horizontal="center" vertical="center" wrapText="1"/>
    </xf>
    <xf numFmtId="0" fontId="70" fillId="0" borderId="0" xfId="206" applyFont="1" applyFill="1" applyAlignment="1">
      <alignment horizontal="center" vertical="center"/>
    </xf>
    <xf numFmtId="0" fontId="1" fillId="0" borderId="0" xfId="206" applyFill="1" applyAlignment="1">
      <alignment horizontal="center" vertical="center"/>
    </xf>
    <xf numFmtId="0" fontId="44" fillId="0" borderId="18" xfId="206" applyFont="1" applyFill="1" applyBorder="1" applyAlignment="1">
      <alignment horizontal="center" vertical="center"/>
    </xf>
    <xf numFmtId="0" fontId="46" fillId="4" borderId="43" xfId="206" applyFont="1" applyFill="1" applyBorder="1" applyAlignment="1">
      <alignment horizontal="center" vertical="center" wrapText="1"/>
    </xf>
    <xf numFmtId="0" fontId="46" fillId="0" borderId="18" xfId="206" applyFont="1" applyFill="1" applyBorder="1" applyAlignment="1">
      <alignment horizontal="center" vertical="center" wrapText="1"/>
    </xf>
    <xf numFmtId="0" fontId="44" fillId="0" borderId="1" xfId="206" applyFont="1" applyFill="1" applyBorder="1" applyAlignment="1">
      <alignment horizontal="center" vertical="center"/>
    </xf>
    <xf numFmtId="0" fontId="44" fillId="0" borderId="40" xfId="206" applyFont="1" applyFill="1" applyBorder="1" applyAlignment="1">
      <alignment horizontal="center" vertical="center"/>
    </xf>
    <xf numFmtId="0" fontId="46" fillId="4" borderId="40" xfId="206" applyFont="1" applyFill="1" applyBorder="1" applyAlignment="1">
      <alignment horizontal="center" vertical="center" wrapText="1"/>
    </xf>
    <xf numFmtId="0" fontId="46" fillId="4" borderId="40" xfId="206" applyNumberFormat="1" applyFont="1" applyFill="1" applyBorder="1" applyAlignment="1" applyProtection="1">
      <alignment horizontal="center" vertical="center" wrapText="1"/>
    </xf>
    <xf numFmtId="0" fontId="77" fillId="0" borderId="6" xfId="206" applyFont="1" applyFill="1" applyBorder="1" applyAlignment="1">
      <alignment horizontal="center" vertical="center" wrapText="1"/>
    </xf>
    <xf numFmtId="0" fontId="77" fillId="0" borderId="0" xfId="206" applyFont="1" applyFill="1" applyBorder="1" applyAlignment="1">
      <alignment horizontal="center" vertical="center" wrapText="1"/>
    </xf>
    <xf numFmtId="0" fontId="57" fillId="0" borderId="0" xfId="206" applyNumberFormat="1" applyFont="1" applyFill="1" applyBorder="1" applyAlignment="1" applyProtection="1">
      <alignment horizontal="center" vertical="center"/>
    </xf>
    <xf numFmtId="0" fontId="65" fillId="0" borderId="0" xfId="206" applyFont="1" applyFill="1" applyBorder="1" applyAlignment="1">
      <alignment horizontal="center" vertical="center" wrapText="1"/>
    </xf>
    <xf numFmtId="0" fontId="55" fillId="2" borderId="49" xfId="206" applyNumberFormat="1" applyFont="1" applyFill="1" applyBorder="1" applyAlignment="1" applyProtection="1">
      <alignment horizontal="center" vertical="center" wrapText="1"/>
    </xf>
    <xf numFmtId="0" fontId="55" fillId="2" borderId="50" xfId="206" applyNumberFormat="1" applyFont="1" applyFill="1" applyBorder="1" applyAlignment="1" applyProtection="1">
      <alignment horizontal="center" vertical="center" wrapText="1"/>
    </xf>
    <xf numFmtId="0" fontId="55" fillId="2" borderId="50" xfId="206" applyNumberFormat="1" applyFont="1" applyFill="1" applyBorder="1" applyAlignment="1" applyProtection="1">
      <alignment horizontal="center" vertical="center"/>
    </xf>
    <xf numFmtId="0" fontId="55" fillId="2" borderId="51" xfId="206" applyNumberFormat="1" applyFont="1" applyFill="1" applyBorder="1" applyAlignment="1" applyProtection="1">
      <alignment horizontal="center" vertical="center" wrapText="1"/>
    </xf>
    <xf numFmtId="0" fontId="46" fillId="0" borderId="52" xfId="206" applyFont="1" applyBorder="1" applyAlignment="1">
      <alignment horizontal="center" vertical="center" wrapText="1"/>
    </xf>
    <xf numFmtId="0" fontId="74" fillId="0" borderId="4" xfId="206" applyFont="1" applyBorder="1" applyAlignment="1">
      <alignment horizontal="center" vertical="center" wrapText="1"/>
    </xf>
    <xf numFmtId="0" fontId="46" fillId="0" borderId="1" xfId="206" applyFont="1" applyBorder="1" applyAlignment="1">
      <alignment horizontal="center" vertical="center" wrapText="1"/>
    </xf>
    <xf numFmtId="0" fontId="74" fillId="0" borderId="1" xfId="206" applyFont="1" applyBorder="1" applyAlignment="1">
      <alignment horizontal="center" vertical="center" wrapText="1"/>
    </xf>
    <xf numFmtId="0" fontId="46" fillId="0" borderId="1" xfId="206" applyFont="1" applyBorder="1" applyAlignment="1">
      <alignment horizontal="center" vertical="center"/>
    </xf>
    <xf numFmtId="0" fontId="46" fillId="0" borderId="11" xfId="206" applyFont="1" applyBorder="1">
      <alignment vertical="center"/>
    </xf>
    <xf numFmtId="0" fontId="74" fillId="0" borderId="1" xfId="206" applyFont="1" applyFill="1" applyBorder="1" applyAlignment="1">
      <alignment horizontal="center" vertical="center" wrapText="1"/>
    </xf>
    <xf numFmtId="0" fontId="46" fillId="0" borderId="53" xfId="206" applyFont="1" applyFill="1" applyBorder="1" applyAlignment="1">
      <alignment horizontal="center" vertical="center" wrapText="1"/>
    </xf>
    <xf numFmtId="0" fontId="75" fillId="0" borderId="0" xfId="206" applyFont="1" applyAlignment="1">
      <alignment horizontal="center" vertical="center"/>
    </xf>
    <xf numFmtId="0" fontId="46" fillId="0" borderId="54" xfId="206" applyFont="1" applyBorder="1" applyAlignment="1">
      <alignment horizontal="center" vertical="center" wrapText="1"/>
    </xf>
    <xf numFmtId="0" fontId="46" fillId="0" borderId="28" xfId="206" applyFont="1" applyBorder="1" applyAlignment="1">
      <alignment horizontal="center" vertical="center"/>
    </xf>
    <xf numFmtId="0" fontId="46" fillId="0" borderId="21" xfId="206" applyFont="1" applyBorder="1" applyAlignment="1">
      <alignment horizontal="center" vertical="center"/>
    </xf>
    <xf numFmtId="0" fontId="46" fillId="0" borderId="1" xfId="206" applyFont="1" applyBorder="1">
      <alignment vertical="center"/>
    </xf>
    <xf numFmtId="0" fontId="78" fillId="0" borderId="1" xfId="206" applyFont="1" applyBorder="1" applyAlignment="1">
      <alignment horizontal="center" vertical="center" wrapText="1"/>
    </xf>
    <xf numFmtId="0" fontId="46" fillId="0" borderId="53" xfId="206" applyFont="1" applyBorder="1" applyAlignment="1">
      <alignment horizontal="center" vertical="center" wrapText="1"/>
    </xf>
    <xf numFmtId="0" fontId="46" fillId="0" borderId="10" xfId="206" applyFont="1" applyBorder="1" applyAlignment="1">
      <alignment horizontal="center" vertical="center" wrapText="1"/>
    </xf>
    <xf numFmtId="0" fontId="46" fillId="0" borderId="53" xfId="206" applyFont="1" applyBorder="1" applyAlignment="1">
      <alignment horizontal="center" vertical="center"/>
    </xf>
    <xf numFmtId="0" fontId="46" fillId="0" borderId="55" xfId="206" applyFont="1" applyBorder="1" applyAlignment="1">
      <alignment horizontal="center" vertical="center" wrapText="1"/>
    </xf>
    <xf numFmtId="0" fontId="46" fillId="0" borderId="23" xfId="206" applyFont="1" applyBorder="1" applyAlignment="1">
      <alignment horizontal="center" vertical="center" wrapText="1"/>
    </xf>
    <xf numFmtId="0" fontId="46" fillId="0" borderId="30" xfId="206" applyFont="1" applyBorder="1" applyAlignment="1">
      <alignment horizontal="center" vertical="center" wrapText="1"/>
    </xf>
    <xf numFmtId="0" fontId="74" fillId="0" borderId="30" xfId="206" applyFont="1" applyBorder="1" applyAlignment="1">
      <alignment horizontal="center" vertical="center" wrapText="1"/>
    </xf>
    <xf numFmtId="0" fontId="46" fillId="0" borderId="23" xfId="206" applyFont="1" applyBorder="1">
      <alignment vertical="center"/>
    </xf>
    <xf numFmtId="0" fontId="74" fillId="0" borderId="56" xfId="206" applyFont="1" applyBorder="1" applyAlignment="1">
      <alignment horizontal="center" vertical="center" wrapText="1"/>
    </xf>
    <xf numFmtId="0" fontId="74" fillId="0" borderId="23" xfId="206" applyFont="1" applyBorder="1" applyAlignment="1">
      <alignment horizontal="center" vertical="center" wrapText="1"/>
    </xf>
    <xf numFmtId="0" fontId="46" fillId="0" borderId="57" xfId="206" applyFont="1" applyBorder="1" applyAlignment="1">
      <alignment horizontal="center" vertical="center" wrapText="1"/>
    </xf>
    <xf numFmtId="0" fontId="46" fillId="0" borderId="0" xfId="206" applyFont="1" applyBorder="1" applyAlignment="1">
      <alignment horizontal="center" vertical="center" wrapText="1"/>
    </xf>
    <xf numFmtId="0" fontId="78" fillId="0" borderId="0" xfId="206" applyFont="1" applyBorder="1" applyAlignment="1">
      <alignment horizontal="center" vertical="center" wrapText="1"/>
    </xf>
    <xf numFmtId="0" fontId="74" fillId="0" borderId="0" xfId="206" applyFont="1" applyBorder="1" applyAlignment="1">
      <alignment horizontal="center" vertical="center" wrapText="1"/>
    </xf>
    <xf numFmtId="0" fontId="46" fillId="0" borderId="0" xfId="206" applyFont="1" applyBorder="1">
      <alignment vertical="center"/>
    </xf>
    <xf numFmtId="0" fontId="1" fillId="0" borderId="0" xfId="206" applyFill="1" applyAlignment="1">
      <alignment vertical="center"/>
    </xf>
    <xf numFmtId="0" fontId="1" fillId="0" borderId="58" xfId="206" applyBorder="1" applyAlignment="1">
      <alignment vertical="center" wrapText="1"/>
    </xf>
    <xf numFmtId="0" fontId="1" fillId="0" borderId="58" xfId="206" applyBorder="1" applyAlignment="1">
      <alignment horizontal="center" vertical="center"/>
    </xf>
    <xf numFmtId="0" fontId="56" fillId="0" borderId="58" xfId="206" applyFont="1" applyBorder="1">
      <alignment vertical="center"/>
    </xf>
    <xf numFmtId="0" fontId="70" fillId="0" borderId="58" xfId="206" applyFont="1" applyBorder="1" applyAlignment="1">
      <alignment horizontal="center" vertical="center"/>
    </xf>
    <xf numFmtId="0" fontId="0" fillId="0" borderId="4" xfId="206" applyFont="1" applyBorder="1" applyAlignment="1">
      <alignment horizontal="center" vertical="center" wrapText="1"/>
    </xf>
    <xf numFmtId="0" fontId="1" fillId="0" borderId="4" xfId="206" applyBorder="1" applyAlignment="1">
      <alignment vertical="center" wrapText="1"/>
    </xf>
    <xf numFmtId="0" fontId="1" fillId="0" borderId="21" xfId="206" applyBorder="1" applyAlignment="1">
      <alignment vertical="center" wrapText="1"/>
    </xf>
    <xf numFmtId="0" fontId="1" fillId="0" borderId="17" xfId="206" applyBorder="1" applyAlignment="1">
      <alignment horizontal="center" vertical="center"/>
    </xf>
    <xf numFmtId="0" fontId="46" fillId="4" borderId="28" xfId="206" applyFont="1" applyFill="1" applyBorder="1" applyAlignment="1">
      <alignment horizontal="center" vertical="center"/>
    </xf>
    <xf numFmtId="0" fontId="48" fillId="4" borderId="17" xfId="206" applyFont="1" applyFill="1" applyBorder="1" applyAlignment="1">
      <alignment horizontal="center" vertical="center"/>
    </xf>
    <xf numFmtId="0" fontId="46" fillId="4" borderId="12" xfId="206" applyFont="1" applyFill="1" applyBorder="1" applyAlignment="1">
      <alignment horizontal="center" vertical="center"/>
    </xf>
    <xf numFmtId="0" fontId="79" fillId="4" borderId="12" xfId="206" applyFont="1" applyFill="1" applyBorder="1" applyAlignment="1">
      <alignment horizontal="center" vertical="center"/>
    </xf>
    <xf numFmtId="0" fontId="56" fillId="0" borderId="21" xfId="206" applyFont="1" applyBorder="1">
      <alignment vertical="center"/>
    </xf>
    <xf numFmtId="0" fontId="56" fillId="0" borderId="12" xfId="206" applyFont="1" applyBorder="1" applyAlignment="1">
      <alignment horizontal="center" vertical="center"/>
    </xf>
    <xf numFmtId="0" fontId="46" fillId="0" borderId="17" xfId="206" applyNumberFormat="1" applyFont="1" applyFill="1" applyBorder="1" applyAlignment="1" applyProtection="1">
      <alignment horizontal="center" vertical="center" wrapText="1"/>
    </xf>
    <xf numFmtId="0" fontId="56" fillId="0" borderId="11" xfId="206" applyFont="1" applyBorder="1" applyAlignment="1">
      <alignment horizontal="center" vertical="center"/>
    </xf>
    <xf numFmtId="0" fontId="80" fillId="0" borderId="1" xfId="206" applyFont="1" applyBorder="1" applyAlignment="1">
      <alignment horizontal="center" vertical="center"/>
    </xf>
    <xf numFmtId="0" fontId="70" fillId="0" borderId="1" xfId="206" applyFont="1" applyBorder="1" applyAlignment="1">
      <alignment horizontal="center" vertical="center"/>
    </xf>
    <xf numFmtId="0" fontId="1" fillId="0" borderId="3" xfId="206" applyBorder="1" applyAlignment="1">
      <alignment horizontal="center" vertical="center"/>
    </xf>
    <xf numFmtId="0" fontId="56" fillId="0" borderId="11" xfId="206" applyFont="1" applyBorder="1">
      <alignment vertical="center"/>
    </xf>
    <xf numFmtId="0" fontId="80" fillId="0" borderId="11" xfId="206" applyFont="1" applyBorder="1" applyAlignment="1">
      <alignment horizontal="center" vertical="center"/>
    </xf>
    <xf numFmtId="0" fontId="70" fillId="0" borderId="10" xfId="206" applyFont="1" applyBorder="1" applyAlignment="1">
      <alignment horizontal="center" vertical="center"/>
    </xf>
    <xf numFmtId="0" fontId="49" fillId="3" borderId="12" xfId="206" applyNumberFormat="1" applyFont="1" applyFill="1" applyBorder="1" applyAlignment="1" applyProtection="1">
      <alignment horizontal="center" vertical="center" wrapText="1"/>
    </xf>
    <xf numFmtId="0" fontId="48" fillId="3" borderId="12" xfId="206" applyNumberFormat="1" applyFont="1" applyFill="1" applyBorder="1" applyAlignment="1" applyProtection="1">
      <alignment horizontal="center" vertical="center" wrapText="1"/>
    </xf>
    <xf numFmtId="0" fontId="46" fillId="3" borderId="12" xfId="217" applyNumberFormat="1" applyFont="1" applyFill="1" applyBorder="1" applyAlignment="1" applyProtection="1">
      <alignment horizontal="center" vertical="center" wrapText="1"/>
    </xf>
    <xf numFmtId="0" fontId="48" fillId="3" borderId="28" xfId="206" applyNumberFormat="1" applyFont="1" applyFill="1" applyBorder="1" applyAlignment="1" applyProtection="1">
      <alignment horizontal="center" vertical="center" wrapText="1"/>
    </xf>
    <xf numFmtId="0" fontId="1" fillId="0" borderId="12" xfId="217" applyFill="1" applyBorder="1">
      <alignment vertical="center"/>
    </xf>
    <xf numFmtId="0" fontId="46" fillId="3" borderId="12" xfId="217" applyFont="1" applyFill="1" applyBorder="1" applyAlignment="1">
      <alignment horizontal="center" vertical="center"/>
    </xf>
    <xf numFmtId="0" fontId="48" fillId="3" borderId="12" xfId="217" applyFont="1" applyFill="1" applyBorder="1" applyAlignment="1">
      <alignment horizontal="center" vertical="center"/>
    </xf>
    <xf numFmtId="0" fontId="59" fillId="0" borderId="28" xfId="217" applyFont="1" applyFill="1" applyBorder="1" applyAlignment="1">
      <alignment horizontal="center" vertical="center"/>
    </xf>
    <xf numFmtId="0" fontId="59" fillId="0" borderId="17" xfId="217" applyFont="1" applyFill="1" applyBorder="1" applyAlignment="1">
      <alignment horizontal="center" vertical="center"/>
    </xf>
    <xf numFmtId="0" fontId="61" fillId="0" borderId="12" xfId="206" applyNumberFormat="1" applyFont="1" applyFill="1" applyBorder="1" applyAlignment="1" applyProtection="1">
      <alignment horizontal="center" vertical="center" wrapText="1"/>
    </xf>
    <xf numFmtId="0" fontId="63" fillId="0" borderId="12" xfId="206" applyFont="1" applyFill="1" applyBorder="1" applyAlignment="1">
      <alignment horizontal="center" vertical="center"/>
    </xf>
    <xf numFmtId="0" fontId="57" fillId="0" borderId="1" xfId="206" applyNumberFormat="1" applyFont="1" applyFill="1" applyBorder="1" applyAlignment="1" applyProtection="1">
      <alignment horizontal="center" vertical="center" wrapText="1"/>
    </xf>
    <xf numFmtId="0" fontId="53" fillId="0" borderId="1" xfId="206" applyNumberFormat="1" applyFont="1" applyFill="1" applyBorder="1" applyAlignment="1" applyProtection="1">
      <alignment horizontal="center" vertical="center" wrapText="1"/>
    </xf>
    <xf numFmtId="0" fontId="52" fillId="0" borderId="12" xfId="206" applyNumberFormat="1" applyFont="1" applyFill="1" applyBorder="1" applyAlignment="1" applyProtection="1">
      <alignment horizontal="center" vertical="center" wrapText="1"/>
    </xf>
    <xf numFmtId="0" fontId="62" fillId="0" borderId="12" xfId="206" applyNumberFormat="1" applyFont="1" applyFill="1" applyBorder="1" applyAlignment="1" applyProtection="1">
      <alignment horizontal="center" vertical="center" wrapText="1"/>
    </xf>
    <xf numFmtId="0" fontId="62" fillId="0" borderId="1" xfId="206" applyNumberFormat="1" applyFont="1" applyFill="1" applyBorder="1" applyAlignment="1" applyProtection="1">
      <alignment horizontal="center" vertical="center" wrapText="1"/>
    </xf>
    <xf numFmtId="0" fontId="57" fillId="0" borderId="12" xfId="206" applyNumberFormat="1" applyFont="1" applyFill="1" applyBorder="1" applyAlignment="1" applyProtection="1">
      <alignment horizontal="center" vertical="center" wrapText="1"/>
    </xf>
    <xf numFmtId="0" fontId="62" fillId="0" borderId="12" xfId="206" applyNumberFormat="1" applyFont="1" applyFill="1" applyBorder="1" applyAlignment="1" applyProtection="1">
      <alignment horizontal="center" vertical="center"/>
    </xf>
    <xf numFmtId="0" fontId="62" fillId="0" borderId="1" xfId="206" applyNumberFormat="1" applyFont="1" applyFill="1" applyBorder="1" applyAlignment="1" applyProtection="1">
      <alignment horizontal="center" vertical="center"/>
    </xf>
    <xf numFmtId="0" fontId="61" fillId="0" borderId="1" xfId="206" applyNumberFormat="1" applyFont="1" applyFill="1" applyBorder="1" applyAlignment="1" applyProtection="1">
      <alignment horizontal="center" vertical="center" wrapText="1"/>
    </xf>
    <xf numFmtId="0" fontId="57" fillId="0" borderId="1" xfId="206" applyNumberFormat="1" applyFont="1" applyFill="1" applyBorder="1" applyAlignment="1" applyProtection="1">
      <alignment horizontal="center" vertical="center"/>
    </xf>
    <xf numFmtId="0" fontId="63" fillId="0" borderId="1" xfId="206" applyFont="1" applyFill="1" applyBorder="1" applyAlignment="1">
      <alignment horizontal="center" vertical="center"/>
    </xf>
    <xf numFmtId="0" fontId="62" fillId="0" borderId="1" xfId="206" applyFont="1" applyFill="1" applyBorder="1" applyAlignment="1">
      <alignment horizontal="center" vertical="center" wrapText="1"/>
    </xf>
    <xf numFmtId="0" fontId="1" fillId="0" borderId="11" xfId="206" applyBorder="1">
      <alignment vertical="center"/>
    </xf>
    <xf numFmtId="0" fontId="62" fillId="0" borderId="1" xfId="206" applyFont="1" applyFill="1" applyBorder="1" applyAlignment="1">
      <alignment horizontal="center" vertical="center"/>
    </xf>
    <xf numFmtId="0" fontId="53" fillId="0" borderId="1" xfId="206" applyNumberFormat="1" applyFont="1" applyFill="1" applyBorder="1" applyAlignment="1" applyProtection="1">
      <alignment horizontal="center" vertical="center"/>
    </xf>
    <xf numFmtId="0" fontId="64" fillId="0" borderId="12" xfId="206" applyFont="1" applyFill="1" applyBorder="1" applyAlignment="1">
      <alignment horizontal="center" vertical="center" wrapText="1"/>
    </xf>
    <xf numFmtId="0" fontId="57" fillId="0" borderId="12" xfId="206" applyNumberFormat="1" applyFont="1" applyFill="1" applyBorder="1" applyAlignment="1" applyProtection="1">
      <alignment horizontal="center" vertical="center"/>
    </xf>
    <xf numFmtId="0" fontId="62" fillId="0" borderId="12" xfId="206" applyFont="1" applyFill="1" applyBorder="1" applyAlignment="1">
      <alignment horizontal="center" vertical="center" wrapText="1"/>
    </xf>
    <xf numFmtId="0" fontId="63" fillId="0" borderId="12" xfId="206" applyFont="1" applyFill="1" applyBorder="1" applyAlignment="1">
      <alignment horizontal="center" vertical="center" wrapText="1"/>
    </xf>
    <xf numFmtId="0" fontId="53" fillId="0" borderId="12" xfId="206" applyFont="1" applyFill="1" applyBorder="1" applyAlignment="1">
      <alignment horizontal="center" vertical="center" wrapText="1"/>
    </xf>
    <xf numFmtId="0" fontId="62" fillId="0" borderId="12" xfId="206" applyFont="1" applyFill="1" applyBorder="1" applyAlignment="1">
      <alignment horizontal="center" vertical="center"/>
    </xf>
    <xf numFmtId="0" fontId="63" fillId="3" borderId="1" xfId="206" applyNumberFormat="1" applyFont="1" applyFill="1" applyBorder="1" applyAlignment="1" applyProtection="1">
      <alignment horizontal="center" vertical="center" wrapText="1"/>
    </xf>
    <xf numFmtId="0" fontId="1" fillId="0" borderId="38" xfId="206" applyBorder="1" applyAlignment="1">
      <alignment vertical="center" wrapText="1"/>
    </xf>
    <xf numFmtId="0" fontId="70" fillId="0" borderId="21" xfId="206" applyFont="1" applyBorder="1" applyAlignment="1">
      <alignment horizontal="center" vertical="center"/>
    </xf>
    <xf numFmtId="0" fontId="1" fillId="0" borderId="0" xfId="206" applyBorder="1" applyAlignment="1">
      <alignment horizontal="center" vertical="center"/>
    </xf>
    <xf numFmtId="0" fontId="1" fillId="0" borderId="12" xfId="206" applyBorder="1" applyAlignment="1">
      <alignment horizontal="center" vertical="center"/>
    </xf>
    <xf numFmtId="0" fontId="56" fillId="0" borderId="0" xfId="206" applyFont="1" applyBorder="1">
      <alignment vertical="center"/>
    </xf>
    <xf numFmtId="0" fontId="1" fillId="0" borderId="28" xfId="206" applyBorder="1" applyAlignment="1">
      <alignment horizontal="center" vertical="center"/>
    </xf>
    <xf numFmtId="0" fontId="1" fillId="0" borderId="28" xfId="206" applyFill="1" applyBorder="1" applyAlignment="1">
      <alignment horizontal="center" vertical="center"/>
    </xf>
    <xf numFmtId="0" fontId="70" fillId="0" borderId="0" xfId="206" applyFont="1" applyBorder="1" applyAlignment="1">
      <alignment horizontal="center" vertical="center"/>
    </xf>
    <xf numFmtId="0" fontId="70" fillId="0" borderId="13" xfId="206" applyFont="1" applyBorder="1" applyAlignment="1">
      <alignment horizontal="center" vertical="center"/>
    </xf>
    <xf numFmtId="0" fontId="46" fillId="0" borderId="0" xfId="2" applyFont="1" applyFill="1" applyBorder="1" applyAlignment="1">
      <alignment horizontal="center" vertical="center" wrapText="1"/>
    </xf>
    <xf numFmtId="0" fontId="46" fillId="0" borderId="0" xfId="206" applyFont="1" applyFill="1" applyBorder="1" applyAlignment="1">
      <alignment horizontal="center" vertical="center" wrapText="1"/>
    </xf>
    <xf numFmtId="0" fontId="46" fillId="0" borderId="0" xfId="206" applyNumberFormat="1" applyFont="1" applyFill="1" applyBorder="1" applyAlignment="1" applyProtection="1">
      <alignment horizontal="center" vertical="center" wrapText="1"/>
    </xf>
    <xf numFmtId="0" fontId="46" fillId="7" borderId="12" xfId="2" applyFont="1" applyFill="1" applyBorder="1" applyAlignment="1">
      <alignment horizontal="center" vertical="center" wrapText="1"/>
    </xf>
    <xf numFmtId="0" fontId="76" fillId="3" borderId="1" xfId="206" applyNumberFormat="1" applyFont="1" applyFill="1" applyBorder="1" applyAlignment="1" applyProtection="1">
      <alignment horizontal="center" vertical="center" wrapText="1"/>
    </xf>
    <xf numFmtId="0" fontId="76" fillId="3" borderId="1" xfId="208" applyNumberFormat="1" applyFont="1" applyFill="1" applyBorder="1" applyAlignment="1" applyProtection="1">
      <alignment horizontal="center" vertical="center" wrapText="1"/>
    </xf>
    <xf numFmtId="0" fontId="76" fillId="3" borderId="1" xfId="2" applyFont="1" applyFill="1" applyBorder="1" applyAlignment="1">
      <alignment horizontal="center" vertical="center" wrapText="1"/>
    </xf>
    <xf numFmtId="0" fontId="76" fillId="7" borderId="1" xfId="213" applyNumberFormat="1" applyFont="1" applyFill="1" applyBorder="1" applyAlignment="1" applyProtection="1">
      <alignment horizontal="center" vertical="center" wrapText="1"/>
    </xf>
    <xf numFmtId="0" fontId="76" fillId="7" borderId="12" xfId="213" applyNumberFormat="1" applyFont="1" applyFill="1" applyBorder="1" applyAlignment="1" applyProtection="1">
      <alignment horizontal="center" vertical="center" wrapText="1"/>
    </xf>
    <xf numFmtId="0" fontId="69" fillId="7" borderId="1" xfId="213" applyFont="1" applyFill="1" applyBorder="1" applyAlignment="1">
      <alignment horizontal="center" vertical="center"/>
    </xf>
    <xf numFmtId="0" fontId="69" fillId="5" borderId="4" xfId="219" applyFont="1" applyFill="1" applyBorder="1" applyAlignment="1">
      <alignment horizontal="center" vertical="center"/>
    </xf>
    <xf numFmtId="0" fontId="69" fillId="5" borderId="1" xfId="219" applyNumberFormat="1" applyFont="1" applyFill="1" applyBorder="1" applyAlignment="1" applyProtection="1">
      <alignment horizontal="center" vertical="center" wrapText="1"/>
    </xf>
    <xf numFmtId="0" fontId="69" fillId="5" borderId="10" xfId="219" applyNumberFormat="1" applyFont="1" applyFill="1" applyBorder="1" applyAlignment="1" applyProtection="1">
      <alignment horizontal="center" vertical="center" wrapText="1"/>
    </xf>
    <xf numFmtId="0" fontId="69" fillId="5" borderId="12" xfId="219" applyFont="1" applyFill="1" applyBorder="1" applyAlignment="1">
      <alignment horizontal="center" vertical="center" wrapText="1"/>
    </xf>
    <xf numFmtId="0" fontId="69" fillId="5" borderId="1" xfId="219" applyFont="1" applyFill="1" applyBorder="1" applyAlignment="1">
      <alignment horizontal="center" vertical="center"/>
    </xf>
    <xf numFmtId="0" fontId="69" fillId="5" borderId="13" xfId="219" applyFont="1" applyFill="1" applyBorder="1" applyAlignment="1">
      <alignment horizontal="center" vertical="center" wrapText="1"/>
    </xf>
    <xf numFmtId="0" fontId="46" fillId="0" borderId="12" xfId="219" applyNumberFormat="1" applyFont="1" applyFill="1" applyBorder="1" applyAlignment="1" applyProtection="1">
      <alignment horizontal="center" vertical="center" wrapText="1"/>
    </xf>
    <xf numFmtId="0" fontId="46" fillId="0" borderId="1" xfId="219" applyNumberFormat="1" applyFont="1" applyFill="1" applyBorder="1" applyAlignment="1" applyProtection="1">
      <alignment horizontal="center" vertical="center" wrapText="1"/>
    </xf>
    <xf numFmtId="0" fontId="46" fillId="0" borderId="1" xfId="219" applyFont="1" applyFill="1" applyBorder="1" applyAlignment="1">
      <alignment horizontal="center" vertical="center" wrapText="1"/>
    </xf>
    <xf numFmtId="0" fontId="46" fillId="0" borderId="13" xfId="219" applyFont="1" applyFill="1" applyBorder="1" applyAlignment="1">
      <alignment horizontal="center" vertical="center" wrapText="1"/>
    </xf>
    <xf numFmtId="0" fontId="69" fillId="0" borderId="1" xfId="219" applyFont="1" applyFill="1" applyBorder="1" applyAlignment="1">
      <alignment horizontal="center" vertical="center"/>
    </xf>
    <xf numFmtId="0" fontId="69" fillId="0" borderId="40" xfId="219" applyNumberFormat="1" applyFont="1" applyFill="1" applyBorder="1" applyAlignment="1" applyProtection="1">
      <alignment horizontal="center" vertical="center" wrapText="1"/>
    </xf>
    <xf numFmtId="0" fontId="69" fillId="0" borderId="0" xfId="204" applyFont="1" applyFill="1" applyAlignment="1">
      <alignment horizontal="center" vertical="center"/>
    </xf>
    <xf numFmtId="0" fontId="69" fillId="7" borderId="13" xfId="213" applyNumberFormat="1" applyFont="1" applyFill="1" applyBorder="1" applyAlignment="1" applyProtection="1">
      <alignment horizontal="center" vertical="center" wrapText="1"/>
    </xf>
    <xf numFmtId="0" fontId="69" fillId="7" borderId="38" xfId="213" applyNumberFormat="1" applyFont="1" applyFill="1" applyBorder="1" applyAlignment="1" applyProtection="1">
      <alignment horizontal="center" vertical="center" wrapText="1"/>
    </xf>
    <xf numFmtId="0" fontId="69" fillId="7" borderId="62" xfId="213" applyNumberFormat="1" applyFont="1" applyFill="1" applyBorder="1" applyAlignment="1" applyProtection="1">
      <alignment horizontal="center" vertical="center" wrapText="1"/>
    </xf>
    <xf numFmtId="0" fontId="69" fillId="7" borderId="1" xfId="213" applyNumberFormat="1" applyFont="1" applyFill="1" applyBorder="1" applyAlignment="1" applyProtection="1">
      <alignment horizontal="center" vertical="center" wrapText="1"/>
    </xf>
    <xf numFmtId="0" fontId="69" fillId="7" borderId="1" xfId="213" applyFont="1" applyFill="1" applyBorder="1" applyAlignment="1">
      <alignment horizontal="center" vertical="center" wrapText="1"/>
    </xf>
    <xf numFmtId="0" fontId="46" fillId="7" borderId="1" xfId="213" applyFont="1" applyFill="1" applyBorder="1" applyAlignment="1">
      <alignment horizontal="center" vertical="center"/>
    </xf>
    <xf numFmtId="0" fontId="48" fillId="0" borderId="0" xfId="209" applyFont="1" applyFill="1" applyAlignment="1">
      <alignment horizontal="center" vertical="center"/>
    </xf>
    <xf numFmtId="0" fontId="69" fillId="0" borderId="1" xfId="209" applyFont="1" applyFill="1" applyBorder="1" applyAlignment="1">
      <alignment horizontal="center" vertical="center" wrapText="1"/>
    </xf>
    <xf numFmtId="0" fontId="69" fillId="0" borderId="10" xfId="209" applyNumberFormat="1" applyFont="1" applyFill="1" applyBorder="1" applyAlignment="1" applyProtection="1">
      <alignment horizontal="center" vertical="center" wrapText="1"/>
    </xf>
    <xf numFmtId="0" fontId="69" fillId="7" borderId="13" xfId="2" applyFont="1" applyFill="1" applyBorder="1" applyAlignment="1">
      <alignment horizontal="center" vertical="center" wrapText="1"/>
    </xf>
    <xf numFmtId="0" fontId="69" fillId="7" borderId="1" xfId="209" applyFont="1" applyFill="1" applyBorder="1" applyAlignment="1">
      <alignment horizontal="center" vertical="center"/>
    </xf>
    <xf numFmtId="0" fontId="69" fillId="0" borderId="43" xfId="209" applyFont="1" applyFill="1" applyBorder="1" applyAlignment="1">
      <alignment horizontal="center" vertical="center" wrapText="1"/>
    </xf>
    <xf numFmtId="0" fontId="69" fillId="0" borderId="12" xfId="209" applyFont="1" applyFill="1" applyBorder="1" applyAlignment="1">
      <alignment horizontal="center" vertical="center"/>
    </xf>
    <xf numFmtId="0" fontId="69" fillId="0" borderId="1" xfId="209" applyFont="1" applyFill="1" applyBorder="1" applyAlignment="1">
      <alignment horizontal="center" vertical="center"/>
    </xf>
    <xf numFmtId="0" fontId="46" fillId="0" borderId="12" xfId="2" applyFont="1" applyBorder="1" applyAlignment="1">
      <alignment horizontal="center" vertical="center"/>
    </xf>
    <xf numFmtId="0" fontId="46" fillId="0" borderId="40" xfId="2" applyFont="1" applyBorder="1" applyAlignment="1">
      <alignment horizontal="center" vertical="center"/>
    </xf>
    <xf numFmtId="0" fontId="46" fillId="0" borderId="18" xfId="2" applyFont="1" applyBorder="1" applyAlignment="1">
      <alignment horizontal="center" vertical="center"/>
    </xf>
    <xf numFmtId="0" fontId="71" fillId="2" borderId="1" xfId="2" applyNumberFormat="1" applyFont="1" applyFill="1" applyBorder="1" applyAlignment="1" applyProtection="1">
      <alignment horizontal="center" vertical="center"/>
    </xf>
    <xf numFmtId="0" fontId="71" fillId="2" borderId="1" xfId="2" applyNumberFormat="1" applyFont="1" applyFill="1" applyBorder="1" applyAlignment="1" applyProtection="1">
      <alignment horizontal="center" vertical="center" wrapText="1"/>
    </xf>
    <xf numFmtId="0" fontId="46" fillId="2" borderId="1" xfId="2" applyNumberFormat="1" applyFont="1" applyFill="1" applyBorder="1" applyAlignment="1" applyProtection="1">
      <alignment horizontal="center" vertical="center"/>
    </xf>
    <xf numFmtId="0" fontId="71" fillId="2" borderId="1" xfId="204" applyNumberFormat="1" applyFont="1" applyFill="1" applyBorder="1" applyAlignment="1" applyProtection="1">
      <alignment horizontal="center" vertical="center" wrapText="1"/>
    </xf>
    <xf numFmtId="0" fontId="48" fillId="5" borderId="48" xfId="204" applyFont="1" applyFill="1" applyBorder="1" applyAlignment="1">
      <alignment horizontal="center" vertical="center"/>
    </xf>
    <xf numFmtId="0" fontId="48" fillId="0" borderId="0" xfId="204" applyFont="1" applyAlignment="1">
      <alignment horizontal="center" vertical="center"/>
    </xf>
    <xf numFmtId="0" fontId="71" fillId="2" borderId="2" xfId="2" applyNumberFormat="1" applyFont="1" applyFill="1" applyBorder="1" applyAlignment="1" applyProtection="1">
      <alignment horizontal="center" vertical="center" wrapText="1"/>
    </xf>
    <xf numFmtId="0" fontId="69" fillId="7" borderId="1" xfId="196" applyFont="1" applyFill="1" applyBorder="1" applyAlignment="1">
      <alignment horizontal="center" vertical="center"/>
    </xf>
    <xf numFmtId="0" fontId="69" fillId="0" borderId="13" xfId="209" applyNumberFormat="1" applyFont="1" applyFill="1" applyBorder="1" applyAlignment="1" applyProtection="1">
      <alignment horizontal="center" vertical="center" wrapText="1"/>
    </xf>
    <xf numFmtId="0" fontId="69" fillId="0" borderId="12" xfId="209" applyFont="1" applyFill="1" applyBorder="1" applyAlignment="1">
      <alignment horizontal="center" vertical="center" wrapText="1"/>
    </xf>
    <xf numFmtId="0" fontId="69" fillId="7" borderId="1" xfId="209" applyFont="1" applyFill="1" applyBorder="1" applyAlignment="1">
      <alignment horizontal="center" vertical="center" wrapText="1"/>
    </xf>
    <xf numFmtId="0" fontId="69" fillId="5" borderId="1" xfId="219" applyFont="1" applyFill="1" applyBorder="1" applyAlignment="1">
      <alignment horizontal="center" vertical="center" wrapText="1"/>
    </xf>
    <xf numFmtId="0" fontId="69" fillId="5" borderId="12" xfId="219" applyNumberFormat="1" applyFont="1" applyFill="1" applyBorder="1" applyAlignment="1" applyProtection="1">
      <alignment horizontal="center" vertical="center" wrapText="1"/>
    </xf>
    <xf numFmtId="0" fontId="69" fillId="5" borderId="13" xfId="219" applyNumberFormat="1" applyFont="1" applyFill="1" applyBorder="1" applyAlignment="1" applyProtection="1">
      <alignment horizontal="center" vertical="center" wrapText="1"/>
    </xf>
    <xf numFmtId="0" fontId="69" fillId="5" borderId="40" xfId="219" applyNumberFormat="1" applyFont="1" applyFill="1" applyBorder="1" applyAlignment="1" applyProtection="1">
      <alignment horizontal="center" vertical="center" wrapText="1"/>
    </xf>
    <xf numFmtId="0" fontId="69" fillId="5" borderId="40" xfId="219" applyFont="1" applyFill="1" applyBorder="1" applyAlignment="1">
      <alignment horizontal="center" vertical="center" wrapText="1"/>
    </xf>
    <xf numFmtId="0" fontId="48" fillId="0" borderId="1" xfId="2" applyFont="1" applyFill="1" applyBorder="1" applyAlignment="1">
      <alignment horizontal="center" vertical="center" wrapText="1"/>
    </xf>
    <xf numFmtId="0" fontId="48" fillId="5" borderId="4" xfId="2" applyFont="1" applyFill="1" applyBorder="1" applyAlignment="1">
      <alignment horizontal="center" vertical="center" wrapText="1"/>
    </xf>
    <xf numFmtId="0" fontId="48" fillId="5" borderId="10" xfId="2" applyFont="1" applyFill="1" applyBorder="1" applyAlignment="1">
      <alignment horizontal="center" vertical="center" wrapText="1"/>
    </xf>
    <xf numFmtId="0" fontId="46" fillId="0" borderId="12" xfId="2" applyFont="1" applyFill="1" applyBorder="1" applyAlignment="1">
      <alignment horizontal="center" vertical="center" wrapText="1"/>
    </xf>
    <xf numFmtId="0" fontId="46" fillId="0" borderId="13" xfId="2" applyFont="1" applyFill="1" applyBorder="1" applyAlignment="1">
      <alignment horizontal="center" vertical="center" wrapText="1"/>
    </xf>
    <xf numFmtId="0" fontId="52" fillId="0" borderId="12" xfId="206" applyFont="1" applyFill="1" applyBorder="1" applyAlignment="1">
      <alignment horizontal="center" vertical="center" wrapText="1"/>
    </xf>
    <xf numFmtId="0" fontId="52" fillId="0" borderId="13" xfId="206" applyFont="1" applyFill="1" applyBorder="1" applyAlignment="1">
      <alignment horizontal="center" vertical="center" wrapText="1"/>
    </xf>
    <xf numFmtId="0" fontId="54" fillId="0" borderId="1" xfId="206" applyFont="1" applyFill="1" applyBorder="1" applyAlignment="1">
      <alignment horizontal="center" vertical="center"/>
    </xf>
    <xf numFmtId="0" fontId="48" fillId="0" borderId="4" xfId="2" applyFont="1" applyFill="1" applyBorder="1" applyAlignment="1">
      <alignment horizontal="center" vertical="center" wrapText="1"/>
    </xf>
    <xf numFmtId="0" fontId="48" fillId="0" borderId="10" xfId="2" applyFont="1" applyFill="1" applyBorder="1" applyAlignment="1">
      <alignment horizontal="center" vertical="center" wrapText="1"/>
    </xf>
    <xf numFmtId="0" fontId="41" fillId="0" borderId="1" xfId="206" applyFont="1" applyBorder="1" applyAlignment="1">
      <alignment horizontal="center" vertical="center"/>
    </xf>
    <xf numFmtId="0" fontId="58" fillId="0" borderId="5" xfId="212" applyFont="1" applyBorder="1" applyAlignment="1">
      <alignment horizontal="left" vertical="top" wrapText="1"/>
    </xf>
    <xf numFmtId="0" fontId="58" fillId="0" borderId="6" xfId="212" applyFont="1" applyBorder="1" applyAlignment="1">
      <alignment horizontal="left" vertical="top" wrapText="1"/>
    </xf>
    <xf numFmtId="0" fontId="58" fillId="0" borderId="7" xfId="212" applyFont="1" applyBorder="1" applyAlignment="1">
      <alignment horizontal="left" vertical="top" wrapText="1"/>
    </xf>
    <xf numFmtId="0" fontId="58" fillId="0" borderId="8" xfId="212" applyFont="1" applyBorder="1" applyAlignment="1">
      <alignment horizontal="left" vertical="top" wrapText="1"/>
    </xf>
    <xf numFmtId="0" fontId="58" fillId="0" borderId="0" xfId="212" applyFont="1" applyBorder="1" applyAlignment="1">
      <alignment horizontal="left" vertical="top" wrapText="1"/>
    </xf>
    <xf numFmtId="0" fontId="58" fillId="0" borderId="9" xfId="212" applyFont="1" applyBorder="1" applyAlignment="1">
      <alignment horizontal="left" vertical="top" wrapText="1"/>
    </xf>
    <xf numFmtId="0" fontId="58" fillId="0" borderId="14" xfId="212" applyFont="1" applyBorder="1" applyAlignment="1">
      <alignment horizontal="left" vertical="top" wrapText="1"/>
    </xf>
    <xf numFmtId="0" fontId="58" fillId="0" borderId="15" xfId="212" applyFont="1" applyBorder="1" applyAlignment="1">
      <alignment horizontal="left" vertical="top" wrapText="1"/>
    </xf>
    <xf numFmtId="0" fontId="58" fillId="0" borderId="16" xfId="212" applyFont="1" applyBorder="1" applyAlignment="1">
      <alignment horizontal="left" vertical="top" wrapText="1"/>
    </xf>
    <xf numFmtId="0" fontId="46" fillId="0" borderId="4" xfId="2" applyFont="1" applyFill="1" applyBorder="1" applyAlignment="1">
      <alignment horizontal="center" vertical="center" wrapText="1"/>
    </xf>
    <xf numFmtId="0" fontId="46" fillId="0" borderId="11" xfId="2" applyFont="1" applyFill="1" applyBorder="1" applyAlignment="1">
      <alignment horizontal="center" vertical="center" wrapText="1"/>
    </xf>
    <xf numFmtId="0" fontId="46" fillId="0" borderId="10" xfId="2" applyFont="1" applyFill="1" applyBorder="1" applyAlignment="1">
      <alignment horizontal="center" vertical="center" wrapText="1"/>
    </xf>
    <xf numFmtId="0" fontId="48" fillId="0" borderId="11" xfId="2" applyFont="1" applyFill="1" applyBorder="1" applyAlignment="1">
      <alignment horizontal="center" vertical="center" wrapText="1"/>
    </xf>
    <xf numFmtId="0" fontId="82" fillId="8" borderId="4" xfId="2" applyFont="1" applyFill="1" applyBorder="1" applyAlignment="1">
      <alignment horizontal="center" vertical="center" wrapText="1"/>
    </xf>
    <xf numFmtId="0" fontId="82" fillId="8" borderId="11" xfId="2" applyFont="1" applyFill="1" applyBorder="1" applyAlignment="1">
      <alignment horizontal="center" vertical="center" wrapText="1"/>
    </xf>
    <xf numFmtId="0" fontId="82" fillId="8" borderId="10" xfId="2" applyFont="1" applyFill="1" applyBorder="1" applyAlignment="1">
      <alignment horizontal="center" vertical="center" wrapText="1"/>
    </xf>
    <xf numFmtId="0" fontId="46" fillId="3" borderId="52" xfId="213" applyFont="1" applyFill="1" applyBorder="1" applyAlignment="1">
      <alignment horizontal="center" vertical="center" wrapText="1"/>
    </xf>
    <xf numFmtId="0" fontId="46" fillId="3" borderId="76" xfId="213" applyFont="1" applyFill="1" applyBorder="1" applyAlignment="1">
      <alignment horizontal="center" vertical="center" wrapText="1"/>
    </xf>
    <xf numFmtId="0" fontId="1" fillId="0" borderId="71" xfId="213" applyBorder="1" applyAlignment="1">
      <alignment horizontal="center" vertical="center"/>
    </xf>
    <xf numFmtId="0" fontId="1" fillId="0" borderId="0" xfId="213" applyAlignment="1">
      <alignment horizontal="center" vertical="center"/>
    </xf>
    <xf numFmtId="0" fontId="73" fillId="0" borderId="35" xfId="213" applyFont="1" applyFill="1" applyBorder="1" applyAlignment="1">
      <alignment horizontal="center" vertical="center" wrapText="1"/>
    </xf>
    <xf numFmtId="0" fontId="73" fillId="0" borderId="36" xfId="213" applyFont="1" applyFill="1" applyBorder="1" applyAlignment="1">
      <alignment horizontal="center" vertical="center" wrapText="1"/>
    </xf>
    <xf numFmtId="0" fontId="73" fillId="0" borderId="37" xfId="213" applyFont="1" applyFill="1" applyBorder="1" applyAlignment="1">
      <alignment horizontal="center" vertical="center" wrapText="1"/>
    </xf>
    <xf numFmtId="0" fontId="1" fillId="0" borderId="5" xfId="213" applyBorder="1" applyAlignment="1">
      <alignment horizontal="left" vertical="top" wrapText="1"/>
    </xf>
    <xf numFmtId="0" fontId="1" fillId="0" borderId="6" xfId="213" applyBorder="1" applyAlignment="1">
      <alignment horizontal="left" vertical="top" wrapText="1"/>
    </xf>
    <xf numFmtId="0" fontId="1" fillId="0" borderId="7" xfId="213" applyBorder="1" applyAlignment="1">
      <alignment horizontal="left" vertical="top" wrapText="1"/>
    </xf>
    <xf numFmtId="0" fontId="1" fillId="0" borderId="8" xfId="213" applyBorder="1" applyAlignment="1">
      <alignment horizontal="left" vertical="top" wrapText="1"/>
    </xf>
    <xf numFmtId="0" fontId="1" fillId="0" borderId="0" xfId="213" applyBorder="1" applyAlignment="1">
      <alignment horizontal="left" vertical="top" wrapText="1"/>
    </xf>
    <xf numFmtId="0" fontId="1" fillId="0" borderId="9" xfId="213" applyBorder="1" applyAlignment="1">
      <alignment horizontal="left" vertical="top" wrapText="1"/>
    </xf>
    <xf numFmtId="0" fontId="1" fillId="0" borderId="14" xfId="213" applyBorder="1" applyAlignment="1">
      <alignment horizontal="left" vertical="top" wrapText="1"/>
    </xf>
    <xf numFmtId="0" fontId="1" fillId="0" borderId="15" xfId="213" applyBorder="1" applyAlignment="1">
      <alignment horizontal="left" vertical="top" wrapText="1"/>
    </xf>
    <xf numFmtId="0" fontId="1" fillId="0" borderId="16" xfId="213" applyBorder="1" applyAlignment="1">
      <alignment horizontal="left" vertical="top" wrapText="1"/>
    </xf>
    <xf numFmtId="0" fontId="51" fillId="0" borderId="35" xfId="213" applyFont="1" applyBorder="1" applyAlignment="1">
      <alignment horizontal="left" vertical="center"/>
    </xf>
    <xf numFmtId="0" fontId="51" fillId="0" borderId="36" xfId="213" applyFont="1" applyBorder="1" applyAlignment="1">
      <alignment horizontal="left" vertical="center"/>
    </xf>
    <xf numFmtId="0" fontId="51" fillId="0" borderId="37" xfId="213" applyFont="1" applyBorder="1" applyAlignment="1">
      <alignment horizontal="left" vertical="center"/>
    </xf>
    <xf numFmtId="0" fontId="84" fillId="0" borderId="39" xfId="213" applyFont="1" applyFill="1" applyBorder="1" applyAlignment="1">
      <alignment horizontal="center" vertical="center" wrapText="1"/>
    </xf>
    <xf numFmtId="0" fontId="84" fillId="0" borderId="62" xfId="213" applyFont="1" applyFill="1" applyBorder="1" applyAlignment="1">
      <alignment horizontal="center" vertical="center" wrapText="1"/>
    </xf>
    <xf numFmtId="0" fontId="52" fillId="0" borderId="44" xfId="213" applyFont="1" applyFill="1" applyBorder="1" applyAlignment="1">
      <alignment horizontal="center" vertical="center" wrapText="1"/>
    </xf>
    <xf numFmtId="0" fontId="52" fillId="0" borderId="45" xfId="213" applyFont="1" applyFill="1" applyBorder="1" applyAlignment="1">
      <alignment horizontal="center" vertical="center" wrapText="1"/>
    </xf>
    <xf numFmtId="0" fontId="52" fillId="0" borderId="41" xfId="213" applyFont="1" applyFill="1" applyBorder="1" applyAlignment="1">
      <alignment horizontal="center" vertical="center" wrapText="1"/>
    </xf>
    <xf numFmtId="0" fontId="52" fillId="0" borderId="42" xfId="213" applyFont="1" applyFill="1" applyBorder="1" applyAlignment="1">
      <alignment horizontal="center" vertical="center" wrapText="1"/>
    </xf>
    <xf numFmtId="0" fontId="71" fillId="0" borderId="20" xfId="213" applyFont="1" applyBorder="1" applyAlignment="1">
      <alignment horizontal="center" vertical="center"/>
    </xf>
    <xf numFmtId="0" fontId="71" fillId="0" borderId="13" xfId="213" applyFont="1" applyBorder="1" applyAlignment="1">
      <alignment horizontal="center" vertical="center"/>
    </xf>
    <xf numFmtId="0" fontId="47" fillId="0" borderId="20" xfId="2" applyNumberFormat="1" applyFont="1" applyFill="1" applyBorder="1" applyAlignment="1" applyProtection="1">
      <alignment horizontal="center" vertical="center" wrapText="1"/>
    </xf>
    <xf numFmtId="0" fontId="47" fillId="0" borderId="13" xfId="2" applyNumberFormat="1" applyFont="1" applyFill="1" applyBorder="1" applyAlignment="1" applyProtection="1">
      <alignment horizontal="center" vertical="center" wrapText="1"/>
    </xf>
    <xf numFmtId="0" fontId="47" fillId="0" borderId="44" xfId="2" applyNumberFormat="1" applyFont="1" applyFill="1" applyBorder="1" applyAlignment="1" applyProtection="1">
      <alignment horizontal="center" vertical="center" wrapText="1"/>
    </xf>
    <xf numFmtId="0" fontId="47" fillId="0" borderId="45" xfId="2" applyNumberFormat="1" applyFont="1" applyFill="1" applyBorder="1" applyAlignment="1" applyProtection="1">
      <alignment horizontal="center" vertical="center" wrapText="1"/>
    </xf>
    <xf numFmtId="0" fontId="47" fillId="0" borderId="3" xfId="2" applyNumberFormat="1" applyFont="1" applyFill="1" applyBorder="1" applyAlignment="1" applyProtection="1">
      <alignment horizontal="center" vertical="center" wrapText="1"/>
    </xf>
    <xf numFmtId="0" fontId="47" fillId="0" borderId="19" xfId="2" applyNumberFormat="1" applyFont="1" applyFill="1" applyBorder="1" applyAlignment="1" applyProtection="1">
      <alignment horizontal="center" vertical="center" wrapText="1"/>
    </xf>
    <xf numFmtId="0" fontId="47" fillId="0" borderId="41" xfId="2" applyNumberFormat="1" applyFont="1" applyFill="1" applyBorder="1" applyAlignment="1" applyProtection="1">
      <alignment horizontal="center" vertical="center" wrapText="1"/>
    </xf>
    <xf numFmtId="0" fontId="47" fillId="0" borderId="42" xfId="2" applyNumberFormat="1" applyFont="1" applyFill="1" applyBorder="1" applyAlignment="1" applyProtection="1">
      <alignment horizontal="center" vertical="center" wrapText="1"/>
    </xf>
    <xf numFmtId="0" fontId="82" fillId="8" borderId="39" xfId="213" applyFont="1" applyFill="1" applyBorder="1" applyAlignment="1">
      <alignment horizontal="center" vertical="center" wrapText="1"/>
    </xf>
    <xf numFmtId="0" fontId="82" fillId="8" borderId="62" xfId="213" applyFont="1" applyFill="1" applyBorder="1" applyAlignment="1">
      <alignment horizontal="center" vertical="center" wrapText="1"/>
    </xf>
    <xf numFmtId="0" fontId="48" fillId="0" borderId="44" xfId="213" applyFont="1" applyFill="1" applyBorder="1" applyAlignment="1">
      <alignment horizontal="center" vertical="center"/>
    </xf>
    <xf numFmtId="0" fontId="48" fillId="0" borderId="6" xfId="213" applyFont="1" applyFill="1" applyBorder="1" applyAlignment="1">
      <alignment horizontal="center" vertical="center"/>
    </xf>
    <xf numFmtId="0" fontId="48" fillId="0" borderId="3" xfId="213" applyFont="1" applyFill="1" applyBorder="1" applyAlignment="1">
      <alignment horizontal="center" vertical="center"/>
    </xf>
    <xf numFmtId="0" fontId="48" fillId="0" borderId="0" xfId="213" applyFont="1" applyFill="1" applyBorder="1" applyAlignment="1">
      <alignment horizontal="center" vertical="center"/>
    </xf>
    <xf numFmtId="0" fontId="73" fillId="0" borderId="8" xfId="210" applyFont="1" applyBorder="1" applyAlignment="1">
      <alignment horizontal="left" vertical="top" wrapText="1"/>
    </xf>
    <xf numFmtId="0" fontId="73" fillId="0" borderId="0" xfId="210" applyFont="1" applyBorder="1" applyAlignment="1">
      <alignment horizontal="left" vertical="top" wrapText="1"/>
    </xf>
    <xf numFmtId="0" fontId="73" fillId="0" borderId="9" xfId="210" applyFont="1" applyBorder="1" applyAlignment="1">
      <alignment horizontal="left" vertical="top" wrapText="1"/>
    </xf>
    <xf numFmtId="0" fontId="73" fillId="0" borderId="14" xfId="210" applyFont="1" applyBorder="1" applyAlignment="1">
      <alignment horizontal="left" vertical="top" wrapText="1"/>
    </xf>
    <xf numFmtId="0" fontId="73" fillId="0" borderId="15" xfId="210" applyFont="1" applyBorder="1" applyAlignment="1">
      <alignment horizontal="left" vertical="top" wrapText="1"/>
    </xf>
    <xf numFmtId="0" fontId="73" fillId="0" borderId="16" xfId="210" applyFont="1" applyBorder="1" applyAlignment="1">
      <alignment horizontal="left" vertical="top" wrapText="1"/>
    </xf>
    <xf numFmtId="0" fontId="84" fillId="0" borderId="28" xfId="213" applyNumberFormat="1" applyFont="1" applyFill="1" applyBorder="1" applyAlignment="1" applyProtection="1">
      <alignment horizontal="center" vertical="center" wrapText="1"/>
    </xf>
    <xf numFmtId="0" fontId="84" fillId="0" borderId="17" xfId="213" applyNumberFormat="1" applyFont="1" applyFill="1" applyBorder="1" applyAlignment="1" applyProtection="1">
      <alignment horizontal="center" vertical="center" wrapText="1"/>
    </xf>
    <xf numFmtId="0" fontId="84" fillId="0" borderId="29" xfId="213" applyNumberFormat="1" applyFont="1" applyFill="1" applyBorder="1" applyAlignment="1" applyProtection="1">
      <alignment horizontal="center" vertical="center" wrapText="1"/>
    </xf>
    <xf numFmtId="0" fontId="84" fillId="0" borderId="38" xfId="213" applyNumberFormat="1" applyFont="1" applyFill="1" applyBorder="1" applyAlignment="1" applyProtection="1">
      <alignment horizontal="center" vertical="center" wrapText="1"/>
    </xf>
    <xf numFmtId="0" fontId="48" fillId="0" borderId="29" xfId="213" applyFont="1" applyFill="1" applyBorder="1" applyAlignment="1">
      <alignment horizontal="center" vertical="center"/>
    </xf>
    <xf numFmtId="0" fontId="48" fillId="0" borderId="58" xfId="213" applyFont="1" applyFill="1" applyBorder="1" applyAlignment="1">
      <alignment horizontal="center" vertical="center"/>
    </xf>
    <xf numFmtId="0" fontId="84" fillId="0" borderId="3" xfId="213" applyNumberFormat="1" applyFont="1" applyFill="1" applyBorder="1" applyAlignment="1" applyProtection="1">
      <alignment horizontal="center" vertical="center" wrapText="1"/>
    </xf>
    <xf numFmtId="0" fontId="84" fillId="0" borderId="19" xfId="213" applyNumberFormat="1" applyFont="1" applyFill="1" applyBorder="1" applyAlignment="1" applyProtection="1">
      <alignment horizontal="center" vertical="center" wrapText="1"/>
    </xf>
    <xf numFmtId="0" fontId="84" fillId="0" borderId="41" xfId="213" applyNumberFormat="1" applyFont="1" applyFill="1" applyBorder="1" applyAlignment="1" applyProtection="1">
      <alignment horizontal="center" vertical="center" wrapText="1"/>
    </xf>
    <xf numFmtId="0" fontId="84" fillId="0" borderId="42" xfId="213" applyNumberFormat="1" applyFont="1" applyFill="1" applyBorder="1" applyAlignment="1" applyProtection="1">
      <alignment horizontal="center" vertical="center" wrapText="1"/>
    </xf>
    <xf numFmtId="0" fontId="82" fillId="8" borderId="4" xfId="213" applyNumberFormat="1" applyFont="1" applyFill="1" applyBorder="1" applyAlignment="1" applyProtection="1">
      <alignment horizontal="center" vertical="center" wrapText="1"/>
    </xf>
    <xf numFmtId="0" fontId="82" fillId="8" borderId="10" xfId="213" applyNumberFormat="1" applyFont="1" applyFill="1" applyBorder="1" applyAlignment="1" applyProtection="1">
      <alignment horizontal="center" vertical="center" wrapText="1"/>
    </xf>
    <xf numFmtId="0" fontId="51" fillId="0" borderId="5" xfId="213" applyFont="1" applyBorder="1" applyAlignment="1">
      <alignment horizontal="left" vertical="center" wrapText="1"/>
    </xf>
    <xf numFmtId="0" fontId="51" fillId="0" borderId="6" xfId="213" applyFont="1" applyBorder="1" applyAlignment="1">
      <alignment horizontal="left" vertical="center"/>
    </xf>
    <xf numFmtId="0" fontId="51" fillId="0" borderId="7" xfId="213" applyFont="1" applyBorder="1" applyAlignment="1">
      <alignment horizontal="left" vertical="center"/>
    </xf>
    <xf numFmtId="0" fontId="51" fillId="0" borderId="8" xfId="213" applyFont="1" applyBorder="1" applyAlignment="1">
      <alignment horizontal="left" vertical="center"/>
    </xf>
    <xf numFmtId="0" fontId="51" fillId="0" borderId="0" xfId="213" applyFont="1" applyBorder="1" applyAlignment="1">
      <alignment horizontal="left" vertical="center"/>
    </xf>
    <xf numFmtId="0" fontId="51" fillId="0" borderId="9" xfId="213" applyFont="1" applyBorder="1" applyAlignment="1">
      <alignment horizontal="left" vertical="center"/>
    </xf>
    <xf numFmtId="0" fontId="51" fillId="0" borderId="14" xfId="213" applyFont="1" applyBorder="1" applyAlignment="1">
      <alignment horizontal="left" vertical="center"/>
    </xf>
    <xf numFmtId="0" fontId="51" fillId="0" borderId="15" xfId="213" applyFont="1" applyBorder="1" applyAlignment="1">
      <alignment horizontal="left" vertical="center"/>
    </xf>
    <xf numFmtId="0" fontId="51" fillId="0" borderId="16" xfId="213" applyFont="1" applyBorder="1" applyAlignment="1">
      <alignment horizontal="left" vertical="center"/>
    </xf>
    <xf numFmtId="0" fontId="41" fillId="0" borderId="47" xfId="213" applyNumberFormat="1" applyFont="1" applyFill="1" applyBorder="1" applyAlignment="1" applyProtection="1">
      <alignment horizontal="center" vertical="center"/>
    </xf>
    <xf numFmtId="0" fontId="41" fillId="0" borderId="63" xfId="213" applyNumberFormat="1" applyFont="1" applyFill="1" applyBorder="1" applyAlignment="1" applyProtection="1">
      <alignment horizontal="center" vertical="center"/>
    </xf>
    <xf numFmtId="0" fontId="41" fillId="0" borderId="61" xfId="213" applyNumberFormat="1" applyFont="1" applyFill="1" applyBorder="1" applyAlignment="1" applyProtection="1">
      <alignment horizontal="center" vertical="center"/>
    </xf>
    <xf numFmtId="0" fontId="41" fillId="0" borderId="1" xfId="213" applyNumberFormat="1" applyFont="1" applyFill="1" applyBorder="1" applyAlignment="1" applyProtection="1">
      <alignment horizontal="center" vertical="center"/>
    </xf>
    <xf numFmtId="0" fontId="52" fillId="0" borderId="1" xfId="213" applyNumberFormat="1" applyFont="1" applyFill="1" applyBorder="1" applyAlignment="1" applyProtection="1">
      <alignment horizontal="center" vertical="center"/>
    </xf>
    <xf numFmtId="0" fontId="1" fillId="0" borderId="15" xfId="213" applyBorder="1" applyAlignment="1">
      <alignment horizontal="center" vertical="center"/>
    </xf>
    <xf numFmtId="0" fontId="51" fillId="0" borderId="35" xfId="214" applyFont="1" applyBorder="1" applyAlignment="1">
      <alignment horizontal="left" vertical="center" wrapText="1"/>
    </xf>
    <xf numFmtId="0" fontId="51" fillId="0" borderId="36" xfId="214" applyFont="1" applyBorder="1" applyAlignment="1">
      <alignment horizontal="left" vertical="center" wrapText="1"/>
    </xf>
    <xf numFmtId="0" fontId="51" fillId="0" borderId="37" xfId="214" applyFont="1" applyBorder="1" applyAlignment="1">
      <alignment horizontal="left" vertical="center" wrapText="1"/>
    </xf>
    <xf numFmtId="0" fontId="51" fillId="0" borderId="5" xfId="214" applyFont="1" applyBorder="1" applyAlignment="1">
      <alignment horizontal="left" vertical="top" wrapText="1"/>
    </xf>
    <xf numFmtId="0" fontId="51" fillId="0" borderId="6" xfId="214" applyFont="1" applyBorder="1" applyAlignment="1">
      <alignment horizontal="left" vertical="top" wrapText="1"/>
    </xf>
    <xf numFmtId="0" fontId="51" fillId="0" borderId="7" xfId="214" applyFont="1" applyBorder="1" applyAlignment="1">
      <alignment horizontal="left" vertical="top" wrapText="1"/>
    </xf>
    <xf numFmtId="0" fontId="51" fillId="0" borderId="8" xfId="214" applyFont="1" applyBorder="1" applyAlignment="1">
      <alignment horizontal="left" vertical="top" wrapText="1"/>
    </xf>
    <xf numFmtId="0" fontId="51" fillId="0" borderId="0" xfId="214" applyFont="1" applyBorder="1" applyAlignment="1">
      <alignment horizontal="left" vertical="top" wrapText="1"/>
    </xf>
    <xf numFmtId="0" fontId="51" fillId="0" borderId="9" xfId="214" applyFont="1" applyBorder="1" applyAlignment="1">
      <alignment horizontal="left" vertical="top" wrapText="1"/>
    </xf>
    <xf numFmtId="0" fontId="51" fillId="0" borderId="14" xfId="214" applyFont="1" applyBorder="1" applyAlignment="1">
      <alignment horizontal="left" vertical="top" wrapText="1"/>
    </xf>
    <xf numFmtId="0" fontId="51" fillId="0" borderId="15" xfId="214" applyFont="1" applyBorder="1" applyAlignment="1">
      <alignment horizontal="left" vertical="top" wrapText="1"/>
    </xf>
    <xf numFmtId="0" fontId="51" fillId="0" borderId="16" xfId="214" applyFont="1" applyBorder="1" applyAlignment="1">
      <alignment horizontal="left" vertical="top" wrapText="1"/>
    </xf>
    <xf numFmtId="0" fontId="66" fillId="0" borderId="49" xfId="213" applyFont="1" applyFill="1" applyBorder="1" applyAlignment="1">
      <alignment horizontal="left" vertical="center" wrapText="1"/>
    </xf>
    <xf numFmtId="0" fontId="66" fillId="0" borderId="50" xfId="213" applyFont="1" applyFill="1" applyBorder="1" applyAlignment="1">
      <alignment horizontal="left" vertical="center" wrapText="1"/>
    </xf>
    <xf numFmtId="0" fontId="66" fillId="0" borderId="51" xfId="213" applyFont="1" applyFill="1" applyBorder="1" applyAlignment="1">
      <alignment horizontal="left" vertical="center" wrapText="1"/>
    </xf>
    <xf numFmtId="0" fontId="66" fillId="0" borderId="68" xfId="213" applyFont="1" applyFill="1" applyBorder="1" applyAlignment="1">
      <alignment horizontal="left" vertical="center" wrapText="1"/>
    </xf>
    <xf numFmtId="0" fontId="66" fillId="0" borderId="0" xfId="213" applyFont="1" applyFill="1" applyBorder="1" applyAlignment="1">
      <alignment horizontal="left" vertical="center" wrapText="1"/>
    </xf>
    <xf numFmtId="0" fontId="66" fillId="0" borderId="69" xfId="213" applyFont="1" applyFill="1" applyBorder="1" applyAlignment="1">
      <alignment horizontal="left" vertical="center" wrapText="1"/>
    </xf>
    <xf numFmtId="0" fontId="66" fillId="0" borderId="70" xfId="213" applyFont="1" applyFill="1" applyBorder="1" applyAlignment="1">
      <alignment horizontal="left" vertical="center" wrapText="1"/>
    </xf>
    <xf numFmtId="0" fontId="66" fillId="0" borderId="71" xfId="213" applyFont="1" applyFill="1" applyBorder="1" applyAlignment="1">
      <alignment horizontal="left" vertical="center" wrapText="1"/>
    </xf>
    <xf numFmtId="0" fontId="66" fillId="0" borderId="72" xfId="213" applyFont="1" applyFill="1" applyBorder="1" applyAlignment="1">
      <alignment horizontal="left" vertical="center" wrapText="1"/>
    </xf>
    <xf numFmtId="0" fontId="73" fillId="0" borderId="8" xfId="213" applyFont="1" applyFill="1" applyBorder="1" applyAlignment="1">
      <alignment horizontal="left" vertical="top" wrapText="1"/>
    </xf>
    <xf numFmtId="0" fontId="73" fillId="0" borderId="0" xfId="213" applyFont="1" applyFill="1" applyBorder="1" applyAlignment="1">
      <alignment horizontal="left" vertical="top" wrapText="1"/>
    </xf>
    <xf numFmtId="0" fontId="73" fillId="0" borderId="9" xfId="213" applyFont="1" applyFill="1" applyBorder="1" applyAlignment="1">
      <alignment horizontal="left" vertical="top" wrapText="1"/>
    </xf>
    <xf numFmtId="0" fontId="73" fillId="0" borderId="14" xfId="213" applyFont="1" applyFill="1" applyBorder="1" applyAlignment="1">
      <alignment horizontal="left" vertical="top" wrapText="1"/>
    </xf>
    <xf numFmtId="0" fontId="73" fillId="0" borderId="15" xfId="213" applyFont="1" applyFill="1" applyBorder="1" applyAlignment="1">
      <alignment horizontal="left" vertical="top" wrapText="1"/>
    </xf>
    <xf numFmtId="0" fontId="73" fillId="0" borderId="16" xfId="213" applyFont="1" applyFill="1" applyBorder="1" applyAlignment="1">
      <alignment horizontal="left" vertical="top" wrapText="1"/>
    </xf>
    <xf numFmtId="0" fontId="73" fillId="0" borderId="5" xfId="214" applyFont="1" applyBorder="1" applyAlignment="1">
      <alignment horizontal="left" vertical="center" wrapText="1"/>
    </xf>
    <xf numFmtId="0" fontId="73" fillId="0" borderId="6" xfId="214" applyFont="1" applyBorder="1" applyAlignment="1">
      <alignment horizontal="left" vertical="center" wrapText="1"/>
    </xf>
    <xf numFmtId="0" fontId="73" fillId="0" borderId="7" xfId="214" applyFont="1" applyBorder="1" applyAlignment="1">
      <alignment horizontal="left" vertical="center" wrapText="1"/>
    </xf>
    <xf numFmtId="0" fontId="73" fillId="0" borderId="8" xfId="214" applyFont="1" applyBorder="1" applyAlignment="1">
      <alignment horizontal="left" vertical="center" wrapText="1"/>
    </xf>
    <xf numFmtId="0" fontId="73" fillId="0" borderId="0" xfId="214" applyFont="1" applyBorder="1" applyAlignment="1">
      <alignment horizontal="left" vertical="center" wrapText="1"/>
    </xf>
    <xf numFmtId="0" fontId="73" fillId="0" borderId="9" xfId="214" applyFont="1" applyBorder="1" applyAlignment="1">
      <alignment horizontal="left" vertical="center" wrapText="1"/>
    </xf>
    <xf numFmtId="0" fontId="73" fillId="0" borderId="14" xfId="214" applyFont="1" applyBorder="1" applyAlignment="1">
      <alignment horizontal="left" vertical="center" wrapText="1"/>
    </xf>
    <xf numFmtId="0" fontId="73" fillId="0" borderId="15" xfId="214" applyFont="1" applyBorder="1" applyAlignment="1">
      <alignment horizontal="left" vertical="center" wrapText="1"/>
    </xf>
    <xf numFmtId="0" fontId="73" fillId="0" borderId="16" xfId="214" applyFont="1" applyBorder="1" applyAlignment="1">
      <alignment horizontal="left" vertical="center" wrapText="1"/>
    </xf>
    <xf numFmtId="0" fontId="46" fillId="0" borderId="44" xfId="213" applyFont="1" applyFill="1" applyBorder="1" applyAlignment="1">
      <alignment horizontal="center" vertical="center" wrapText="1"/>
    </xf>
    <xf numFmtId="0" fontId="46" fillId="0" borderId="45" xfId="213" applyFont="1" applyFill="1" applyBorder="1" applyAlignment="1">
      <alignment horizontal="center" vertical="center" wrapText="1"/>
    </xf>
    <xf numFmtId="0" fontId="46" fillId="0" borderId="3" xfId="213" applyFont="1" applyFill="1" applyBorder="1" applyAlignment="1">
      <alignment horizontal="center" vertical="center" wrapText="1"/>
    </xf>
    <xf numFmtId="0" fontId="46" fillId="0" borderId="19" xfId="213" applyFont="1" applyFill="1" applyBorder="1" applyAlignment="1">
      <alignment horizontal="center" vertical="center" wrapText="1"/>
    </xf>
    <xf numFmtId="0" fontId="46" fillId="0" borderId="41" xfId="213" applyFont="1" applyFill="1" applyBorder="1" applyAlignment="1">
      <alignment horizontal="center" vertical="center" wrapText="1"/>
    </xf>
    <xf numFmtId="0" fontId="46" fillId="0" borderId="42" xfId="213" applyFont="1" applyFill="1" applyBorder="1" applyAlignment="1">
      <alignment horizontal="center" vertical="center" wrapText="1"/>
    </xf>
    <xf numFmtId="0" fontId="84" fillId="3" borderId="3" xfId="213" applyNumberFormat="1" applyFont="1" applyFill="1" applyBorder="1" applyAlignment="1" applyProtection="1">
      <alignment horizontal="center" vertical="center" wrapText="1"/>
    </xf>
    <xf numFmtId="0" fontId="84" fillId="3" borderId="19" xfId="213" applyNumberFormat="1" applyFont="1" applyFill="1" applyBorder="1" applyAlignment="1" applyProtection="1">
      <alignment horizontal="center" vertical="center" wrapText="1"/>
    </xf>
    <xf numFmtId="0" fontId="39" fillId="0" borderId="18" xfId="213" applyFont="1" applyBorder="1" applyAlignment="1">
      <alignment horizontal="center" vertical="center"/>
    </xf>
    <xf numFmtId="0" fontId="39" fillId="0" borderId="13" xfId="213" applyFont="1" applyBorder="1" applyAlignment="1">
      <alignment horizontal="center" vertical="center"/>
    </xf>
    <xf numFmtId="0" fontId="47" fillId="5" borderId="18" xfId="2" applyNumberFormat="1" applyFont="1" applyFill="1" applyBorder="1" applyAlignment="1" applyProtection="1">
      <alignment horizontal="center" vertical="center" wrapText="1"/>
    </xf>
    <xf numFmtId="0" fontId="47" fillId="5" borderId="13" xfId="2" applyNumberFormat="1" applyFont="1" applyFill="1" applyBorder="1" applyAlignment="1" applyProtection="1">
      <alignment horizontal="center" vertical="center" wrapText="1"/>
    </xf>
    <xf numFmtId="0" fontId="83" fillId="0" borderId="59" xfId="213" applyFont="1" applyFill="1" applyBorder="1" applyAlignment="1">
      <alignment horizontal="center" vertical="center" wrapText="1"/>
    </xf>
    <xf numFmtId="0" fontId="83" fillId="0" borderId="60" xfId="213" applyFont="1" applyFill="1" applyBorder="1" applyAlignment="1">
      <alignment horizontal="center" vertical="center" wrapText="1"/>
    </xf>
    <xf numFmtId="0" fontId="83" fillId="3" borderId="44" xfId="213" applyFont="1" applyFill="1" applyBorder="1" applyAlignment="1">
      <alignment horizontal="center" vertical="center" wrapText="1"/>
    </xf>
    <xf numFmtId="0" fontId="83" fillId="3" borderId="45" xfId="213" applyFont="1" applyFill="1" applyBorder="1" applyAlignment="1">
      <alignment horizontal="center" vertical="center" wrapText="1"/>
    </xf>
    <xf numFmtId="0" fontId="83" fillId="3" borderId="3" xfId="213" applyFont="1" applyFill="1" applyBorder="1" applyAlignment="1">
      <alignment horizontal="center" vertical="center" wrapText="1"/>
    </xf>
    <xf numFmtId="0" fontId="83" fillId="3" borderId="19" xfId="213" applyFont="1" applyFill="1" applyBorder="1" applyAlignment="1">
      <alignment horizontal="center" vertical="center" wrapText="1"/>
    </xf>
    <xf numFmtId="0" fontId="83" fillId="3" borderId="41" xfId="213" applyFont="1" applyFill="1" applyBorder="1" applyAlignment="1">
      <alignment horizontal="center" vertical="center" wrapText="1"/>
    </xf>
    <xf numFmtId="0" fontId="83" fillId="3" borderId="42" xfId="213" applyFont="1" applyFill="1" applyBorder="1" applyAlignment="1">
      <alignment horizontal="center" vertical="center" wrapText="1"/>
    </xf>
    <xf numFmtId="0" fontId="83" fillId="3" borderId="59" xfId="213" applyFont="1" applyFill="1" applyBorder="1" applyAlignment="1">
      <alignment horizontal="center" vertical="center" wrapText="1"/>
    </xf>
    <xf numFmtId="0" fontId="83" fillId="3" borderId="60" xfId="213" applyFont="1" applyFill="1" applyBorder="1" applyAlignment="1">
      <alignment horizontal="center" vertical="center" wrapText="1"/>
    </xf>
    <xf numFmtId="0" fontId="41" fillId="0" borderId="20" xfId="213" applyNumberFormat="1" applyFont="1" applyFill="1" applyBorder="1" applyAlignment="1" applyProtection="1">
      <alignment horizontal="center" vertical="center"/>
    </xf>
    <xf numFmtId="0" fontId="52" fillId="0" borderId="20" xfId="213" applyNumberFormat="1" applyFont="1" applyFill="1" applyBorder="1" applyAlignment="1" applyProtection="1">
      <alignment horizontal="center" vertical="center"/>
    </xf>
    <xf numFmtId="0" fontId="47" fillId="0" borderId="28" xfId="213" applyFont="1" applyFill="1" applyBorder="1" applyAlignment="1">
      <alignment horizontal="center" vertical="center" wrapText="1"/>
    </xf>
    <xf numFmtId="0" fontId="47" fillId="0" borderId="17" xfId="213" applyFont="1" applyFill="1" applyBorder="1" applyAlignment="1">
      <alignment horizontal="center" vertical="center" wrapText="1"/>
    </xf>
    <xf numFmtId="0" fontId="47" fillId="0" borderId="3" xfId="213" applyFont="1" applyFill="1" applyBorder="1" applyAlignment="1">
      <alignment horizontal="center" vertical="center" wrapText="1"/>
    </xf>
    <xf numFmtId="0" fontId="47" fillId="0" borderId="19" xfId="213" applyFont="1" applyFill="1" applyBorder="1" applyAlignment="1">
      <alignment horizontal="center" vertical="center" wrapText="1"/>
    </xf>
    <xf numFmtId="0" fontId="47" fillId="0" borderId="41" xfId="213" applyFont="1" applyFill="1" applyBorder="1" applyAlignment="1">
      <alignment horizontal="center" vertical="center" wrapText="1"/>
    </xf>
    <xf numFmtId="0" fontId="47" fillId="0" borderId="42" xfId="213" applyFont="1" applyFill="1" applyBorder="1" applyAlignment="1">
      <alignment horizontal="center" vertical="center" wrapText="1"/>
    </xf>
    <xf numFmtId="0" fontId="51" fillId="0" borderId="32" xfId="214" applyFont="1" applyBorder="1" applyAlignment="1">
      <alignment horizontal="left" vertical="center" wrapText="1"/>
    </xf>
    <xf numFmtId="0" fontId="51" fillId="0" borderId="33" xfId="214" applyFont="1" applyBorder="1" applyAlignment="1">
      <alignment horizontal="left" vertical="center" wrapText="1"/>
    </xf>
    <xf numFmtId="0" fontId="51" fillId="0" borderId="34" xfId="214" applyFont="1" applyBorder="1" applyAlignment="1">
      <alignment horizontal="left" vertical="center" wrapText="1"/>
    </xf>
    <xf numFmtId="0" fontId="52" fillId="0" borderId="12" xfId="213" applyNumberFormat="1" applyFont="1" applyFill="1" applyBorder="1" applyAlignment="1" applyProtection="1">
      <alignment horizontal="center" vertical="center" wrapText="1"/>
    </xf>
    <xf numFmtId="0" fontId="52" fillId="0" borderId="46" xfId="213" applyNumberFormat="1" applyFont="1" applyFill="1" applyBorder="1" applyAlignment="1" applyProtection="1">
      <alignment horizontal="center" vertical="center" wrapText="1"/>
    </xf>
    <xf numFmtId="0" fontId="73" fillId="0" borderId="5" xfId="206" applyFont="1" applyFill="1" applyBorder="1" applyAlignment="1">
      <alignment horizontal="left" vertical="center" wrapText="1"/>
    </xf>
    <xf numFmtId="0" fontId="73" fillId="0" borderId="6" xfId="206" applyFont="1" applyFill="1" applyBorder="1" applyAlignment="1">
      <alignment horizontal="left" vertical="center" wrapText="1"/>
    </xf>
    <xf numFmtId="0" fontId="73" fillId="0" borderId="7" xfId="206" applyFont="1" applyFill="1" applyBorder="1" applyAlignment="1">
      <alignment horizontal="left" vertical="center" wrapText="1"/>
    </xf>
    <xf numFmtId="0" fontId="73" fillId="0" borderId="8" xfId="206" applyFont="1" applyFill="1" applyBorder="1" applyAlignment="1">
      <alignment horizontal="left" vertical="center" wrapText="1"/>
    </xf>
    <xf numFmtId="0" fontId="73" fillId="0" borderId="0" xfId="206" applyFont="1" applyFill="1" applyBorder="1" applyAlignment="1">
      <alignment horizontal="left" vertical="center" wrapText="1"/>
    </xf>
    <xf numFmtId="0" fontId="73" fillId="0" borderId="9" xfId="206" applyFont="1" applyFill="1" applyBorder="1" applyAlignment="1">
      <alignment horizontal="left" vertical="center" wrapText="1"/>
    </xf>
    <xf numFmtId="0" fontId="73" fillId="0" borderId="14" xfId="206" applyFont="1" applyFill="1" applyBorder="1" applyAlignment="1">
      <alignment horizontal="left" vertical="center" wrapText="1"/>
    </xf>
    <xf numFmtId="0" fontId="73" fillId="0" borderId="15" xfId="206" applyFont="1" applyFill="1" applyBorder="1" applyAlignment="1">
      <alignment horizontal="left" vertical="center" wrapText="1"/>
    </xf>
    <xf numFmtId="0" fontId="73" fillId="0" borderId="16" xfId="206" applyFont="1" applyFill="1" applyBorder="1" applyAlignment="1">
      <alignment horizontal="left" vertical="center" wrapText="1"/>
    </xf>
    <xf numFmtId="0" fontId="41" fillId="0" borderId="58" xfId="2" applyFont="1" applyBorder="1" applyAlignment="1">
      <alignment horizontal="center" vertical="center"/>
    </xf>
    <xf numFmtId="0" fontId="41" fillId="0" borderId="38" xfId="2" applyFont="1" applyBorder="1" applyAlignment="1">
      <alignment horizontal="center" vertical="center"/>
    </xf>
    <xf numFmtId="0" fontId="54" fillId="0" borderId="4" xfId="206" applyFont="1" applyBorder="1" applyAlignment="1">
      <alignment horizontal="center" vertical="center"/>
    </xf>
    <xf numFmtId="0" fontId="54" fillId="0" borderId="11" xfId="206" applyFont="1" applyBorder="1" applyAlignment="1">
      <alignment horizontal="center" vertical="center"/>
    </xf>
    <xf numFmtId="0" fontId="54" fillId="0" borderId="10" xfId="206" applyFont="1" applyBorder="1" applyAlignment="1">
      <alignment horizontal="center" vertical="center"/>
    </xf>
    <xf numFmtId="0" fontId="54" fillId="0" borderId="4" xfId="206" applyFont="1" applyFill="1" applyBorder="1" applyAlignment="1">
      <alignment horizontal="center" vertical="center"/>
    </xf>
    <xf numFmtId="0" fontId="54" fillId="0" borderId="11" xfId="206" applyFont="1" applyFill="1" applyBorder="1" applyAlignment="1">
      <alignment horizontal="center" vertical="center"/>
    </xf>
    <xf numFmtId="0" fontId="54" fillId="0" borderId="10" xfId="206" applyFont="1" applyFill="1" applyBorder="1" applyAlignment="1">
      <alignment horizontal="center" vertical="center"/>
    </xf>
    <xf numFmtId="0" fontId="52" fillId="0" borderId="12" xfId="218" applyFont="1" applyFill="1" applyBorder="1" applyAlignment="1">
      <alignment horizontal="center" vertical="center" wrapText="1"/>
    </xf>
    <xf numFmtId="0" fontId="52" fillId="0" borderId="13" xfId="218" applyFont="1" applyFill="1" applyBorder="1" applyAlignment="1">
      <alignment horizontal="center" vertical="center" wrapText="1"/>
    </xf>
    <xf numFmtId="0" fontId="46" fillId="0" borderId="28" xfId="206" applyNumberFormat="1" applyFont="1" applyFill="1" applyBorder="1" applyAlignment="1" applyProtection="1">
      <alignment horizontal="center" vertical="center" wrapText="1"/>
    </xf>
    <xf numFmtId="0" fontId="46" fillId="0" borderId="17" xfId="206" applyNumberFormat="1" applyFont="1" applyFill="1" applyBorder="1" applyAlignment="1" applyProtection="1">
      <alignment horizontal="center" vertical="center" wrapText="1"/>
    </xf>
    <xf numFmtId="0" fontId="46" fillId="0" borderId="41" xfId="206" applyNumberFormat="1" applyFont="1" applyFill="1" applyBorder="1" applyAlignment="1" applyProtection="1">
      <alignment horizontal="center" vertical="center" wrapText="1"/>
    </xf>
    <xf numFmtId="0" fontId="46" fillId="0" borderId="42" xfId="206" applyNumberFormat="1" applyFont="1" applyFill="1" applyBorder="1" applyAlignment="1" applyProtection="1">
      <alignment horizontal="center" vertical="center" wrapText="1"/>
    </xf>
    <xf numFmtId="0" fontId="73" fillId="0" borderId="5" xfId="210" applyFont="1" applyBorder="1" applyAlignment="1">
      <alignment horizontal="left" vertical="center" wrapText="1"/>
    </xf>
    <xf numFmtId="0" fontId="73" fillId="0" borderId="6" xfId="210" applyFont="1" applyBorder="1" applyAlignment="1">
      <alignment horizontal="left" vertical="center" wrapText="1"/>
    </xf>
    <xf numFmtId="0" fontId="73" fillId="0" borderId="7" xfId="210" applyFont="1" applyBorder="1" applyAlignment="1">
      <alignment horizontal="left" vertical="center" wrapText="1"/>
    </xf>
    <xf numFmtId="0" fontId="73" fillId="0" borderId="8" xfId="210" applyFont="1" applyBorder="1" applyAlignment="1">
      <alignment horizontal="left" vertical="center" wrapText="1"/>
    </xf>
    <xf numFmtId="0" fontId="73" fillId="0" borderId="0" xfId="210" applyFont="1" applyBorder="1" applyAlignment="1">
      <alignment horizontal="left" vertical="center" wrapText="1"/>
    </xf>
    <xf numFmtId="0" fontId="73" fillId="0" borderId="9" xfId="210" applyFont="1" applyBorder="1" applyAlignment="1">
      <alignment horizontal="left" vertical="center" wrapText="1"/>
    </xf>
    <xf numFmtId="0" fontId="73" fillId="0" borderId="14" xfId="210" applyFont="1" applyBorder="1" applyAlignment="1">
      <alignment horizontal="left" vertical="center" wrapText="1"/>
    </xf>
    <xf numFmtId="0" fontId="73" fillId="0" borderId="15" xfId="210" applyFont="1" applyBorder="1" applyAlignment="1">
      <alignment horizontal="left" vertical="center" wrapText="1"/>
    </xf>
    <xf numFmtId="0" fontId="73" fillId="0" borderId="16" xfId="210" applyFont="1" applyBorder="1" applyAlignment="1">
      <alignment horizontal="left" vertical="center" wrapText="1"/>
    </xf>
    <xf numFmtId="0" fontId="65" fillId="0" borderId="3" xfId="206" applyFont="1" applyFill="1" applyBorder="1" applyAlignment="1">
      <alignment horizontal="center" vertical="center" wrapText="1"/>
    </xf>
    <xf numFmtId="0" fontId="65" fillId="0" borderId="19" xfId="206" applyFont="1" applyFill="1" applyBorder="1" applyAlignment="1">
      <alignment horizontal="center" vertical="center" wrapText="1"/>
    </xf>
    <xf numFmtId="0" fontId="65" fillId="0" borderId="41" xfId="206" applyFont="1" applyFill="1" applyBorder="1" applyAlignment="1">
      <alignment horizontal="center" vertical="center" wrapText="1"/>
    </xf>
    <xf numFmtId="0" fontId="65" fillId="0" borderId="42" xfId="206" applyFont="1" applyFill="1" applyBorder="1" applyAlignment="1">
      <alignment horizontal="center" vertical="center" wrapText="1"/>
    </xf>
    <xf numFmtId="0" fontId="51" fillId="0" borderId="35" xfId="210" applyFont="1" applyBorder="1" applyAlignment="1">
      <alignment horizontal="left" vertical="center" wrapText="1"/>
    </xf>
    <xf numFmtId="0" fontId="51" fillId="0" borderId="36" xfId="210" applyFont="1" applyBorder="1" applyAlignment="1">
      <alignment horizontal="left" vertical="center" wrapText="1"/>
    </xf>
    <xf numFmtId="0" fontId="51" fillId="0" borderId="37" xfId="210" applyFont="1" applyBorder="1" applyAlignment="1">
      <alignment horizontal="left" vertical="center" wrapText="1"/>
    </xf>
    <xf numFmtId="0" fontId="46" fillId="8" borderId="39" xfId="206" applyNumberFormat="1" applyFont="1" applyFill="1" applyBorder="1" applyAlignment="1" applyProtection="1">
      <alignment horizontal="center" vertical="center" wrapText="1"/>
    </xf>
    <xf numFmtId="0" fontId="46" fillId="8" borderId="48" xfId="206" applyNumberFormat="1" applyFont="1" applyFill="1" applyBorder="1" applyAlignment="1" applyProtection="1">
      <alignment horizontal="center" vertical="center" wrapText="1"/>
    </xf>
    <xf numFmtId="0" fontId="41" fillId="0" borderId="20" xfId="206" applyNumberFormat="1" applyFont="1" applyFill="1" applyBorder="1" applyAlignment="1" applyProtection="1">
      <alignment horizontal="center" vertical="center"/>
    </xf>
    <xf numFmtId="0" fontId="52" fillId="0" borderId="20" xfId="206" applyNumberFormat="1" applyFont="1" applyFill="1" applyBorder="1" applyAlignment="1" applyProtection="1">
      <alignment horizontal="center" vertical="center"/>
    </xf>
    <xf numFmtId="0" fontId="41" fillId="0" borderId="1" xfId="206" applyNumberFormat="1" applyFont="1" applyFill="1" applyBorder="1" applyAlignment="1" applyProtection="1">
      <alignment horizontal="center" vertical="center"/>
    </xf>
    <xf numFmtId="0" fontId="52" fillId="0" borderId="1" xfId="206" applyNumberFormat="1" applyFont="1" applyFill="1" applyBorder="1" applyAlignment="1" applyProtection="1">
      <alignment horizontal="center" vertical="center"/>
    </xf>
    <xf numFmtId="0" fontId="47" fillId="0" borderId="28" xfId="206" applyFont="1" applyFill="1" applyBorder="1" applyAlignment="1">
      <alignment horizontal="center" vertical="center" wrapText="1"/>
    </xf>
    <xf numFmtId="0" fontId="47" fillId="0" borderId="17" xfId="206" applyFont="1" applyFill="1" applyBorder="1" applyAlignment="1">
      <alignment horizontal="center" vertical="center" wrapText="1"/>
    </xf>
    <xf numFmtId="0" fontId="47" fillId="0" borderId="3" xfId="206" applyFont="1" applyFill="1" applyBorder="1" applyAlignment="1">
      <alignment horizontal="center" vertical="center" wrapText="1"/>
    </xf>
    <xf numFmtId="0" fontId="47" fillId="0" borderId="19" xfId="206" applyFont="1" applyFill="1" applyBorder="1" applyAlignment="1">
      <alignment horizontal="center" vertical="center" wrapText="1"/>
    </xf>
    <xf numFmtId="0" fontId="47" fillId="0" borderId="29" xfId="206" applyFont="1" applyFill="1" applyBorder="1" applyAlignment="1">
      <alignment horizontal="center" vertical="center" wrapText="1"/>
    </xf>
    <xf numFmtId="0" fontId="47" fillId="0" borderId="38" xfId="206" applyFont="1" applyFill="1" applyBorder="1" applyAlignment="1">
      <alignment horizontal="center" vertical="center" wrapText="1"/>
    </xf>
    <xf numFmtId="0" fontId="51" fillId="0" borderId="32" xfId="210" applyFont="1" applyBorder="1" applyAlignment="1">
      <alignment horizontal="left" vertical="center" wrapText="1"/>
    </xf>
    <xf numFmtId="0" fontId="51" fillId="0" borderId="33" xfId="210" applyFont="1" applyBorder="1" applyAlignment="1">
      <alignment horizontal="left" vertical="center" wrapText="1"/>
    </xf>
    <xf numFmtId="0" fontId="51" fillId="0" borderId="34" xfId="210" applyFont="1" applyBorder="1" applyAlignment="1">
      <alignment horizontal="left" vertical="center" wrapText="1"/>
    </xf>
    <xf numFmtId="0" fontId="50" fillId="0" borderId="8" xfId="210" applyFont="1" applyBorder="1" applyAlignment="1">
      <alignment horizontal="left" vertical="center" wrapText="1"/>
    </xf>
    <xf numFmtId="0" fontId="50" fillId="0" borderId="0" xfId="210" applyFont="1" applyBorder="1" applyAlignment="1">
      <alignment horizontal="left" vertical="center" wrapText="1"/>
    </xf>
    <xf numFmtId="0" fontId="50" fillId="0" borderId="9" xfId="210" applyFont="1" applyBorder="1" applyAlignment="1">
      <alignment horizontal="left" vertical="center" wrapText="1"/>
    </xf>
    <xf numFmtId="0" fontId="50" fillId="0" borderId="14" xfId="210" applyFont="1" applyBorder="1" applyAlignment="1">
      <alignment horizontal="left" vertical="center" wrapText="1"/>
    </xf>
    <xf numFmtId="0" fontId="50" fillId="0" borderId="15" xfId="210" applyFont="1" applyBorder="1" applyAlignment="1">
      <alignment horizontal="left" vertical="center" wrapText="1"/>
    </xf>
    <xf numFmtId="0" fontId="50" fillId="0" borderId="16" xfId="210" applyFont="1" applyBorder="1" applyAlignment="1">
      <alignment horizontal="left" vertical="center" wrapText="1"/>
    </xf>
    <xf numFmtId="0" fontId="46" fillId="0" borderId="28" xfId="2" applyFont="1" applyFill="1" applyBorder="1" applyAlignment="1">
      <alignment horizontal="center" vertical="center" wrapText="1"/>
    </xf>
    <xf numFmtId="0" fontId="46" fillId="0" borderId="17" xfId="2" applyFont="1" applyFill="1" applyBorder="1" applyAlignment="1">
      <alignment horizontal="center" vertical="center" wrapText="1"/>
    </xf>
    <xf numFmtId="0" fontId="46" fillId="0" borderId="41" xfId="2" applyFont="1" applyFill="1" applyBorder="1" applyAlignment="1">
      <alignment horizontal="center" vertical="center" wrapText="1"/>
    </xf>
    <xf numFmtId="0" fontId="46" fillId="0" borderId="42" xfId="2" applyFont="1" applyFill="1" applyBorder="1" applyAlignment="1">
      <alignment horizontal="center" vertical="center" wrapText="1"/>
    </xf>
    <xf numFmtId="0" fontId="65" fillId="0" borderId="44" xfId="206" applyFont="1" applyFill="1" applyBorder="1" applyAlignment="1">
      <alignment horizontal="center" vertical="center" wrapText="1"/>
    </xf>
    <xf numFmtId="0" fontId="65" fillId="0" borderId="45" xfId="206" applyFont="1" applyFill="1" applyBorder="1" applyAlignment="1">
      <alignment horizontal="center" vertical="center" wrapText="1"/>
    </xf>
    <xf numFmtId="0" fontId="65" fillId="0" borderId="29" xfId="206" applyFont="1" applyFill="1" applyBorder="1" applyAlignment="1">
      <alignment horizontal="center" vertical="center" wrapText="1"/>
    </xf>
    <xf numFmtId="0" fontId="65" fillId="0" borderId="38" xfId="206" applyFont="1" applyFill="1" applyBorder="1" applyAlignment="1">
      <alignment horizontal="center" vertical="center" wrapText="1"/>
    </xf>
    <xf numFmtId="0" fontId="51" fillId="0" borderId="35" xfId="206" applyFont="1" applyBorder="1" applyAlignment="1">
      <alignment horizontal="left" vertical="center"/>
    </xf>
    <xf numFmtId="0" fontId="51" fillId="0" borderId="36" xfId="206" applyFont="1" applyBorder="1" applyAlignment="1">
      <alignment horizontal="left" vertical="center"/>
    </xf>
    <xf numFmtId="0" fontId="51" fillId="0" borderId="37" xfId="206" applyFont="1" applyBorder="1" applyAlignment="1">
      <alignment horizontal="left" vertical="center"/>
    </xf>
    <xf numFmtId="49" fontId="51" fillId="0" borderId="5" xfId="209" applyNumberFormat="1" applyFont="1" applyBorder="1" applyAlignment="1">
      <alignment horizontal="left" vertical="top" wrapText="1"/>
    </xf>
    <xf numFmtId="49" fontId="51" fillId="0" borderId="6" xfId="209" applyNumberFormat="1" applyFont="1" applyBorder="1" applyAlignment="1">
      <alignment horizontal="left" vertical="top" wrapText="1"/>
    </xf>
    <xf numFmtId="0" fontId="58" fillId="0" borderId="49" xfId="209" applyFont="1" applyFill="1" applyBorder="1" applyAlignment="1">
      <alignment horizontal="left" vertical="center" wrapText="1"/>
    </xf>
    <xf numFmtId="0" fontId="58" fillId="0" borderId="50" xfId="209" applyFont="1" applyFill="1" applyBorder="1" applyAlignment="1">
      <alignment horizontal="left" vertical="center" wrapText="1"/>
    </xf>
    <xf numFmtId="0" fontId="58" fillId="0" borderId="51" xfId="209" applyFont="1" applyFill="1" applyBorder="1" applyAlignment="1">
      <alignment horizontal="left" vertical="center" wrapText="1"/>
    </xf>
    <xf numFmtId="0" fontId="58" fillId="0" borderId="68" xfId="209" applyFont="1" applyFill="1" applyBorder="1" applyAlignment="1">
      <alignment horizontal="left" vertical="center" wrapText="1"/>
    </xf>
    <xf numFmtId="0" fontId="58" fillId="0" borderId="0" xfId="209" applyFont="1" applyFill="1" applyBorder="1" applyAlignment="1">
      <alignment horizontal="left" vertical="center" wrapText="1"/>
    </xf>
    <xf numFmtId="0" fontId="58" fillId="0" borderId="69" xfId="209" applyFont="1" applyFill="1" applyBorder="1" applyAlignment="1">
      <alignment horizontal="left" vertical="center" wrapText="1"/>
    </xf>
    <xf numFmtId="0" fontId="58" fillId="0" borderId="70" xfId="209" applyFont="1" applyFill="1" applyBorder="1" applyAlignment="1">
      <alignment horizontal="left" vertical="center" wrapText="1"/>
    </xf>
    <xf numFmtId="0" fontId="58" fillId="0" borderId="71" xfId="209" applyFont="1" applyFill="1" applyBorder="1" applyAlignment="1">
      <alignment horizontal="left" vertical="center" wrapText="1"/>
    </xf>
    <xf numFmtId="0" fontId="58" fillId="0" borderId="72" xfId="209" applyFont="1" applyFill="1" applyBorder="1" applyAlignment="1">
      <alignment horizontal="left" vertical="center" wrapText="1"/>
    </xf>
    <xf numFmtId="49" fontId="73" fillId="0" borderId="5" xfId="209" applyNumberFormat="1" applyFont="1" applyBorder="1" applyAlignment="1">
      <alignment horizontal="left" vertical="top" wrapText="1"/>
    </xf>
    <xf numFmtId="49" fontId="73" fillId="0" borderId="6" xfId="209" applyNumberFormat="1" applyFont="1" applyBorder="1" applyAlignment="1">
      <alignment horizontal="left" vertical="top" wrapText="1"/>
    </xf>
    <xf numFmtId="49" fontId="73" fillId="0" borderId="7" xfId="209" applyNumberFormat="1" applyFont="1" applyBorder="1" applyAlignment="1">
      <alignment horizontal="left" vertical="top" wrapText="1"/>
    </xf>
    <xf numFmtId="49" fontId="73" fillId="0" borderId="8" xfId="209" applyNumberFormat="1" applyFont="1" applyBorder="1" applyAlignment="1">
      <alignment horizontal="left" vertical="top" wrapText="1"/>
    </xf>
    <xf numFmtId="49" fontId="73" fillId="0" borderId="0" xfId="209" applyNumberFormat="1" applyFont="1" applyBorder="1" applyAlignment="1">
      <alignment horizontal="left" vertical="top" wrapText="1"/>
    </xf>
    <xf numFmtId="49" fontId="73" fillId="0" borderId="9" xfId="209" applyNumberFormat="1" applyFont="1" applyBorder="1" applyAlignment="1">
      <alignment horizontal="left" vertical="top" wrapText="1"/>
    </xf>
    <xf numFmtId="49" fontId="73" fillId="0" borderId="14" xfId="209" applyNumberFormat="1" applyFont="1" applyBorder="1" applyAlignment="1">
      <alignment horizontal="left" vertical="top" wrapText="1"/>
    </xf>
    <xf numFmtId="49" fontId="73" fillId="0" borderId="15" xfId="209" applyNumberFormat="1" applyFont="1" applyBorder="1" applyAlignment="1">
      <alignment horizontal="left" vertical="top" wrapText="1"/>
    </xf>
    <xf numFmtId="49" fontId="73" fillId="0" borderId="16" xfId="209" applyNumberFormat="1" applyFont="1" applyBorder="1" applyAlignment="1">
      <alignment horizontal="left" vertical="top" wrapText="1"/>
    </xf>
    <xf numFmtId="0" fontId="47" fillId="0" borderId="43" xfId="2" applyNumberFormat="1" applyFont="1" applyFill="1" applyBorder="1" applyAlignment="1" applyProtection="1">
      <alignment horizontal="center" vertical="center" wrapText="1"/>
    </xf>
    <xf numFmtId="0" fontId="47" fillId="0" borderId="1" xfId="2" applyNumberFormat="1" applyFont="1" applyFill="1" applyBorder="1" applyAlignment="1" applyProtection="1">
      <alignment horizontal="center" vertical="center" wrapText="1"/>
    </xf>
    <xf numFmtId="0" fontId="48" fillId="0" borderId="44" xfId="209" applyFont="1" applyFill="1" applyBorder="1" applyAlignment="1">
      <alignment horizontal="center" vertical="center"/>
    </xf>
    <xf numFmtId="0" fontId="48" fillId="0" borderId="45" xfId="209" applyFont="1" applyFill="1" applyBorder="1" applyAlignment="1">
      <alignment horizontal="center" vertical="center"/>
    </xf>
    <xf numFmtId="0" fontId="48" fillId="0" borderId="3" xfId="209" applyFont="1" applyFill="1" applyBorder="1" applyAlignment="1">
      <alignment horizontal="center" vertical="center"/>
    </xf>
    <xf numFmtId="0" fontId="48" fillId="0" borderId="19" xfId="209" applyFont="1" applyFill="1" applyBorder="1" applyAlignment="1">
      <alignment horizontal="center" vertical="center"/>
    </xf>
    <xf numFmtId="0" fontId="48" fillId="0" borderId="41" xfId="209" applyFont="1" applyFill="1" applyBorder="1" applyAlignment="1">
      <alignment horizontal="center" vertical="center"/>
    </xf>
    <xf numFmtId="0" fontId="48" fillId="0" borderId="42" xfId="209" applyFont="1" applyFill="1" applyBorder="1" applyAlignment="1">
      <alignment horizontal="center" vertical="center"/>
    </xf>
    <xf numFmtId="0" fontId="101" fillId="0" borderId="5" xfId="209" applyFont="1" applyFill="1" applyBorder="1" applyAlignment="1">
      <alignment horizontal="left" vertical="center" wrapText="1"/>
    </xf>
    <xf numFmtId="0" fontId="73" fillId="0" borderId="6" xfId="209" applyFont="1" applyFill="1" applyBorder="1" applyAlignment="1">
      <alignment horizontal="left" vertical="center" wrapText="1"/>
    </xf>
    <xf numFmtId="0" fontId="73" fillId="0" borderId="7" xfId="209" applyFont="1" applyFill="1" applyBorder="1" applyAlignment="1">
      <alignment horizontal="left" vertical="center" wrapText="1"/>
    </xf>
    <xf numFmtId="0" fontId="73" fillId="0" borderId="8" xfId="209" applyFont="1" applyFill="1" applyBorder="1" applyAlignment="1">
      <alignment horizontal="left" vertical="center" wrapText="1"/>
    </xf>
    <xf numFmtId="0" fontId="73" fillId="0" borderId="0" xfId="209" applyFont="1" applyFill="1" applyBorder="1" applyAlignment="1">
      <alignment horizontal="left" vertical="center" wrapText="1"/>
    </xf>
    <xf numFmtId="0" fontId="73" fillId="0" borderId="9" xfId="209" applyFont="1" applyFill="1" applyBorder="1" applyAlignment="1">
      <alignment horizontal="left" vertical="center" wrapText="1"/>
    </xf>
    <xf numFmtId="0" fontId="73" fillId="0" borderId="14" xfId="209" applyFont="1" applyFill="1" applyBorder="1" applyAlignment="1">
      <alignment horizontal="left" vertical="center" wrapText="1"/>
    </xf>
    <xf numFmtId="0" fontId="73" fillId="0" borderId="15" xfId="209" applyFont="1" applyFill="1" applyBorder="1" applyAlignment="1">
      <alignment horizontal="left" vertical="center" wrapText="1"/>
    </xf>
    <xf numFmtId="0" fontId="73" fillId="0" borderId="16" xfId="209" applyFont="1" applyFill="1" applyBorder="1" applyAlignment="1">
      <alignment horizontal="left" vertical="center" wrapText="1"/>
    </xf>
    <xf numFmtId="0" fontId="48" fillId="3" borderId="28" xfId="2" applyFont="1" applyFill="1" applyBorder="1" applyAlignment="1">
      <alignment horizontal="center" vertical="center" wrapText="1"/>
    </xf>
    <xf numFmtId="0" fontId="48" fillId="3" borderId="17" xfId="2" applyFont="1" applyFill="1" applyBorder="1" applyAlignment="1">
      <alignment horizontal="center" vertical="center" wrapText="1"/>
    </xf>
    <xf numFmtId="0" fontId="48" fillId="3" borderId="41" xfId="2" applyFont="1" applyFill="1" applyBorder="1" applyAlignment="1">
      <alignment horizontal="center" vertical="center" wrapText="1"/>
    </xf>
    <xf numFmtId="0" fontId="48" fillId="3" borderId="42" xfId="2" applyFont="1" applyFill="1" applyBorder="1" applyAlignment="1">
      <alignment horizontal="center" vertical="center" wrapText="1"/>
    </xf>
    <xf numFmtId="0" fontId="1" fillId="0" borderId="4" xfId="209" applyFill="1" applyBorder="1" applyAlignment="1">
      <alignment horizontal="center" vertical="center"/>
    </xf>
    <xf numFmtId="0" fontId="1" fillId="0" borderId="10" xfId="209" applyFill="1" applyBorder="1" applyAlignment="1">
      <alignment horizontal="center" vertical="center"/>
    </xf>
    <xf numFmtId="0" fontId="1" fillId="0" borderId="39" xfId="209" applyFill="1" applyBorder="1" applyAlignment="1">
      <alignment horizontal="center" vertical="center"/>
    </xf>
    <xf numFmtId="0" fontId="1" fillId="0" borderId="62" xfId="209" applyFill="1" applyBorder="1" applyAlignment="1">
      <alignment horizontal="center" vertical="center"/>
    </xf>
    <xf numFmtId="0" fontId="48" fillId="3" borderId="4" xfId="209" applyFont="1" applyFill="1" applyBorder="1" applyAlignment="1">
      <alignment horizontal="center" vertical="center"/>
    </xf>
    <xf numFmtId="0" fontId="48" fillId="3" borderId="10" xfId="209" applyFont="1" applyFill="1" applyBorder="1" applyAlignment="1">
      <alignment horizontal="center" vertical="center"/>
    </xf>
    <xf numFmtId="0" fontId="101" fillId="0" borderId="5" xfId="210" applyFont="1" applyBorder="1" applyAlignment="1">
      <alignment horizontal="left" vertical="center" wrapText="1"/>
    </xf>
    <xf numFmtId="0" fontId="101" fillId="0" borderId="6" xfId="210" applyFont="1" applyBorder="1" applyAlignment="1">
      <alignment horizontal="left" vertical="center" wrapText="1"/>
    </xf>
    <xf numFmtId="0" fontId="101" fillId="0" borderId="7" xfId="210" applyFont="1" applyBorder="1" applyAlignment="1">
      <alignment horizontal="left" vertical="center" wrapText="1"/>
    </xf>
    <xf numFmtId="0" fontId="101" fillId="0" borderId="8" xfId="210" applyFont="1" applyBorder="1" applyAlignment="1">
      <alignment horizontal="left" vertical="center" wrapText="1"/>
    </xf>
    <xf numFmtId="0" fontId="101" fillId="0" borderId="0" xfId="210" applyFont="1" applyBorder="1" applyAlignment="1">
      <alignment horizontal="left" vertical="center" wrapText="1"/>
    </xf>
    <xf numFmtId="0" fontId="101" fillId="0" borderId="9" xfId="210" applyFont="1" applyBorder="1" applyAlignment="1">
      <alignment horizontal="left" vertical="center" wrapText="1"/>
    </xf>
    <xf numFmtId="0" fontId="101" fillId="0" borderId="14" xfId="210" applyFont="1" applyBorder="1" applyAlignment="1">
      <alignment horizontal="left" vertical="center" wrapText="1"/>
    </xf>
    <xf numFmtId="0" fontId="101" fillId="0" borderId="15" xfId="210" applyFont="1" applyBorder="1" applyAlignment="1">
      <alignment horizontal="left" vertical="center" wrapText="1"/>
    </xf>
    <xf numFmtId="0" fontId="101" fillId="0" borderId="16" xfId="210" applyFont="1" applyBorder="1" applyAlignment="1">
      <alignment horizontal="left" vertical="center" wrapText="1"/>
    </xf>
    <xf numFmtId="0" fontId="48" fillId="0" borderId="39" xfId="209" applyFont="1" applyFill="1" applyBorder="1" applyAlignment="1">
      <alignment horizontal="center" vertical="center"/>
    </xf>
    <xf numFmtId="0" fontId="48" fillId="0" borderId="62" xfId="209" applyFont="1" applyFill="1" applyBorder="1" applyAlignment="1">
      <alignment horizontal="center" vertical="center"/>
    </xf>
    <xf numFmtId="0" fontId="46" fillId="3" borderId="44" xfId="209" applyFont="1" applyFill="1" applyBorder="1" applyAlignment="1">
      <alignment horizontal="center" vertical="center" wrapText="1"/>
    </xf>
    <xf numFmtId="0" fontId="46" fillId="3" borderId="45" xfId="209" applyFont="1" applyFill="1" applyBorder="1" applyAlignment="1">
      <alignment horizontal="center" vertical="center" wrapText="1"/>
    </xf>
    <xf numFmtId="0" fontId="46" fillId="3" borderId="41" xfId="209" applyFont="1" applyFill="1" applyBorder="1" applyAlignment="1">
      <alignment horizontal="center" vertical="center" wrapText="1"/>
    </xf>
    <xf numFmtId="0" fontId="46" fillId="3" borderId="42" xfId="209" applyFont="1" applyFill="1" applyBorder="1" applyAlignment="1">
      <alignment horizontal="center" vertical="center" wrapText="1"/>
    </xf>
    <xf numFmtId="0" fontId="51" fillId="0" borderId="0" xfId="210" applyFont="1" applyBorder="1" applyAlignment="1">
      <alignment horizontal="left" vertical="center" wrapText="1"/>
    </xf>
    <xf numFmtId="0" fontId="51" fillId="0" borderId="9" xfId="210" applyFont="1" applyBorder="1" applyAlignment="1">
      <alignment horizontal="left" vertical="center" wrapText="1"/>
    </xf>
    <xf numFmtId="0" fontId="48" fillId="0" borderId="28" xfId="209" applyFont="1" applyFill="1" applyBorder="1" applyAlignment="1">
      <alignment horizontal="center" vertical="center"/>
    </xf>
    <xf numFmtId="0" fontId="48" fillId="0" borderId="17" xfId="209" applyFont="1" applyFill="1" applyBorder="1" applyAlignment="1">
      <alignment horizontal="center" vertical="center"/>
    </xf>
    <xf numFmtId="0" fontId="48" fillId="0" borderId="29" xfId="209" applyFont="1" applyFill="1" applyBorder="1" applyAlignment="1">
      <alignment horizontal="center" vertical="center"/>
    </xf>
    <xf numFmtId="0" fontId="48" fillId="0" borderId="38" xfId="209" applyFont="1" applyFill="1" applyBorder="1" applyAlignment="1">
      <alignment horizontal="center" vertical="center"/>
    </xf>
    <xf numFmtId="0" fontId="48" fillId="0" borderId="39" xfId="209" applyFont="1" applyBorder="1" applyAlignment="1">
      <alignment horizontal="center" vertical="center"/>
    </xf>
    <xf numFmtId="0" fontId="48" fillId="0" borderId="62" xfId="209" applyFont="1" applyBorder="1" applyAlignment="1">
      <alignment horizontal="center" vertical="center"/>
    </xf>
    <xf numFmtId="0" fontId="82" fillId="8" borderId="11" xfId="209" applyFont="1" applyFill="1" applyBorder="1" applyAlignment="1">
      <alignment horizontal="center" vertical="center" wrapText="1"/>
    </xf>
    <xf numFmtId="0" fontId="82" fillId="8" borderId="10" xfId="209" applyFont="1" applyFill="1" applyBorder="1" applyAlignment="1">
      <alignment horizontal="center" vertical="center" wrapText="1"/>
    </xf>
    <xf numFmtId="0" fontId="51" fillId="0" borderId="35" xfId="209" applyFont="1" applyBorder="1" applyAlignment="1">
      <alignment horizontal="left" vertical="center"/>
    </xf>
    <xf numFmtId="0" fontId="51" fillId="0" borderId="36" xfId="209" applyFont="1" applyBorder="1" applyAlignment="1">
      <alignment horizontal="left" vertical="center"/>
    </xf>
    <xf numFmtId="0" fontId="51" fillId="0" borderId="37" xfId="209" applyFont="1" applyBorder="1" applyAlignment="1">
      <alignment horizontal="left" vertical="center"/>
    </xf>
    <xf numFmtId="0" fontId="41" fillId="0" borderId="20" xfId="209" applyNumberFormat="1" applyFont="1" applyFill="1" applyBorder="1" applyAlignment="1" applyProtection="1">
      <alignment horizontal="center" vertical="center"/>
    </xf>
    <xf numFmtId="0" fontId="52" fillId="0" borderId="20" xfId="209" applyNumberFormat="1" applyFont="1" applyFill="1" applyBorder="1" applyAlignment="1" applyProtection="1">
      <alignment horizontal="center" vertical="center"/>
    </xf>
    <xf numFmtId="0" fontId="41" fillId="0" borderId="4" xfId="209" applyNumberFormat="1" applyFont="1" applyFill="1" applyBorder="1" applyAlignment="1" applyProtection="1">
      <alignment horizontal="center" vertical="center"/>
    </xf>
    <xf numFmtId="0" fontId="41" fillId="0" borderId="11" xfId="209" applyNumberFormat="1" applyFont="1" applyFill="1" applyBorder="1" applyAlignment="1" applyProtection="1">
      <alignment horizontal="center" vertical="center"/>
    </xf>
    <xf numFmtId="0" fontId="41" fillId="0" borderId="10" xfId="209" applyNumberFormat="1" applyFont="1" applyFill="1" applyBorder="1" applyAlignment="1" applyProtection="1">
      <alignment horizontal="center" vertical="center"/>
    </xf>
    <xf numFmtId="0" fontId="48" fillId="0" borderId="21" xfId="209" applyFont="1" applyFill="1" applyBorder="1" applyAlignment="1">
      <alignment horizontal="center" vertical="center"/>
    </xf>
    <xf numFmtId="0" fontId="48" fillId="0" borderId="0" xfId="209" applyFont="1" applyFill="1" applyBorder="1" applyAlignment="1">
      <alignment horizontal="center" vertical="center"/>
    </xf>
    <xf numFmtId="0" fontId="48" fillId="0" borderId="58" xfId="209" applyFont="1" applyFill="1" applyBorder="1" applyAlignment="1">
      <alignment horizontal="center" vertical="center"/>
    </xf>
    <xf numFmtId="0" fontId="49" fillId="5" borderId="4" xfId="2" applyFont="1" applyFill="1" applyBorder="1" applyAlignment="1">
      <alignment horizontal="center" vertical="center" wrapText="1"/>
    </xf>
    <xf numFmtId="0" fontId="49" fillId="5" borderId="10" xfId="2" applyFont="1" applyFill="1" applyBorder="1" applyAlignment="1">
      <alignment horizontal="center" vertical="center" wrapText="1"/>
    </xf>
    <xf numFmtId="0" fontId="41" fillId="0" borderId="43" xfId="2" applyFont="1" applyBorder="1" applyAlignment="1">
      <alignment horizontal="center" vertical="center"/>
    </xf>
    <xf numFmtId="0" fontId="43" fillId="0" borderId="12" xfId="5" applyNumberFormat="1" applyFont="1" applyFill="1" applyBorder="1" applyAlignment="1" applyProtection="1">
      <alignment horizontal="center" vertical="center"/>
    </xf>
    <xf numFmtId="0" fontId="43" fillId="0" borderId="46" xfId="5" applyNumberFormat="1" applyFont="1" applyFill="1" applyBorder="1" applyAlignment="1" applyProtection="1">
      <alignment horizontal="center" vertical="center"/>
    </xf>
    <xf numFmtId="0" fontId="48" fillId="0" borderId="12" xfId="206" applyFont="1" applyFill="1" applyBorder="1" applyAlignment="1">
      <alignment horizontal="center" vertical="center"/>
    </xf>
    <xf numFmtId="0" fontId="48" fillId="0" borderId="46" xfId="206" applyFont="1" applyFill="1" applyBorder="1" applyAlignment="1">
      <alignment horizontal="center" vertical="center"/>
    </xf>
    <xf numFmtId="0" fontId="98" fillId="0" borderId="5" xfId="204" applyFont="1" applyBorder="1" applyAlignment="1">
      <alignment horizontal="left" vertical="top" wrapText="1"/>
    </xf>
    <xf numFmtId="0" fontId="98" fillId="0" borderId="6" xfId="204" applyFont="1" applyBorder="1" applyAlignment="1">
      <alignment horizontal="left" vertical="top" wrapText="1"/>
    </xf>
    <xf numFmtId="0" fontId="98" fillId="0" borderId="7" xfId="204" applyFont="1" applyBorder="1" applyAlignment="1">
      <alignment horizontal="left" vertical="top" wrapText="1"/>
    </xf>
    <xf numFmtId="0" fontId="98" fillId="0" borderId="8" xfId="204" applyFont="1" applyBorder="1" applyAlignment="1">
      <alignment horizontal="left" vertical="top" wrapText="1"/>
    </xf>
    <xf numFmtId="0" fontId="98" fillId="0" borderId="0" xfId="204" applyFont="1" applyBorder="1" applyAlignment="1">
      <alignment horizontal="left" vertical="top" wrapText="1"/>
    </xf>
    <xf numFmtId="0" fontId="98" fillId="0" borderId="9" xfId="204" applyFont="1" applyBorder="1" applyAlignment="1">
      <alignment horizontal="left" vertical="top" wrapText="1"/>
    </xf>
    <xf numFmtId="0" fontId="98" fillId="0" borderId="14" xfId="204" applyFont="1" applyBorder="1" applyAlignment="1">
      <alignment horizontal="left" vertical="top" wrapText="1"/>
    </xf>
    <xf numFmtId="0" fontId="98" fillId="0" borderId="15" xfId="204" applyFont="1" applyBorder="1" applyAlignment="1">
      <alignment horizontal="left" vertical="top" wrapText="1"/>
    </xf>
    <xf numFmtId="0" fontId="98" fillId="0" borderId="16" xfId="204" applyFont="1" applyBorder="1" applyAlignment="1">
      <alignment horizontal="left" vertical="top" wrapText="1"/>
    </xf>
    <xf numFmtId="0" fontId="99" fillId="0" borderId="5" xfId="204" applyFont="1" applyBorder="1" applyAlignment="1">
      <alignment horizontal="left" vertical="top" wrapText="1"/>
    </xf>
    <xf numFmtId="0" fontId="41" fillId="0" borderId="20" xfId="204" applyNumberFormat="1" applyFont="1" applyFill="1" applyBorder="1" applyAlignment="1" applyProtection="1">
      <alignment horizontal="center" vertical="center"/>
    </xf>
    <xf numFmtId="0" fontId="52" fillId="0" borderId="20" xfId="204" applyNumberFormat="1" applyFont="1" applyFill="1" applyBorder="1" applyAlignment="1" applyProtection="1">
      <alignment horizontal="center" vertical="center"/>
    </xf>
    <xf numFmtId="0" fontId="41" fillId="0" borderId="4" xfId="2" applyFont="1" applyBorder="1" applyAlignment="1">
      <alignment horizontal="center" vertical="center"/>
    </xf>
    <xf numFmtId="0" fontId="41" fillId="0" borderId="11" xfId="2" applyFont="1" applyBorder="1" applyAlignment="1">
      <alignment horizontal="center" vertical="center"/>
    </xf>
    <xf numFmtId="0" fontId="41" fillId="0" borderId="10" xfId="2" applyFont="1" applyBorder="1" applyAlignment="1">
      <alignment horizontal="center" vertical="center"/>
    </xf>
    <xf numFmtId="0" fontId="73" fillId="0" borderId="5" xfId="204" applyFont="1" applyFill="1" applyBorder="1" applyAlignment="1">
      <alignment horizontal="left" vertical="top" wrapText="1"/>
    </xf>
    <xf numFmtId="0" fontId="73" fillId="0" borderId="6" xfId="204" applyFont="1" applyFill="1" applyBorder="1" applyAlignment="1">
      <alignment horizontal="left" vertical="top" wrapText="1"/>
    </xf>
    <xf numFmtId="0" fontId="73" fillId="0" borderId="7" xfId="204" applyFont="1" applyFill="1" applyBorder="1" applyAlignment="1">
      <alignment horizontal="left" vertical="top" wrapText="1"/>
    </xf>
    <xf numFmtId="0" fontId="73" fillId="0" borderId="8" xfId="204" applyFont="1" applyFill="1" applyBorder="1" applyAlignment="1">
      <alignment horizontal="left" vertical="top" wrapText="1"/>
    </xf>
    <xf numFmtId="0" fontId="73" fillId="0" borderId="0" xfId="204" applyFont="1" applyFill="1" applyBorder="1" applyAlignment="1">
      <alignment horizontal="left" vertical="top" wrapText="1"/>
    </xf>
    <xf numFmtId="0" fontId="73" fillId="0" borderId="9" xfId="204" applyFont="1" applyFill="1" applyBorder="1" applyAlignment="1">
      <alignment horizontal="left" vertical="top" wrapText="1"/>
    </xf>
    <xf numFmtId="0" fontId="49" fillId="5" borderId="29" xfId="2" applyFont="1" applyFill="1" applyBorder="1" applyAlignment="1">
      <alignment horizontal="center" vertical="center" wrapText="1"/>
    </xf>
    <xf numFmtId="0" fontId="49" fillId="5" borderId="38" xfId="2" applyFont="1" applyFill="1" applyBorder="1" applyAlignment="1">
      <alignment horizontal="center" vertical="center" wrapText="1"/>
    </xf>
    <xf numFmtId="0" fontId="52" fillId="0" borderId="4" xfId="2" applyFont="1" applyBorder="1" applyAlignment="1">
      <alignment horizontal="center" vertical="center"/>
    </xf>
    <xf numFmtId="0" fontId="52" fillId="0" borderId="11" xfId="2" applyFont="1" applyBorder="1" applyAlignment="1">
      <alignment horizontal="center" vertical="center"/>
    </xf>
    <xf numFmtId="0" fontId="52" fillId="0" borderId="10" xfId="2" applyFont="1" applyBorder="1" applyAlignment="1">
      <alignment horizontal="center" vertical="center"/>
    </xf>
    <xf numFmtId="0" fontId="63" fillId="0" borderId="12" xfId="1" applyFont="1" applyFill="1" applyBorder="1" applyAlignment="1">
      <alignment horizontal="center" vertical="center"/>
    </xf>
    <xf numFmtId="0" fontId="63" fillId="0" borderId="25" xfId="1" applyFont="1" applyFill="1" applyBorder="1" applyAlignment="1">
      <alignment horizontal="center" vertical="center"/>
    </xf>
    <xf numFmtId="0" fontId="65" fillId="0" borderId="12" xfId="2" applyNumberFormat="1" applyFont="1" applyFill="1" applyBorder="1" applyAlignment="1" applyProtection="1">
      <alignment horizontal="center" vertical="center" wrapText="1"/>
    </xf>
    <xf numFmtId="0" fontId="65" fillId="0" borderId="13" xfId="2" applyNumberFormat="1" applyFont="1" applyFill="1" applyBorder="1" applyAlignment="1" applyProtection="1">
      <alignment horizontal="center" vertical="center" wrapText="1"/>
    </xf>
    <xf numFmtId="0" fontId="63" fillId="3" borderId="12" xfId="2" applyFont="1" applyFill="1" applyBorder="1" applyAlignment="1">
      <alignment horizontal="center" vertical="center" wrapText="1"/>
    </xf>
    <xf numFmtId="0" fontId="63" fillId="3" borderId="13" xfId="2" applyFont="1" applyFill="1" applyBorder="1" applyAlignment="1">
      <alignment horizontal="center" vertical="center" wrapText="1"/>
    </xf>
    <xf numFmtId="0" fontId="63" fillId="0" borderId="12" xfId="2" applyFont="1" applyFill="1" applyBorder="1" applyAlignment="1">
      <alignment horizontal="center" vertical="center" wrapText="1"/>
    </xf>
    <xf numFmtId="0" fontId="63" fillId="0" borderId="13" xfId="2" applyFont="1" applyFill="1" applyBorder="1" applyAlignment="1">
      <alignment horizontal="center" vertical="center" wrapText="1"/>
    </xf>
    <xf numFmtId="0" fontId="43" fillId="0" borderId="12" xfId="1" applyNumberFormat="1" applyFont="1" applyFill="1" applyBorder="1" applyAlignment="1" applyProtection="1">
      <alignment horizontal="center" vertical="center"/>
    </xf>
    <xf numFmtId="0" fontId="43" fillId="0" borderId="13" xfId="1" applyNumberFormat="1" applyFont="1" applyFill="1" applyBorder="1" applyAlignment="1" applyProtection="1">
      <alignment horizontal="center" vertical="center"/>
    </xf>
    <xf numFmtId="0" fontId="52" fillId="0" borderId="12" xfId="1" applyNumberFormat="1" applyFont="1" applyFill="1" applyBorder="1" applyAlignment="1" applyProtection="1">
      <alignment horizontal="center" vertical="center" wrapText="1"/>
    </xf>
    <xf numFmtId="0" fontId="52" fillId="0" borderId="13" xfId="1" applyNumberFormat="1" applyFont="1" applyFill="1" applyBorder="1" applyAlignment="1" applyProtection="1">
      <alignment horizontal="center" vertical="center" wrapText="1"/>
    </xf>
    <xf numFmtId="0" fontId="62" fillId="0" borderId="12" xfId="1" applyNumberFormat="1" applyFont="1" applyFill="1" applyBorder="1" applyAlignment="1" applyProtection="1">
      <alignment horizontal="center" vertical="center" wrapText="1"/>
    </xf>
    <xf numFmtId="0" fontId="62" fillId="0" borderId="13" xfId="1" applyNumberFormat="1" applyFont="1" applyFill="1" applyBorder="1" applyAlignment="1" applyProtection="1">
      <alignment horizontal="center" vertical="center" wrapText="1"/>
    </xf>
    <xf numFmtId="0" fontId="62" fillId="0" borderId="12" xfId="1" applyNumberFormat="1" applyFont="1" applyFill="1" applyBorder="1" applyAlignment="1" applyProtection="1">
      <alignment horizontal="center" vertical="center"/>
    </xf>
    <xf numFmtId="0" fontId="62" fillId="0" borderId="13" xfId="1" applyNumberFormat="1" applyFont="1" applyFill="1" applyBorder="1" applyAlignment="1" applyProtection="1">
      <alignment horizontal="center" vertical="center"/>
    </xf>
    <xf numFmtId="0" fontId="41" fillId="0" borderId="22" xfId="2" applyFont="1" applyBorder="1" applyAlignment="1">
      <alignment horizontal="center" vertical="center"/>
    </xf>
    <xf numFmtId="0" fontId="54" fillId="0" borderId="26" xfId="1" applyFont="1" applyBorder="1" applyAlignment="1">
      <alignment horizontal="center" vertical="center"/>
    </xf>
    <xf numFmtId="0" fontId="54" fillId="0" borderId="22" xfId="1" applyFont="1" applyBorder="1" applyAlignment="1">
      <alignment horizontal="center" vertical="center"/>
    </xf>
    <xf numFmtId="0" fontId="54" fillId="0" borderId="24" xfId="1" applyFont="1" applyBorder="1" applyAlignment="1">
      <alignment horizontal="center" vertical="center"/>
    </xf>
    <xf numFmtId="0" fontId="43" fillId="0" borderId="1" xfId="1" applyNumberFormat="1" applyFont="1" applyFill="1" applyBorder="1" applyAlignment="1" applyProtection="1">
      <alignment horizontal="center" vertical="center"/>
    </xf>
    <xf numFmtId="0" fontId="61" fillId="0" borderId="12" xfId="1" applyNumberFormat="1" applyFont="1" applyFill="1" applyBorder="1" applyAlignment="1" applyProtection="1">
      <alignment horizontal="center" vertical="center" wrapText="1"/>
    </xf>
    <xf numFmtId="0" fontId="61" fillId="0" borderId="13" xfId="1" applyNumberFormat="1" applyFont="1" applyFill="1" applyBorder="1" applyAlignment="1" applyProtection="1">
      <alignment horizontal="center" vertical="center" wrapText="1"/>
    </xf>
    <xf numFmtId="0" fontId="63" fillId="0" borderId="13" xfId="1" applyFont="1" applyFill="1" applyBorder="1" applyAlignment="1">
      <alignment horizontal="center" vertical="center"/>
    </xf>
    <xf numFmtId="0" fontId="62" fillId="0" borderId="12" xfId="2" applyFont="1" applyFill="1" applyBorder="1" applyAlignment="1">
      <alignment horizontal="center" vertical="center" wrapText="1"/>
    </xf>
    <xf numFmtId="0" fontId="62" fillId="0" borderId="13" xfId="2" applyFont="1" applyFill="1" applyBorder="1" applyAlignment="1">
      <alignment horizontal="center" vertical="center" wrapText="1"/>
    </xf>
    <xf numFmtId="0" fontId="47" fillId="0" borderId="12" xfId="2" applyFont="1" applyBorder="1" applyAlignment="1">
      <alignment horizontal="center" vertical="center"/>
    </xf>
    <xf numFmtId="0" fontId="47" fillId="0" borderId="13" xfId="2" applyFont="1" applyBorder="1" applyAlignment="1">
      <alignment horizontal="center" vertical="center"/>
    </xf>
    <xf numFmtId="0" fontId="62" fillId="3" borderId="12" xfId="2" applyFont="1" applyFill="1" applyBorder="1" applyAlignment="1">
      <alignment horizontal="center" vertical="center" wrapText="1"/>
    </xf>
    <xf numFmtId="0" fontId="62" fillId="3" borderId="13" xfId="2" applyFont="1" applyFill="1" applyBorder="1" applyAlignment="1">
      <alignment horizontal="center" vertical="center" wrapText="1"/>
    </xf>
    <xf numFmtId="0" fontId="41" fillId="0" borderId="20" xfId="1" applyNumberFormat="1" applyFont="1" applyFill="1" applyBorder="1" applyAlignment="1" applyProtection="1">
      <alignment horizontal="center" vertical="center"/>
    </xf>
    <xf numFmtId="0" fontId="52" fillId="0" borderId="20" xfId="1" applyNumberFormat="1" applyFont="1" applyFill="1" applyBorder="1" applyAlignment="1" applyProtection="1">
      <alignment horizontal="center" vertical="center"/>
    </xf>
    <xf numFmtId="49" fontId="58" fillId="0" borderId="5" xfId="3" applyNumberFormat="1" applyFont="1" applyBorder="1" applyAlignment="1">
      <alignment horizontal="left" vertical="top" wrapText="1"/>
    </xf>
    <xf numFmtId="49" fontId="58" fillId="0" borderId="6" xfId="3" applyNumberFormat="1" applyFont="1" applyBorder="1" applyAlignment="1">
      <alignment horizontal="left" vertical="top" wrapText="1"/>
    </xf>
    <xf numFmtId="49" fontId="58" fillId="0" borderId="7" xfId="3" applyNumberFormat="1" applyFont="1" applyBorder="1" applyAlignment="1">
      <alignment horizontal="left" vertical="top" wrapText="1"/>
    </xf>
    <xf numFmtId="49" fontId="58" fillId="0" borderId="8" xfId="3" applyNumberFormat="1" applyFont="1" applyBorder="1" applyAlignment="1">
      <alignment horizontal="left" vertical="top" wrapText="1"/>
    </xf>
    <xf numFmtId="49" fontId="58" fillId="0" borderId="0" xfId="3" applyNumberFormat="1" applyFont="1" applyBorder="1" applyAlignment="1">
      <alignment horizontal="left" vertical="top" wrapText="1"/>
    </xf>
    <xf numFmtId="49" fontId="58" fillId="0" borderId="9" xfId="3" applyNumberFormat="1" applyFont="1" applyBorder="1" applyAlignment="1">
      <alignment horizontal="left" vertical="top" wrapText="1"/>
    </xf>
    <xf numFmtId="49" fontId="58" fillId="0" borderId="14" xfId="3" applyNumberFormat="1" applyFont="1" applyBorder="1" applyAlignment="1">
      <alignment horizontal="left" vertical="top" wrapText="1"/>
    </xf>
    <xf numFmtId="49" fontId="58" fillId="0" borderId="15" xfId="3" applyNumberFormat="1" applyFont="1" applyBorder="1" applyAlignment="1">
      <alignment horizontal="left" vertical="top" wrapText="1"/>
    </xf>
    <xf numFmtId="49" fontId="58" fillId="0" borderId="16" xfId="3" applyNumberFormat="1" applyFont="1" applyBorder="1" applyAlignment="1">
      <alignment horizontal="left" vertical="top" wrapText="1"/>
    </xf>
    <xf numFmtId="0" fontId="63" fillId="0" borderId="4" xfId="2" applyFont="1" applyFill="1" applyBorder="1" applyAlignment="1">
      <alignment horizontal="center" vertical="center" wrapText="1"/>
    </xf>
    <xf numFmtId="0" fontId="63" fillId="0" borderId="10" xfId="2" applyFont="1" applyFill="1" applyBorder="1" applyAlignment="1">
      <alignment horizontal="center" vertical="center" wrapText="1"/>
    </xf>
    <xf numFmtId="0" fontId="63" fillId="0" borderId="1" xfId="2" applyFont="1" applyFill="1" applyBorder="1" applyAlignment="1">
      <alignment horizontal="center" vertical="center" wrapText="1"/>
    </xf>
    <xf numFmtId="0" fontId="57" fillId="0" borderId="12" xfId="1" applyNumberFormat="1" applyFont="1" applyFill="1" applyBorder="1" applyAlignment="1" applyProtection="1">
      <alignment horizontal="center" vertical="center" wrapText="1"/>
    </xf>
    <xf numFmtId="0" fontId="57" fillId="0" borderId="13" xfId="1" applyNumberFormat="1" applyFont="1" applyFill="1" applyBorder="1" applyAlignment="1" applyProtection="1">
      <alignment horizontal="center" vertical="center" wrapText="1"/>
    </xf>
    <xf numFmtId="0" fontId="47" fillId="0" borderId="12" xfId="2" applyFont="1" applyBorder="1" applyAlignment="1">
      <alignment horizontal="center" vertical="center" wrapText="1"/>
    </xf>
    <xf numFmtId="0" fontId="47" fillId="0" borderId="25" xfId="2" applyFont="1" applyBorder="1" applyAlignment="1">
      <alignment horizontal="center" vertical="center" wrapText="1"/>
    </xf>
    <xf numFmtId="0" fontId="48" fillId="3" borderId="12" xfId="0" applyNumberFormat="1" applyFont="1" applyFill="1" applyBorder="1" applyAlignment="1" applyProtection="1">
      <alignment horizontal="center" vertical="center" wrapText="1"/>
    </xf>
    <xf numFmtId="0" fontId="48" fillId="3" borderId="25" xfId="0" applyNumberFormat="1" applyFont="1" applyFill="1" applyBorder="1" applyAlignment="1" applyProtection="1">
      <alignment horizontal="center" vertical="center" wrapText="1"/>
    </xf>
    <xf numFmtId="0" fontId="48" fillId="3" borderId="31" xfId="2" applyFont="1" applyFill="1" applyBorder="1" applyAlignment="1">
      <alignment horizontal="center" vertical="center" wrapText="1"/>
    </xf>
    <xf numFmtId="0" fontId="49" fillId="3" borderId="12" xfId="0" applyNumberFormat="1" applyFont="1" applyFill="1" applyBorder="1" applyAlignment="1" applyProtection="1">
      <alignment horizontal="center" vertical="center" wrapText="1"/>
    </xf>
    <xf numFmtId="0" fontId="49" fillId="3" borderId="25" xfId="0" applyNumberFormat="1" applyFont="1" applyFill="1" applyBorder="1" applyAlignment="1" applyProtection="1">
      <alignment horizontal="center" vertical="center" wrapText="1"/>
    </xf>
    <xf numFmtId="0" fontId="46" fillId="3" borderId="12" xfId="57" applyNumberFormat="1" applyFont="1" applyFill="1" applyBorder="1" applyAlignment="1" applyProtection="1">
      <alignment horizontal="center" vertical="center" wrapText="1"/>
    </xf>
    <xf numFmtId="0" fontId="46" fillId="3" borderId="25" xfId="57" applyNumberFormat="1" applyFont="1" applyFill="1" applyBorder="1" applyAlignment="1" applyProtection="1">
      <alignment horizontal="center" vertical="center" wrapText="1"/>
    </xf>
    <xf numFmtId="0" fontId="54" fillId="0" borderId="13" xfId="1" applyFont="1" applyFill="1" applyBorder="1" applyAlignment="1">
      <alignment horizontal="center" vertical="center"/>
    </xf>
    <xf numFmtId="0" fontId="43" fillId="0" borderId="23" xfId="1" applyNumberFormat="1" applyFont="1" applyFill="1" applyBorder="1" applyAlignment="1" applyProtection="1">
      <alignment horizontal="center" vertical="center"/>
    </xf>
    <xf numFmtId="0" fontId="61" fillId="0" borderId="1" xfId="1" applyNumberFormat="1" applyFont="1" applyFill="1" applyBorder="1" applyAlignment="1" applyProtection="1">
      <alignment horizontal="center" vertical="center" wrapText="1"/>
    </xf>
    <xf numFmtId="0" fontId="61" fillId="0" borderId="23" xfId="1" applyNumberFormat="1" applyFont="1" applyFill="1" applyBorder="1" applyAlignment="1" applyProtection="1">
      <alignment horizontal="center" vertical="center" wrapText="1"/>
    </xf>
    <xf numFmtId="0" fontId="47" fillId="0" borderId="25" xfId="2" applyFont="1" applyBorder="1" applyAlignment="1">
      <alignment horizontal="center" vertical="center"/>
    </xf>
    <xf numFmtId="0" fontId="53" fillId="3" borderId="12" xfId="2" applyFont="1" applyFill="1" applyBorder="1" applyAlignment="1">
      <alignment horizontal="center" vertical="center" wrapText="1"/>
    </xf>
    <xf numFmtId="0" fontId="53" fillId="3" borderId="13" xfId="2" applyFont="1" applyFill="1" applyBorder="1" applyAlignment="1">
      <alignment horizontal="center" vertical="center" wrapText="1"/>
    </xf>
    <xf numFmtId="0" fontId="54" fillId="0" borderId="22" xfId="1" applyFont="1" applyFill="1" applyBorder="1" applyAlignment="1">
      <alignment horizontal="center" vertical="center"/>
    </xf>
    <xf numFmtId="0" fontId="46" fillId="0" borderId="4" xfId="196" applyNumberFormat="1" applyFont="1" applyFill="1" applyBorder="1" applyAlignment="1" applyProtection="1">
      <alignment horizontal="center" vertical="center" wrapText="1"/>
    </xf>
    <xf numFmtId="0" fontId="46" fillId="0" borderId="11" xfId="196" applyNumberFormat="1" applyFont="1" applyFill="1" applyBorder="1" applyAlignment="1" applyProtection="1">
      <alignment horizontal="center" vertical="center" wrapText="1"/>
    </xf>
    <xf numFmtId="0" fontId="46" fillId="0" borderId="10" xfId="196" applyNumberFormat="1" applyFont="1" applyFill="1" applyBorder="1" applyAlignment="1" applyProtection="1">
      <alignment horizontal="center" vertical="center" wrapText="1"/>
    </xf>
  </cellXfs>
  <cellStyles count="220">
    <cellStyle name="백분율" xfId="188" builtinId="5"/>
    <cellStyle name="백분율 10" xfId="207"/>
    <cellStyle name="백분율 2" xfId="99"/>
    <cellStyle name="백분율 3" xfId="118"/>
    <cellStyle name="백분율 4" xfId="127"/>
    <cellStyle name="백분율 5" xfId="138"/>
    <cellStyle name="백분율 6" xfId="143"/>
    <cellStyle name="백분율 7" xfId="164"/>
    <cellStyle name="백분율 8" xfId="183"/>
    <cellStyle name="백분율 9" xfId="200"/>
    <cellStyle name="표준" xfId="0" builtinId="0"/>
    <cellStyle name="표준 10" xfId="5"/>
    <cellStyle name="표준 2" xfId="1"/>
    <cellStyle name="표준 2 10" xfId="16"/>
    <cellStyle name="표준 2 10 10" xfId="59"/>
    <cellStyle name="표준 2 10 11" xfId="61"/>
    <cellStyle name="표준 2 10 12" xfId="63"/>
    <cellStyle name="표준 2 10 13" xfId="67"/>
    <cellStyle name="표준 2 10 14" xfId="70"/>
    <cellStyle name="표준 2 10 14 2" xfId="77"/>
    <cellStyle name="표준 2 10 14 2 2" xfId="80"/>
    <cellStyle name="표준 2 10 14 2 2 2" xfId="87"/>
    <cellStyle name="표준 2 10 14 2 3" xfId="86"/>
    <cellStyle name="표준 2 10 15" xfId="74"/>
    <cellStyle name="표준 2 10 15 2" xfId="81"/>
    <cellStyle name="표준 2 10 15 2 2" xfId="88"/>
    <cellStyle name="표준 2 10 16" xfId="78"/>
    <cellStyle name="표준 2 10 17" xfId="83"/>
    <cellStyle name="표준 2 10 17 10" xfId="176"/>
    <cellStyle name="표준 2 10 17 11" xfId="190"/>
    <cellStyle name="표준 2 10 17 12" xfId="206"/>
    <cellStyle name="표준 2 10 17 2" xfId="98"/>
    <cellStyle name="표준 2 10 17 2 2" xfId="109"/>
    <cellStyle name="표준 2 10 17 3" xfId="104"/>
    <cellStyle name="표준 2 10 17 4" xfId="120"/>
    <cellStyle name="표준 2 10 17 5" xfId="129"/>
    <cellStyle name="표준 2 10 17 5 2" xfId="149"/>
    <cellStyle name="표준 2 10 17 5 3" xfId="159"/>
    <cellStyle name="표준 2 10 17 5 3 2" xfId="184"/>
    <cellStyle name="표준 2 10 17 5 4" xfId="181"/>
    <cellStyle name="표준 2 10 17 5 5" xfId="195"/>
    <cellStyle name="표준 2 10 17 5 6" xfId="218"/>
    <cellStyle name="표준 2 10 17 6" xfId="137"/>
    <cellStyle name="표준 2 10 17 7" xfId="142"/>
    <cellStyle name="표준 2 10 17 7 2" xfId="156"/>
    <cellStyle name="표준 2 10 17 7 3" xfId="178"/>
    <cellStyle name="표준 2 10 17 7 4" xfId="192"/>
    <cellStyle name="표준 2 10 17 7 5" xfId="215"/>
    <cellStyle name="표준 2 10 17 8" xfId="154"/>
    <cellStyle name="표준 2 10 17 9" xfId="167"/>
    <cellStyle name="표준 2 10 18" xfId="90"/>
    <cellStyle name="표준 2 10 18 2" xfId="97"/>
    <cellStyle name="표준 2 10 18 2 2" xfId="108"/>
    <cellStyle name="표준 2 10 18 3" xfId="106"/>
    <cellStyle name="표준 2 10 18 3 2" xfId="116"/>
    <cellStyle name="표준 2 10 18 3 2 2" xfId="122"/>
    <cellStyle name="표준 2 10 18 3 2 2 2" xfId="131"/>
    <cellStyle name="표준 2 10 18 4" xfId="147"/>
    <cellStyle name="표준 2 10 18 4 2" xfId="157"/>
    <cellStyle name="표준 2 10 18 4 3" xfId="179"/>
    <cellStyle name="표준 2 10 18 4 4" xfId="193"/>
    <cellStyle name="표준 2 10 18 4 5" xfId="216"/>
    <cellStyle name="표준 2 10 18 5" xfId="169"/>
    <cellStyle name="표준 2 10 18 6" xfId="175"/>
    <cellStyle name="표준 2 10 18 7" xfId="211"/>
    <cellStyle name="표준 2 10 19" xfId="95"/>
    <cellStyle name="표준 2 10 19 10" xfId="209"/>
    <cellStyle name="표준 2 10 19 2" xfId="103"/>
    <cellStyle name="표준 2 10 19 2 2" xfId="114"/>
    <cellStyle name="표준 2 10 19 3" xfId="113"/>
    <cellStyle name="표준 2 10 19 4" xfId="119"/>
    <cellStyle name="표준 2 10 19 5" xfId="128"/>
    <cellStyle name="표준 2 10 19 6" xfId="145"/>
    <cellStyle name="표준 2 10 19 6 2" xfId="166"/>
    <cellStyle name="표준 2 10 19 6 2 2" xfId="187"/>
    <cellStyle name="표준 2 10 19 6 2 2 2" xfId="203"/>
    <cellStyle name="표준 2 10 19 7" xfId="165"/>
    <cellStyle name="표준 2 10 19 8" xfId="185"/>
    <cellStyle name="표준 2 10 19 9" xfId="201"/>
    <cellStyle name="표준 2 10 2" xfId="20"/>
    <cellStyle name="표준 2 10 2 2" xfId="28"/>
    <cellStyle name="표준 2 10 2 2 2" xfId="31"/>
    <cellStyle name="표준 2 10 2 2 2 2" xfId="39"/>
    <cellStyle name="표준 2 10 20" xfId="101"/>
    <cellStyle name="표준 2 10 20 10" xfId="213"/>
    <cellStyle name="표준 2 10 20 10 2" xfId="219"/>
    <cellStyle name="표준 2 10 20 2" xfId="111"/>
    <cellStyle name="표준 2 10 20 3" xfId="123"/>
    <cellStyle name="표준 2 10 20 4" xfId="132"/>
    <cellStyle name="표준 2 10 20 5" xfId="150"/>
    <cellStyle name="표준 2 10 20 6" xfId="160"/>
    <cellStyle name="표준 2 10 20 7" xfId="170"/>
    <cellStyle name="표준 2 10 20 8" xfId="174"/>
    <cellStyle name="표준 2 10 20 9" xfId="196"/>
    <cellStyle name="표준 2 10 21" xfId="107"/>
    <cellStyle name="표준 2 10 22" xfId="153"/>
    <cellStyle name="표준 2 10 23" xfId="172"/>
    <cellStyle name="표준 2 10 24" xfId="189"/>
    <cellStyle name="표준 2 10 3" xfId="24"/>
    <cellStyle name="표준 2 10 3 2" xfId="35"/>
    <cellStyle name="표준 2 10 4" xfId="29"/>
    <cellStyle name="표준 2 10 4 2" xfId="38"/>
    <cellStyle name="표준 2 10 5" xfId="33"/>
    <cellStyle name="표준 2 10 6" xfId="40"/>
    <cellStyle name="표준 2 10 6 2" xfId="43"/>
    <cellStyle name="표준 2 10 6 3" xfId="50"/>
    <cellStyle name="표준 2 10 6 3 2" xfId="54"/>
    <cellStyle name="표준 2 10 6 3 2 2" xfId="57"/>
    <cellStyle name="표준 2 10 6 3 2 2 2" xfId="66"/>
    <cellStyle name="표준 2 10 6 3 2 2 3" xfId="69"/>
    <cellStyle name="표준 2 10 6 3 2 2 4" xfId="148"/>
    <cellStyle name="표준 2 10 6 3 2 2 5" xfId="158"/>
    <cellStyle name="표준 2 10 6 3 2 2 6" xfId="180"/>
    <cellStyle name="표준 2 10 6 3 2 2 7" xfId="194"/>
    <cellStyle name="표준 2 10 6 3 2 2 8" xfId="217"/>
    <cellStyle name="표준 2 10 7" xfId="46"/>
    <cellStyle name="표준 2 10 8" xfId="51"/>
    <cellStyle name="표준 2 10 8 2" xfId="73"/>
    <cellStyle name="표준 2 10 9" xfId="55"/>
    <cellStyle name="표준 2 11" xfId="23"/>
    <cellStyle name="표준 2 12" xfId="45"/>
    <cellStyle name="표준 2 13" xfId="89"/>
    <cellStyle name="표준 2 13 2" xfId="117"/>
    <cellStyle name="표준 2 13 3" xfId="126"/>
    <cellStyle name="표준 2 13 4" xfId="136"/>
    <cellStyle name="표준 2 13 5" xfId="141"/>
    <cellStyle name="표준 2 13 6" xfId="163"/>
    <cellStyle name="표준 2 13 7" xfId="182"/>
    <cellStyle name="표준 2 13 8" xfId="199"/>
    <cellStyle name="표준 2 13 9" xfId="205"/>
    <cellStyle name="표준 2 14" xfId="94"/>
    <cellStyle name="표준 2 15" xfId="135"/>
    <cellStyle name="표준 2 16" xfId="140"/>
    <cellStyle name="표준 2 17" xfId="204"/>
    <cellStyle name="표준 2 2" xfId="2"/>
    <cellStyle name="표준 2 3" xfId="4"/>
    <cellStyle name="표준 2 3 10" xfId="91"/>
    <cellStyle name="표준 2 3 11" xfId="96"/>
    <cellStyle name="표준 2 3 12" xfId="139"/>
    <cellStyle name="표준 2 3 13" xfId="144"/>
    <cellStyle name="표준 2 3 14" xfId="208"/>
    <cellStyle name="표준 2 3 2" xfId="7"/>
    <cellStyle name="표준 2 3 3" xfId="9"/>
    <cellStyle name="표준 2 3 4" xfId="12"/>
    <cellStyle name="표준 2 3 5" xfId="14"/>
    <cellStyle name="표준 2 3 5 2" xfId="19"/>
    <cellStyle name="표준 2 3 6" xfId="18"/>
    <cellStyle name="표준 2 3 6 10" xfId="60"/>
    <cellStyle name="표준 2 3 6 11" xfId="62"/>
    <cellStyle name="표준 2 3 6 12" xfId="64"/>
    <cellStyle name="표준 2 3 6 13" xfId="68"/>
    <cellStyle name="표준 2 3 6 14" xfId="71"/>
    <cellStyle name="표준 2 3 6 15" xfId="76"/>
    <cellStyle name="표준 2 3 6 16" xfId="79"/>
    <cellStyle name="표준 2 3 6 17" xfId="84"/>
    <cellStyle name="표준 2 3 6 18" xfId="93"/>
    <cellStyle name="표준 2 3 6 19" xfId="105"/>
    <cellStyle name="표준 2 3 6 19 2" xfId="115"/>
    <cellStyle name="표준 2 3 6 19 3" xfId="121"/>
    <cellStyle name="표준 2 3 6 19 4" xfId="130"/>
    <cellStyle name="표준 2 3 6 19 5" xfId="146"/>
    <cellStyle name="표준 2 3 6 19 6" xfId="168"/>
    <cellStyle name="표준 2 3 6 19 7" xfId="186"/>
    <cellStyle name="표준 2 3 6 19 8" xfId="202"/>
    <cellStyle name="표준 2 3 6 19 9" xfId="210"/>
    <cellStyle name="표준 2 3 6 2" xfId="22"/>
    <cellStyle name="표준 2 3 6 20" xfId="102"/>
    <cellStyle name="표준 2 3 6 20 10" xfId="214"/>
    <cellStyle name="표준 2 3 6 20 2" xfId="112"/>
    <cellStyle name="표준 2 3 6 20 3" xfId="124"/>
    <cellStyle name="표준 2 3 6 20 4" xfId="133"/>
    <cellStyle name="표준 2 3 6 20 5" xfId="151"/>
    <cellStyle name="표준 2 3 6 20 6" xfId="161"/>
    <cellStyle name="표준 2 3 6 20 7" xfId="171"/>
    <cellStyle name="표준 2 3 6 20 8" xfId="177"/>
    <cellStyle name="표준 2 3 6 20 9" xfId="197"/>
    <cellStyle name="표준 2 3 6 21" xfId="155"/>
    <cellStyle name="표준 2 3 6 22" xfId="191"/>
    <cellStyle name="표준 2 3 6 3" xfId="27"/>
    <cellStyle name="표준 2 3 6 4" xfId="30"/>
    <cellStyle name="표준 2 3 6 5" xfId="37"/>
    <cellStyle name="표준 2 3 6 6" xfId="42"/>
    <cellStyle name="표준 2 3 6 6 2" xfId="44"/>
    <cellStyle name="표준 2 3 6 7" xfId="49"/>
    <cellStyle name="표준 2 3 6 8" xfId="52"/>
    <cellStyle name="표준 2 3 6 9" xfId="56"/>
    <cellStyle name="표준 2 3 7" xfId="25"/>
    <cellStyle name="표준 2 3 8" xfId="36"/>
    <cellStyle name="표준 2 3 9" xfId="47"/>
    <cellStyle name="표준 2 4" xfId="6"/>
    <cellStyle name="표준 2 5" xfId="3"/>
    <cellStyle name="표준 2 5 2" xfId="15"/>
    <cellStyle name="표준 2 5 2 2" xfId="17"/>
    <cellStyle name="표준 2 5 2 2 2" xfId="21"/>
    <cellStyle name="표준 2 5 2 2 3" xfId="26"/>
    <cellStyle name="표준 2 5 2 2 4" xfId="32"/>
    <cellStyle name="표준 2 5 2 2 5" xfId="34"/>
    <cellStyle name="표준 2 5 2 2 6" xfId="41"/>
    <cellStyle name="표준 2 5 2 2 6 2" xfId="48"/>
    <cellStyle name="표준 2 5 2 2 6 2 2" xfId="53"/>
    <cellStyle name="표준 2 5 2 2 6 2 2 2" xfId="58"/>
    <cellStyle name="표준 2 5 2 2 6 2 2 3" xfId="65"/>
    <cellStyle name="표준 2 5 2 2 6 2 2 4" xfId="72"/>
    <cellStyle name="표준 2 5 2 2 6 2 2 5" xfId="75"/>
    <cellStyle name="표준 2 5 2 2 6 2 2 6" xfId="82"/>
    <cellStyle name="표준 2 5 2 2 6 2 2 6 2" xfId="85"/>
    <cellStyle name="표준 2 5 2 2 6 2 2 6 2 2" xfId="92"/>
    <cellStyle name="표준 2 5 2 2 6 2 2 6 2 2 2" xfId="100"/>
    <cellStyle name="표준 2 5 2 2 6 2 2 6 2 2 2 2" xfId="110"/>
    <cellStyle name="표준 2 5 2 2 6 2 2 6 2 2 2 2 2" xfId="125"/>
    <cellStyle name="표준 2 5 2 2 6 2 2 6 2 2 2 2 2 2" xfId="134"/>
    <cellStyle name="표준 2 5 2 2 6 2 2 6 2 2 2 2 2 2 2" xfId="152"/>
    <cellStyle name="표준 2 5 2 2 6 2 2 6 2 2 2 2 2 2 2 2" xfId="162"/>
    <cellStyle name="표준 2 5 2 2 6 2 2 6 2 2 2 2 2 2 2 2 2" xfId="173"/>
    <cellStyle name="표준 2 5 2 2 6 2 2 6 2 2 2 2 2 2 2 2 2 2" xfId="198"/>
    <cellStyle name="표준 2 5 2 2 6 2 2 6 2 2 2 2 2 2 2 2 2 2 2" xfId="212"/>
    <cellStyle name="표준 2 6" xfId="8"/>
    <cellStyle name="표준 2 7" xfId="10"/>
    <cellStyle name="표준 2 8" xfId="11"/>
    <cellStyle name="표준 2 9" xfId="13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27"/>
  <sheetViews>
    <sheetView zoomScale="85" zoomScaleNormal="85" zoomScalePageLayoutView="80" workbookViewId="0">
      <selection activeCell="C23" sqref="C23"/>
    </sheetView>
  </sheetViews>
  <sheetFormatPr defaultRowHeight="16.5"/>
  <cols>
    <col min="1" max="1" width="4.33203125" style="541" customWidth="1"/>
    <col min="2" max="2" width="13.33203125" style="542" customWidth="1"/>
    <col min="3" max="9" width="15.83203125" style="514" customWidth="1"/>
    <col min="10" max="10" width="3.5" style="543" customWidth="1"/>
    <col min="11" max="17" width="15.83203125" style="514" customWidth="1"/>
    <col min="18" max="18" width="2.1640625" style="532" customWidth="1"/>
    <col min="19" max="16384" width="9.33203125" style="514"/>
  </cols>
  <sheetData>
    <row r="1" spans="1:24" ht="18" customHeight="1">
      <c r="A1" s="1093" t="s">
        <v>646</v>
      </c>
      <c r="B1" s="1093"/>
      <c r="C1" s="1093"/>
      <c r="D1" s="1093"/>
      <c r="E1" s="1093"/>
      <c r="F1" s="1093"/>
      <c r="G1" s="1093"/>
      <c r="H1" s="1093"/>
      <c r="I1" s="1093"/>
      <c r="J1" s="1093"/>
      <c r="K1" s="1093"/>
      <c r="L1" s="1093"/>
      <c r="M1" s="1093"/>
      <c r="N1" s="1093"/>
      <c r="O1" s="1093"/>
      <c r="P1" s="1093"/>
      <c r="Q1" s="1093"/>
      <c r="R1" s="513"/>
    </row>
    <row r="2" spans="1:24" ht="21" customHeight="1" thickBot="1">
      <c r="A2" s="515"/>
      <c r="B2" s="516" t="s">
        <v>0</v>
      </c>
      <c r="C2" s="515" t="s">
        <v>1</v>
      </c>
      <c r="D2" s="515" t="s">
        <v>2</v>
      </c>
      <c r="E2" s="515" t="s">
        <v>3</v>
      </c>
      <c r="F2" s="515" t="s">
        <v>4</v>
      </c>
      <c r="G2" s="515" t="s">
        <v>5</v>
      </c>
      <c r="H2" s="515" t="s">
        <v>6</v>
      </c>
      <c r="I2" s="515" t="s">
        <v>7</v>
      </c>
      <c r="J2" s="517" t="s">
        <v>8</v>
      </c>
      <c r="K2" s="515" t="s">
        <v>9</v>
      </c>
      <c r="L2" s="515" t="s">
        <v>10</v>
      </c>
      <c r="M2" s="515" t="s">
        <v>11</v>
      </c>
      <c r="N2" s="515" t="s">
        <v>12</v>
      </c>
      <c r="O2" s="515" t="s">
        <v>13</v>
      </c>
      <c r="P2" s="515" t="s">
        <v>14</v>
      </c>
      <c r="Q2" s="515" t="s">
        <v>15</v>
      </c>
      <c r="R2" s="513"/>
    </row>
    <row r="3" spans="1:24" ht="48" customHeight="1">
      <c r="A3" s="113">
        <v>1</v>
      </c>
      <c r="B3" s="153" t="s">
        <v>647</v>
      </c>
      <c r="C3" s="212" t="s">
        <v>648</v>
      </c>
      <c r="D3" s="154" t="s">
        <v>649</v>
      </c>
      <c r="E3" s="154" t="s">
        <v>650</v>
      </c>
      <c r="F3" s="143" t="s">
        <v>930</v>
      </c>
      <c r="G3" s="154" t="s">
        <v>651</v>
      </c>
      <c r="H3" s="154" t="s">
        <v>652</v>
      </c>
      <c r="I3" s="117" t="s">
        <v>653</v>
      </c>
      <c r="J3" s="155"/>
      <c r="K3" s="233" t="s">
        <v>1792</v>
      </c>
      <c r="L3" s="154" t="s">
        <v>654</v>
      </c>
      <c r="M3" s="117" t="s">
        <v>1790</v>
      </c>
      <c r="N3" s="518" t="s">
        <v>655</v>
      </c>
      <c r="O3" s="519" t="s">
        <v>656</v>
      </c>
      <c r="P3" s="159"/>
      <c r="Q3" s="159"/>
      <c r="R3" s="520"/>
      <c r="S3" s="1094" t="s">
        <v>1793</v>
      </c>
      <c r="T3" s="1095"/>
      <c r="U3" s="1095"/>
      <c r="V3" s="1095"/>
      <c r="W3" s="1095"/>
      <c r="X3" s="1096"/>
    </row>
    <row r="4" spans="1:24" ht="37.5" customHeight="1">
      <c r="A4" s="113">
        <v>2</v>
      </c>
      <c r="B4" s="153" t="s">
        <v>657</v>
      </c>
      <c r="C4" s="156"/>
      <c r="D4" s="154" t="s">
        <v>658</v>
      </c>
      <c r="E4" s="113" t="s">
        <v>659</v>
      </c>
      <c r="F4" s="113" t="s">
        <v>660</v>
      </c>
      <c r="G4" s="113" t="s">
        <v>661</v>
      </c>
      <c r="H4" s="113" t="s">
        <v>662</v>
      </c>
      <c r="I4" s="212" t="s">
        <v>663</v>
      </c>
      <c r="J4" s="155"/>
      <c r="K4" s="117" t="s">
        <v>1752</v>
      </c>
      <c r="L4" s="117" t="s">
        <v>1751</v>
      </c>
      <c r="M4" s="157" t="s">
        <v>664</v>
      </c>
      <c r="N4" s="157" t="s">
        <v>665</v>
      </c>
      <c r="O4" s="154" t="s">
        <v>666</v>
      </c>
      <c r="P4" s="125" t="s">
        <v>667</v>
      </c>
      <c r="Q4" s="159"/>
      <c r="R4" s="520"/>
      <c r="S4" s="1097"/>
      <c r="T4" s="1098"/>
      <c r="U4" s="1098"/>
      <c r="V4" s="1098"/>
      <c r="W4" s="1098"/>
      <c r="X4" s="1099"/>
    </row>
    <row r="5" spans="1:24" ht="27.95" customHeight="1">
      <c r="A5" s="113">
        <v>3</v>
      </c>
      <c r="B5" s="153" t="s">
        <v>668</v>
      </c>
      <c r="C5" s="156"/>
      <c r="D5" s="154" t="s">
        <v>669</v>
      </c>
      <c r="E5" s="154" t="s">
        <v>670</v>
      </c>
      <c r="F5" s="157" t="s">
        <v>671</v>
      </c>
      <c r="G5" s="241" t="s">
        <v>672</v>
      </c>
      <c r="H5" s="154" t="s">
        <v>673</v>
      </c>
      <c r="I5" s="154" t="s">
        <v>674</v>
      </c>
      <c r="J5" s="160"/>
      <c r="K5" s="157" t="s">
        <v>675</v>
      </c>
      <c r="L5" s="157" t="s">
        <v>676</v>
      </c>
      <c r="M5" s="157" t="s">
        <v>677</v>
      </c>
      <c r="N5" s="163" t="s">
        <v>678</v>
      </c>
      <c r="O5" s="241" t="s">
        <v>679</v>
      </c>
      <c r="P5" s="212" t="s">
        <v>648</v>
      </c>
      <c r="Q5" s="156"/>
      <c r="R5" s="514"/>
      <c r="S5" s="1097"/>
      <c r="T5" s="1098"/>
      <c r="U5" s="1098"/>
      <c r="V5" s="1098"/>
      <c r="W5" s="1098"/>
      <c r="X5" s="1099"/>
    </row>
    <row r="6" spans="1:24" ht="27.95" customHeight="1">
      <c r="A6" s="113">
        <v>4</v>
      </c>
      <c r="B6" s="153" t="s">
        <v>680</v>
      </c>
      <c r="C6" s="154" t="s">
        <v>681</v>
      </c>
      <c r="D6" s="154" t="s">
        <v>682</v>
      </c>
      <c r="E6" s="154" t="s">
        <v>683</v>
      </c>
      <c r="F6" s="157" t="s">
        <v>684</v>
      </c>
      <c r="G6" s="154" t="s">
        <v>685</v>
      </c>
      <c r="H6" s="157" t="s">
        <v>686</v>
      </c>
      <c r="I6" s="154" t="s">
        <v>687</v>
      </c>
      <c r="J6" s="160"/>
      <c r="K6" s="241" t="s">
        <v>688</v>
      </c>
      <c r="L6" s="157" t="s">
        <v>689</v>
      </c>
      <c r="M6" s="157" t="s">
        <v>690</v>
      </c>
      <c r="N6" s="521" t="s">
        <v>691</v>
      </c>
      <c r="O6" s="157" t="s">
        <v>692</v>
      </c>
      <c r="P6" s="1084"/>
      <c r="Q6" s="1085"/>
      <c r="R6" s="514"/>
      <c r="S6" s="1097"/>
      <c r="T6" s="1098"/>
      <c r="U6" s="1098"/>
      <c r="V6" s="1098"/>
      <c r="W6" s="1098"/>
      <c r="X6" s="1099"/>
    </row>
    <row r="7" spans="1:24" ht="27.75" customHeight="1">
      <c r="A7" s="113">
        <v>5</v>
      </c>
      <c r="B7" s="153" t="s">
        <v>693</v>
      </c>
      <c r="C7" s="156"/>
      <c r="D7" s="154" t="s">
        <v>694</v>
      </c>
      <c r="E7" s="154" t="s">
        <v>695</v>
      </c>
      <c r="F7" s="154" t="s">
        <v>696</v>
      </c>
      <c r="G7" s="154" t="s">
        <v>697</v>
      </c>
      <c r="H7" s="113" t="s">
        <v>698</v>
      </c>
      <c r="I7" s="113" t="s">
        <v>698</v>
      </c>
      <c r="J7" s="155"/>
      <c r="K7" s="154" t="s">
        <v>699</v>
      </c>
      <c r="L7" s="154" t="s">
        <v>700</v>
      </c>
      <c r="M7" s="113" t="s">
        <v>701</v>
      </c>
      <c r="N7" s="154" t="s">
        <v>702</v>
      </c>
      <c r="O7" s="154" t="s">
        <v>703</v>
      </c>
      <c r="P7" s="154" t="s">
        <v>704</v>
      </c>
      <c r="Q7" s="156"/>
      <c r="R7" s="522"/>
      <c r="S7" s="1097"/>
      <c r="T7" s="1098"/>
      <c r="U7" s="1098"/>
      <c r="V7" s="1098"/>
      <c r="W7" s="1098"/>
      <c r="X7" s="1099"/>
    </row>
    <row r="8" spans="1:24" ht="27.75" customHeight="1">
      <c r="A8" s="113">
        <v>6</v>
      </c>
      <c r="B8" s="153" t="s">
        <v>705</v>
      </c>
      <c r="C8" s="156"/>
      <c r="D8" s="157" t="s">
        <v>706</v>
      </c>
      <c r="E8" s="154" t="s">
        <v>707</v>
      </c>
      <c r="F8" s="154" t="s">
        <v>708</v>
      </c>
      <c r="G8" s="241" t="s">
        <v>709</v>
      </c>
      <c r="H8" s="154" t="s">
        <v>710</v>
      </c>
      <c r="I8" s="154" t="s">
        <v>711</v>
      </c>
      <c r="J8" s="155"/>
      <c r="K8" s="241" t="s">
        <v>712</v>
      </c>
      <c r="L8" s="154" t="s">
        <v>713</v>
      </c>
      <c r="M8" s="252" t="s">
        <v>714</v>
      </c>
      <c r="N8" s="154" t="s">
        <v>715</v>
      </c>
      <c r="O8" s="154" t="s">
        <v>716</v>
      </c>
      <c r="P8" s="241" t="s">
        <v>717</v>
      </c>
      <c r="Q8" s="156"/>
      <c r="R8" s="522"/>
      <c r="S8" s="1097"/>
      <c r="T8" s="1098"/>
      <c r="U8" s="1098"/>
      <c r="V8" s="1098"/>
      <c r="W8" s="1098"/>
      <c r="X8" s="1099"/>
    </row>
    <row r="9" spans="1:24" ht="27.75" customHeight="1">
      <c r="A9" s="113">
        <v>7</v>
      </c>
      <c r="B9" s="153" t="s">
        <v>718</v>
      </c>
      <c r="C9" s="154" t="s">
        <v>719</v>
      </c>
      <c r="D9" s="241" t="s">
        <v>233</v>
      </c>
      <c r="E9" s="154" t="s">
        <v>720</v>
      </c>
      <c r="F9" s="154" t="s">
        <v>721</v>
      </c>
      <c r="G9" s="154" t="s">
        <v>722</v>
      </c>
      <c r="H9" s="154" t="s">
        <v>723</v>
      </c>
      <c r="I9" s="154" t="s">
        <v>724</v>
      </c>
      <c r="J9" s="160"/>
      <c r="K9" s="154" t="s">
        <v>725</v>
      </c>
      <c r="L9" s="252" t="s">
        <v>726</v>
      </c>
      <c r="M9" s="154" t="s">
        <v>727</v>
      </c>
      <c r="N9" s="154" t="s">
        <v>728</v>
      </c>
      <c r="O9" s="154" t="s">
        <v>729</v>
      </c>
      <c r="P9" s="1084"/>
      <c r="Q9" s="1085"/>
      <c r="R9" s="522"/>
      <c r="S9" s="1097"/>
      <c r="T9" s="1098"/>
      <c r="U9" s="1098"/>
      <c r="V9" s="1098"/>
      <c r="W9" s="1098"/>
      <c r="X9" s="1099"/>
    </row>
    <row r="10" spans="1:24" ht="27.95" customHeight="1">
      <c r="A10" s="113">
        <v>8</v>
      </c>
      <c r="B10" s="161" t="s">
        <v>730</v>
      </c>
      <c r="C10" s="118"/>
      <c r="D10" s="118"/>
      <c r="E10" s="118"/>
      <c r="F10" s="118"/>
      <c r="G10" s="523"/>
      <c r="H10" s="118"/>
      <c r="I10" s="118"/>
      <c r="J10" s="162"/>
      <c r="K10" s="118"/>
      <c r="L10" s="523"/>
      <c r="M10" s="523"/>
      <c r="N10" s="118"/>
      <c r="O10" s="523"/>
      <c r="P10" s="1084"/>
      <c r="Q10" s="1085"/>
      <c r="R10" s="522"/>
      <c r="S10" s="1097"/>
      <c r="T10" s="1098"/>
      <c r="U10" s="1098"/>
      <c r="V10" s="1098"/>
      <c r="W10" s="1098"/>
      <c r="X10" s="1099"/>
    </row>
    <row r="11" spans="1:24" ht="27.95" customHeight="1">
      <c r="A11" s="113">
        <v>9</v>
      </c>
      <c r="B11" s="153" t="s">
        <v>731</v>
      </c>
      <c r="C11" s="117" t="s">
        <v>732</v>
      </c>
      <c r="D11" s="117" t="s">
        <v>733</v>
      </c>
      <c r="E11" s="157" t="s">
        <v>734</v>
      </c>
      <c r="F11" s="521" t="s">
        <v>735</v>
      </c>
      <c r="G11" s="157" t="s">
        <v>736</v>
      </c>
      <c r="H11" s="157" t="s">
        <v>737</v>
      </c>
      <c r="I11" s="154" t="s">
        <v>738</v>
      </c>
      <c r="J11" s="160"/>
      <c r="K11" s="154" t="s">
        <v>739</v>
      </c>
      <c r="L11" s="154" t="s">
        <v>740</v>
      </c>
      <c r="M11" s="241" t="s">
        <v>741</v>
      </c>
      <c r="N11" s="241" t="s">
        <v>742</v>
      </c>
      <c r="O11" s="521" t="s">
        <v>743</v>
      </c>
      <c r="P11" s="1084"/>
      <c r="Q11" s="1085"/>
      <c r="R11" s="522"/>
      <c r="S11" s="1097"/>
      <c r="T11" s="1098"/>
      <c r="U11" s="1098"/>
      <c r="V11" s="1098"/>
      <c r="W11" s="1098"/>
      <c r="X11" s="1099"/>
    </row>
    <row r="12" spans="1:24" ht="27.95" customHeight="1">
      <c r="A12" s="113">
        <v>10</v>
      </c>
      <c r="B12" s="153" t="s">
        <v>1755</v>
      </c>
      <c r="C12" s="135" t="s">
        <v>1785</v>
      </c>
      <c r="D12" s="117" t="s">
        <v>747</v>
      </c>
      <c r="E12" s="232" t="s">
        <v>1786</v>
      </c>
      <c r="F12" s="133" t="s">
        <v>1756</v>
      </c>
      <c r="G12" s="1059" t="s">
        <v>1787</v>
      </c>
      <c r="H12" s="134" t="s">
        <v>1757</v>
      </c>
      <c r="I12" s="136" t="s">
        <v>1758</v>
      </c>
      <c r="J12" s="134"/>
      <c r="K12" s="135" t="s">
        <v>1759</v>
      </c>
      <c r="L12" s="1074" t="s">
        <v>1791</v>
      </c>
      <c r="M12" s="141" t="s">
        <v>1760</v>
      </c>
      <c r="N12" s="232" t="s">
        <v>1788</v>
      </c>
      <c r="O12" s="231" t="s">
        <v>1789</v>
      </c>
      <c r="P12" s="1084"/>
      <c r="Q12" s="1085"/>
      <c r="R12" s="522"/>
      <c r="S12" s="1097"/>
      <c r="T12" s="1098"/>
      <c r="U12" s="1098"/>
      <c r="V12" s="1098"/>
      <c r="W12" s="1098"/>
      <c r="X12" s="1099"/>
    </row>
    <row r="13" spans="1:24" ht="27.95" customHeight="1">
      <c r="A13" s="113">
        <v>10</v>
      </c>
      <c r="B13" s="153" t="s">
        <v>744</v>
      </c>
      <c r="C13" s="156"/>
      <c r="D13" s="1103" t="s">
        <v>745</v>
      </c>
      <c r="E13" s="1104"/>
      <c r="F13" s="1104"/>
      <c r="G13" s="1104"/>
      <c r="H13" s="1104"/>
      <c r="I13" s="1104"/>
      <c r="J13" s="1104"/>
      <c r="K13" s="1104"/>
      <c r="L13" s="1104"/>
      <c r="M13" s="1104"/>
      <c r="N13" s="1104"/>
      <c r="O13" s="1104"/>
      <c r="P13" s="1105"/>
      <c r="Q13" s="156"/>
      <c r="R13" s="522"/>
      <c r="S13" s="1097"/>
      <c r="T13" s="1098"/>
      <c r="U13" s="1098"/>
      <c r="V13" s="1098"/>
      <c r="W13" s="1098"/>
      <c r="X13" s="1099"/>
    </row>
    <row r="14" spans="1:24" ht="24">
      <c r="A14" s="113">
        <v>10</v>
      </c>
      <c r="B14" s="161" t="s">
        <v>746</v>
      </c>
      <c r="C14" s="156"/>
      <c r="D14" s="118"/>
      <c r="E14" s="118"/>
      <c r="F14" s="118"/>
      <c r="G14" s="118"/>
      <c r="H14" s="118"/>
      <c r="I14" s="118"/>
      <c r="J14" s="159"/>
      <c r="K14" s="118"/>
      <c r="L14" s="118"/>
      <c r="M14" s="523"/>
      <c r="N14" s="118"/>
      <c r="O14" s="524"/>
      <c r="P14" s="1084"/>
      <c r="Q14" s="1085"/>
      <c r="R14" s="522"/>
      <c r="S14" s="1097"/>
      <c r="T14" s="1098"/>
      <c r="U14" s="1098"/>
      <c r="V14" s="1098"/>
      <c r="W14" s="1098"/>
      <c r="X14" s="1099"/>
    </row>
    <row r="15" spans="1:24" ht="27.95" customHeight="1">
      <c r="A15" s="113"/>
      <c r="B15" s="153" t="s">
        <v>748</v>
      </c>
      <c r="C15" s="525" t="s">
        <v>223</v>
      </c>
      <c r="D15" s="1091" t="s">
        <v>745</v>
      </c>
      <c r="E15" s="1106"/>
      <c r="F15" s="1106"/>
      <c r="G15" s="1106"/>
      <c r="H15" s="1106"/>
      <c r="I15" s="1106"/>
      <c r="J15" s="1106"/>
      <c r="K15" s="1106"/>
      <c r="L15" s="1106"/>
      <c r="M15" s="1092"/>
      <c r="N15" s="212"/>
      <c r="O15" s="1107" t="s">
        <v>749</v>
      </c>
      <c r="P15" s="1108"/>
      <c r="Q15" s="1109"/>
      <c r="R15" s="522"/>
      <c r="S15" s="1097"/>
      <c r="T15" s="1098"/>
      <c r="U15" s="1098"/>
      <c r="V15" s="1098"/>
      <c r="W15" s="1098"/>
      <c r="X15" s="1099"/>
    </row>
    <row r="16" spans="1:24" ht="48">
      <c r="A16" s="526"/>
      <c r="B16" s="527" t="s">
        <v>179</v>
      </c>
      <c r="C16" s="113" t="s">
        <v>750</v>
      </c>
      <c r="D16" s="131" t="s">
        <v>751</v>
      </c>
      <c r="E16" s="528" t="s">
        <v>752</v>
      </c>
      <c r="F16" s="132" t="s">
        <v>753</v>
      </c>
      <c r="G16" s="131" t="s">
        <v>754</v>
      </c>
      <c r="H16" s="529" t="s">
        <v>755</v>
      </c>
      <c r="I16" s="131" t="s">
        <v>756</v>
      </c>
      <c r="J16" s="122" t="s">
        <v>16</v>
      </c>
      <c r="K16" s="164" t="s">
        <v>757</v>
      </c>
      <c r="L16" s="212" t="s">
        <v>758</v>
      </c>
      <c r="M16" s="113" t="s">
        <v>759</v>
      </c>
      <c r="N16" s="113" t="s">
        <v>760</v>
      </c>
      <c r="O16" s="125" t="s">
        <v>761</v>
      </c>
      <c r="P16" s="212" t="s">
        <v>762</v>
      </c>
      <c r="Q16" s="113"/>
      <c r="R16" s="522"/>
      <c r="S16" s="1097"/>
      <c r="T16" s="1098"/>
      <c r="U16" s="1098"/>
      <c r="V16" s="1098"/>
      <c r="W16" s="1098"/>
      <c r="X16" s="1099"/>
    </row>
    <row r="17" spans="1:24" ht="35.25" customHeight="1">
      <c r="A17" s="526"/>
      <c r="B17" s="530" t="s">
        <v>234</v>
      </c>
      <c r="C17" s="154"/>
      <c r="D17" s="212"/>
      <c r="E17" s="212"/>
      <c r="F17" s="113" t="s">
        <v>763</v>
      </c>
      <c r="G17" s="113"/>
      <c r="H17" s="153" t="s">
        <v>764</v>
      </c>
      <c r="I17" s="113"/>
      <c r="J17" s="122"/>
      <c r="K17" s="113"/>
      <c r="L17" s="113"/>
      <c r="M17" s="113"/>
      <c r="N17" s="113"/>
      <c r="O17" s="113"/>
      <c r="P17" s="113"/>
      <c r="Q17" s="113"/>
      <c r="R17" s="522"/>
      <c r="S17" s="1097"/>
      <c r="T17" s="1098"/>
      <c r="U17" s="1098"/>
      <c r="V17" s="1098"/>
      <c r="W17" s="1098"/>
      <c r="X17" s="1099"/>
    </row>
    <row r="18" spans="1:24" ht="33.75" customHeight="1">
      <c r="A18" s="1086"/>
      <c r="B18" s="1088" t="s">
        <v>765</v>
      </c>
      <c r="C18" s="154"/>
      <c r="D18" s="154"/>
      <c r="E18" s="154" t="s">
        <v>766</v>
      </c>
      <c r="F18" s="154" t="s">
        <v>767</v>
      </c>
      <c r="G18" s="154" t="s">
        <v>768</v>
      </c>
      <c r="H18" s="154"/>
      <c r="I18" s="158" t="s">
        <v>769</v>
      </c>
      <c r="J18" s="155"/>
      <c r="K18" s="154" t="s">
        <v>770</v>
      </c>
      <c r="L18" s="154"/>
      <c r="M18" s="154" t="s">
        <v>771</v>
      </c>
      <c r="N18" s="154" t="s">
        <v>772</v>
      </c>
      <c r="O18" s="158"/>
      <c r="P18" s="154"/>
      <c r="Q18" s="154"/>
      <c r="R18" s="531"/>
      <c r="S18" s="1097"/>
      <c r="T18" s="1098"/>
      <c r="U18" s="1098"/>
      <c r="V18" s="1098"/>
      <c r="W18" s="1098"/>
      <c r="X18" s="1099"/>
    </row>
    <row r="19" spans="1:24" s="532" customFormat="1" ht="72">
      <c r="A19" s="1087"/>
      <c r="B19" s="1089"/>
      <c r="C19" s="165" t="s">
        <v>773</v>
      </c>
      <c r="D19" s="154" t="s">
        <v>774</v>
      </c>
      <c r="E19" s="234" t="s">
        <v>775</v>
      </c>
      <c r="F19" s="154" t="s">
        <v>776</v>
      </c>
      <c r="G19" s="154" t="s">
        <v>777</v>
      </c>
      <c r="H19" s="154" t="s">
        <v>778</v>
      </c>
      <c r="I19" s="154" t="s">
        <v>779</v>
      </c>
      <c r="J19" s="154"/>
      <c r="K19" s="154" t="s">
        <v>780</v>
      </c>
      <c r="L19" s="154" t="s">
        <v>781</v>
      </c>
      <c r="M19" s="154" t="s">
        <v>782</v>
      </c>
      <c r="N19" s="154" t="s">
        <v>783</v>
      </c>
      <c r="O19" s="154" t="s">
        <v>784</v>
      </c>
      <c r="P19" s="163" t="s">
        <v>785</v>
      </c>
      <c r="Q19" s="154"/>
      <c r="R19" s="531"/>
      <c r="S19" s="1097"/>
      <c r="T19" s="1098"/>
      <c r="U19" s="1098"/>
      <c r="V19" s="1098"/>
      <c r="W19" s="1098"/>
      <c r="X19" s="1099"/>
    </row>
    <row r="20" spans="1:24" ht="27.95" customHeight="1" thickBot="1">
      <c r="A20" s="533" t="s">
        <v>786</v>
      </c>
      <c r="B20" s="153" t="s">
        <v>787</v>
      </c>
      <c r="C20" s="212"/>
      <c r="D20" s="534"/>
      <c r="E20" s="113" t="s">
        <v>701</v>
      </c>
      <c r="F20" s="113"/>
      <c r="G20" s="154" t="s">
        <v>788</v>
      </c>
      <c r="H20" s="154" t="s">
        <v>789</v>
      </c>
      <c r="I20" s="113"/>
      <c r="J20" s="155"/>
      <c r="K20" s="212"/>
      <c r="L20" s="241"/>
      <c r="M20" s="535" t="s">
        <v>790</v>
      </c>
      <c r="N20" s="241"/>
      <c r="O20" s="113" t="s">
        <v>791</v>
      </c>
      <c r="P20" s="154" t="s">
        <v>792</v>
      </c>
      <c r="Q20" s="212" t="s">
        <v>648</v>
      </c>
      <c r="R20" s="531"/>
      <c r="S20" s="1100"/>
      <c r="T20" s="1101"/>
      <c r="U20" s="1101"/>
      <c r="V20" s="1101"/>
      <c r="W20" s="1101"/>
      <c r="X20" s="1102"/>
    </row>
    <row r="21" spans="1:24" s="532" customFormat="1">
      <c r="A21" s="1090" t="s">
        <v>17</v>
      </c>
      <c r="B21" s="1090"/>
      <c r="C21" s="1090"/>
      <c r="D21" s="1090"/>
      <c r="E21" s="1090"/>
      <c r="F21" s="1090"/>
      <c r="G21" s="1090"/>
      <c r="H21" s="1090"/>
      <c r="I21" s="1090"/>
      <c r="J21" s="1090"/>
      <c r="K21" s="1090"/>
      <c r="L21" s="1090"/>
      <c r="M21" s="1090"/>
      <c r="N21" s="1090"/>
      <c r="O21" s="1090"/>
      <c r="P21" s="1090"/>
      <c r="Q21" s="1090"/>
      <c r="R21" s="536"/>
    </row>
    <row r="22" spans="1:24" ht="21" customHeight="1">
      <c r="A22" s="537"/>
      <c r="B22" s="516" t="s">
        <v>18</v>
      </c>
      <c r="C22" s="515" t="s">
        <v>1</v>
      </c>
      <c r="D22" s="515" t="s">
        <v>2</v>
      </c>
      <c r="E22" s="515" t="s">
        <v>3</v>
      </c>
      <c r="F22" s="515" t="s">
        <v>4</v>
      </c>
      <c r="G22" s="515" t="s">
        <v>5</v>
      </c>
      <c r="H22" s="515" t="s">
        <v>6</v>
      </c>
      <c r="I22" s="515" t="s">
        <v>793</v>
      </c>
      <c r="J22" s="538" t="s">
        <v>16</v>
      </c>
      <c r="K22" s="515" t="s">
        <v>9</v>
      </c>
      <c r="L22" s="8" t="s">
        <v>10</v>
      </c>
      <c r="M22" s="515" t="s">
        <v>11</v>
      </c>
      <c r="N22" s="515" t="s">
        <v>794</v>
      </c>
      <c r="O22" s="515" t="s">
        <v>13</v>
      </c>
      <c r="P22" s="515" t="s">
        <v>14</v>
      </c>
      <c r="Q22" s="515" t="s">
        <v>15</v>
      </c>
      <c r="R22" s="520"/>
    </row>
    <row r="23" spans="1:24" s="532" customFormat="1" ht="32.25" customHeight="1">
      <c r="A23" s="113">
        <v>11</v>
      </c>
      <c r="B23" s="217" t="s">
        <v>795</v>
      </c>
      <c r="C23" s="212" t="s">
        <v>796</v>
      </c>
      <c r="D23" s="212" t="s">
        <v>797</v>
      </c>
      <c r="E23" s="117" t="s">
        <v>1743</v>
      </c>
      <c r="F23" s="539" t="s">
        <v>798</v>
      </c>
      <c r="G23" s="212" t="s">
        <v>799</v>
      </c>
      <c r="H23" s="117" t="s">
        <v>800</v>
      </c>
      <c r="I23" s="19" t="s">
        <v>801</v>
      </c>
      <c r="J23" s="212"/>
      <c r="K23" s="252" t="s">
        <v>802</v>
      </c>
      <c r="L23" s="117" t="s">
        <v>803</v>
      </c>
      <c r="M23" s="117" t="s">
        <v>804</v>
      </c>
      <c r="N23" s="117" t="s">
        <v>805</v>
      </c>
      <c r="O23" s="117" t="s">
        <v>806</v>
      </c>
      <c r="P23" s="1084"/>
      <c r="Q23" s="1085"/>
      <c r="R23" s="536"/>
    </row>
    <row r="24" spans="1:24" s="532" customFormat="1" ht="27.95" customHeight="1">
      <c r="A24" s="113">
        <v>12</v>
      </c>
      <c r="B24" s="217" t="s">
        <v>807</v>
      </c>
      <c r="C24" s="113" t="s">
        <v>808</v>
      </c>
      <c r="D24" s="113" t="s">
        <v>809</v>
      </c>
      <c r="E24" s="166" t="s">
        <v>235</v>
      </c>
      <c r="F24" s="233" t="s">
        <v>810</v>
      </c>
      <c r="G24" s="539" t="s">
        <v>811</v>
      </c>
      <c r="H24" s="113" t="s">
        <v>812</v>
      </c>
      <c r="I24" s="540" t="s">
        <v>813</v>
      </c>
      <c r="J24" s="87"/>
      <c r="K24" s="212" t="s">
        <v>814</v>
      </c>
      <c r="L24" s="234" t="s">
        <v>815</v>
      </c>
      <c r="M24" s="154" t="s">
        <v>816</v>
      </c>
      <c r="N24" s="154" t="s">
        <v>817</v>
      </c>
      <c r="O24" s="87" t="s">
        <v>818</v>
      </c>
      <c r="P24" s="1084"/>
      <c r="Q24" s="1085"/>
      <c r="R24" s="536"/>
    </row>
    <row r="25" spans="1:24" s="532" customFormat="1" ht="36">
      <c r="A25" s="113">
        <v>13</v>
      </c>
      <c r="B25" s="153" t="s">
        <v>819</v>
      </c>
      <c r="C25" s="156"/>
      <c r="D25" s="212" t="s">
        <v>820</v>
      </c>
      <c r="E25" s="212" t="s">
        <v>821</v>
      </c>
      <c r="F25" s="212" t="s">
        <v>822</v>
      </c>
      <c r="G25" s="212" t="s">
        <v>823</v>
      </c>
      <c r="H25" s="212" t="s">
        <v>824</v>
      </c>
      <c r="I25" s="212" t="s">
        <v>825</v>
      </c>
      <c r="J25" s="212"/>
      <c r="K25" s="212" t="s">
        <v>826</v>
      </c>
      <c r="L25" s="212" t="s">
        <v>827</v>
      </c>
      <c r="M25" s="113" t="s">
        <v>828</v>
      </c>
      <c r="N25" s="212" t="s">
        <v>829</v>
      </c>
      <c r="O25" s="87" t="s">
        <v>830</v>
      </c>
      <c r="P25" s="212" t="s">
        <v>831</v>
      </c>
      <c r="Q25" s="156"/>
      <c r="R25" s="536"/>
    </row>
    <row r="26" spans="1:24">
      <c r="C26" s="542"/>
      <c r="D26" s="542"/>
      <c r="E26" s="542"/>
      <c r="F26" s="542"/>
      <c r="G26" s="542"/>
      <c r="H26" s="542"/>
      <c r="I26" s="542"/>
      <c r="P26" s="1091"/>
      <c r="Q26" s="1092"/>
    </row>
    <row r="27" spans="1:24">
      <c r="P27" s="1083"/>
      <c r="Q27" s="1083"/>
    </row>
  </sheetData>
  <mergeCells count="18">
    <mergeCell ref="A1:Q1"/>
    <mergeCell ref="S3:X20"/>
    <mergeCell ref="P6:Q6"/>
    <mergeCell ref="P9:Q9"/>
    <mergeCell ref="P10:Q10"/>
    <mergeCell ref="P11:Q11"/>
    <mergeCell ref="D13:P13"/>
    <mergeCell ref="P14:Q14"/>
    <mergeCell ref="D15:M15"/>
    <mergeCell ref="O15:Q15"/>
    <mergeCell ref="P27:Q27"/>
    <mergeCell ref="P12:Q12"/>
    <mergeCell ref="A18:A19"/>
    <mergeCell ref="B18:B19"/>
    <mergeCell ref="A21:Q21"/>
    <mergeCell ref="P23:Q23"/>
    <mergeCell ref="P24:Q24"/>
    <mergeCell ref="P26:Q26"/>
  </mergeCells>
  <phoneticPr fontId="40" type="noConversion"/>
  <printOptions horizontalCentered="1" verticalCentered="1"/>
  <pageMargins left="0" right="0" top="0" bottom="0" header="0" footer="0"/>
  <pageSetup paperSize="9" scale="36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78"/>
  <sheetViews>
    <sheetView topLeftCell="A2" zoomScale="85" zoomScaleNormal="85" zoomScalePageLayoutView="80" workbookViewId="0">
      <selection activeCell="M27" sqref="M27"/>
    </sheetView>
  </sheetViews>
  <sheetFormatPr defaultRowHeight="16.5"/>
  <cols>
    <col min="1" max="1" width="4.33203125" style="545" customWidth="1"/>
    <col min="2" max="2" width="13.33203125" style="663" customWidth="1"/>
    <col min="3" max="4" width="15.83203125" style="663" customWidth="1"/>
    <col min="5" max="11" width="15.83203125" style="545" customWidth="1"/>
    <col min="12" max="12" width="3.5" style="670" customWidth="1"/>
    <col min="13" max="17" width="15.83203125" style="545" customWidth="1"/>
    <col min="18" max="18" width="15.83203125" style="713" hidden="1" customWidth="1"/>
    <col min="19" max="19" width="15.83203125" style="545" customWidth="1"/>
    <col min="20" max="20" width="2.1640625" style="545" customWidth="1"/>
    <col min="21" max="26" width="10.83203125" style="546" customWidth="1"/>
    <col min="27" max="27" width="10" style="547" bestFit="1" customWidth="1"/>
    <col min="28" max="16384" width="9.33203125" style="545"/>
  </cols>
  <sheetData>
    <row r="1" spans="1:27" ht="16.5" hidden="1" customHeight="1">
      <c r="A1" s="1178" t="s">
        <v>832</v>
      </c>
      <c r="B1" s="1179"/>
      <c r="C1" s="1179"/>
      <c r="D1" s="1179"/>
      <c r="E1" s="1179"/>
      <c r="F1" s="1179"/>
      <c r="G1" s="1179"/>
      <c r="H1" s="1179"/>
      <c r="I1" s="1179"/>
      <c r="J1" s="1179"/>
      <c r="K1" s="1179"/>
      <c r="L1" s="1179"/>
      <c r="M1" s="1179"/>
      <c r="N1" s="1179"/>
      <c r="O1" s="1179"/>
      <c r="P1" s="1179"/>
      <c r="Q1" s="1180"/>
      <c r="R1" s="544"/>
    </row>
    <row r="2" spans="1:27" ht="18" customHeight="1">
      <c r="A2" s="1181" t="s">
        <v>833</v>
      </c>
      <c r="B2" s="1182"/>
      <c r="C2" s="1182"/>
      <c r="D2" s="1182"/>
      <c r="E2" s="1182"/>
      <c r="F2" s="1182"/>
      <c r="G2" s="1182"/>
      <c r="H2" s="1182"/>
      <c r="I2" s="1182"/>
      <c r="J2" s="1182"/>
      <c r="K2" s="1182"/>
      <c r="L2" s="1182"/>
      <c r="M2" s="1182"/>
      <c r="N2" s="1182"/>
      <c r="O2" s="1182"/>
      <c r="P2" s="1182"/>
      <c r="Q2" s="1182"/>
      <c r="R2" s="548"/>
      <c r="U2" s="1113"/>
      <c r="V2" s="1113"/>
      <c r="W2" s="1113"/>
      <c r="X2" s="1113"/>
      <c r="Y2" s="1113"/>
      <c r="Z2" s="1113"/>
    </row>
    <row r="3" spans="1:27" ht="21" customHeight="1" thickBot="1">
      <c r="A3" s="549"/>
      <c r="B3" s="550" t="s">
        <v>834</v>
      </c>
      <c r="C3" s="551" t="s">
        <v>835</v>
      </c>
      <c r="D3" s="551" t="s">
        <v>836</v>
      </c>
      <c r="E3" s="552" t="s">
        <v>837</v>
      </c>
      <c r="F3" s="552" t="s">
        <v>2</v>
      </c>
      <c r="G3" s="551" t="s">
        <v>3</v>
      </c>
      <c r="H3" s="551" t="s">
        <v>838</v>
      </c>
      <c r="I3" s="552" t="s">
        <v>5</v>
      </c>
      <c r="J3" s="551" t="s">
        <v>839</v>
      </c>
      <c r="K3" s="551" t="s">
        <v>840</v>
      </c>
      <c r="L3" s="553" t="s">
        <v>8</v>
      </c>
      <c r="M3" s="552" t="s">
        <v>841</v>
      </c>
      <c r="N3" s="551" t="s">
        <v>10</v>
      </c>
      <c r="O3" s="551" t="s">
        <v>11</v>
      </c>
      <c r="P3" s="551" t="s">
        <v>12</v>
      </c>
      <c r="Q3" s="551" t="s">
        <v>13</v>
      </c>
      <c r="R3" s="238">
        <f>AVERAGE(R4:R32)</f>
        <v>0.98913043478260865</v>
      </c>
      <c r="U3" s="1183"/>
      <c r="V3" s="1183"/>
      <c r="W3" s="1183"/>
      <c r="X3" s="1183"/>
      <c r="Y3" s="1183"/>
      <c r="Z3" s="1183"/>
    </row>
    <row r="4" spans="1:27" s="564" customFormat="1" ht="27.95" customHeight="1" thickBot="1">
      <c r="A4" s="554">
        <v>1</v>
      </c>
      <c r="B4" s="555" t="s">
        <v>842</v>
      </c>
      <c r="C4" s="1157"/>
      <c r="D4" s="1158"/>
      <c r="E4" s="556" t="s">
        <v>843</v>
      </c>
      <c r="F4" s="556" t="s">
        <v>844</v>
      </c>
      <c r="G4" s="557" t="s">
        <v>845</v>
      </c>
      <c r="H4" s="558" t="s">
        <v>846</v>
      </c>
      <c r="I4" s="556" t="s">
        <v>212</v>
      </c>
      <c r="J4" s="559" t="s">
        <v>847</v>
      </c>
      <c r="K4" s="556" t="s">
        <v>848</v>
      </c>
      <c r="L4" s="560"/>
      <c r="M4" s="561" t="s">
        <v>849</v>
      </c>
      <c r="N4" s="558" t="s">
        <v>850</v>
      </c>
      <c r="O4" s="562" t="s">
        <v>851</v>
      </c>
      <c r="P4" s="558" t="s">
        <v>852</v>
      </c>
      <c r="Q4" s="558" t="s">
        <v>853</v>
      </c>
      <c r="R4" s="146">
        <f>(COUNTA(C4:Q4))/12</f>
        <v>1</v>
      </c>
      <c r="S4" s="563"/>
      <c r="U4" s="1184" t="s">
        <v>213</v>
      </c>
      <c r="V4" s="1185"/>
      <c r="W4" s="1185"/>
      <c r="X4" s="1185"/>
      <c r="Y4" s="1185"/>
      <c r="Z4" s="1186"/>
      <c r="AA4" s="565"/>
    </row>
    <row r="5" spans="1:27" s="564" customFormat="1" ht="27.95" customHeight="1">
      <c r="A5" s="566">
        <v>2</v>
      </c>
      <c r="B5" s="567" t="s">
        <v>854</v>
      </c>
      <c r="C5" s="1163"/>
      <c r="D5" s="1164"/>
      <c r="E5" s="568" t="s">
        <v>855</v>
      </c>
      <c r="F5" s="556" t="s">
        <v>856</v>
      </c>
      <c r="G5" s="556" t="s">
        <v>857</v>
      </c>
      <c r="H5" s="558" t="s">
        <v>858</v>
      </c>
      <c r="I5" s="562" t="s">
        <v>859</v>
      </c>
      <c r="J5" s="556" t="s">
        <v>860</v>
      </c>
      <c r="K5" s="556" t="s">
        <v>861</v>
      </c>
      <c r="L5" s="558"/>
      <c r="M5" s="556" t="s">
        <v>214</v>
      </c>
      <c r="N5" s="568" t="s">
        <v>862</v>
      </c>
      <c r="O5" s="561" t="s">
        <v>863</v>
      </c>
      <c r="P5" s="569" t="s">
        <v>864</v>
      </c>
      <c r="Q5" s="113" t="s">
        <v>865</v>
      </c>
      <c r="R5" s="146">
        <f>(COUNTA(C5:Q5))/12</f>
        <v>1</v>
      </c>
      <c r="S5" s="563"/>
      <c r="U5" s="1187"/>
      <c r="V5" s="1188"/>
      <c r="W5" s="1188"/>
      <c r="X5" s="1188"/>
      <c r="Y5" s="1188"/>
      <c r="Z5" s="1189"/>
      <c r="AA5" s="565"/>
    </row>
    <row r="6" spans="1:27" s="564" customFormat="1" ht="27.95" customHeight="1">
      <c r="A6" s="566">
        <v>3</v>
      </c>
      <c r="B6" s="570" t="s">
        <v>866</v>
      </c>
      <c r="C6" s="1163"/>
      <c r="D6" s="1164"/>
      <c r="E6" s="556" t="s">
        <v>867</v>
      </c>
      <c r="F6" s="571" t="s">
        <v>868</v>
      </c>
      <c r="G6" s="556" t="s">
        <v>859</v>
      </c>
      <c r="H6" s="556" t="s">
        <v>869</v>
      </c>
      <c r="I6" s="556" t="s">
        <v>870</v>
      </c>
      <c r="J6" s="556" t="s">
        <v>871</v>
      </c>
      <c r="K6" s="569" t="s">
        <v>872</v>
      </c>
      <c r="L6" s="556"/>
      <c r="M6" s="556" t="s">
        <v>873</v>
      </c>
      <c r="N6" s="562" t="s">
        <v>874</v>
      </c>
      <c r="O6" s="562" t="s">
        <v>875</v>
      </c>
      <c r="P6" s="572" t="s">
        <v>876</v>
      </c>
      <c r="Q6" s="556" t="s">
        <v>877</v>
      </c>
      <c r="R6" s="146">
        <f>(COUNTA(C6:Q6))/12</f>
        <v>1</v>
      </c>
      <c r="S6" s="563"/>
      <c r="U6" s="1190"/>
      <c r="V6" s="1191"/>
      <c r="W6" s="1191"/>
      <c r="X6" s="1191"/>
      <c r="Y6" s="1191"/>
      <c r="Z6" s="1192"/>
      <c r="AA6" s="565"/>
    </row>
    <row r="7" spans="1:27" s="564" customFormat="1" ht="27.75" customHeight="1" thickBot="1">
      <c r="A7" s="566">
        <v>4</v>
      </c>
      <c r="B7" s="573" t="s">
        <v>878</v>
      </c>
      <c r="C7" s="1163"/>
      <c r="D7" s="1164"/>
      <c r="E7" s="556" t="s">
        <v>879</v>
      </c>
      <c r="F7" s="558" t="s">
        <v>852</v>
      </c>
      <c r="G7" s="571" t="s">
        <v>880</v>
      </c>
      <c r="H7" s="556" t="s">
        <v>881</v>
      </c>
      <c r="I7" s="556" t="s">
        <v>882</v>
      </c>
      <c r="J7" s="556" t="s">
        <v>215</v>
      </c>
      <c r="K7" s="556" t="s">
        <v>883</v>
      </c>
      <c r="L7" s="556"/>
      <c r="M7" s="113" t="s">
        <v>884</v>
      </c>
      <c r="N7" s="113" t="s">
        <v>885</v>
      </c>
      <c r="O7" s="556" t="s">
        <v>886</v>
      </c>
      <c r="P7" s="556" t="s">
        <v>887</v>
      </c>
      <c r="Q7" s="574" t="s">
        <v>888</v>
      </c>
      <c r="R7" s="146">
        <f>(COUNTA(C7:Q7))/12</f>
        <v>1</v>
      </c>
      <c r="S7" s="563"/>
      <c r="U7" s="1193"/>
      <c r="V7" s="1194"/>
      <c r="W7" s="1194"/>
      <c r="X7" s="1194"/>
      <c r="Y7" s="1194"/>
      <c r="Z7" s="1195"/>
      <c r="AA7" s="565"/>
    </row>
    <row r="8" spans="1:27" s="564" customFormat="1" ht="27.95" customHeight="1" thickBot="1">
      <c r="A8" s="566">
        <v>5</v>
      </c>
      <c r="B8" s="216" t="s">
        <v>889</v>
      </c>
      <c r="C8" s="1163"/>
      <c r="D8" s="1164"/>
      <c r="E8" s="556" t="s">
        <v>214</v>
      </c>
      <c r="F8" s="1035" t="s">
        <v>1741</v>
      </c>
      <c r="G8" s="213" t="s">
        <v>890</v>
      </c>
      <c r="H8" s="575" t="s">
        <v>216</v>
      </c>
      <c r="I8" s="575" t="s">
        <v>891</v>
      </c>
      <c r="J8" s="575" t="s">
        <v>858</v>
      </c>
      <c r="K8" s="557" t="s">
        <v>892</v>
      </c>
      <c r="L8" s="119"/>
      <c r="M8" s="557" t="s">
        <v>856</v>
      </c>
      <c r="N8" s="576" t="s">
        <v>217</v>
      </c>
      <c r="O8" s="577" t="s">
        <v>882</v>
      </c>
      <c r="P8" s="569" t="s">
        <v>893</v>
      </c>
      <c r="Q8" s="557" t="s">
        <v>894</v>
      </c>
      <c r="R8" s="146">
        <f>(COUNTA(C8:Q8))/12</f>
        <v>1</v>
      </c>
      <c r="S8" s="563"/>
      <c r="U8" s="1184" t="s">
        <v>895</v>
      </c>
      <c r="V8" s="1185"/>
      <c r="W8" s="1185"/>
      <c r="X8" s="1185"/>
      <c r="Y8" s="1185"/>
      <c r="Z8" s="1186"/>
      <c r="AA8" s="565"/>
    </row>
    <row r="9" spans="1:27" s="564" customFormat="1" ht="27.95" customHeight="1">
      <c r="A9" s="578">
        <v>6</v>
      </c>
      <c r="B9" s="579" t="s">
        <v>896</v>
      </c>
      <c r="C9" s="580" t="s">
        <v>221</v>
      </c>
      <c r="D9" s="580" t="s">
        <v>897</v>
      </c>
      <c r="E9" s="581" t="s">
        <v>898</v>
      </c>
      <c r="F9" s="581" t="s">
        <v>883</v>
      </c>
      <c r="G9" s="581" t="s">
        <v>899</v>
      </c>
      <c r="H9" s="560" t="s">
        <v>900</v>
      </c>
      <c r="I9" s="559" t="s">
        <v>901</v>
      </c>
      <c r="J9" s="582" t="s">
        <v>902</v>
      </c>
      <c r="K9" s="120" t="s">
        <v>880</v>
      </c>
      <c r="L9" s="581"/>
      <c r="M9" s="581" t="s">
        <v>903</v>
      </c>
      <c r="N9" s="583" t="s">
        <v>904</v>
      </c>
      <c r="O9" s="558" t="s">
        <v>850</v>
      </c>
      <c r="P9" s="1147"/>
      <c r="Q9" s="1148"/>
      <c r="R9" s="146">
        <f t="shared" ref="R9:R19" si="0">(COUNTA(C9:Q9))/12</f>
        <v>1</v>
      </c>
      <c r="S9" s="563"/>
      <c r="U9" s="1151" t="s">
        <v>905</v>
      </c>
      <c r="V9" s="1152"/>
      <c r="W9" s="1152"/>
      <c r="X9" s="1152"/>
      <c r="Y9" s="1152"/>
      <c r="Z9" s="1153"/>
      <c r="AA9" s="565"/>
    </row>
    <row r="10" spans="1:27" s="564" customFormat="1" ht="27.95" customHeight="1">
      <c r="A10" s="566">
        <v>7</v>
      </c>
      <c r="B10" s="567" t="s">
        <v>906</v>
      </c>
      <c r="C10" s="584" t="s">
        <v>907</v>
      </c>
      <c r="D10" s="584" t="s">
        <v>907</v>
      </c>
      <c r="E10" s="562" t="s">
        <v>908</v>
      </c>
      <c r="F10" s="559" t="s">
        <v>218</v>
      </c>
      <c r="G10" s="556" t="s">
        <v>909</v>
      </c>
      <c r="H10" s="562" t="s">
        <v>861</v>
      </c>
      <c r="I10" s="1036" t="s">
        <v>1742</v>
      </c>
      <c r="J10" s="556" t="s">
        <v>910</v>
      </c>
      <c r="K10" s="556" t="s">
        <v>911</v>
      </c>
      <c r="L10" s="560"/>
      <c r="M10" s="558" t="s">
        <v>212</v>
      </c>
      <c r="N10" s="559" t="s">
        <v>912</v>
      </c>
      <c r="O10" s="558" t="s">
        <v>913</v>
      </c>
      <c r="P10" s="1149"/>
      <c r="Q10" s="1150"/>
      <c r="R10" s="146">
        <f t="shared" si="0"/>
        <v>1</v>
      </c>
      <c r="S10" s="563"/>
      <c r="U10" s="1151"/>
      <c r="V10" s="1152"/>
      <c r="W10" s="1152"/>
      <c r="X10" s="1152"/>
      <c r="Y10" s="1152"/>
      <c r="Z10" s="1153"/>
      <c r="AA10" s="565"/>
    </row>
    <row r="11" spans="1:27" s="564" customFormat="1" ht="27.95" customHeight="1">
      <c r="A11" s="566">
        <v>8</v>
      </c>
      <c r="B11" s="585" t="s">
        <v>914</v>
      </c>
      <c r="C11" s="1157"/>
      <c r="D11" s="1158"/>
      <c r="E11" s="1038"/>
      <c r="F11" s="1078"/>
      <c r="G11" s="1037"/>
      <c r="H11" s="1038"/>
      <c r="I11" s="1039"/>
      <c r="J11" s="1038"/>
      <c r="K11" s="1041"/>
      <c r="L11" s="1079"/>
      <c r="M11" s="1079"/>
      <c r="N11" s="1038"/>
      <c r="O11" s="1038"/>
      <c r="P11" s="1079"/>
      <c r="Q11" s="1038"/>
      <c r="R11" s="146"/>
      <c r="S11" s="563"/>
      <c r="U11" s="1151"/>
      <c r="V11" s="1152"/>
      <c r="W11" s="1152"/>
      <c r="X11" s="1152"/>
      <c r="Y11" s="1152"/>
      <c r="Z11" s="1153"/>
      <c r="AA11" s="565"/>
    </row>
    <row r="12" spans="1:27" s="564" customFormat="1" ht="27.95" customHeight="1">
      <c r="A12" s="566">
        <v>9</v>
      </c>
      <c r="B12" s="586" t="s">
        <v>915</v>
      </c>
      <c r="C12" s="1159"/>
      <c r="D12" s="1160"/>
      <c r="E12" s="1038"/>
      <c r="F12" s="1078"/>
      <c r="G12" s="1040"/>
      <c r="H12" s="1041"/>
      <c r="I12" s="1042"/>
      <c r="J12" s="1038"/>
      <c r="K12" s="1078"/>
      <c r="L12" s="1038"/>
      <c r="M12" s="1078"/>
      <c r="N12" s="1080"/>
      <c r="O12" s="1078"/>
      <c r="P12" s="1078"/>
      <c r="Q12" s="1080"/>
      <c r="R12" s="146"/>
      <c r="S12" s="563"/>
      <c r="U12" s="1151"/>
      <c r="V12" s="1152"/>
      <c r="W12" s="1152"/>
      <c r="X12" s="1152"/>
      <c r="Y12" s="1152"/>
      <c r="Z12" s="1153"/>
      <c r="AA12" s="565"/>
    </row>
    <row r="13" spans="1:27" s="564" customFormat="1" ht="27.75" customHeight="1">
      <c r="A13" s="589">
        <v>10</v>
      </c>
      <c r="B13" s="590" t="s">
        <v>916</v>
      </c>
      <c r="C13" s="591" t="s">
        <v>917</v>
      </c>
      <c r="D13" s="591" t="s">
        <v>918</v>
      </c>
      <c r="E13" s="561" t="s">
        <v>919</v>
      </c>
      <c r="F13" s="213" t="s">
        <v>920</v>
      </c>
      <c r="G13" s="1043" t="s">
        <v>1745</v>
      </c>
      <c r="H13" s="1043" t="s">
        <v>212</v>
      </c>
      <c r="I13" s="1043" t="s">
        <v>1746</v>
      </c>
      <c r="J13" s="592" t="s">
        <v>885</v>
      </c>
      <c r="K13" s="557" t="s">
        <v>921</v>
      </c>
      <c r="L13" s="119"/>
      <c r="M13" s="593" t="s">
        <v>899</v>
      </c>
      <c r="N13" s="556" t="s">
        <v>922</v>
      </c>
      <c r="O13" s="557" t="s">
        <v>911</v>
      </c>
      <c r="P13" s="1161"/>
      <c r="Q13" s="1162"/>
      <c r="R13" s="146">
        <f t="shared" si="0"/>
        <v>1</v>
      </c>
      <c r="S13" s="563"/>
      <c r="U13" s="1151"/>
      <c r="V13" s="1152"/>
      <c r="W13" s="1152"/>
      <c r="X13" s="1152"/>
      <c r="Y13" s="1152"/>
      <c r="Z13" s="1153"/>
      <c r="AA13" s="565"/>
    </row>
    <row r="14" spans="1:27" s="564" customFormat="1" ht="27.75" customHeight="1">
      <c r="A14" s="594">
        <v>11</v>
      </c>
      <c r="B14" s="217" t="s">
        <v>923</v>
      </c>
      <c r="C14" s="1157"/>
      <c r="D14" s="1158"/>
      <c r="E14" s="595"/>
      <c r="F14" s="113"/>
      <c r="G14" s="1044"/>
      <c r="H14" s="1044"/>
      <c r="I14" s="1043"/>
      <c r="J14" s="571"/>
      <c r="K14" s="557"/>
      <c r="L14" s="122"/>
      <c r="M14" s="596"/>
      <c r="N14" s="597"/>
      <c r="O14" s="556"/>
      <c r="P14" s="598"/>
      <c r="Q14" s="561"/>
      <c r="R14" s="146"/>
      <c r="S14" s="563"/>
      <c r="U14" s="1151"/>
      <c r="V14" s="1152"/>
      <c r="W14" s="1152"/>
      <c r="X14" s="1152"/>
      <c r="Y14" s="1152"/>
      <c r="Z14" s="1153"/>
      <c r="AA14" s="565"/>
    </row>
    <row r="15" spans="1:27" ht="27.95" customHeight="1">
      <c r="A15" s="594">
        <v>12</v>
      </c>
      <c r="B15" s="599" t="s">
        <v>924</v>
      </c>
      <c r="C15" s="1163"/>
      <c r="D15" s="1164"/>
      <c r="E15" s="1034" t="s">
        <v>1734</v>
      </c>
      <c r="F15" s="600" t="s">
        <v>925</v>
      </c>
      <c r="G15" s="1045" t="s">
        <v>216</v>
      </c>
      <c r="H15" s="1046" t="s">
        <v>217</v>
      </c>
      <c r="I15" s="1047" t="s">
        <v>1747</v>
      </c>
      <c r="J15" s="557" t="s">
        <v>919</v>
      </c>
      <c r="K15" s="556" t="s">
        <v>212</v>
      </c>
      <c r="L15" s="562"/>
      <c r="M15" s="560" t="s">
        <v>880</v>
      </c>
      <c r="N15" s="562" t="s">
        <v>859</v>
      </c>
      <c r="O15" s="571" t="s">
        <v>926</v>
      </c>
      <c r="P15" s="558" t="s">
        <v>883</v>
      </c>
      <c r="Q15" s="558" t="s">
        <v>856</v>
      </c>
      <c r="R15" s="146">
        <f t="shared" si="0"/>
        <v>1</v>
      </c>
      <c r="S15" s="563"/>
      <c r="T15" s="564"/>
      <c r="U15" s="1151"/>
      <c r="V15" s="1152"/>
      <c r="W15" s="1152"/>
      <c r="X15" s="1152"/>
      <c r="Y15" s="1152"/>
      <c r="Z15" s="1153"/>
    </row>
    <row r="16" spans="1:27" ht="27.95" customHeight="1" thickBot="1">
      <c r="A16" s="601">
        <v>13</v>
      </c>
      <c r="B16" s="602" t="s">
        <v>927</v>
      </c>
      <c r="C16" s="1165"/>
      <c r="D16" s="1166"/>
      <c r="E16" s="577" t="s">
        <v>928</v>
      </c>
      <c r="F16" s="603" t="s">
        <v>929</v>
      </c>
      <c r="G16" s="1045" t="s">
        <v>1748</v>
      </c>
      <c r="H16" s="1048" t="s">
        <v>1749</v>
      </c>
      <c r="I16" s="123" t="s">
        <v>1750</v>
      </c>
      <c r="J16" s="577" t="s">
        <v>212</v>
      </c>
      <c r="K16" s="577" t="s">
        <v>214</v>
      </c>
      <c r="L16" s="577"/>
      <c r="M16" s="605" t="s">
        <v>931</v>
      </c>
      <c r="N16" s="606" t="s">
        <v>932</v>
      </c>
      <c r="O16" s="577" t="s">
        <v>933</v>
      </c>
      <c r="P16" s="577" t="s">
        <v>934</v>
      </c>
      <c r="Q16" s="123" t="s">
        <v>935</v>
      </c>
      <c r="R16" s="146">
        <f t="shared" si="0"/>
        <v>1</v>
      </c>
      <c r="S16" s="563"/>
      <c r="U16" s="1151"/>
      <c r="V16" s="1152"/>
      <c r="W16" s="1152"/>
      <c r="X16" s="1152"/>
      <c r="Y16" s="1152"/>
      <c r="Z16" s="1153"/>
    </row>
    <row r="17" spans="1:28" ht="27" customHeight="1">
      <c r="A17" s="554">
        <v>14</v>
      </c>
      <c r="B17" s="607" t="s">
        <v>219</v>
      </c>
      <c r="C17" s="1163"/>
      <c r="D17" s="1164"/>
      <c r="E17" s="113" t="s">
        <v>936</v>
      </c>
      <c r="F17" s="147" t="s">
        <v>937</v>
      </c>
      <c r="G17" s="581" t="s">
        <v>938</v>
      </c>
      <c r="H17" s="581" t="s">
        <v>220</v>
      </c>
      <c r="I17" s="608" t="s">
        <v>939</v>
      </c>
      <c r="J17" s="120" t="s">
        <v>940</v>
      </c>
      <c r="K17" s="558" t="s">
        <v>941</v>
      </c>
      <c r="L17" s="560"/>
      <c r="M17" s="562" t="s">
        <v>942</v>
      </c>
      <c r="N17" s="556" t="s">
        <v>943</v>
      </c>
      <c r="O17" s="608" t="s">
        <v>944</v>
      </c>
      <c r="P17" s="609" t="s">
        <v>945</v>
      </c>
      <c r="Q17" s="609" t="s">
        <v>946</v>
      </c>
      <c r="R17" s="146">
        <f t="shared" si="0"/>
        <v>1</v>
      </c>
      <c r="S17" s="563"/>
      <c r="U17" s="1151"/>
      <c r="V17" s="1152"/>
      <c r="W17" s="1152"/>
      <c r="X17" s="1152"/>
      <c r="Y17" s="1152"/>
      <c r="Z17" s="1153"/>
    </row>
    <row r="18" spans="1:28" ht="27.95" customHeight="1" thickBot="1">
      <c r="A18" s="554">
        <v>15</v>
      </c>
      <c r="B18" s="607" t="s">
        <v>947</v>
      </c>
      <c r="C18" s="1163"/>
      <c r="D18" s="1164"/>
      <c r="E18" s="556" t="s">
        <v>948</v>
      </c>
      <c r="F18" s="559" t="s">
        <v>949</v>
      </c>
      <c r="G18" s="556" t="s">
        <v>950</v>
      </c>
      <c r="H18" s="569" t="s">
        <v>951</v>
      </c>
      <c r="I18" s="562" t="s">
        <v>952</v>
      </c>
      <c r="J18" s="556" t="s">
        <v>953</v>
      </c>
      <c r="K18" s="562" t="s">
        <v>954</v>
      </c>
      <c r="L18" s="556"/>
      <c r="M18" s="148" t="s">
        <v>955</v>
      </c>
      <c r="N18" s="113" t="s">
        <v>956</v>
      </c>
      <c r="O18" s="214" t="s">
        <v>957</v>
      </c>
      <c r="P18" s="556" t="s">
        <v>958</v>
      </c>
      <c r="Q18" s="610" t="s">
        <v>959</v>
      </c>
      <c r="R18" s="146">
        <f t="shared" si="0"/>
        <v>1</v>
      </c>
      <c r="S18" s="563"/>
      <c r="U18" s="1154"/>
      <c r="V18" s="1155"/>
      <c r="W18" s="1155"/>
      <c r="X18" s="1155"/>
      <c r="Y18" s="1155"/>
      <c r="Z18" s="1156"/>
    </row>
    <row r="19" spans="1:28" ht="27.95" customHeight="1" thickBot="1">
      <c r="A19" s="589">
        <v>16</v>
      </c>
      <c r="B19" s="573" t="s">
        <v>960</v>
      </c>
      <c r="C19" s="1163"/>
      <c r="D19" s="1164"/>
      <c r="E19" s="571" t="s">
        <v>961</v>
      </c>
      <c r="F19" s="113" t="s">
        <v>962</v>
      </c>
      <c r="G19" s="571" t="s">
        <v>963</v>
      </c>
      <c r="H19" s="574" t="s">
        <v>964</v>
      </c>
      <c r="I19" s="571" t="s">
        <v>965</v>
      </c>
      <c r="J19" s="556" t="s">
        <v>966</v>
      </c>
      <c r="K19" s="556" t="s">
        <v>967</v>
      </c>
      <c r="L19" s="556"/>
      <c r="M19" s="562" t="s">
        <v>222</v>
      </c>
      <c r="N19" s="556" t="s">
        <v>968</v>
      </c>
      <c r="O19" s="556" t="s">
        <v>969</v>
      </c>
      <c r="P19" s="571" t="s">
        <v>970</v>
      </c>
      <c r="Q19" s="574" t="s">
        <v>971</v>
      </c>
      <c r="R19" s="149">
        <f t="shared" si="0"/>
        <v>1</v>
      </c>
      <c r="S19" s="563"/>
      <c r="U19" s="1126" t="s">
        <v>972</v>
      </c>
      <c r="V19" s="1127"/>
      <c r="W19" s="1127"/>
      <c r="X19" s="1127"/>
      <c r="Y19" s="1127"/>
      <c r="Z19" s="1128"/>
    </row>
    <row r="20" spans="1:28" s="564" customFormat="1" ht="27.75" customHeight="1">
      <c r="A20" s="566"/>
      <c r="B20" s="570" t="s">
        <v>973</v>
      </c>
      <c r="C20" s="1163"/>
      <c r="D20" s="1164"/>
      <c r="E20" s="1167" t="s">
        <v>223</v>
      </c>
      <c r="F20" s="1168"/>
      <c r="G20" s="600" t="s">
        <v>974</v>
      </c>
      <c r="H20" s="556" t="s">
        <v>975</v>
      </c>
      <c r="I20" s="611" t="s">
        <v>976</v>
      </c>
      <c r="J20" s="556" t="s">
        <v>977</v>
      </c>
      <c r="K20" s="571" t="s">
        <v>978</v>
      </c>
      <c r="L20" s="556"/>
      <c r="M20" s="611" t="s">
        <v>979</v>
      </c>
      <c r="N20" s="113" t="s">
        <v>980</v>
      </c>
      <c r="O20" s="574" t="s">
        <v>981</v>
      </c>
      <c r="P20" s="556" t="s">
        <v>982</v>
      </c>
      <c r="Q20" s="558" t="s">
        <v>983</v>
      </c>
      <c r="R20" s="146">
        <f>(COUNTA(G20:Q20))/10</f>
        <v>1</v>
      </c>
      <c r="S20" s="563"/>
      <c r="U20" s="1169" t="s">
        <v>1147</v>
      </c>
      <c r="V20" s="1170"/>
      <c r="W20" s="1170"/>
      <c r="X20" s="1170"/>
      <c r="Y20" s="1170"/>
      <c r="Z20" s="1171"/>
      <c r="AA20" s="565"/>
    </row>
    <row r="21" spans="1:28" ht="27.95" customHeight="1" thickBot="1">
      <c r="A21" s="601"/>
      <c r="B21" s="612" t="s">
        <v>984</v>
      </c>
      <c r="C21" s="1165"/>
      <c r="D21" s="1166"/>
      <c r="E21" s="613" t="s">
        <v>985</v>
      </c>
      <c r="F21" s="603"/>
      <c r="G21" s="557" t="s">
        <v>986</v>
      </c>
      <c r="H21" s="1035" t="s">
        <v>1737</v>
      </c>
      <c r="I21" s="577" t="s">
        <v>987</v>
      </c>
      <c r="J21" s="614" t="s">
        <v>988</v>
      </c>
      <c r="K21" s="577" t="s">
        <v>989</v>
      </c>
      <c r="L21" s="575"/>
      <c r="M21" s="577" t="s">
        <v>990</v>
      </c>
      <c r="N21" s="575" t="s">
        <v>991</v>
      </c>
      <c r="O21" s="577" t="s">
        <v>992</v>
      </c>
      <c r="P21" s="615" t="s">
        <v>993</v>
      </c>
      <c r="Q21" s="616" t="s">
        <v>994</v>
      </c>
      <c r="R21" s="146">
        <f>(COUNTA(F21:P21))/9</f>
        <v>1</v>
      </c>
      <c r="S21" s="563"/>
      <c r="U21" s="1172"/>
      <c r="V21" s="1173"/>
      <c r="W21" s="1173"/>
      <c r="X21" s="1173"/>
      <c r="Y21" s="1173"/>
      <c r="Z21" s="1174"/>
    </row>
    <row r="22" spans="1:28" s="564" customFormat="1" ht="27.95" customHeight="1">
      <c r="A22" s="554">
        <v>17</v>
      </c>
      <c r="B22" s="573" t="s">
        <v>995</v>
      </c>
      <c r="C22" s="584" t="s">
        <v>996</v>
      </c>
      <c r="D22" s="584" t="s">
        <v>997</v>
      </c>
      <c r="E22" s="558" t="s">
        <v>998</v>
      </c>
      <c r="F22" s="581" t="s">
        <v>999</v>
      </c>
      <c r="G22" s="617" t="s">
        <v>1000</v>
      </c>
      <c r="H22" s="618" t="s">
        <v>1001</v>
      </c>
      <c r="I22" s="120" t="s">
        <v>1002</v>
      </c>
      <c r="J22" s="581" t="s">
        <v>1003</v>
      </c>
      <c r="K22" s="581" t="s">
        <v>224</v>
      </c>
      <c r="L22" s="617"/>
      <c r="M22" s="581" t="s">
        <v>225</v>
      </c>
      <c r="N22" s="597" t="s">
        <v>1004</v>
      </c>
      <c r="O22" s="120" t="s">
        <v>1005</v>
      </c>
      <c r="P22" s="1147"/>
      <c r="Q22" s="1148"/>
      <c r="R22" s="146">
        <f>(COUNTA(C22:Q22))/12</f>
        <v>1</v>
      </c>
      <c r="S22" s="563"/>
      <c r="U22" s="1172"/>
      <c r="V22" s="1173"/>
      <c r="W22" s="1173"/>
      <c r="X22" s="1173"/>
      <c r="Y22" s="1173"/>
      <c r="Z22" s="1174"/>
      <c r="AA22" s="565"/>
    </row>
    <row r="23" spans="1:28" ht="27.95" customHeight="1" thickBot="1">
      <c r="A23" s="589">
        <v>18</v>
      </c>
      <c r="B23" s="573" t="s">
        <v>1006</v>
      </c>
      <c r="C23" s="591" t="s">
        <v>1007</v>
      </c>
      <c r="D23" s="591" t="s">
        <v>1008</v>
      </c>
      <c r="E23" s="611" t="s">
        <v>1009</v>
      </c>
      <c r="F23" s="556" t="s">
        <v>1010</v>
      </c>
      <c r="G23" s="113" t="s">
        <v>1011</v>
      </c>
      <c r="H23" s="562" t="s">
        <v>954</v>
      </c>
      <c r="I23" s="556" t="s">
        <v>226</v>
      </c>
      <c r="J23" s="556" t="s">
        <v>1012</v>
      </c>
      <c r="K23" s="131" t="s">
        <v>1013</v>
      </c>
      <c r="L23" s="556"/>
      <c r="M23" s="571" t="s">
        <v>1014</v>
      </c>
      <c r="N23" s="569" t="s">
        <v>1015</v>
      </c>
      <c r="O23" s="610" t="s">
        <v>1016</v>
      </c>
      <c r="P23" s="1149"/>
      <c r="Q23" s="1150"/>
      <c r="R23" s="146">
        <f t="shared" ref="R23:R25" si="1">(COUNTA(C23:Q23))/12</f>
        <v>1</v>
      </c>
      <c r="S23" s="563"/>
      <c r="U23" s="1175"/>
      <c r="V23" s="1176"/>
      <c r="W23" s="1176"/>
      <c r="X23" s="1176"/>
      <c r="Y23" s="1176"/>
      <c r="Z23" s="1177"/>
    </row>
    <row r="24" spans="1:28" ht="27.95" customHeight="1" thickBot="1">
      <c r="A24" s="589">
        <v>19</v>
      </c>
      <c r="B24" s="619" t="s">
        <v>227</v>
      </c>
      <c r="C24" s="584" t="s">
        <v>1017</v>
      </c>
      <c r="D24" s="584" t="s">
        <v>1017</v>
      </c>
      <c r="E24" s="620" t="s">
        <v>1018</v>
      </c>
      <c r="F24" s="556" t="s">
        <v>945</v>
      </c>
      <c r="G24" s="556" t="s">
        <v>1019</v>
      </c>
      <c r="H24" s="150" t="s">
        <v>1020</v>
      </c>
      <c r="I24" s="562" t="s">
        <v>945</v>
      </c>
      <c r="J24" s="562" t="s">
        <v>1021</v>
      </c>
      <c r="K24" s="569" t="s">
        <v>1022</v>
      </c>
      <c r="L24" s="571"/>
      <c r="M24" s="556" t="s">
        <v>1023</v>
      </c>
      <c r="N24" s="571" t="s">
        <v>1024</v>
      </c>
      <c r="O24" s="561" t="s">
        <v>966</v>
      </c>
      <c r="P24" s="1161"/>
      <c r="Q24" s="1162"/>
      <c r="R24" s="146">
        <f t="shared" si="1"/>
        <v>1</v>
      </c>
      <c r="S24" s="563"/>
      <c r="U24" s="1126" t="s">
        <v>1025</v>
      </c>
      <c r="V24" s="1127"/>
      <c r="W24" s="1127"/>
      <c r="X24" s="1127"/>
      <c r="Y24" s="1127"/>
      <c r="Z24" s="1128"/>
      <c r="AA24" s="621"/>
    </row>
    <row r="25" spans="1:28" ht="27.95" customHeight="1" thickBot="1">
      <c r="A25" s="566">
        <v>20</v>
      </c>
      <c r="B25" s="622" t="s">
        <v>1026</v>
      </c>
      <c r="C25" s="1129"/>
      <c r="D25" s="1130"/>
      <c r="E25" s="557" t="s">
        <v>1027</v>
      </c>
      <c r="F25" s="597" t="s">
        <v>1028</v>
      </c>
      <c r="G25" s="556" t="s">
        <v>1024</v>
      </c>
      <c r="H25" s="577" t="s">
        <v>1029</v>
      </c>
      <c r="I25" s="577" t="s">
        <v>1021</v>
      </c>
      <c r="J25" s="603" t="s">
        <v>1030</v>
      </c>
      <c r="K25" s="620" t="s">
        <v>1031</v>
      </c>
      <c r="L25" s="576"/>
      <c r="M25" s="574" t="s">
        <v>966</v>
      </c>
      <c r="N25" s="557" t="s">
        <v>1032</v>
      </c>
      <c r="O25" s="623" t="s">
        <v>936</v>
      </c>
      <c r="P25" s="571" t="s">
        <v>1033</v>
      </c>
      <c r="Q25" s="603" t="s">
        <v>1034</v>
      </c>
      <c r="R25" s="146">
        <f t="shared" si="1"/>
        <v>1</v>
      </c>
      <c r="S25" s="563"/>
      <c r="U25" s="1117" t="s">
        <v>1808</v>
      </c>
      <c r="V25" s="1118"/>
      <c r="W25" s="1118"/>
      <c r="X25" s="1118"/>
      <c r="Y25" s="1118"/>
      <c r="Z25" s="1119"/>
    </row>
    <row r="26" spans="1:28" s="564" customFormat="1" ht="27.75" customHeight="1">
      <c r="A26" s="624" t="s">
        <v>1035</v>
      </c>
      <c r="B26" s="625" t="s">
        <v>228</v>
      </c>
      <c r="C26" s="1131"/>
      <c r="D26" s="1132"/>
      <c r="E26" s="618"/>
      <c r="F26" s="618" t="s">
        <v>1036</v>
      </c>
      <c r="G26" s="618" t="s">
        <v>1037</v>
      </c>
      <c r="H26" s="556"/>
      <c r="I26" s="583" t="s">
        <v>1736</v>
      </c>
      <c r="J26" s="574" t="s">
        <v>229</v>
      </c>
      <c r="K26" s="626"/>
      <c r="L26" s="583"/>
      <c r="M26" s="626"/>
      <c r="N26" s="618" t="s">
        <v>1038</v>
      </c>
      <c r="O26" s="618" t="s">
        <v>230</v>
      </c>
      <c r="P26" s="120"/>
      <c r="Q26" s="618" t="s">
        <v>226</v>
      </c>
      <c r="R26" s="146">
        <f>(COUNTA(C26:Q26))/7</f>
        <v>1</v>
      </c>
      <c r="U26" s="1120"/>
      <c r="V26" s="1121"/>
      <c r="W26" s="1121"/>
      <c r="X26" s="1121"/>
      <c r="Y26" s="1121"/>
      <c r="Z26" s="1122"/>
      <c r="AA26" s="565"/>
      <c r="AB26" s="564">
        <v>9</v>
      </c>
    </row>
    <row r="27" spans="1:28" s="630" customFormat="1" ht="27.95" customHeight="1" thickBot="1">
      <c r="A27" s="627"/>
      <c r="B27" s="628" t="s">
        <v>1039</v>
      </c>
      <c r="C27" s="1133"/>
      <c r="D27" s="1134"/>
      <c r="E27" s="1081" t="s">
        <v>1805</v>
      </c>
      <c r="F27" s="1082" t="s">
        <v>231</v>
      </c>
      <c r="G27" s="1081"/>
      <c r="H27" s="1081" t="s">
        <v>1806</v>
      </c>
      <c r="I27" s="137"/>
      <c r="J27" s="1082" t="s">
        <v>1807</v>
      </c>
      <c r="K27" s="1038"/>
      <c r="L27" s="576"/>
      <c r="M27" s="603" t="s">
        <v>1040</v>
      </c>
      <c r="N27" s="151" t="s">
        <v>1041</v>
      </c>
      <c r="O27" s="629" t="s">
        <v>1042</v>
      </c>
      <c r="P27" s="575" t="s">
        <v>861</v>
      </c>
      <c r="Q27" s="577" t="s">
        <v>1043</v>
      </c>
      <c r="R27" s="146">
        <f>(COUNTA(C27:Q27))/12</f>
        <v>0.75</v>
      </c>
      <c r="S27" s="563"/>
      <c r="U27" s="1120"/>
      <c r="V27" s="1121"/>
      <c r="W27" s="1121"/>
      <c r="X27" s="1121"/>
      <c r="Y27" s="1121"/>
      <c r="Z27" s="1122"/>
      <c r="AA27" s="631"/>
    </row>
    <row r="28" spans="1:28" s="630" customFormat="1" ht="9.9499999999999993" customHeight="1" thickBot="1">
      <c r="A28" s="632"/>
      <c r="B28" s="633"/>
      <c r="C28" s="634"/>
      <c r="D28" s="635"/>
      <c r="E28" s="636"/>
      <c r="F28" s="637"/>
      <c r="G28" s="636"/>
      <c r="H28" s="636"/>
      <c r="I28" s="636"/>
      <c r="J28" s="145"/>
      <c r="K28" s="636"/>
      <c r="L28" s="637"/>
      <c r="M28" s="638"/>
      <c r="N28" s="152"/>
      <c r="O28" s="639"/>
      <c r="P28" s="572"/>
      <c r="Q28" s="597"/>
      <c r="R28" s="146"/>
      <c r="S28" s="563"/>
      <c r="U28" s="1120"/>
      <c r="V28" s="1121"/>
      <c r="W28" s="1121"/>
      <c r="X28" s="1121"/>
      <c r="Y28" s="1121"/>
      <c r="Z28" s="1122"/>
      <c r="AA28" s="631"/>
    </row>
    <row r="29" spans="1:28" ht="120" customHeight="1">
      <c r="A29" s="1135"/>
      <c r="B29" s="1137" t="s">
        <v>1044</v>
      </c>
      <c r="C29" s="1139"/>
      <c r="D29" s="1140"/>
      <c r="E29" s="560" t="s">
        <v>1045</v>
      </c>
      <c r="F29" s="558" t="s">
        <v>1046</v>
      </c>
      <c r="G29" s="560" t="s">
        <v>1047</v>
      </c>
      <c r="H29" s="640" t="s">
        <v>1048</v>
      </c>
      <c r="I29" s="558" t="s">
        <v>1049</v>
      </c>
      <c r="J29" s="608" t="s">
        <v>1050</v>
      </c>
      <c r="K29" s="581" t="s">
        <v>1149</v>
      </c>
      <c r="L29" s="583"/>
      <c r="M29" s="641" t="s">
        <v>1051</v>
      </c>
      <c r="N29" s="581" t="s">
        <v>1052</v>
      </c>
      <c r="O29" s="642" t="s">
        <v>1053</v>
      </c>
      <c r="P29" s="618" t="s">
        <v>1054</v>
      </c>
      <c r="Q29" s="643" t="s">
        <v>1055</v>
      </c>
      <c r="R29" s="146">
        <f>(COUNTA(C29:Q29))/12</f>
        <v>1</v>
      </c>
      <c r="S29" s="564"/>
      <c r="T29" s="564"/>
      <c r="U29" s="1120"/>
      <c r="V29" s="1121"/>
      <c r="W29" s="1121"/>
      <c r="X29" s="1121"/>
      <c r="Y29" s="1121"/>
      <c r="Z29" s="1122"/>
    </row>
    <row r="30" spans="1:28" ht="120" customHeight="1" thickBot="1">
      <c r="A30" s="1136"/>
      <c r="B30" s="1138"/>
      <c r="C30" s="1141"/>
      <c r="D30" s="1142"/>
      <c r="E30" s="1030" t="s">
        <v>1733</v>
      </c>
      <c r="F30" s="1030" t="s">
        <v>1740</v>
      </c>
      <c r="G30" s="213" t="s">
        <v>1056</v>
      </c>
      <c r="H30" s="1030" t="s">
        <v>1738</v>
      </c>
      <c r="I30" s="213" t="s">
        <v>1057</v>
      </c>
      <c r="J30" s="403" t="s">
        <v>1732</v>
      </c>
      <c r="K30" s="213" t="s">
        <v>1148</v>
      </c>
      <c r="L30" s="119"/>
      <c r="M30" s="213" t="s">
        <v>1731</v>
      </c>
      <c r="N30" s="1030" t="s">
        <v>1724</v>
      </c>
      <c r="O30" s="213" t="s">
        <v>1723</v>
      </c>
      <c r="P30" s="213" t="s">
        <v>1735</v>
      </c>
      <c r="Q30" s="213" t="s">
        <v>1739</v>
      </c>
      <c r="R30" s="146"/>
      <c r="S30" s="564"/>
      <c r="T30" s="564"/>
      <c r="U30" s="1123"/>
      <c r="V30" s="1124"/>
      <c r="W30" s="1124"/>
      <c r="X30" s="1124"/>
      <c r="Y30" s="1124"/>
      <c r="Z30" s="1125"/>
    </row>
    <row r="31" spans="1:28" ht="120" customHeight="1" thickBot="1">
      <c r="A31" s="644"/>
      <c r="B31" s="645" t="s">
        <v>1059</v>
      </c>
      <c r="C31" s="1143"/>
      <c r="D31" s="1144"/>
      <c r="E31" s="1145" t="s">
        <v>1060</v>
      </c>
      <c r="F31" s="1146"/>
      <c r="G31" s="576" t="s">
        <v>1061</v>
      </c>
      <c r="H31" s="577" t="s">
        <v>1062</v>
      </c>
      <c r="I31" s="646" t="s">
        <v>1063</v>
      </c>
      <c r="J31" s="557" t="s">
        <v>1064</v>
      </c>
      <c r="K31" s="577" t="s">
        <v>1065</v>
      </c>
      <c r="L31" s="592"/>
      <c r="M31" s="576" t="s">
        <v>1066</v>
      </c>
      <c r="N31" s="646" t="s">
        <v>1067</v>
      </c>
      <c r="O31" s="647" t="s">
        <v>1068</v>
      </c>
      <c r="P31" s="557" t="s">
        <v>1069</v>
      </c>
      <c r="Q31" s="577"/>
      <c r="R31" s="146">
        <f>(COUNTA(G31:Q31))/9</f>
        <v>1</v>
      </c>
      <c r="S31" s="564"/>
      <c r="T31" s="564"/>
      <c r="U31" s="1114" t="s">
        <v>1058</v>
      </c>
      <c r="V31" s="1115"/>
      <c r="W31" s="1115"/>
      <c r="X31" s="1115"/>
      <c r="Y31" s="1115"/>
      <c r="Z31" s="1116"/>
    </row>
    <row r="32" spans="1:28" s="564" customFormat="1" ht="9.9499999999999993" customHeight="1">
      <c r="A32" s="648"/>
      <c r="B32" s="649"/>
      <c r="C32" s="650"/>
      <c r="D32" s="651"/>
      <c r="E32" s="651"/>
      <c r="F32" s="651"/>
      <c r="G32" s="651"/>
      <c r="H32" s="651"/>
      <c r="I32" s="651"/>
      <c r="J32" s="651"/>
      <c r="K32" s="651"/>
      <c r="L32" s="651"/>
      <c r="M32" s="651"/>
      <c r="N32" s="651"/>
      <c r="O32" s="651"/>
      <c r="P32" s="651"/>
      <c r="Q32" s="651"/>
      <c r="R32" s="146"/>
      <c r="U32" s="652"/>
      <c r="V32" s="652"/>
      <c r="W32" s="652"/>
      <c r="X32" s="652"/>
      <c r="Y32" s="652"/>
      <c r="Z32" s="653"/>
      <c r="AA32" s="565"/>
    </row>
    <row r="33" spans="1:27" s="564" customFormat="1" ht="21" customHeight="1">
      <c r="A33" s="654"/>
      <c r="B33" s="655"/>
      <c r="C33" s="656"/>
      <c r="D33" s="657" t="s">
        <v>1070</v>
      </c>
      <c r="E33" s="658" t="s">
        <v>1</v>
      </c>
      <c r="F33" s="659" t="s">
        <v>2</v>
      </c>
      <c r="G33" s="659" t="s">
        <v>3</v>
      </c>
      <c r="H33" s="659" t="s">
        <v>4</v>
      </c>
      <c r="I33" s="659" t="s">
        <v>5</v>
      </c>
      <c r="J33" s="659" t="s">
        <v>6</v>
      </c>
      <c r="K33" s="659" t="s">
        <v>7</v>
      </c>
      <c r="L33" s="660" t="s">
        <v>16</v>
      </c>
      <c r="M33" s="659" t="s">
        <v>9</v>
      </c>
      <c r="N33" s="659" t="s">
        <v>10</v>
      </c>
      <c r="O33" s="659" t="s">
        <v>11</v>
      </c>
      <c r="P33" s="659" t="s">
        <v>12</v>
      </c>
      <c r="Q33" s="661" t="s">
        <v>13</v>
      </c>
      <c r="R33" s="662"/>
      <c r="U33" s="652"/>
      <c r="V33" s="652"/>
      <c r="W33" s="652"/>
      <c r="X33" s="652"/>
      <c r="Y33" s="652"/>
      <c r="Z33" s="653"/>
      <c r="AA33" s="565"/>
    </row>
    <row r="34" spans="1:27" s="564" customFormat="1" ht="45.75" customHeight="1">
      <c r="A34" s="545"/>
      <c r="B34" s="663"/>
      <c r="C34" s="663"/>
      <c r="D34" s="1110" t="s">
        <v>1071</v>
      </c>
      <c r="E34" s="664" t="s">
        <v>1072</v>
      </c>
      <c r="F34" s="664" t="s">
        <v>1073</v>
      </c>
      <c r="G34" s="664" t="s">
        <v>1074</v>
      </c>
      <c r="H34" s="664" t="s">
        <v>1075</v>
      </c>
      <c r="I34" s="664" t="s">
        <v>1076</v>
      </c>
      <c r="J34" s="664" t="s">
        <v>1077</v>
      </c>
      <c r="K34" s="664" t="s">
        <v>1078</v>
      </c>
      <c r="L34" s="665"/>
      <c r="M34" s="664" t="s">
        <v>1079</v>
      </c>
      <c r="N34" s="664" t="s">
        <v>1080</v>
      </c>
      <c r="O34" s="664" t="s">
        <v>1081</v>
      </c>
      <c r="P34" s="664" t="s">
        <v>1082</v>
      </c>
      <c r="Q34" s="664" t="s">
        <v>1083</v>
      </c>
      <c r="R34" s="662"/>
      <c r="S34" s="666">
        <v>23</v>
      </c>
      <c r="V34" s="652"/>
      <c r="W34" s="652"/>
      <c r="X34" s="652"/>
      <c r="Y34" s="652"/>
      <c r="Z34" s="653"/>
      <c r="AA34" s="565"/>
    </row>
    <row r="35" spans="1:27" s="564" customFormat="1" ht="45.75" customHeight="1">
      <c r="A35" s="545"/>
      <c r="B35" s="663"/>
      <c r="C35" s="663"/>
      <c r="D35" s="1111"/>
      <c r="E35" s="665"/>
      <c r="F35" s="664"/>
      <c r="G35" s="665"/>
      <c r="H35" s="664"/>
      <c r="I35" s="665"/>
      <c r="J35" s="664" t="s">
        <v>1084</v>
      </c>
      <c r="K35" s="664"/>
      <c r="L35" s="665"/>
      <c r="M35" s="664" t="s">
        <v>1085</v>
      </c>
      <c r="N35" s="665" t="s">
        <v>1086</v>
      </c>
      <c r="O35" s="664" t="s">
        <v>1087</v>
      </c>
      <c r="P35" s="664"/>
      <c r="Q35" s="664"/>
      <c r="R35" s="667"/>
      <c r="S35" s="668"/>
      <c r="V35" s="652"/>
      <c r="W35" s="652"/>
      <c r="X35" s="652"/>
      <c r="Y35" s="652"/>
      <c r="Z35" s="546"/>
      <c r="AA35" s="565"/>
    </row>
    <row r="36" spans="1:27" ht="27.95" customHeight="1">
      <c r="D36" s="669" t="s">
        <v>1088</v>
      </c>
      <c r="E36" s="665" t="s">
        <v>1089</v>
      </c>
      <c r="F36" s="665"/>
      <c r="G36" s="665" t="s">
        <v>1090</v>
      </c>
      <c r="H36" s="670"/>
      <c r="I36" s="665" t="s">
        <v>1091</v>
      </c>
      <c r="J36" s="665"/>
      <c r="K36" s="665"/>
      <c r="L36" s="665"/>
      <c r="M36" s="665"/>
      <c r="N36" s="670"/>
      <c r="O36" s="665"/>
      <c r="P36" s="665"/>
      <c r="Q36" s="665" t="s">
        <v>1092</v>
      </c>
      <c r="R36" s="671"/>
      <c r="S36" s="668">
        <v>4</v>
      </c>
      <c r="U36" s="545"/>
      <c r="V36" s="652"/>
      <c r="W36" s="652"/>
      <c r="X36" s="652"/>
      <c r="Y36" s="652"/>
      <c r="Z36" s="653"/>
    </row>
    <row r="37" spans="1:27" s="630" customFormat="1" ht="42" customHeight="1">
      <c r="A37" s="545"/>
      <c r="B37" s="663"/>
      <c r="C37" s="663"/>
      <c r="D37" s="669" t="s">
        <v>1093</v>
      </c>
      <c r="E37" s="664" t="s">
        <v>1094</v>
      </c>
      <c r="F37" s="664" t="s">
        <v>1095</v>
      </c>
      <c r="G37" s="664" t="s">
        <v>1096</v>
      </c>
      <c r="H37" s="664" t="s">
        <v>1097</v>
      </c>
      <c r="I37" s="664" t="s">
        <v>1098</v>
      </c>
      <c r="J37" s="664" t="s">
        <v>1099</v>
      </c>
      <c r="K37" s="664" t="s">
        <v>1100</v>
      </c>
      <c r="L37" s="665"/>
      <c r="M37" s="664" t="s">
        <v>1101</v>
      </c>
      <c r="N37" s="664" t="s">
        <v>1102</v>
      </c>
      <c r="O37" s="664" t="s">
        <v>1103</v>
      </c>
      <c r="P37" s="672" t="s">
        <v>1104</v>
      </c>
      <c r="Q37" s="664" t="s">
        <v>1105</v>
      </c>
      <c r="R37" s="671"/>
      <c r="S37" s="673">
        <v>20</v>
      </c>
      <c r="V37" s="652"/>
      <c r="W37" s="652"/>
      <c r="X37" s="652"/>
      <c r="Y37" s="652"/>
      <c r="Z37" s="546"/>
      <c r="AA37" s="631"/>
    </row>
    <row r="38" spans="1:27" ht="42" customHeight="1">
      <c r="D38" s="674" t="s">
        <v>1106</v>
      </c>
      <c r="E38" s="675" t="s">
        <v>1107</v>
      </c>
      <c r="F38" s="664" t="s">
        <v>1108</v>
      </c>
      <c r="G38" s="664" t="s">
        <v>1109</v>
      </c>
      <c r="H38" s="664" t="s">
        <v>1110</v>
      </c>
      <c r="I38" s="664" t="s">
        <v>1111</v>
      </c>
      <c r="J38" s="664" t="s">
        <v>1112</v>
      </c>
      <c r="K38" s="664" t="s">
        <v>1113</v>
      </c>
      <c r="L38" s="676"/>
      <c r="M38" s="664" t="s">
        <v>1114</v>
      </c>
      <c r="N38" s="664" t="s">
        <v>1115</v>
      </c>
      <c r="O38" s="664" t="s">
        <v>1116</v>
      </c>
      <c r="P38" s="664" t="s">
        <v>1117</v>
      </c>
      <c r="Q38" s="664" t="s">
        <v>1118</v>
      </c>
      <c r="R38" s="677"/>
      <c r="S38" s="673">
        <v>22</v>
      </c>
      <c r="U38" s="545"/>
      <c r="V38" s="652"/>
      <c r="W38" s="652"/>
      <c r="X38" s="652"/>
      <c r="Y38" s="652"/>
      <c r="Z38" s="678"/>
    </row>
    <row r="39" spans="1:27" ht="9.9499999999999993" customHeight="1">
      <c r="D39" s="1112"/>
      <c r="E39" s="1112"/>
      <c r="F39" s="1112"/>
      <c r="G39" s="1112"/>
      <c r="H39" s="1112"/>
      <c r="I39" s="1112"/>
      <c r="J39" s="1112"/>
      <c r="K39" s="1112"/>
      <c r="L39" s="1112"/>
      <c r="M39" s="1112"/>
      <c r="N39" s="1112"/>
      <c r="O39" s="1112"/>
      <c r="P39" s="1112"/>
      <c r="Q39" s="1112"/>
      <c r="R39" s="1112"/>
      <c r="S39" s="673">
        <f>S34+S36+S37+S38</f>
        <v>69</v>
      </c>
      <c r="U39" s="545"/>
      <c r="V39" s="652"/>
      <c r="W39" s="652"/>
      <c r="X39" s="652"/>
      <c r="Y39" s="652"/>
    </row>
    <row r="40" spans="1:27" ht="21" customHeight="1">
      <c r="D40" s="679"/>
      <c r="E40" s="680" t="s">
        <v>1119</v>
      </c>
      <c r="F40" s="681" t="s">
        <v>2</v>
      </c>
      <c r="G40" s="681" t="s">
        <v>3</v>
      </c>
      <c r="H40" s="682" t="s">
        <v>1120</v>
      </c>
      <c r="I40" s="683" t="s">
        <v>1121</v>
      </c>
      <c r="J40" s="681" t="s">
        <v>1122</v>
      </c>
      <c r="K40" s="681" t="s">
        <v>1123</v>
      </c>
      <c r="L40" s="660"/>
      <c r="M40" s="681" t="s">
        <v>1124</v>
      </c>
      <c r="N40" s="681" t="s">
        <v>10</v>
      </c>
      <c r="O40" s="683" t="s">
        <v>11</v>
      </c>
      <c r="P40" s="681" t="s">
        <v>12</v>
      </c>
      <c r="Q40" s="681" t="s">
        <v>13</v>
      </c>
      <c r="R40" s="684" t="s">
        <v>232</v>
      </c>
      <c r="S40" s="685" t="s">
        <v>1125</v>
      </c>
    </row>
    <row r="41" spans="1:27" ht="39.950000000000003" customHeight="1">
      <c r="D41" s="686" t="s">
        <v>1126</v>
      </c>
      <c r="E41" s="687"/>
      <c r="F41" s="688"/>
      <c r="G41" s="688"/>
      <c r="H41" s="689"/>
      <c r="I41" s="690" t="s">
        <v>1127</v>
      </c>
      <c r="J41" s="688"/>
      <c r="K41" s="690"/>
      <c r="L41" s="691"/>
      <c r="M41" s="688"/>
      <c r="N41" s="688"/>
      <c r="O41" s="692"/>
      <c r="P41" s="688"/>
      <c r="Q41" s="688"/>
      <c r="R41" s="693"/>
      <c r="S41" s="694"/>
      <c r="U41" s="1113" t="s">
        <v>1128</v>
      </c>
      <c r="V41" s="1113"/>
      <c r="W41" s="1113"/>
      <c r="X41" s="563"/>
      <c r="Y41" s="563"/>
      <c r="Z41" s="563"/>
    </row>
    <row r="42" spans="1:27" ht="39.950000000000003" customHeight="1">
      <c r="D42" s="695" t="s">
        <v>1129</v>
      </c>
      <c r="E42" s="696"/>
      <c r="F42" s="697"/>
      <c r="G42" s="697"/>
      <c r="H42" s="561"/>
      <c r="I42" s="698" t="s">
        <v>1130</v>
      </c>
      <c r="J42" s="561"/>
      <c r="K42" s="697"/>
      <c r="L42" s="665"/>
      <c r="M42" s="698" t="s">
        <v>1131</v>
      </c>
      <c r="N42" s="561"/>
      <c r="O42" s="697" t="s">
        <v>1132</v>
      </c>
      <c r="P42" s="697"/>
      <c r="Q42" s="561"/>
      <c r="R42" s="699"/>
      <c r="S42" s="700"/>
      <c r="U42" s="563"/>
      <c r="V42" s="563"/>
      <c r="W42" s="563"/>
      <c r="X42" s="563"/>
      <c r="Y42" s="563"/>
      <c r="Z42" s="563"/>
      <c r="AA42" s="701"/>
    </row>
    <row r="43" spans="1:27" ht="39.950000000000003" customHeight="1">
      <c r="D43" s="686" t="s">
        <v>1133</v>
      </c>
      <c r="E43" s="696"/>
      <c r="F43" s="561"/>
      <c r="G43" s="697" t="s">
        <v>1134</v>
      </c>
      <c r="H43" s="698"/>
      <c r="I43" s="698" t="s">
        <v>1135</v>
      </c>
      <c r="J43" s="698" t="s">
        <v>1136</v>
      </c>
      <c r="K43" s="698" t="s">
        <v>1137</v>
      </c>
      <c r="L43" s="571"/>
      <c r="M43" s="698" t="s">
        <v>1138</v>
      </c>
      <c r="N43" s="561" t="s">
        <v>1139</v>
      </c>
      <c r="O43" s="697"/>
      <c r="P43" s="561"/>
      <c r="Q43" s="702" t="s">
        <v>1140</v>
      </c>
      <c r="R43" s="703"/>
      <c r="S43" s="704"/>
      <c r="U43" s="563"/>
      <c r="V43" s="563"/>
      <c r="W43" s="563"/>
      <c r="X43" s="563"/>
      <c r="Y43" s="563"/>
      <c r="Z43" s="563"/>
      <c r="AA43" s="701"/>
    </row>
    <row r="44" spans="1:27" ht="39.950000000000003" customHeight="1">
      <c r="D44" s="695" t="s">
        <v>1141</v>
      </c>
      <c r="E44" s="696"/>
      <c r="F44" s="697"/>
      <c r="G44" s="697"/>
      <c r="H44" s="561"/>
      <c r="I44" s="561"/>
      <c r="J44" s="561"/>
      <c r="K44" s="697"/>
      <c r="L44" s="665"/>
      <c r="M44" s="697" t="s">
        <v>1142</v>
      </c>
      <c r="N44" s="697"/>
      <c r="O44" s="697"/>
      <c r="P44" s="697"/>
      <c r="Q44" s="697" t="s">
        <v>1143</v>
      </c>
      <c r="R44" s="699"/>
      <c r="S44" s="700"/>
      <c r="U44" s="563"/>
      <c r="V44" s="563"/>
      <c r="W44" s="563"/>
      <c r="X44" s="563"/>
      <c r="Y44" s="563"/>
      <c r="Z44" s="563"/>
      <c r="AA44" s="701"/>
    </row>
    <row r="45" spans="1:27" ht="39.950000000000003" customHeight="1">
      <c r="D45" s="705" t="s">
        <v>1144</v>
      </c>
      <c r="E45" s="706"/>
      <c r="F45" s="707"/>
      <c r="G45" s="708"/>
      <c r="H45" s="707"/>
      <c r="I45" s="707"/>
      <c r="J45" s="707"/>
      <c r="K45" s="707"/>
      <c r="L45" s="676"/>
      <c r="M45" s="707"/>
      <c r="N45" s="707"/>
      <c r="O45" s="707"/>
      <c r="P45" s="708"/>
      <c r="Q45" s="707"/>
      <c r="R45" s="709"/>
      <c r="S45" s="710"/>
      <c r="U45" s="563"/>
      <c r="V45" s="563"/>
      <c r="W45" s="563"/>
      <c r="X45" s="563"/>
      <c r="Y45" s="563"/>
      <c r="Z45" s="563"/>
      <c r="AA45" s="701"/>
    </row>
    <row r="46" spans="1:27" ht="27.95" customHeight="1">
      <c r="C46" s="545"/>
      <c r="D46" s="705" t="s">
        <v>1145</v>
      </c>
      <c r="E46" s="706"/>
      <c r="F46" s="707"/>
      <c r="G46" s="708" t="s">
        <v>1146</v>
      </c>
      <c r="H46" s="707"/>
      <c r="I46" s="707"/>
      <c r="J46" s="707"/>
      <c r="K46" s="707"/>
      <c r="L46" s="676"/>
      <c r="M46" s="707"/>
      <c r="N46" s="707"/>
      <c r="O46" s="707"/>
      <c r="P46" s="708"/>
      <c r="Q46" s="707"/>
      <c r="R46" s="709"/>
      <c r="S46" s="710"/>
      <c r="U46" s="563"/>
      <c r="V46" s="563"/>
      <c r="W46" s="563"/>
      <c r="X46" s="563"/>
      <c r="Y46" s="563"/>
      <c r="Z46" s="563"/>
      <c r="AA46" s="701"/>
    </row>
    <row r="47" spans="1:27" ht="27.95" customHeight="1">
      <c r="R47" s="711"/>
      <c r="S47" s="663"/>
      <c r="AA47" s="701"/>
    </row>
    <row r="48" spans="1:27" ht="16.5" customHeight="1">
      <c r="R48" s="711"/>
    </row>
    <row r="49" spans="1:27" s="670" customFormat="1" ht="16.5" customHeight="1">
      <c r="A49" s="545"/>
      <c r="B49" s="712"/>
      <c r="C49" s="663"/>
      <c r="D49" s="663"/>
      <c r="E49" s="663"/>
      <c r="F49" s="663"/>
      <c r="G49" s="663"/>
      <c r="H49" s="663"/>
      <c r="I49" s="663"/>
      <c r="J49" s="663"/>
      <c r="K49" s="663"/>
      <c r="M49" s="545"/>
      <c r="N49" s="545"/>
      <c r="O49" s="545"/>
      <c r="P49" s="545"/>
      <c r="Q49" s="545"/>
      <c r="R49" s="713"/>
      <c r="S49" s="545"/>
      <c r="T49" s="545"/>
      <c r="U49" s="546"/>
      <c r="V49" s="546"/>
      <c r="W49" s="546"/>
      <c r="X49" s="546"/>
      <c r="Y49" s="546"/>
      <c r="Z49" s="546"/>
      <c r="AA49" s="547"/>
    </row>
    <row r="50" spans="1:27" s="670" customFormat="1" ht="16.5" customHeight="1">
      <c r="A50" s="545"/>
      <c r="B50" s="663"/>
      <c r="C50" s="663"/>
      <c r="D50" s="663"/>
      <c r="E50" s="663"/>
      <c r="F50" s="663"/>
      <c r="G50" s="663"/>
      <c r="H50" s="663"/>
      <c r="I50" s="663"/>
      <c r="J50" s="663"/>
      <c r="K50" s="663"/>
      <c r="M50" s="545"/>
      <c r="N50" s="545"/>
      <c r="O50" s="545"/>
      <c r="P50" s="545"/>
      <c r="Q50" s="545"/>
      <c r="R50" s="713"/>
      <c r="S50" s="545"/>
      <c r="T50" s="545"/>
      <c r="U50" s="546"/>
      <c r="V50" s="546"/>
      <c r="W50" s="546"/>
      <c r="X50" s="546"/>
      <c r="Y50" s="546"/>
      <c r="Z50" s="546"/>
      <c r="AA50" s="547"/>
    </row>
    <row r="51" spans="1:27" s="670" customFormat="1" ht="17.25" customHeight="1">
      <c r="A51" s="545"/>
      <c r="B51" s="663"/>
      <c r="C51" s="663"/>
      <c r="D51" s="663"/>
      <c r="E51" s="663"/>
      <c r="F51" s="663"/>
      <c r="G51" s="663"/>
      <c r="H51" s="663"/>
      <c r="I51" s="663"/>
      <c r="J51" s="663"/>
      <c r="K51" s="663"/>
      <c r="M51" s="545"/>
      <c r="N51" s="545"/>
      <c r="O51" s="545"/>
      <c r="P51" s="545"/>
      <c r="Q51" s="545"/>
      <c r="R51" s="713"/>
      <c r="S51" s="545"/>
      <c r="T51" s="545"/>
      <c r="U51" s="546"/>
      <c r="V51" s="546"/>
      <c r="W51" s="546"/>
      <c r="X51" s="546"/>
      <c r="Y51" s="546"/>
      <c r="Z51" s="546"/>
      <c r="AA51" s="547"/>
    </row>
    <row r="52" spans="1:27" s="670" customFormat="1">
      <c r="A52" s="545"/>
      <c r="B52" s="663"/>
      <c r="C52" s="663"/>
      <c r="D52" s="663"/>
      <c r="E52" s="663"/>
      <c r="F52" s="663"/>
      <c r="G52" s="663"/>
      <c r="H52" s="663"/>
      <c r="I52" s="663"/>
      <c r="J52" s="663"/>
      <c r="K52" s="663"/>
      <c r="M52" s="545"/>
      <c r="N52" s="545"/>
      <c r="O52" s="545"/>
      <c r="P52" s="545"/>
      <c r="Q52" s="545"/>
      <c r="R52" s="713"/>
      <c r="S52" s="545"/>
      <c r="T52" s="545"/>
      <c r="U52" s="546"/>
      <c r="V52" s="546"/>
      <c r="W52" s="546"/>
      <c r="X52" s="546"/>
      <c r="Y52" s="546"/>
      <c r="Z52" s="546"/>
      <c r="AA52" s="547"/>
    </row>
    <row r="53" spans="1:27" s="670" customFormat="1" ht="16.5" customHeight="1">
      <c r="A53" s="545"/>
      <c r="B53" s="663"/>
      <c r="C53" s="663"/>
      <c r="D53" s="663"/>
      <c r="E53" s="663"/>
      <c r="F53" s="663"/>
      <c r="G53" s="663"/>
      <c r="H53" s="663"/>
      <c r="I53" s="663"/>
      <c r="J53" s="663"/>
      <c r="K53" s="663"/>
      <c r="M53" s="545"/>
      <c r="N53" s="545"/>
      <c r="O53" s="545"/>
      <c r="P53" s="545"/>
      <c r="Q53" s="545"/>
      <c r="R53" s="713"/>
      <c r="S53" s="545"/>
      <c r="T53" s="545"/>
      <c r="U53" s="546"/>
      <c r="V53" s="546"/>
      <c r="W53" s="546"/>
      <c r="X53" s="546"/>
      <c r="Y53" s="546"/>
      <c r="Z53" s="546"/>
      <c r="AA53" s="547"/>
    </row>
    <row r="54" spans="1:27" s="670" customFormat="1">
      <c r="A54" s="545"/>
      <c r="B54" s="663"/>
      <c r="C54" s="663"/>
      <c r="D54" s="663"/>
      <c r="E54" s="663"/>
      <c r="F54" s="663"/>
      <c r="G54" s="663"/>
      <c r="H54" s="663"/>
      <c r="I54" s="663"/>
      <c r="J54" s="663"/>
      <c r="K54" s="663"/>
      <c r="M54" s="545"/>
      <c r="N54" s="545"/>
      <c r="O54" s="545"/>
      <c r="P54" s="545"/>
      <c r="Q54" s="545"/>
      <c r="R54" s="713"/>
      <c r="S54" s="545"/>
      <c r="T54" s="545"/>
      <c r="U54" s="546"/>
      <c r="V54" s="546"/>
      <c r="W54" s="546"/>
      <c r="X54" s="546"/>
      <c r="Y54" s="546"/>
      <c r="Z54" s="546"/>
      <c r="AA54" s="547"/>
    </row>
    <row r="55" spans="1:27" s="670" customFormat="1">
      <c r="A55" s="545"/>
      <c r="B55" s="663"/>
      <c r="C55" s="663"/>
      <c r="D55" s="663"/>
      <c r="E55" s="663"/>
      <c r="F55" s="663"/>
      <c r="G55" s="663"/>
      <c r="H55" s="663"/>
      <c r="I55" s="663"/>
      <c r="J55" s="663"/>
      <c r="K55" s="663"/>
      <c r="M55" s="545"/>
      <c r="N55" s="545"/>
      <c r="O55" s="545"/>
      <c r="P55" s="545"/>
      <c r="Q55" s="545"/>
      <c r="R55" s="713"/>
      <c r="S55" s="545"/>
      <c r="T55" s="545"/>
      <c r="U55" s="546"/>
      <c r="V55" s="546"/>
      <c r="W55" s="546"/>
      <c r="X55" s="546"/>
      <c r="Y55" s="546"/>
      <c r="Z55" s="546"/>
      <c r="AA55" s="547"/>
    </row>
    <row r="56" spans="1:27" s="670" customFormat="1">
      <c r="A56" s="545"/>
      <c r="B56" s="663"/>
      <c r="C56" s="663"/>
      <c r="D56" s="663"/>
      <c r="E56" s="663"/>
      <c r="F56" s="663"/>
      <c r="G56" s="663"/>
      <c r="H56" s="663"/>
      <c r="I56" s="663"/>
      <c r="J56" s="663"/>
      <c r="K56" s="663"/>
      <c r="M56" s="545"/>
      <c r="N56" s="545"/>
      <c r="O56" s="545"/>
      <c r="P56" s="545"/>
      <c r="Q56" s="545"/>
      <c r="R56" s="713"/>
      <c r="S56" s="545"/>
      <c r="T56" s="545"/>
      <c r="U56" s="546"/>
      <c r="V56" s="546"/>
      <c r="W56" s="546"/>
      <c r="X56" s="546"/>
      <c r="Y56" s="546"/>
      <c r="Z56" s="546"/>
      <c r="AA56" s="547"/>
    </row>
    <row r="57" spans="1:27" s="670" customFormat="1" ht="16.5" customHeight="1">
      <c r="A57" s="545"/>
      <c r="B57" s="663"/>
      <c r="C57" s="663"/>
      <c r="D57" s="663"/>
      <c r="E57" s="663"/>
      <c r="F57" s="663"/>
      <c r="G57" s="663"/>
      <c r="H57" s="663"/>
      <c r="I57" s="663"/>
      <c r="J57" s="663"/>
      <c r="K57" s="663"/>
      <c r="M57" s="545"/>
      <c r="N57" s="545"/>
      <c r="O57" s="545"/>
      <c r="P57" s="545"/>
      <c r="Q57" s="545"/>
      <c r="R57" s="713"/>
      <c r="S57" s="545"/>
      <c r="T57" s="545"/>
      <c r="U57" s="546"/>
      <c r="V57" s="546"/>
      <c r="W57" s="546"/>
      <c r="X57" s="546"/>
      <c r="Y57" s="546"/>
      <c r="Z57" s="546"/>
      <c r="AA57" s="547"/>
    </row>
    <row r="58" spans="1:27" s="670" customFormat="1">
      <c r="A58" s="545"/>
      <c r="B58" s="663"/>
      <c r="C58" s="663"/>
      <c r="D58" s="663"/>
      <c r="E58" s="663"/>
      <c r="F58" s="663"/>
      <c r="G58" s="663"/>
      <c r="H58" s="663"/>
      <c r="I58" s="663"/>
      <c r="J58" s="663"/>
      <c r="K58" s="663"/>
      <c r="M58" s="545"/>
      <c r="N58" s="545"/>
      <c r="O58" s="545"/>
      <c r="P58" s="545"/>
      <c r="Q58" s="545"/>
      <c r="R58" s="713"/>
      <c r="S58" s="545"/>
      <c r="T58" s="545"/>
      <c r="U58" s="546"/>
      <c r="V58" s="546"/>
      <c r="W58" s="546"/>
      <c r="X58" s="546"/>
      <c r="Y58" s="546"/>
      <c r="Z58" s="546"/>
      <c r="AA58" s="547"/>
    </row>
    <row r="59" spans="1:27" s="670" customFormat="1">
      <c r="A59" s="545"/>
      <c r="B59" s="663"/>
      <c r="C59" s="663"/>
      <c r="D59" s="663"/>
      <c r="E59" s="663"/>
      <c r="F59" s="663"/>
      <c r="G59" s="663"/>
      <c r="H59" s="663"/>
      <c r="I59" s="663"/>
      <c r="J59" s="663"/>
      <c r="K59" s="663"/>
      <c r="M59" s="545"/>
      <c r="N59" s="545"/>
      <c r="O59" s="545"/>
      <c r="P59" s="545"/>
      <c r="Q59" s="545"/>
      <c r="R59" s="713"/>
      <c r="S59" s="545"/>
      <c r="T59" s="545"/>
      <c r="U59" s="546"/>
      <c r="V59" s="546"/>
      <c r="W59" s="546"/>
      <c r="X59" s="546"/>
      <c r="Y59" s="546"/>
      <c r="Z59" s="546"/>
      <c r="AA59" s="547"/>
    </row>
    <row r="60" spans="1:27" s="670" customFormat="1">
      <c r="A60" s="545"/>
      <c r="B60" s="663"/>
      <c r="C60" s="663"/>
      <c r="D60" s="663"/>
      <c r="E60" s="545"/>
      <c r="F60" s="545"/>
      <c r="G60" s="545"/>
      <c r="H60" s="545"/>
      <c r="I60" s="545"/>
      <c r="J60" s="545"/>
      <c r="K60" s="545"/>
      <c r="M60" s="545"/>
      <c r="N60" s="545"/>
      <c r="O60" s="545"/>
      <c r="P60" s="545"/>
      <c r="Q60" s="545"/>
      <c r="R60" s="713"/>
      <c r="S60" s="545"/>
      <c r="T60" s="545"/>
      <c r="U60" s="546"/>
      <c r="V60" s="546"/>
      <c r="W60" s="546"/>
      <c r="X60" s="546"/>
      <c r="Y60" s="546"/>
      <c r="Z60" s="546"/>
      <c r="AA60" s="547"/>
    </row>
    <row r="72" ht="16.5" customHeight="1"/>
    <row r="74" ht="16.5" customHeight="1"/>
    <row r="76" ht="16.5" customHeight="1"/>
    <row r="78" ht="16.5" customHeight="1"/>
  </sheetData>
  <mergeCells count="29">
    <mergeCell ref="A1:Q1"/>
    <mergeCell ref="A2:Q2"/>
    <mergeCell ref="U2:Z3"/>
    <mergeCell ref="C4:D8"/>
    <mergeCell ref="U4:Z4"/>
    <mergeCell ref="U5:Z7"/>
    <mergeCell ref="U8:Z8"/>
    <mergeCell ref="P9:Q10"/>
    <mergeCell ref="U9:Z18"/>
    <mergeCell ref="C11:D12"/>
    <mergeCell ref="P13:Q13"/>
    <mergeCell ref="C14:D16"/>
    <mergeCell ref="C17:D21"/>
    <mergeCell ref="U19:Z19"/>
    <mergeCell ref="E20:F20"/>
    <mergeCell ref="U20:Z23"/>
    <mergeCell ref="P22:Q24"/>
    <mergeCell ref="U24:Z24"/>
    <mergeCell ref="C25:D25"/>
    <mergeCell ref="C26:D27"/>
    <mergeCell ref="A29:A30"/>
    <mergeCell ref="B29:B30"/>
    <mergeCell ref="C29:D31"/>
    <mergeCell ref="E31:F31"/>
    <mergeCell ref="D34:D35"/>
    <mergeCell ref="D39:R39"/>
    <mergeCell ref="U41:W41"/>
    <mergeCell ref="U31:Z31"/>
    <mergeCell ref="U25:Z30"/>
  </mergeCells>
  <phoneticPr fontId="40" type="noConversion"/>
  <conditionalFormatting sqref="O91:O92">
    <cfRule type="uniqueValues" dxfId="2" priority="3"/>
  </conditionalFormatting>
  <conditionalFormatting sqref="M85:M86">
    <cfRule type="uniqueValues" dxfId="1" priority="2"/>
  </conditionalFormatting>
  <conditionalFormatting sqref="N91:N92">
    <cfRule type="uniqueValues" dxfId="0" priority="1"/>
  </conditionalFormatting>
  <printOptions horizontalCentered="1"/>
  <pageMargins left="0" right="0" top="0" bottom="0" header="0" footer="0"/>
  <pageSetup paperSize="9" scale="29" orientation="portrait" horizontalDpi="4294967293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65"/>
  <sheetViews>
    <sheetView tabSelected="1" topLeftCell="A2" zoomScale="85" zoomScaleNormal="85" workbookViewId="0">
      <selection activeCell="O10" sqref="O10"/>
    </sheetView>
  </sheetViews>
  <sheetFormatPr defaultRowHeight="16.5"/>
  <cols>
    <col min="1" max="1" width="4.33203125" style="545" customWidth="1"/>
    <col min="2" max="2" width="13.33203125" style="663" customWidth="1"/>
    <col min="3" max="4" width="15.83203125" style="663" customWidth="1"/>
    <col min="5" max="11" width="15.83203125" style="545" customWidth="1"/>
    <col min="12" max="12" width="3.5" style="670" customWidth="1"/>
    <col min="13" max="17" width="15.83203125" style="545" customWidth="1"/>
    <col min="18" max="18" width="15.83203125" style="789" hidden="1" customWidth="1"/>
    <col min="19" max="19" width="8.1640625" style="545" customWidth="1"/>
    <col min="20" max="25" width="10.83203125" style="545" customWidth="1"/>
    <col min="26" max="16384" width="9.33203125" style="545"/>
  </cols>
  <sheetData>
    <row r="1" spans="1:30" ht="16.5" hidden="1" customHeight="1">
      <c r="A1" s="1242" t="s">
        <v>1150</v>
      </c>
      <c r="B1" s="1243"/>
      <c r="C1" s="1243"/>
      <c r="D1" s="1243"/>
      <c r="E1" s="1243"/>
      <c r="F1" s="1243"/>
      <c r="G1" s="1243"/>
      <c r="H1" s="1243"/>
      <c r="I1" s="1243"/>
      <c r="J1" s="1243"/>
      <c r="K1" s="1243"/>
      <c r="L1" s="1243"/>
      <c r="M1" s="1243"/>
      <c r="N1" s="1243"/>
      <c r="O1" s="1243"/>
      <c r="P1" s="1243"/>
      <c r="Q1" s="1243"/>
      <c r="R1" s="544"/>
    </row>
    <row r="2" spans="1:30" ht="18" customHeight="1">
      <c r="A2" s="1181" t="s">
        <v>1151</v>
      </c>
      <c r="B2" s="1182"/>
      <c r="C2" s="1182"/>
      <c r="D2" s="1182"/>
      <c r="E2" s="1182"/>
      <c r="F2" s="1182"/>
      <c r="G2" s="1182"/>
      <c r="H2" s="1182"/>
      <c r="I2" s="1182"/>
      <c r="J2" s="1182"/>
      <c r="K2" s="1182"/>
      <c r="L2" s="1182"/>
      <c r="M2" s="1182"/>
      <c r="N2" s="1182"/>
      <c r="O2" s="1182"/>
      <c r="P2" s="1182"/>
      <c r="Q2" s="1182"/>
      <c r="R2" s="548"/>
      <c r="T2" s="564"/>
      <c r="U2" s="564"/>
      <c r="V2" s="564"/>
      <c r="W2" s="564"/>
      <c r="X2" s="564"/>
      <c r="Y2" s="564"/>
      <c r="AA2" s="564"/>
      <c r="AB2" s="564"/>
      <c r="AC2" s="564"/>
      <c r="AD2" s="564"/>
    </row>
    <row r="3" spans="1:30" ht="21" customHeight="1" thickBot="1">
      <c r="A3" s="549"/>
      <c r="B3" s="550" t="s">
        <v>1152</v>
      </c>
      <c r="C3" s="551" t="s">
        <v>1153</v>
      </c>
      <c r="D3" s="551" t="s">
        <v>1154</v>
      </c>
      <c r="E3" s="551" t="s">
        <v>1155</v>
      </c>
      <c r="F3" s="551" t="s">
        <v>2</v>
      </c>
      <c r="G3" s="551" t="s">
        <v>3</v>
      </c>
      <c r="H3" s="551" t="s">
        <v>1156</v>
      </c>
      <c r="I3" s="551" t="s">
        <v>1157</v>
      </c>
      <c r="J3" s="551" t="s">
        <v>1158</v>
      </c>
      <c r="K3" s="551" t="s">
        <v>1159</v>
      </c>
      <c r="L3" s="714" t="s">
        <v>8</v>
      </c>
      <c r="M3" s="551" t="s">
        <v>1160</v>
      </c>
      <c r="N3" s="551" t="s">
        <v>10</v>
      </c>
      <c r="O3" s="551" t="s">
        <v>11</v>
      </c>
      <c r="P3" s="551" t="s">
        <v>12</v>
      </c>
      <c r="Q3" s="551" t="s">
        <v>13</v>
      </c>
      <c r="R3" s="238">
        <f>AVERAGE(R4:R34)</f>
        <v>0.91304347826086951</v>
      </c>
      <c r="S3" s="715"/>
      <c r="T3" s="564"/>
      <c r="U3" s="564"/>
      <c r="V3" s="564"/>
      <c r="W3" s="564"/>
      <c r="X3" s="564"/>
      <c r="Y3" s="564"/>
      <c r="Z3" s="574"/>
      <c r="AA3" s="564"/>
      <c r="AB3" s="564"/>
      <c r="AC3" s="564"/>
      <c r="AD3" s="564"/>
    </row>
    <row r="4" spans="1:30" s="564" customFormat="1" ht="27.95" customHeight="1" thickBot="1">
      <c r="A4" s="716">
        <v>1</v>
      </c>
      <c r="B4" s="555" t="s">
        <v>1161</v>
      </c>
      <c r="C4" s="1244"/>
      <c r="D4" s="1245"/>
      <c r="E4" s="1167" t="s">
        <v>1162</v>
      </c>
      <c r="F4" s="1168"/>
      <c r="G4" s="117" t="s">
        <v>184</v>
      </c>
      <c r="H4" s="558" t="s">
        <v>1163</v>
      </c>
      <c r="I4" s="558" t="s">
        <v>1164</v>
      </c>
      <c r="J4" s="559" t="s">
        <v>1165</v>
      </c>
      <c r="K4" s="558" t="s">
        <v>1166</v>
      </c>
      <c r="L4" s="560"/>
      <c r="M4" s="558" t="s">
        <v>1167</v>
      </c>
      <c r="N4" s="556" t="s">
        <v>1168</v>
      </c>
      <c r="O4" s="717" t="s">
        <v>1169</v>
      </c>
      <c r="P4" s="562" t="s">
        <v>1170</v>
      </c>
      <c r="Q4" s="213" t="s">
        <v>1171</v>
      </c>
      <c r="R4" s="116">
        <f>(COUNTA(G4:Q4))/10</f>
        <v>1</v>
      </c>
      <c r="S4" s="715"/>
      <c r="T4" s="1250" t="s">
        <v>1172</v>
      </c>
      <c r="U4" s="1251"/>
      <c r="V4" s="1251"/>
      <c r="W4" s="1251"/>
      <c r="X4" s="1251"/>
      <c r="Y4" s="1252"/>
    </row>
    <row r="5" spans="1:30" s="564" customFormat="1" ht="27.95" customHeight="1">
      <c r="A5" s="716">
        <v>2</v>
      </c>
      <c r="B5" s="607" t="s">
        <v>1173</v>
      </c>
      <c r="C5" s="1246"/>
      <c r="D5" s="1247"/>
      <c r="E5" s="556" t="s">
        <v>1174</v>
      </c>
      <c r="F5" s="556" t="s">
        <v>1175</v>
      </c>
      <c r="G5" s="556" t="s">
        <v>1176</v>
      </c>
      <c r="H5" s="569" t="s">
        <v>1177</v>
      </c>
      <c r="I5" s="556" t="s">
        <v>1178</v>
      </c>
      <c r="J5" s="568" t="s">
        <v>1179</v>
      </c>
      <c r="K5" s="113" t="s">
        <v>1180</v>
      </c>
      <c r="L5" s="556"/>
      <c r="M5" s="568" t="s">
        <v>1181</v>
      </c>
      <c r="N5" s="571" t="s">
        <v>1182</v>
      </c>
      <c r="O5" s="595" t="s">
        <v>1183</v>
      </c>
      <c r="P5" s="556" t="s">
        <v>1184</v>
      </c>
      <c r="Q5" s="568" t="s">
        <v>1185</v>
      </c>
      <c r="R5" s="116">
        <f>(COUNTA(C5:Q5))/12</f>
        <v>1</v>
      </c>
      <c r="S5" s="715"/>
      <c r="T5" s="1211"/>
      <c r="U5" s="1212"/>
      <c r="V5" s="1212"/>
      <c r="W5" s="1212"/>
      <c r="X5" s="1212"/>
      <c r="Y5" s="1213"/>
    </row>
    <row r="6" spans="1:30" s="564" customFormat="1" ht="27.95" customHeight="1">
      <c r="A6" s="716">
        <v>3</v>
      </c>
      <c r="B6" s="607" t="s">
        <v>1186</v>
      </c>
      <c r="C6" s="1246"/>
      <c r="D6" s="1247"/>
      <c r="E6" s="556" t="s">
        <v>184</v>
      </c>
      <c r="F6" s="718"/>
      <c r="G6" s="718"/>
      <c r="H6" s="556" t="s">
        <v>185</v>
      </c>
      <c r="I6" s="556" t="s">
        <v>186</v>
      </c>
      <c r="J6" s="718"/>
      <c r="K6" s="600" t="s">
        <v>1187</v>
      </c>
      <c r="L6" s="556"/>
      <c r="M6" s="718"/>
      <c r="N6" s="718"/>
      <c r="O6" s="1055" t="s">
        <v>187</v>
      </c>
      <c r="P6" s="600" t="s">
        <v>1188</v>
      </c>
      <c r="Q6" s="140" t="s">
        <v>188</v>
      </c>
      <c r="R6" s="116"/>
      <c r="S6" s="715"/>
      <c r="T6" s="1214"/>
      <c r="U6" s="1215"/>
      <c r="V6" s="1215"/>
      <c r="W6" s="1215"/>
      <c r="X6" s="1215"/>
      <c r="Y6" s="1216"/>
    </row>
    <row r="7" spans="1:30" s="564" customFormat="1" ht="27.95" customHeight="1">
      <c r="A7" s="716">
        <v>4</v>
      </c>
      <c r="B7" s="599" t="s">
        <v>1189</v>
      </c>
      <c r="C7" s="1246"/>
      <c r="D7" s="1247"/>
      <c r="E7" s="113" t="s">
        <v>1175</v>
      </c>
      <c r="F7" s="562" t="s">
        <v>1190</v>
      </c>
      <c r="G7" s="556" t="s">
        <v>1191</v>
      </c>
      <c r="H7" s="568" t="s">
        <v>1192</v>
      </c>
      <c r="I7" s="113" t="s">
        <v>1193</v>
      </c>
      <c r="J7" s="569" t="s">
        <v>1194</v>
      </c>
      <c r="K7" s="568" t="s">
        <v>1794</v>
      </c>
      <c r="L7" s="556"/>
      <c r="M7" s="556" t="s">
        <v>1195</v>
      </c>
      <c r="N7" s="562" t="s">
        <v>1196</v>
      </c>
      <c r="O7" s="560" t="s">
        <v>1197</v>
      </c>
      <c r="P7" s="720" t="s">
        <v>1198</v>
      </c>
      <c r="Q7" s="556" t="s">
        <v>1199</v>
      </c>
      <c r="R7" s="116">
        <f t="shared" ref="R7:R24" si="0">(COUNTA(C7:Q7))/12</f>
        <v>1</v>
      </c>
      <c r="S7" s="715"/>
      <c r="T7" s="1214"/>
      <c r="U7" s="1215"/>
      <c r="V7" s="1215"/>
      <c r="W7" s="1215"/>
      <c r="X7" s="1215"/>
      <c r="Y7" s="1216"/>
    </row>
    <row r="8" spans="1:30" s="564" customFormat="1" ht="27.95" customHeight="1">
      <c r="A8" s="716">
        <v>5</v>
      </c>
      <c r="B8" s="567" t="s">
        <v>1200</v>
      </c>
      <c r="C8" s="1246"/>
      <c r="D8" s="1247"/>
      <c r="E8" s="556" t="s">
        <v>1184</v>
      </c>
      <c r="F8" s="556" t="s">
        <v>1201</v>
      </c>
      <c r="G8" s="559" t="s">
        <v>1202</v>
      </c>
      <c r="H8" s="556" t="s">
        <v>1203</v>
      </c>
      <c r="I8" s="569" t="s">
        <v>1204</v>
      </c>
      <c r="J8" s="562" t="s">
        <v>189</v>
      </c>
      <c r="K8" s="574" t="s">
        <v>1205</v>
      </c>
      <c r="L8" s="556"/>
      <c r="M8" s="560" t="s">
        <v>1206</v>
      </c>
      <c r="N8" s="1054" t="s">
        <v>1770</v>
      </c>
      <c r="O8" s="113" t="s">
        <v>1207</v>
      </c>
      <c r="P8" s="560" t="s">
        <v>1208</v>
      </c>
      <c r="Q8" s="556" t="s">
        <v>1209</v>
      </c>
      <c r="R8" s="116">
        <f t="shared" si="0"/>
        <v>1</v>
      </c>
      <c r="S8" s="715"/>
      <c r="T8" s="1214"/>
      <c r="U8" s="1215"/>
      <c r="V8" s="1215"/>
      <c r="W8" s="1215"/>
      <c r="X8" s="1215"/>
      <c r="Y8" s="1216"/>
    </row>
    <row r="9" spans="1:30" s="564" customFormat="1" ht="27.95" customHeight="1">
      <c r="A9" s="716">
        <v>6</v>
      </c>
      <c r="B9" s="599" t="s">
        <v>1210</v>
      </c>
      <c r="C9" s="1246"/>
      <c r="D9" s="1247"/>
      <c r="E9" s="113" t="s">
        <v>1211</v>
      </c>
      <c r="F9" s="562" t="s">
        <v>1212</v>
      </c>
      <c r="G9" s="556" t="s">
        <v>1213</v>
      </c>
      <c r="H9" s="568" t="s">
        <v>1764</v>
      </c>
      <c r="I9" s="113" t="s">
        <v>1214</v>
      </c>
      <c r="J9" s="562" t="s">
        <v>1215</v>
      </c>
      <c r="K9" s="556" t="s">
        <v>1216</v>
      </c>
      <c r="L9" s="556"/>
      <c r="M9" s="569" t="s">
        <v>1217</v>
      </c>
      <c r="N9" s="562" t="s">
        <v>1218</v>
      </c>
      <c r="O9" s="562" t="s">
        <v>190</v>
      </c>
      <c r="P9" s="562" t="s">
        <v>191</v>
      </c>
      <c r="Q9" s="1050" t="s">
        <v>1769</v>
      </c>
      <c r="R9" s="116">
        <f t="shared" si="0"/>
        <v>1</v>
      </c>
      <c r="S9" s="715"/>
      <c r="T9" s="1214"/>
      <c r="U9" s="1215"/>
      <c r="V9" s="1215"/>
      <c r="W9" s="1215"/>
      <c r="X9" s="1215"/>
      <c r="Y9" s="1216"/>
    </row>
    <row r="10" spans="1:30" s="564" customFormat="1" ht="109.5" customHeight="1">
      <c r="A10" s="716">
        <v>7</v>
      </c>
      <c r="B10" s="1253" t="s">
        <v>1219</v>
      </c>
      <c r="C10" s="1246"/>
      <c r="D10" s="1247"/>
      <c r="E10" s="642" t="s">
        <v>1220</v>
      </c>
      <c r="F10" s="597" t="s">
        <v>1221</v>
      </c>
      <c r="G10" s="642" t="s">
        <v>1222</v>
      </c>
      <c r="H10" s="642" t="s">
        <v>1223</v>
      </c>
      <c r="I10" s="558" t="s">
        <v>1224</v>
      </c>
      <c r="J10" s="560" t="s">
        <v>1225</v>
      </c>
      <c r="K10" s="558" t="s">
        <v>1226</v>
      </c>
      <c r="L10" s="559"/>
      <c r="M10" s="560" t="s">
        <v>1227</v>
      </c>
      <c r="N10" s="640" t="s">
        <v>1228</v>
      </c>
      <c r="O10" s="597" t="s">
        <v>1229</v>
      </c>
      <c r="P10" s="640" t="s">
        <v>1230</v>
      </c>
      <c r="Q10" s="558" t="s">
        <v>1231</v>
      </c>
      <c r="R10" s="116">
        <f t="shared" si="0"/>
        <v>1</v>
      </c>
      <c r="S10" s="715"/>
      <c r="T10" s="1214"/>
      <c r="U10" s="1215"/>
      <c r="V10" s="1215"/>
      <c r="W10" s="1215"/>
      <c r="X10" s="1215"/>
      <c r="Y10" s="1216"/>
    </row>
    <row r="11" spans="1:30" s="564" customFormat="1" ht="109.5" customHeight="1" thickBot="1">
      <c r="A11" s="716">
        <v>7</v>
      </c>
      <c r="B11" s="1254"/>
      <c r="C11" s="1248"/>
      <c r="D11" s="1249"/>
      <c r="E11" s="721" t="s">
        <v>1232</v>
      </c>
      <c r="F11" s="577" t="s">
        <v>1233</v>
      </c>
      <c r="G11" s="722" t="s">
        <v>1234</v>
      </c>
      <c r="H11" s="577" t="s">
        <v>1725</v>
      </c>
      <c r="I11" s="575" t="s">
        <v>1235</v>
      </c>
      <c r="J11" s="577" t="s">
        <v>1236</v>
      </c>
      <c r="K11" s="577" t="s">
        <v>1237</v>
      </c>
      <c r="L11" s="577"/>
      <c r="M11" s="577" t="s">
        <v>1238</v>
      </c>
      <c r="N11" s="721" t="s">
        <v>1239</v>
      </c>
      <c r="O11" s="723" t="s">
        <v>1240</v>
      </c>
      <c r="P11" s="724" t="s">
        <v>1241</v>
      </c>
      <c r="Q11" s="556" t="s">
        <v>1242</v>
      </c>
      <c r="R11" s="116">
        <f t="shared" si="0"/>
        <v>1</v>
      </c>
      <c r="S11" s="715"/>
      <c r="T11" s="1214"/>
      <c r="U11" s="1215"/>
      <c r="V11" s="1215"/>
      <c r="W11" s="1215"/>
      <c r="X11" s="1215"/>
      <c r="Y11" s="1216"/>
    </row>
    <row r="12" spans="1:30" s="564" customFormat="1" ht="27.95" customHeight="1" thickBot="1">
      <c r="A12" s="716">
        <v>8</v>
      </c>
      <c r="B12" s="567" t="s">
        <v>1243</v>
      </c>
      <c r="C12" s="725" t="s">
        <v>1191</v>
      </c>
      <c r="D12" s="725" t="s">
        <v>1191</v>
      </c>
      <c r="E12" s="641" t="s">
        <v>1244</v>
      </c>
      <c r="F12" s="574" t="s">
        <v>1245</v>
      </c>
      <c r="G12" s="558" t="s">
        <v>1246</v>
      </c>
      <c r="H12" s="560" t="s">
        <v>1247</v>
      </c>
      <c r="I12" s="558" t="s">
        <v>1203</v>
      </c>
      <c r="J12" s="558" t="s">
        <v>1214</v>
      </c>
      <c r="K12" s="558" t="s">
        <v>1215</v>
      </c>
      <c r="L12" s="559"/>
      <c r="M12" s="558" t="s">
        <v>1248</v>
      </c>
      <c r="N12" s="689" t="s">
        <v>1205</v>
      </c>
      <c r="O12" s="560" t="s">
        <v>194</v>
      </c>
      <c r="P12" s="1220"/>
      <c r="Q12" s="1221"/>
      <c r="R12" s="116">
        <f t="shared" si="0"/>
        <v>1</v>
      </c>
      <c r="S12" s="715"/>
      <c r="T12" s="1184" t="s">
        <v>1249</v>
      </c>
      <c r="U12" s="1185"/>
      <c r="V12" s="1185"/>
      <c r="W12" s="1185"/>
      <c r="X12" s="1185"/>
      <c r="Y12" s="1186"/>
    </row>
    <row r="13" spans="1:30" s="564" customFormat="1" ht="27.95" customHeight="1">
      <c r="A13" s="716">
        <v>9</v>
      </c>
      <c r="B13" s="726" t="s">
        <v>1250</v>
      </c>
      <c r="C13" s="727" t="s">
        <v>1251</v>
      </c>
      <c r="D13" s="727" t="s">
        <v>1251</v>
      </c>
      <c r="E13" s="559" t="s">
        <v>1202</v>
      </c>
      <c r="F13" s="600" t="s">
        <v>182</v>
      </c>
      <c r="G13" s="556" t="s">
        <v>1252</v>
      </c>
      <c r="H13" s="562" t="s">
        <v>1253</v>
      </c>
      <c r="I13" s="562" t="s">
        <v>1254</v>
      </c>
      <c r="J13" s="558" t="s">
        <v>1255</v>
      </c>
      <c r="K13" s="568" t="s">
        <v>1256</v>
      </c>
      <c r="L13" s="562"/>
      <c r="M13" s="568" t="s">
        <v>1257</v>
      </c>
      <c r="N13" s="556" t="s">
        <v>1163</v>
      </c>
      <c r="O13" s="558" t="s">
        <v>1258</v>
      </c>
      <c r="P13" s="1222"/>
      <c r="Q13" s="1223"/>
      <c r="R13" s="116">
        <f t="shared" si="0"/>
        <v>1</v>
      </c>
      <c r="S13" s="715"/>
      <c r="T13" s="1211" t="s">
        <v>1797</v>
      </c>
      <c r="U13" s="1212"/>
      <c r="V13" s="1212"/>
      <c r="W13" s="1212"/>
      <c r="X13" s="1212"/>
      <c r="Y13" s="1213"/>
      <c r="Z13" s="728"/>
    </row>
    <row r="14" spans="1:30" s="564" customFormat="1" ht="27.95" customHeight="1">
      <c r="A14" s="716">
        <v>10</v>
      </c>
      <c r="B14" s="555" t="s">
        <v>1259</v>
      </c>
      <c r="C14" s="727" t="s">
        <v>1260</v>
      </c>
      <c r="D14" s="727" t="s">
        <v>1260</v>
      </c>
      <c r="E14" s="113" t="s">
        <v>1261</v>
      </c>
      <c r="F14" s="556" t="s">
        <v>1262</v>
      </c>
      <c r="G14" s="556" t="s">
        <v>1211</v>
      </c>
      <c r="H14" s="556" t="s">
        <v>1245</v>
      </c>
      <c r="I14" s="717" t="s">
        <v>193</v>
      </c>
      <c r="J14" s="214" t="s">
        <v>1263</v>
      </c>
      <c r="K14" s="1053" t="s">
        <v>1768</v>
      </c>
      <c r="L14" s="562"/>
      <c r="M14" s="562" t="s">
        <v>1264</v>
      </c>
      <c r="N14" s="558" t="s">
        <v>1265</v>
      </c>
      <c r="O14" s="556" t="s">
        <v>1266</v>
      </c>
      <c r="P14" s="1222"/>
      <c r="Q14" s="1223"/>
      <c r="R14" s="116">
        <f t="shared" si="0"/>
        <v>1</v>
      </c>
      <c r="S14" s="715"/>
      <c r="T14" s="1214"/>
      <c r="U14" s="1215"/>
      <c r="V14" s="1215"/>
      <c r="W14" s="1215"/>
      <c r="X14" s="1215"/>
      <c r="Y14" s="1216"/>
    </row>
    <row r="15" spans="1:30" s="564" customFormat="1" ht="27.95" customHeight="1" thickBot="1">
      <c r="A15" s="716">
        <v>11</v>
      </c>
      <c r="B15" s="729" t="s">
        <v>1267</v>
      </c>
      <c r="C15" s="730" t="s">
        <v>1199</v>
      </c>
      <c r="D15" s="730" t="s">
        <v>1199</v>
      </c>
      <c r="E15" s="577" t="s">
        <v>1268</v>
      </c>
      <c r="F15" s="604" t="s">
        <v>1269</v>
      </c>
      <c r="G15" s="577" t="s">
        <v>1270</v>
      </c>
      <c r="H15" s="577" t="s">
        <v>1271</v>
      </c>
      <c r="I15" s="577" t="s">
        <v>1208</v>
      </c>
      <c r="J15" s="577" t="s">
        <v>196</v>
      </c>
      <c r="K15" s="123" t="s">
        <v>1272</v>
      </c>
      <c r="L15" s="577"/>
      <c r="M15" s="577" t="s">
        <v>1273</v>
      </c>
      <c r="N15" s="731" t="s">
        <v>191</v>
      </c>
      <c r="O15" s="732" t="s">
        <v>1274</v>
      </c>
      <c r="P15" s="1224"/>
      <c r="Q15" s="1225"/>
      <c r="R15" s="116">
        <f t="shared" si="0"/>
        <v>1</v>
      </c>
      <c r="S15" s="715"/>
      <c r="T15" s="1214"/>
      <c r="U15" s="1215"/>
      <c r="V15" s="1215"/>
      <c r="W15" s="1215"/>
      <c r="X15" s="1215"/>
      <c r="Y15" s="1216"/>
    </row>
    <row r="16" spans="1:30" s="738" customFormat="1" ht="27.95" customHeight="1" thickBot="1">
      <c r="A16" s="716">
        <v>12</v>
      </c>
      <c r="B16" s="733" t="s">
        <v>1275</v>
      </c>
      <c r="C16" s="1232"/>
      <c r="D16" s="1233"/>
      <c r="E16" s="732" t="s">
        <v>1276</v>
      </c>
      <c r="F16" s="734" t="s">
        <v>1205</v>
      </c>
      <c r="G16" s="735" t="s">
        <v>1206</v>
      </c>
      <c r="H16" s="734" t="s">
        <v>197</v>
      </c>
      <c r="I16" s="732" t="s">
        <v>1265</v>
      </c>
      <c r="J16" s="736" t="s">
        <v>1277</v>
      </c>
      <c r="K16" s="606" t="s">
        <v>1278</v>
      </c>
      <c r="L16" s="732"/>
      <c r="M16" s="606" t="s">
        <v>1164</v>
      </c>
      <c r="N16" s="737" t="s">
        <v>1253</v>
      </c>
      <c r="O16" s="606" t="s">
        <v>1279</v>
      </c>
      <c r="P16" s="732" t="s">
        <v>1272</v>
      </c>
      <c r="Q16" s="732" t="s">
        <v>1207</v>
      </c>
      <c r="R16" s="116">
        <f t="shared" si="0"/>
        <v>1</v>
      </c>
      <c r="S16" s="715"/>
      <c r="T16" s="1214"/>
      <c r="U16" s="1215"/>
      <c r="V16" s="1215"/>
      <c r="W16" s="1215"/>
      <c r="X16" s="1215"/>
      <c r="Y16" s="1216"/>
    </row>
    <row r="17" spans="1:25" s="738" customFormat="1" ht="27.95" customHeight="1" thickBot="1">
      <c r="A17" s="716">
        <v>13</v>
      </c>
      <c r="B17" s="607" t="s">
        <v>1280</v>
      </c>
      <c r="C17" s="1234"/>
      <c r="D17" s="1235"/>
      <c r="E17" s="558" t="s">
        <v>1281</v>
      </c>
      <c r="F17" s="560" t="s">
        <v>1282</v>
      </c>
      <c r="G17" s="560" t="s">
        <v>1283</v>
      </c>
      <c r="H17" s="739" t="s">
        <v>1284</v>
      </c>
      <c r="I17" s="558" t="s">
        <v>1285</v>
      </c>
      <c r="J17" s="560" t="s">
        <v>1286</v>
      </c>
      <c r="K17" s="1050" t="s">
        <v>1765</v>
      </c>
      <c r="L17" s="560"/>
      <c r="M17" s="558" t="s">
        <v>1287</v>
      </c>
      <c r="N17" s="1050" t="s">
        <v>1795</v>
      </c>
      <c r="O17" s="560" t="s">
        <v>1288</v>
      </c>
      <c r="P17" s="562" t="s">
        <v>1289</v>
      </c>
      <c r="Q17" s="581" t="s">
        <v>1290</v>
      </c>
      <c r="R17" s="116">
        <f t="shared" si="0"/>
        <v>1</v>
      </c>
      <c r="S17" s="715"/>
      <c r="T17" s="1214"/>
      <c r="U17" s="1215"/>
      <c r="V17" s="1215"/>
      <c r="W17" s="1215"/>
      <c r="X17" s="1215"/>
      <c r="Y17" s="1216"/>
    </row>
    <row r="18" spans="1:25" s="738" customFormat="1" ht="27.95" customHeight="1" thickBot="1">
      <c r="A18" s="716">
        <v>14</v>
      </c>
      <c r="B18" s="573" t="s">
        <v>1291</v>
      </c>
      <c r="C18" s="1236"/>
      <c r="D18" s="1237"/>
      <c r="E18" s="558" t="s">
        <v>1292</v>
      </c>
      <c r="F18" s="560" t="s">
        <v>1293</v>
      </c>
      <c r="G18" s="558" t="s">
        <v>1294</v>
      </c>
      <c r="H18" s="558" t="s">
        <v>1295</v>
      </c>
      <c r="I18" s="560" t="s">
        <v>1296</v>
      </c>
      <c r="J18" s="698" t="s">
        <v>199</v>
      </c>
      <c r="K18" s="560" t="s">
        <v>1297</v>
      </c>
      <c r="L18" s="559"/>
      <c r="M18" s="142" t="s">
        <v>1298</v>
      </c>
      <c r="N18" s="559" t="s">
        <v>1299</v>
      </c>
      <c r="O18" s="556" t="s">
        <v>1300</v>
      </c>
      <c r="P18" s="740" t="s">
        <v>1301</v>
      </c>
      <c r="Q18" s="717" t="s">
        <v>1809</v>
      </c>
      <c r="R18" s="116">
        <f t="shared" si="0"/>
        <v>1</v>
      </c>
      <c r="S18" s="715"/>
      <c r="T18" s="1184" t="s">
        <v>1302</v>
      </c>
      <c r="U18" s="1185"/>
      <c r="V18" s="1185"/>
      <c r="W18" s="1185"/>
      <c r="X18" s="1185"/>
      <c r="Y18" s="1186"/>
    </row>
    <row r="19" spans="1:25" s="738" customFormat="1" ht="27.95" customHeight="1">
      <c r="A19" s="716">
        <v>15</v>
      </c>
      <c r="B19" s="726" t="s">
        <v>1303</v>
      </c>
      <c r="C19" s="1236"/>
      <c r="D19" s="1237"/>
      <c r="E19" s="113" t="s">
        <v>1304</v>
      </c>
      <c r="F19" s="740" t="s">
        <v>192</v>
      </c>
      <c r="G19" s="558" t="s">
        <v>1305</v>
      </c>
      <c r="H19" s="556" t="s">
        <v>200</v>
      </c>
      <c r="I19" s="143" t="s">
        <v>1306</v>
      </c>
      <c r="J19" s="558" t="s">
        <v>1307</v>
      </c>
      <c r="K19" s="562" t="s">
        <v>1308</v>
      </c>
      <c r="L19" s="562"/>
      <c r="M19" s="558" t="s">
        <v>1309</v>
      </c>
      <c r="N19" s="558" t="s">
        <v>1310</v>
      </c>
      <c r="O19" s="556" t="s">
        <v>1311</v>
      </c>
      <c r="P19" s="741" t="s">
        <v>1312</v>
      </c>
      <c r="Q19" s="558" t="s">
        <v>1313</v>
      </c>
      <c r="R19" s="116">
        <f t="shared" si="0"/>
        <v>1</v>
      </c>
      <c r="S19" s="715"/>
      <c r="T19" s="1211" t="s">
        <v>1796</v>
      </c>
      <c r="U19" s="1212"/>
      <c r="V19" s="1212"/>
      <c r="W19" s="1212"/>
      <c r="X19" s="1212"/>
      <c r="Y19" s="1213"/>
    </row>
    <row r="20" spans="1:25" s="564" customFormat="1" ht="27.95" customHeight="1">
      <c r="A20" s="716">
        <v>16</v>
      </c>
      <c r="B20" s="573" t="s">
        <v>1314</v>
      </c>
      <c r="C20" s="1236"/>
      <c r="D20" s="1237"/>
      <c r="E20" s="562" t="s">
        <v>1315</v>
      </c>
      <c r="F20" s="556" t="s">
        <v>1316</v>
      </c>
      <c r="G20" s="568" t="s">
        <v>1317</v>
      </c>
      <c r="H20" s="562" t="s">
        <v>1318</v>
      </c>
      <c r="I20" s="562" t="s">
        <v>1309</v>
      </c>
      <c r="J20" s="742" t="s">
        <v>1319</v>
      </c>
      <c r="K20" s="559" t="s">
        <v>1320</v>
      </c>
      <c r="L20" s="562"/>
      <c r="M20" s="113" t="s">
        <v>1321</v>
      </c>
      <c r="N20" s="561" t="s">
        <v>1322</v>
      </c>
      <c r="O20" s="560" t="s">
        <v>1323</v>
      </c>
      <c r="P20" s="562" t="s">
        <v>1324</v>
      </c>
      <c r="Q20" s="562" t="s">
        <v>1325</v>
      </c>
      <c r="R20" s="116">
        <f t="shared" si="0"/>
        <v>1</v>
      </c>
      <c r="S20" s="715"/>
      <c r="T20" s="1214"/>
      <c r="U20" s="1215"/>
      <c r="V20" s="1215"/>
      <c r="W20" s="1215"/>
      <c r="X20" s="1215"/>
      <c r="Y20" s="1216"/>
    </row>
    <row r="21" spans="1:25" s="564" customFormat="1" ht="27.95" customHeight="1">
      <c r="A21" s="716">
        <v>17</v>
      </c>
      <c r="B21" s="570" t="s">
        <v>1326</v>
      </c>
      <c r="C21" s="1236"/>
      <c r="D21" s="1237"/>
      <c r="E21" s="743"/>
      <c r="F21" s="718"/>
      <c r="G21" s="718"/>
      <c r="H21" s="743"/>
      <c r="I21" s="743"/>
      <c r="J21" s="744"/>
      <c r="K21" s="745"/>
      <c r="L21" s="743"/>
      <c r="M21" s="138"/>
      <c r="N21" s="719"/>
      <c r="O21" s="746"/>
      <c r="P21" s="746"/>
      <c r="Q21" s="747"/>
      <c r="R21" s="116"/>
      <c r="S21" s="715"/>
      <c r="T21" s="1214"/>
      <c r="U21" s="1215"/>
      <c r="V21" s="1215"/>
      <c r="W21" s="1215"/>
      <c r="X21" s="1215"/>
      <c r="Y21" s="1216"/>
    </row>
    <row r="22" spans="1:25" s="564" customFormat="1" ht="27.95" customHeight="1">
      <c r="A22" s="716">
        <v>18</v>
      </c>
      <c r="B22" s="570" t="s">
        <v>1327</v>
      </c>
      <c r="C22" s="1236"/>
      <c r="D22" s="1237"/>
      <c r="E22" s="556" t="s">
        <v>205</v>
      </c>
      <c r="F22" s="556" t="s">
        <v>1328</v>
      </c>
      <c r="G22" s="556" t="s">
        <v>1329</v>
      </c>
      <c r="H22" s="562" t="s">
        <v>1330</v>
      </c>
      <c r="I22" s="556" t="s">
        <v>1331</v>
      </c>
      <c r="J22" s="556" t="s">
        <v>1332</v>
      </c>
      <c r="K22" s="556" t="s">
        <v>1333</v>
      </c>
      <c r="L22" s="748"/>
      <c r="M22" s="562" t="s">
        <v>1334</v>
      </c>
      <c r="N22" s="113" t="s">
        <v>1335</v>
      </c>
      <c r="O22" s="558" t="s">
        <v>1336</v>
      </c>
      <c r="P22" s="742" t="s">
        <v>1337</v>
      </c>
      <c r="Q22" s="576" t="s">
        <v>1329</v>
      </c>
      <c r="R22" s="116">
        <f t="shared" si="0"/>
        <v>1</v>
      </c>
      <c r="S22" s="715"/>
      <c r="T22" s="1214"/>
      <c r="U22" s="1215"/>
      <c r="V22" s="1215"/>
      <c r="W22" s="1215"/>
      <c r="X22" s="1215"/>
      <c r="Y22" s="1216"/>
    </row>
    <row r="23" spans="1:25" s="564" customFormat="1" ht="27.95" customHeight="1" thickBot="1">
      <c r="A23" s="716">
        <v>19</v>
      </c>
      <c r="B23" s="602" t="s">
        <v>201</v>
      </c>
      <c r="C23" s="1238"/>
      <c r="D23" s="1239"/>
      <c r="E23" s="731" t="s">
        <v>183</v>
      </c>
      <c r="F23" s="575" t="s">
        <v>202</v>
      </c>
      <c r="G23" s="123" t="s">
        <v>1338</v>
      </c>
      <c r="H23" s="577" t="s">
        <v>1339</v>
      </c>
      <c r="I23" s="577" t="s">
        <v>1340</v>
      </c>
      <c r="J23" s="575" t="s">
        <v>203</v>
      </c>
      <c r="K23" s="577" t="s">
        <v>1341</v>
      </c>
      <c r="L23" s="603"/>
      <c r="M23" s="575" t="s">
        <v>1342</v>
      </c>
      <c r="N23" s="605" t="s">
        <v>203</v>
      </c>
      <c r="O23" s="577" t="s">
        <v>1343</v>
      </c>
      <c r="P23" s="575" t="s">
        <v>1344</v>
      </c>
      <c r="Q23" s="577" t="s">
        <v>1345</v>
      </c>
      <c r="R23" s="116">
        <f t="shared" si="0"/>
        <v>1</v>
      </c>
      <c r="S23" s="715"/>
      <c r="T23" s="1214"/>
      <c r="U23" s="1215"/>
      <c r="V23" s="1215"/>
      <c r="W23" s="1215"/>
      <c r="X23" s="1215"/>
      <c r="Y23" s="1216"/>
    </row>
    <row r="24" spans="1:25" s="564" customFormat="1" ht="27.95" customHeight="1" thickBot="1">
      <c r="A24" s="716">
        <v>20</v>
      </c>
      <c r="B24" s="749" t="s">
        <v>1346</v>
      </c>
      <c r="C24" s="1240"/>
      <c r="D24" s="1241"/>
      <c r="E24" s="606" t="s">
        <v>1347</v>
      </c>
      <c r="F24" s="606" t="s">
        <v>1343</v>
      </c>
      <c r="G24" s="750" t="s">
        <v>204</v>
      </c>
      <c r="H24" s="606" t="s">
        <v>1348</v>
      </c>
      <c r="I24" s="736" t="s">
        <v>192</v>
      </c>
      <c r="J24" s="606" t="s">
        <v>195</v>
      </c>
      <c r="K24" s="734" t="s">
        <v>1322</v>
      </c>
      <c r="L24" s="734"/>
      <c r="M24" s="734" t="s">
        <v>1329</v>
      </c>
      <c r="N24" s="732" t="s">
        <v>1349</v>
      </c>
      <c r="O24" s="735" t="s">
        <v>1350</v>
      </c>
      <c r="P24" s="732" t="s">
        <v>1330</v>
      </c>
      <c r="Q24" s="736" t="s">
        <v>1351</v>
      </c>
      <c r="R24" s="116">
        <f t="shared" si="0"/>
        <v>1</v>
      </c>
      <c r="S24" s="715"/>
      <c r="T24" s="1217"/>
      <c r="U24" s="1218"/>
      <c r="V24" s="1218"/>
      <c r="W24" s="1218"/>
      <c r="X24" s="1218"/>
      <c r="Y24" s="1219"/>
    </row>
    <row r="25" spans="1:25" s="564" customFormat="1" ht="27.95" customHeight="1" thickBot="1">
      <c r="A25" s="716">
        <v>21</v>
      </c>
      <c r="B25" s="751" t="s">
        <v>1352</v>
      </c>
      <c r="C25" s="752"/>
      <c r="D25" s="752"/>
      <c r="E25" s="753"/>
      <c r="F25" s="588"/>
      <c r="G25" s="587"/>
      <c r="H25" s="176"/>
      <c r="I25" s="588"/>
      <c r="J25" s="588"/>
      <c r="K25" s="588"/>
      <c r="L25" s="754"/>
      <c r="M25" s="755"/>
      <c r="N25" s="588"/>
      <c r="O25" s="176"/>
      <c r="P25" s="1220"/>
      <c r="Q25" s="1221"/>
      <c r="R25" s="116"/>
      <c r="S25" s="715"/>
      <c r="T25" s="1184" t="s">
        <v>1354</v>
      </c>
      <c r="U25" s="1185"/>
      <c r="V25" s="1185"/>
      <c r="W25" s="1185"/>
      <c r="X25" s="1185"/>
      <c r="Y25" s="1186"/>
    </row>
    <row r="26" spans="1:25" s="564" customFormat="1" ht="27.95" customHeight="1">
      <c r="A26" s="716">
        <v>22</v>
      </c>
      <c r="B26" s="756" t="s">
        <v>1355</v>
      </c>
      <c r="C26" s="757" t="s">
        <v>1283</v>
      </c>
      <c r="D26" s="757" t="s">
        <v>198</v>
      </c>
      <c r="E26" s="1051" t="s">
        <v>1767</v>
      </c>
      <c r="F26" s="556" t="s">
        <v>1356</v>
      </c>
      <c r="G26" s="214" t="s">
        <v>1357</v>
      </c>
      <c r="H26" s="558" t="s">
        <v>1358</v>
      </c>
      <c r="I26" s="562" t="s">
        <v>206</v>
      </c>
      <c r="J26" s="558" t="s">
        <v>207</v>
      </c>
      <c r="K26" s="556" t="s">
        <v>1347</v>
      </c>
      <c r="L26" s="571"/>
      <c r="M26" s="562" t="s">
        <v>1359</v>
      </c>
      <c r="N26" s="113" t="s">
        <v>1333</v>
      </c>
      <c r="O26" s="562" t="s">
        <v>1330</v>
      </c>
      <c r="P26" s="1222"/>
      <c r="Q26" s="1223"/>
      <c r="R26" s="116"/>
      <c r="S26" s="715"/>
      <c r="T26" s="1211" t="s">
        <v>1798</v>
      </c>
      <c r="U26" s="1212"/>
      <c r="V26" s="1212"/>
      <c r="W26" s="1212"/>
      <c r="X26" s="1212"/>
      <c r="Y26" s="1213"/>
    </row>
    <row r="27" spans="1:25" s="564" customFormat="1" ht="27.95" customHeight="1">
      <c r="A27" s="716">
        <v>23</v>
      </c>
      <c r="B27" s="758" t="s">
        <v>1360</v>
      </c>
      <c r="C27" s="757" t="s">
        <v>1361</v>
      </c>
      <c r="D27" s="757" t="s">
        <v>1325</v>
      </c>
      <c r="E27" s="724" t="s">
        <v>1349</v>
      </c>
      <c r="F27" s="742" t="s">
        <v>1362</v>
      </c>
      <c r="G27" s="717" t="s">
        <v>1363</v>
      </c>
      <c r="H27" s="717" t="s">
        <v>208</v>
      </c>
      <c r="I27" s="558" t="s">
        <v>1338</v>
      </c>
      <c r="J27" s="568" t="s">
        <v>1364</v>
      </c>
      <c r="K27" s="759" t="s">
        <v>1365</v>
      </c>
      <c r="L27" s="560"/>
      <c r="M27" s="558" t="s">
        <v>1366</v>
      </c>
      <c r="N27" s="560" t="s">
        <v>1339</v>
      </c>
      <c r="O27" s="561" t="s">
        <v>1294</v>
      </c>
      <c r="P27" s="1222"/>
      <c r="Q27" s="1223"/>
      <c r="R27" s="116">
        <f>(COUNTA(C27:Q27))/12</f>
        <v>1</v>
      </c>
      <c r="S27" s="715"/>
      <c r="T27" s="1214"/>
      <c r="U27" s="1215"/>
      <c r="V27" s="1215"/>
      <c r="W27" s="1215"/>
      <c r="X27" s="1215"/>
      <c r="Y27" s="1216"/>
    </row>
    <row r="28" spans="1:25" s="564" customFormat="1" ht="27.95" customHeight="1" thickBot="1">
      <c r="A28" s="716">
        <v>24</v>
      </c>
      <c r="B28" s="760" t="s">
        <v>1367</v>
      </c>
      <c r="C28" s="761" t="s">
        <v>1348</v>
      </c>
      <c r="D28" s="761" t="s">
        <v>1348</v>
      </c>
      <c r="E28" s="1052" t="s">
        <v>1766</v>
      </c>
      <c r="F28" s="575" t="s">
        <v>1324</v>
      </c>
      <c r="G28" s="123" t="s">
        <v>1281</v>
      </c>
      <c r="H28" s="732" t="s">
        <v>1325</v>
      </c>
      <c r="I28" s="762" t="s">
        <v>1368</v>
      </c>
      <c r="J28" s="763" t="s">
        <v>1369</v>
      </c>
      <c r="K28" s="575" t="s">
        <v>1348</v>
      </c>
      <c r="L28" s="763"/>
      <c r="M28" s="575" t="s">
        <v>1370</v>
      </c>
      <c r="N28" s="764" t="s">
        <v>1371</v>
      </c>
      <c r="O28" s="123" t="s">
        <v>1316</v>
      </c>
      <c r="P28" s="1224"/>
      <c r="Q28" s="1225"/>
      <c r="R28" s="116"/>
      <c r="S28" s="715"/>
      <c r="T28" s="1214"/>
      <c r="U28" s="1215"/>
      <c r="V28" s="1215"/>
      <c r="W28" s="1215"/>
      <c r="X28" s="1215"/>
      <c r="Y28" s="1216"/>
    </row>
    <row r="29" spans="1:25" s="564" customFormat="1" ht="27.95" customHeight="1">
      <c r="A29" s="765" t="s">
        <v>1372</v>
      </c>
      <c r="B29" s="766" t="s">
        <v>1373</v>
      </c>
      <c r="C29" s="1226"/>
      <c r="D29" s="1227"/>
      <c r="E29" s="188"/>
      <c r="F29" s="767"/>
      <c r="G29" s="767"/>
      <c r="H29" s="587"/>
      <c r="I29" s="767"/>
      <c r="J29" s="188"/>
      <c r="K29" s="188"/>
      <c r="L29" s="768"/>
      <c r="M29" s="767"/>
      <c r="N29" s="767"/>
      <c r="O29" s="588"/>
      <c r="P29" s="769"/>
      <c r="Q29" s="587"/>
      <c r="R29" s="116">
        <f>(COUNTA(C29:Q29))/6</f>
        <v>0</v>
      </c>
      <c r="S29" s="715"/>
      <c r="T29" s="1214"/>
      <c r="U29" s="1215"/>
      <c r="V29" s="1215"/>
      <c r="W29" s="1215"/>
      <c r="X29" s="1215"/>
      <c r="Y29" s="1216"/>
    </row>
    <row r="30" spans="1:25" s="564" customFormat="1" ht="27.95" customHeight="1" thickBot="1">
      <c r="A30" s="770" t="s">
        <v>1374</v>
      </c>
      <c r="B30" s="771" t="s">
        <v>210</v>
      </c>
      <c r="C30" s="1226"/>
      <c r="D30" s="1227"/>
      <c r="E30" s="558" t="s">
        <v>1300</v>
      </c>
      <c r="F30" s="558" t="s">
        <v>1375</v>
      </c>
      <c r="G30" s="558"/>
      <c r="H30" s="558"/>
      <c r="I30" s="558" t="s">
        <v>1348</v>
      </c>
      <c r="J30" s="558"/>
      <c r="K30" s="574"/>
      <c r="L30" s="772"/>
      <c r="M30" s="558"/>
      <c r="N30" s="558"/>
      <c r="O30" s="717"/>
      <c r="P30" s="568"/>
      <c r="Q30" s="717"/>
      <c r="R30" s="116"/>
      <c r="S30" s="715"/>
      <c r="T30" s="1214"/>
      <c r="U30" s="1215"/>
      <c r="V30" s="1215"/>
      <c r="W30" s="1215"/>
      <c r="X30" s="1215"/>
      <c r="Y30" s="1216"/>
    </row>
    <row r="31" spans="1:25" s="564" customFormat="1" ht="9.9499999999999993" customHeight="1" thickBot="1">
      <c r="A31" s="773"/>
      <c r="B31" s="774"/>
      <c r="C31" s="774"/>
      <c r="D31" s="774"/>
      <c r="E31" s="145"/>
      <c r="F31" s="637"/>
      <c r="G31" s="636"/>
      <c r="H31" s="636"/>
      <c r="I31" s="636"/>
      <c r="J31" s="636"/>
      <c r="K31" s="145"/>
      <c r="L31" s="637"/>
      <c r="M31" s="145"/>
      <c r="N31" s="636"/>
      <c r="O31" s="637"/>
      <c r="P31" s="637"/>
      <c r="Q31" s="638"/>
      <c r="R31" s="662"/>
      <c r="S31" s="715"/>
      <c r="T31" s="1214"/>
      <c r="U31" s="1215"/>
      <c r="V31" s="1215"/>
      <c r="W31" s="1215"/>
      <c r="X31" s="1215"/>
      <c r="Y31" s="1216"/>
    </row>
    <row r="32" spans="1:25" s="564" customFormat="1" ht="109.5" customHeight="1" thickBot="1">
      <c r="A32" s="1228"/>
      <c r="B32" s="1230" t="s">
        <v>1376</v>
      </c>
      <c r="C32" s="1139"/>
      <c r="D32" s="1140"/>
      <c r="E32" s="775"/>
      <c r="F32" s="776"/>
      <c r="G32" s="775"/>
      <c r="H32" s="775"/>
      <c r="I32" s="744"/>
      <c r="J32" s="746"/>
      <c r="K32" s="744"/>
      <c r="L32" s="745"/>
      <c r="M32" s="746"/>
      <c r="N32" s="777"/>
      <c r="O32" s="776"/>
      <c r="P32" s="777"/>
      <c r="Q32" s="744"/>
      <c r="R32" s="116">
        <f>(COUNTA(C32:Q32))/12</f>
        <v>0</v>
      </c>
      <c r="S32" s="715"/>
      <c r="T32" s="1217"/>
      <c r="U32" s="1218"/>
      <c r="V32" s="1218"/>
      <c r="W32" s="1218"/>
      <c r="X32" s="1218"/>
      <c r="Y32" s="1219"/>
    </row>
    <row r="33" spans="1:31" s="564" customFormat="1" ht="129.94999999999999" customHeight="1">
      <c r="A33" s="1229"/>
      <c r="B33" s="1231"/>
      <c r="C33" s="1141"/>
      <c r="D33" s="1142"/>
      <c r="E33" s="778"/>
      <c r="F33" s="718"/>
      <c r="G33" s="779"/>
      <c r="H33" s="718"/>
      <c r="I33" s="743"/>
      <c r="J33" s="718"/>
      <c r="K33" s="718"/>
      <c r="L33" s="718"/>
      <c r="M33" s="718"/>
      <c r="N33" s="778"/>
      <c r="O33" s="780"/>
      <c r="P33" s="781"/>
      <c r="Q33" s="718"/>
      <c r="R33" s="662"/>
      <c r="S33" s="715"/>
      <c r="T33" s="1205" t="s">
        <v>1377</v>
      </c>
      <c r="U33" s="1206"/>
      <c r="V33" s="1206"/>
      <c r="W33" s="1206"/>
      <c r="X33" s="1206"/>
      <c r="Y33" s="1207"/>
    </row>
    <row r="34" spans="1:31" s="564" customFormat="1" ht="69.95" customHeight="1" thickBot="1">
      <c r="A34" s="782"/>
      <c r="B34" s="602" t="s">
        <v>1378</v>
      </c>
      <c r="C34" s="1143"/>
      <c r="D34" s="1144"/>
      <c r="E34" s="783" t="s">
        <v>1162</v>
      </c>
      <c r="F34" s="784" t="s">
        <v>1379</v>
      </c>
      <c r="G34" s="575" t="s">
        <v>1380</v>
      </c>
      <c r="H34" s="575" t="s">
        <v>1381</v>
      </c>
      <c r="I34" s="577" t="s">
        <v>1382</v>
      </c>
      <c r="J34" s="785" t="s">
        <v>1383</v>
      </c>
      <c r="K34" s="575" t="s">
        <v>1384</v>
      </c>
      <c r="L34" s="603"/>
      <c r="M34" s="575" t="s">
        <v>1385</v>
      </c>
      <c r="N34" s="577" t="s">
        <v>1386</v>
      </c>
      <c r="O34" s="606" t="s">
        <v>1387</v>
      </c>
      <c r="P34" s="575"/>
      <c r="Q34" s="786" t="s">
        <v>1388</v>
      </c>
      <c r="R34" s="116">
        <f>(COUNTA(F34:P34))/9</f>
        <v>1</v>
      </c>
      <c r="S34" s="715"/>
      <c r="T34" s="1208"/>
      <c r="U34" s="1209"/>
      <c r="V34" s="1209"/>
      <c r="W34" s="1209"/>
      <c r="X34" s="1209"/>
      <c r="Y34" s="1210"/>
      <c r="AB34" s="545"/>
      <c r="AC34" s="545"/>
      <c r="AD34" s="545"/>
      <c r="AE34" s="545"/>
    </row>
    <row r="35" spans="1:31" ht="9.9499999999999993" customHeight="1">
      <c r="A35" s="787"/>
      <c r="B35" s="787"/>
      <c r="C35" s="788"/>
      <c r="D35" s="788"/>
      <c r="O35" s="712"/>
      <c r="S35" s="715"/>
      <c r="AA35" s="564"/>
    </row>
    <row r="36" spans="1:31" ht="21" customHeight="1">
      <c r="B36" s="546"/>
      <c r="C36" s="546"/>
      <c r="D36" s="657" t="s">
        <v>1389</v>
      </c>
      <c r="E36" s="790" t="s">
        <v>1155</v>
      </c>
      <c r="F36" s="790" t="s">
        <v>2</v>
      </c>
      <c r="G36" s="790" t="s">
        <v>3</v>
      </c>
      <c r="H36" s="790" t="s">
        <v>4</v>
      </c>
      <c r="I36" s="790" t="s">
        <v>5</v>
      </c>
      <c r="J36" s="790" t="s">
        <v>6</v>
      </c>
      <c r="K36" s="790" t="s">
        <v>7</v>
      </c>
      <c r="L36" s="791" t="s">
        <v>16</v>
      </c>
      <c r="M36" s="790" t="s">
        <v>9</v>
      </c>
      <c r="N36" s="790" t="s">
        <v>10</v>
      </c>
      <c r="O36" s="790" t="s">
        <v>11</v>
      </c>
      <c r="P36" s="790" t="s">
        <v>12</v>
      </c>
      <c r="Q36" s="792" t="s">
        <v>13</v>
      </c>
      <c r="R36" s="793"/>
      <c r="T36" s="794"/>
      <c r="U36" s="653"/>
      <c r="V36" s="653"/>
      <c r="W36" s="653"/>
      <c r="X36" s="653"/>
      <c r="AA36" s="564"/>
    </row>
    <row r="37" spans="1:31" ht="45.75" customHeight="1">
      <c r="B37" s="546"/>
      <c r="C37" s="546"/>
      <c r="D37" s="669" t="s">
        <v>1390</v>
      </c>
      <c r="E37" s="748" t="s">
        <v>1391</v>
      </c>
      <c r="F37" s="748" t="s">
        <v>1392</v>
      </c>
      <c r="G37" s="748" t="s">
        <v>1268</v>
      </c>
      <c r="H37" s="562" t="s">
        <v>1393</v>
      </c>
      <c r="I37" s="562" t="s">
        <v>1195</v>
      </c>
      <c r="J37" s="562" t="s">
        <v>1394</v>
      </c>
      <c r="K37" s="562" t="s">
        <v>1244</v>
      </c>
      <c r="L37" s="562"/>
      <c r="M37" s="596" t="s">
        <v>1395</v>
      </c>
      <c r="N37" s="556" t="s">
        <v>1396</v>
      </c>
      <c r="O37" s="795" t="s">
        <v>1216</v>
      </c>
      <c r="P37" s="698" t="s">
        <v>1397</v>
      </c>
      <c r="Q37" s="796" t="s">
        <v>1254</v>
      </c>
      <c r="R37" s="793"/>
      <c r="T37" s="653"/>
      <c r="U37" s="653"/>
      <c r="V37" s="653"/>
      <c r="W37" s="653"/>
      <c r="X37" s="653"/>
      <c r="AA37" s="564"/>
    </row>
    <row r="38" spans="1:31" ht="27.95" customHeight="1">
      <c r="B38" s="546"/>
      <c r="C38" s="546"/>
      <c r="D38" s="669" t="s">
        <v>1398</v>
      </c>
      <c r="E38" s="748"/>
      <c r="F38" s="748"/>
      <c r="G38" s="748"/>
      <c r="H38" s="562"/>
      <c r="I38" s="562"/>
      <c r="J38" s="562"/>
      <c r="K38" s="562"/>
      <c r="L38" s="562"/>
      <c r="M38" s="562"/>
      <c r="N38" s="562"/>
      <c r="O38" s="797"/>
      <c r="P38" s="748"/>
      <c r="Q38" s="798" t="s">
        <v>1399</v>
      </c>
      <c r="R38" s="793"/>
      <c r="T38" s="653"/>
      <c r="U38" s="653"/>
      <c r="V38" s="653"/>
      <c r="W38" s="653"/>
      <c r="X38" s="653"/>
    </row>
    <row r="39" spans="1:31" ht="27.95" customHeight="1">
      <c r="B39" s="546"/>
      <c r="C39" s="546"/>
      <c r="D39" s="669" t="s">
        <v>1400</v>
      </c>
      <c r="E39" s="562"/>
      <c r="F39" s="799" t="s">
        <v>1401</v>
      </c>
      <c r="G39" s="562"/>
      <c r="H39" s="562" t="s">
        <v>1402</v>
      </c>
      <c r="I39" s="800"/>
      <c r="J39" s="571" t="s">
        <v>1359</v>
      </c>
      <c r="K39" s="801" t="s">
        <v>1296</v>
      </c>
      <c r="L39" s="562"/>
      <c r="M39" s="562" t="s">
        <v>1353</v>
      </c>
      <c r="N39" s="698" t="s">
        <v>1403</v>
      </c>
      <c r="O39" s="665" t="s">
        <v>1404</v>
      </c>
      <c r="P39" s="748" t="s">
        <v>1405</v>
      </c>
      <c r="Q39" s="802" t="s">
        <v>1406</v>
      </c>
      <c r="R39" s="793"/>
      <c r="T39" s="653"/>
      <c r="U39" s="653"/>
      <c r="V39" s="653"/>
      <c r="W39" s="653"/>
      <c r="X39" s="653"/>
    </row>
    <row r="40" spans="1:31" ht="42" customHeight="1">
      <c r="B40" s="545"/>
      <c r="C40" s="545"/>
      <c r="D40" s="674" t="s">
        <v>1407</v>
      </c>
      <c r="E40" s="803" t="s">
        <v>1408</v>
      </c>
      <c r="F40" s="803" t="s">
        <v>1409</v>
      </c>
      <c r="G40" s="803" t="s">
        <v>1410</v>
      </c>
      <c r="H40" s="804" t="s">
        <v>1411</v>
      </c>
      <c r="I40" s="804" t="s">
        <v>1412</v>
      </c>
      <c r="J40" s="805" t="s">
        <v>1413</v>
      </c>
      <c r="K40" s="804" t="s">
        <v>1414</v>
      </c>
      <c r="L40" s="804"/>
      <c r="M40" s="805" t="s">
        <v>1415</v>
      </c>
      <c r="N40" s="804" t="s">
        <v>1416</v>
      </c>
      <c r="O40" s="804" t="s">
        <v>1417</v>
      </c>
      <c r="P40" s="803" t="s">
        <v>1418</v>
      </c>
      <c r="Q40" s="806" t="s">
        <v>1419</v>
      </c>
    </row>
    <row r="41" spans="1:31" ht="9.9499999999999993" customHeight="1">
      <c r="E41" s="670"/>
      <c r="F41" s="670"/>
      <c r="G41" s="670"/>
      <c r="H41" s="670"/>
      <c r="I41" s="670"/>
      <c r="J41" s="670"/>
      <c r="K41" s="670"/>
      <c r="M41" s="670"/>
      <c r="N41" s="670"/>
      <c r="O41" s="670"/>
    </row>
    <row r="42" spans="1:31" ht="27.95" customHeight="1">
      <c r="A42" s="807"/>
      <c r="B42" s="807"/>
      <c r="C42" s="807"/>
      <c r="D42" s="1196" t="s">
        <v>1420</v>
      </c>
      <c r="E42" s="1197"/>
      <c r="F42" s="1197"/>
      <c r="G42" s="1197"/>
      <c r="H42" s="1197"/>
      <c r="I42" s="1197"/>
      <c r="J42" s="1197"/>
      <c r="K42" s="1197"/>
      <c r="L42" s="1197"/>
      <c r="M42" s="1197"/>
      <c r="N42" s="1197"/>
      <c r="O42" s="1197"/>
      <c r="P42" s="1197"/>
      <c r="Q42" s="1198"/>
      <c r="R42" s="793"/>
    </row>
    <row r="43" spans="1:31" ht="27.95" customHeight="1">
      <c r="A43" s="807"/>
      <c r="B43" s="807"/>
      <c r="C43" s="807"/>
      <c r="D43" s="1199"/>
      <c r="E43" s="1200"/>
      <c r="F43" s="1200"/>
      <c r="G43" s="1200"/>
      <c r="H43" s="1200"/>
      <c r="I43" s="1200"/>
      <c r="J43" s="1200"/>
      <c r="K43" s="1200"/>
      <c r="L43" s="1200"/>
      <c r="M43" s="1200"/>
      <c r="N43" s="1200"/>
      <c r="O43" s="1200"/>
      <c r="P43" s="1200"/>
      <c r="Q43" s="1201"/>
      <c r="R43" s="793"/>
    </row>
    <row r="44" spans="1:31" ht="27.95" customHeight="1">
      <c r="A44" s="807"/>
      <c r="B44" s="807"/>
      <c r="C44" s="807"/>
      <c r="D44" s="1199"/>
      <c r="E44" s="1200"/>
      <c r="F44" s="1200"/>
      <c r="G44" s="1200"/>
      <c r="H44" s="1200"/>
      <c r="I44" s="1200"/>
      <c r="J44" s="1200"/>
      <c r="K44" s="1200"/>
      <c r="L44" s="1200"/>
      <c r="M44" s="1200"/>
      <c r="N44" s="1200"/>
      <c r="O44" s="1200"/>
      <c r="P44" s="1200"/>
      <c r="Q44" s="1201"/>
      <c r="R44" s="793"/>
    </row>
    <row r="45" spans="1:31" ht="27.95" customHeight="1">
      <c r="A45" s="807"/>
      <c r="B45" s="807"/>
      <c r="C45" s="807"/>
      <c r="D45" s="1199"/>
      <c r="E45" s="1200"/>
      <c r="F45" s="1200"/>
      <c r="G45" s="1200"/>
      <c r="H45" s="1200"/>
      <c r="I45" s="1200"/>
      <c r="J45" s="1200"/>
      <c r="K45" s="1200"/>
      <c r="L45" s="1200"/>
      <c r="M45" s="1200"/>
      <c r="N45" s="1200"/>
      <c r="O45" s="1200"/>
      <c r="P45" s="1200"/>
      <c r="Q45" s="1201"/>
      <c r="R45" s="793"/>
    </row>
    <row r="46" spans="1:31" ht="27.95" customHeight="1">
      <c r="A46" s="807"/>
      <c r="B46" s="807"/>
      <c r="C46" s="807"/>
      <c r="D46" s="1199"/>
      <c r="E46" s="1200"/>
      <c r="F46" s="1200"/>
      <c r="G46" s="1200"/>
      <c r="H46" s="1200"/>
      <c r="I46" s="1200"/>
      <c r="J46" s="1200"/>
      <c r="K46" s="1200"/>
      <c r="L46" s="1200"/>
      <c r="M46" s="1200"/>
      <c r="N46" s="1200"/>
      <c r="O46" s="1200"/>
      <c r="P46" s="1200"/>
      <c r="Q46" s="1201"/>
      <c r="R46" s="793"/>
    </row>
    <row r="47" spans="1:31">
      <c r="A47" s="807"/>
      <c r="B47" s="807"/>
      <c r="C47" s="807"/>
      <c r="D47" s="1199"/>
      <c r="E47" s="1200"/>
      <c r="F47" s="1200"/>
      <c r="G47" s="1200"/>
      <c r="H47" s="1200"/>
      <c r="I47" s="1200"/>
      <c r="J47" s="1200"/>
      <c r="K47" s="1200"/>
      <c r="L47" s="1200"/>
      <c r="M47" s="1200"/>
      <c r="N47" s="1200"/>
      <c r="O47" s="1200"/>
      <c r="P47" s="1200"/>
      <c r="Q47" s="1201"/>
      <c r="R47" s="793"/>
    </row>
    <row r="48" spans="1:31">
      <c r="A48" s="807"/>
      <c r="B48" s="807"/>
      <c r="C48" s="807"/>
      <c r="D48" s="1199"/>
      <c r="E48" s="1200"/>
      <c r="F48" s="1200"/>
      <c r="G48" s="1200"/>
      <c r="H48" s="1200"/>
      <c r="I48" s="1200"/>
      <c r="J48" s="1200"/>
      <c r="K48" s="1200"/>
      <c r="L48" s="1200"/>
      <c r="M48" s="1200"/>
      <c r="N48" s="1200"/>
      <c r="O48" s="1200"/>
      <c r="P48" s="1200"/>
      <c r="Q48" s="1201"/>
      <c r="R48" s="793"/>
    </row>
    <row r="49" spans="1:18">
      <c r="A49" s="807"/>
      <c r="B49" s="807"/>
      <c r="C49" s="807"/>
      <c r="D49" s="1199"/>
      <c r="E49" s="1200"/>
      <c r="F49" s="1200"/>
      <c r="G49" s="1200"/>
      <c r="H49" s="1200"/>
      <c r="I49" s="1200"/>
      <c r="J49" s="1200"/>
      <c r="K49" s="1200"/>
      <c r="L49" s="1200"/>
      <c r="M49" s="1200"/>
      <c r="N49" s="1200"/>
      <c r="O49" s="1200"/>
      <c r="P49" s="1200"/>
      <c r="Q49" s="1201"/>
      <c r="R49" s="793"/>
    </row>
    <row r="50" spans="1:18">
      <c r="A50" s="807"/>
      <c r="B50" s="807"/>
      <c r="C50" s="807"/>
      <c r="D50" s="1199"/>
      <c r="E50" s="1200"/>
      <c r="F50" s="1200"/>
      <c r="G50" s="1200"/>
      <c r="H50" s="1200"/>
      <c r="I50" s="1200"/>
      <c r="J50" s="1200"/>
      <c r="K50" s="1200"/>
      <c r="L50" s="1200"/>
      <c r="M50" s="1200"/>
      <c r="N50" s="1200"/>
      <c r="O50" s="1200"/>
      <c r="P50" s="1200"/>
      <c r="Q50" s="1201"/>
      <c r="R50" s="793"/>
    </row>
    <row r="51" spans="1:18">
      <c r="A51" s="807"/>
      <c r="B51" s="807"/>
      <c r="C51" s="807"/>
      <c r="D51" s="1199"/>
      <c r="E51" s="1200"/>
      <c r="F51" s="1200"/>
      <c r="G51" s="1200"/>
      <c r="H51" s="1200"/>
      <c r="I51" s="1200"/>
      <c r="J51" s="1200"/>
      <c r="K51" s="1200"/>
      <c r="L51" s="1200"/>
      <c r="M51" s="1200"/>
      <c r="N51" s="1200"/>
      <c r="O51" s="1200"/>
      <c r="P51" s="1200"/>
      <c r="Q51" s="1201"/>
      <c r="R51" s="793"/>
    </row>
    <row r="52" spans="1:18">
      <c r="A52" s="807"/>
      <c r="B52" s="807"/>
      <c r="C52" s="807"/>
      <c r="D52" s="1202"/>
      <c r="E52" s="1203"/>
      <c r="F52" s="1203"/>
      <c r="G52" s="1203"/>
      <c r="H52" s="1203"/>
      <c r="I52" s="1203"/>
      <c r="J52" s="1203"/>
      <c r="K52" s="1203"/>
      <c r="L52" s="1203"/>
      <c r="M52" s="1203"/>
      <c r="N52" s="1203"/>
      <c r="O52" s="1203"/>
      <c r="P52" s="1203"/>
      <c r="Q52" s="1204"/>
      <c r="R52" s="793"/>
    </row>
    <row r="53" spans="1:18" ht="9.9499999999999993" customHeight="1">
      <c r="E53" s="546"/>
      <c r="F53" s="546"/>
      <c r="G53" s="546"/>
      <c r="H53" s="546"/>
      <c r="I53" s="546"/>
      <c r="J53" s="546"/>
      <c r="K53" s="546"/>
      <c r="L53" s="546"/>
      <c r="M53" s="546"/>
      <c r="N53" s="546"/>
      <c r="O53" s="546"/>
      <c r="P53" s="546"/>
      <c r="Q53" s="546"/>
      <c r="R53" s="793"/>
    </row>
    <row r="54" spans="1:18" ht="24">
      <c r="D54" s="808"/>
      <c r="E54" s="809" t="s">
        <v>1155</v>
      </c>
      <c r="F54" s="810" t="s">
        <v>2</v>
      </c>
      <c r="G54" s="810" t="s">
        <v>3</v>
      </c>
      <c r="H54" s="810" t="s">
        <v>1156</v>
      </c>
      <c r="I54" s="810" t="s">
        <v>1421</v>
      </c>
      <c r="J54" s="810" t="s">
        <v>1158</v>
      </c>
      <c r="K54" s="810" t="s">
        <v>1159</v>
      </c>
      <c r="L54" s="811"/>
      <c r="M54" s="810" t="s">
        <v>1160</v>
      </c>
      <c r="N54" s="810" t="s">
        <v>10</v>
      </c>
      <c r="O54" s="810" t="s">
        <v>11</v>
      </c>
      <c r="P54" s="810" t="s">
        <v>12</v>
      </c>
      <c r="Q54" s="812" t="s">
        <v>13</v>
      </c>
      <c r="R54" s="813" t="s">
        <v>1422</v>
      </c>
    </row>
    <row r="55" spans="1:18" ht="30" customHeight="1">
      <c r="D55" s="686" t="s">
        <v>1423</v>
      </c>
      <c r="E55" s="687"/>
      <c r="F55" s="689"/>
      <c r="G55" s="642" t="s">
        <v>1424</v>
      </c>
      <c r="H55" s="689"/>
      <c r="I55" s="689"/>
      <c r="J55" s="689" t="s">
        <v>1425</v>
      </c>
      <c r="K55" s="689"/>
      <c r="L55" s="559"/>
      <c r="M55" s="641" t="s">
        <v>1426</v>
      </c>
      <c r="N55" s="689" t="s">
        <v>1427</v>
      </c>
      <c r="O55" s="689"/>
      <c r="P55" s="689"/>
      <c r="Q55" s="689"/>
      <c r="R55" s="693"/>
    </row>
    <row r="56" spans="1:18" ht="30" customHeight="1">
      <c r="D56" s="814" t="s">
        <v>1428</v>
      </c>
      <c r="E56" s="815"/>
      <c r="F56" s="561"/>
      <c r="G56" s="561" t="s">
        <v>211</v>
      </c>
      <c r="H56" s="561"/>
      <c r="I56" s="698"/>
      <c r="J56" s="561"/>
      <c r="K56" s="561" t="s">
        <v>1429</v>
      </c>
      <c r="L56" s="571"/>
      <c r="M56" s="561"/>
      <c r="N56" s="561"/>
      <c r="O56" s="697"/>
      <c r="P56" s="697"/>
      <c r="Q56" s="561"/>
      <c r="R56" s="699"/>
    </row>
    <row r="57" spans="1:18" ht="50.1" customHeight="1">
      <c r="D57" s="695" t="s">
        <v>1430</v>
      </c>
      <c r="E57" s="816" t="s">
        <v>1431</v>
      </c>
      <c r="F57" s="698" t="s">
        <v>1432</v>
      </c>
      <c r="G57" s="698" t="s">
        <v>1433</v>
      </c>
      <c r="H57" s="698"/>
      <c r="I57" s="561" t="s">
        <v>1434</v>
      </c>
      <c r="J57" s="698" t="s">
        <v>1435</v>
      </c>
      <c r="K57" s="698" t="s">
        <v>1436</v>
      </c>
      <c r="L57" s="571"/>
      <c r="M57" s="698"/>
      <c r="N57" s="561"/>
      <c r="O57" s="561"/>
      <c r="P57" s="561"/>
      <c r="Q57" s="561"/>
      <c r="R57" s="703"/>
    </row>
    <row r="58" spans="1:18" ht="30" customHeight="1">
      <c r="D58" s="686" t="s">
        <v>1437</v>
      </c>
      <c r="E58" s="696"/>
      <c r="F58" s="697"/>
      <c r="G58" s="561"/>
      <c r="H58" s="561"/>
      <c r="I58" s="561"/>
      <c r="J58" s="561"/>
      <c r="K58" s="561"/>
      <c r="L58" s="665"/>
      <c r="M58" s="697"/>
      <c r="N58" s="697"/>
      <c r="O58" s="697"/>
      <c r="P58" s="697"/>
      <c r="Q58" s="697"/>
      <c r="R58" s="699"/>
    </row>
    <row r="59" spans="1:18" ht="30" customHeight="1">
      <c r="D59" s="705" t="s">
        <v>1438</v>
      </c>
      <c r="E59" s="817"/>
      <c r="F59" s="818"/>
      <c r="G59" s="708"/>
      <c r="H59" s="818"/>
      <c r="I59" s="818"/>
      <c r="J59" s="818"/>
      <c r="K59" s="818"/>
      <c r="L59" s="819"/>
      <c r="M59" s="818"/>
      <c r="N59" s="818"/>
      <c r="O59" s="708" t="s">
        <v>1439</v>
      </c>
      <c r="P59" s="708"/>
      <c r="Q59" s="818"/>
      <c r="R59" s="709"/>
    </row>
    <row r="62" spans="1:18" ht="24">
      <c r="D62" s="820"/>
      <c r="E62" s="810" t="s">
        <v>236</v>
      </c>
      <c r="F62" s="810" t="s">
        <v>2</v>
      </c>
      <c r="G62" s="810" t="s">
        <v>3</v>
      </c>
      <c r="H62" s="810" t="s">
        <v>1156</v>
      </c>
      <c r="I62" s="810" t="s">
        <v>1157</v>
      </c>
      <c r="J62" s="810" t="s">
        <v>1158</v>
      </c>
      <c r="K62" s="810" t="s">
        <v>1440</v>
      </c>
      <c r="L62" s="811"/>
      <c r="M62" s="810" t="s">
        <v>1160</v>
      </c>
      <c r="N62" s="810" t="s">
        <v>10</v>
      </c>
      <c r="O62" s="810" t="s">
        <v>11</v>
      </c>
      <c r="P62" s="810" t="s">
        <v>12</v>
      </c>
      <c r="Q62" s="810" t="s">
        <v>13</v>
      </c>
      <c r="R62" s="813" t="s">
        <v>1441</v>
      </c>
    </row>
    <row r="63" spans="1:18">
      <c r="D63" s="821" t="s">
        <v>1442</v>
      </c>
      <c r="E63" s="822"/>
      <c r="F63" s="822"/>
      <c r="G63" s="822"/>
      <c r="H63" s="823"/>
      <c r="I63" s="824"/>
      <c r="J63" s="824"/>
      <c r="K63" s="822"/>
      <c r="L63" s="825"/>
      <c r="M63" s="822"/>
      <c r="N63" s="822"/>
      <c r="O63" s="822"/>
      <c r="P63" s="822"/>
      <c r="Q63" s="822"/>
      <c r="R63" s="826"/>
    </row>
    <row r="64" spans="1:18">
      <c r="D64" s="827"/>
      <c r="E64" s="828"/>
      <c r="F64" s="828"/>
      <c r="G64" s="828"/>
      <c r="H64" s="829"/>
      <c r="I64" s="830" t="s">
        <v>1443</v>
      </c>
      <c r="J64" s="830" t="s">
        <v>1443</v>
      </c>
      <c r="K64" s="828"/>
      <c r="L64" s="831"/>
      <c r="M64" s="828"/>
      <c r="N64" s="828"/>
      <c r="O64" s="828"/>
      <c r="P64" s="828"/>
      <c r="Q64" s="828"/>
      <c r="R64" s="832"/>
    </row>
    <row r="65" spans="8:10">
      <c r="H65" s="564"/>
      <c r="I65" s="564"/>
      <c r="J65" s="564"/>
    </row>
  </sheetData>
  <mergeCells count="24">
    <mergeCell ref="A1:Q1"/>
    <mergeCell ref="A2:Q2"/>
    <mergeCell ref="C4:D11"/>
    <mergeCell ref="E4:F4"/>
    <mergeCell ref="T4:Y4"/>
    <mergeCell ref="T5:Y11"/>
    <mergeCell ref="B10:B11"/>
    <mergeCell ref="A32:A33"/>
    <mergeCell ref="B32:B33"/>
    <mergeCell ref="C32:D34"/>
    <mergeCell ref="P12:Q15"/>
    <mergeCell ref="T12:Y12"/>
    <mergeCell ref="T13:Y17"/>
    <mergeCell ref="C16:D16"/>
    <mergeCell ref="C17:D23"/>
    <mergeCell ref="T18:Y18"/>
    <mergeCell ref="T19:Y24"/>
    <mergeCell ref="C24:D24"/>
    <mergeCell ref="D42:Q52"/>
    <mergeCell ref="T33:Y34"/>
    <mergeCell ref="T26:Y32"/>
    <mergeCell ref="P25:Q28"/>
    <mergeCell ref="T25:Y25"/>
    <mergeCell ref="C29:D30"/>
  </mergeCells>
  <phoneticPr fontId="40" type="noConversion"/>
  <pageMargins left="0" right="0" top="0" bottom="0.74803149606299213" header="0.31496062992125984" footer="0.31496062992125984"/>
  <pageSetup paperSize="9" scale="31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64"/>
  <sheetViews>
    <sheetView topLeftCell="A17" zoomScale="85" zoomScaleNormal="85" zoomScalePageLayoutView="80" workbookViewId="0">
      <selection activeCell="G30" sqref="G30"/>
    </sheetView>
  </sheetViews>
  <sheetFormatPr defaultRowHeight="16.5"/>
  <cols>
    <col min="1" max="1" width="4.33203125" style="514" customWidth="1"/>
    <col min="2" max="2" width="13.33203125" style="542" customWidth="1"/>
    <col min="3" max="4" width="15.83203125" style="542" customWidth="1"/>
    <col min="5" max="11" width="15.83203125" style="541" customWidth="1"/>
    <col min="12" max="12" width="3.5" style="543" customWidth="1"/>
    <col min="13" max="17" width="15.83203125" style="541" customWidth="1"/>
    <col min="18" max="18" width="15.83203125" style="833" hidden="1" customWidth="1"/>
    <col min="19" max="19" width="15.83203125" style="833" customWidth="1"/>
    <col min="20" max="20" width="2.1640625" style="541" customWidth="1"/>
    <col min="21" max="26" width="10.83203125" style="514" customWidth="1"/>
    <col min="27" max="16384" width="9.33203125" style="514"/>
  </cols>
  <sheetData>
    <row r="1" spans="1:32" ht="16.5" hidden="1" customHeight="1">
      <c r="A1" s="1296" t="s">
        <v>832</v>
      </c>
      <c r="B1" s="1297"/>
      <c r="C1" s="1297"/>
      <c r="D1" s="1297"/>
      <c r="E1" s="1297"/>
      <c r="F1" s="1297"/>
      <c r="G1" s="1297"/>
      <c r="H1" s="1297"/>
      <c r="I1" s="1297"/>
      <c r="J1" s="1297"/>
      <c r="K1" s="1297"/>
      <c r="L1" s="1297"/>
      <c r="M1" s="1297"/>
      <c r="N1" s="1297"/>
      <c r="O1" s="1297"/>
      <c r="P1" s="1297"/>
      <c r="Q1" s="1297"/>
    </row>
    <row r="2" spans="1:32" ht="18" customHeight="1">
      <c r="A2" s="1298" t="s">
        <v>1444</v>
      </c>
      <c r="B2" s="1299"/>
      <c r="C2" s="1299"/>
      <c r="D2" s="1299"/>
      <c r="E2" s="1299"/>
      <c r="F2" s="1299"/>
      <c r="G2" s="1299"/>
      <c r="H2" s="1299"/>
      <c r="I2" s="1299"/>
      <c r="J2" s="1299"/>
      <c r="K2" s="1299"/>
      <c r="L2" s="1299"/>
      <c r="M2" s="1299"/>
      <c r="N2" s="1299"/>
      <c r="O2" s="1299"/>
      <c r="P2" s="1299"/>
      <c r="Q2" s="1299"/>
      <c r="U2" s="532"/>
      <c r="V2" s="532"/>
      <c r="W2" s="532"/>
      <c r="X2" s="532"/>
      <c r="Y2" s="532"/>
      <c r="Z2" s="532"/>
    </row>
    <row r="3" spans="1:32" ht="21" customHeight="1" thickBot="1">
      <c r="A3" s="834"/>
      <c r="B3" s="835" t="s">
        <v>1445</v>
      </c>
      <c r="C3" s="836" t="s">
        <v>835</v>
      </c>
      <c r="D3" s="836" t="s">
        <v>1446</v>
      </c>
      <c r="E3" s="836" t="s">
        <v>1447</v>
      </c>
      <c r="F3" s="836" t="s">
        <v>2</v>
      </c>
      <c r="G3" s="836" t="s">
        <v>3</v>
      </c>
      <c r="H3" s="836" t="s">
        <v>1120</v>
      </c>
      <c r="I3" s="836" t="s">
        <v>5</v>
      </c>
      <c r="J3" s="836" t="s">
        <v>56</v>
      </c>
      <c r="K3" s="836" t="s">
        <v>1448</v>
      </c>
      <c r="L3" s="517" t="s">
        <v>8</v>
      </c>
      <c r="M3" s="836" t="s">
        <v>1449</v>
      </c>
      <c r="N3" s="836" t="s">
        <v>10</v>
      </c>
      <c r="O3" s="836" t="s">
        <v>11</v>
      </c>
      <c r="P3" s="836" t="s">
        <v>12</v>
      </c>
      <c r="Q3" s="836" t="s">
        <v>13</v>
      </c>
      <c r="R3" s="238">
        <f>AVERAGE(R4:R28)</f>
        <v>1.01</v>
      </c>
      <c r="S3" s="238"/>
      <c r="U3" s="532"/>
      <c r="V3" s="532"/>
      <c r="W3" s="532"/>
      <c r="X3" s="532"/>
      <c r="Y3" s="532"/>
      <c r="Z3" s="532"/>
    </row>
    <row r="4" spans="1:32" ht="27.95" customHeight="1" thickBot="1">
      <c r="A4" s="837">
        <v>1</v>
      </c>
      <c r="B4" s="838" t="s">
        <v>1450</v>
      </c>
      <c r="C4" s="1300"/>
      <c r="D4" s="1301"/>
      <c r="E4" s="113" t="s">
        <v>1451</v>
      </c>
      <c r="F4" s="839" t="s">
        <v>1452</v>
      </c>
      <c r="G4" s="839" t="s">
        <v>1453</v>
      </c>
      <c r="H4" s="839" t="s">
        <v>149</v>
      </c>
      <c r="I4" s="840" t="s">
        <v>150</v>
      </c>
      <c r="J4" s="839" t="s">
        <v>1454</v>
      </c>
      <c r="K4" s="839" t="s">
        <v>1455</v>
      </c>
      <c r="L4" s="839"/>
      <c r="M4" s="839" t="s">
        <v>1456</v>
      </c>
      <c r="N4" s="839" t="s">
        <v>1457</v>
      </c>
      <c r="O4" s="113" t="s">
        <v>1458</v>
      </c>
      <c r="P4" s="113" t="s">
        <v>1459</v>
      </c>
      <c r="Q4" s="839" t="s">
        <v>1460</v>
      </c>
      <c r="R4" s="116">
        <f>(COUNTA(C4:Q4))/12</f>
        <v>1</v>
      </c>
      <c r="S4" s="116"/>
      <c r="U4" s="1306" t="s">
        <v>1461</v>
      </c>
      <c r="V4" s="1307"/>
      <c r="W4" s="1307"/>
      <c r="X4" s="1307"/>
      <c r="Y4" s="1307"/>
      <c r="Z4" s="1308"/>
      <c r="AF4" s="841"/>
    </row>
    <row r="5" spans="1:32" ht="27.95" customHeight="1">
      <c r="A5" s="837">
        <v>2</v>
      </c>
      <c r="B5" s="842" t="s">
        <v>1462</v>
      </c>
      <c r="C5" s="1302"/>
      <c r="D5" s="1303"/>
      <c r="E5" s="113" t="s">
        <v>1463</v>
      </c>
      <c r="F5" s="113" t="s">
        <v>1464</v>
      </c>
      <c r="G5" s="843" t="s">
        <v>1465</v>
      </c>
      <c r="H5" s="843" t="s">
        <v>1466</v>
      </c>
      <c r="I5" s="839" t="s">
        <v>1467</v>
      </c>
      <c r="J5" s="839" t="s">
        <v>1468</v>
      </c>
      <c r="K5" s="839" t="s">
        <v>1469</v>
      </c>
      <c r="L5" s="839"/>
      <c r="M5" s="113" t="s">
        <v>151</v>
      </c>
      <c r="N5" s="113" t="s">
        <v>1470</v>
      </c>
      <c r="O5" s="839" t="s">
        <v>1471</v>
      </c>
      <c r="P5" s="839" t="s">
        <v>1472</v>
      </c>
      <c r="Q5" s="839" t="s">
        <v>1473</v>
      </c>
      <c r="R5" s="116">
        <f t="shared" ref="R5:R22" si="0">(COUNTA(C5:Q5))/12</f>
        <v>1</v>
      </c>
      <c r="S5" s="116"/>
      <c r="U5" s="1278" t="s">
        <v>1474</v>
      </c>
      <c r="V5" s="1279"/>
      <c r="W5" s="1279"/>
      <c r="X5" s="1279"/>
      <c r="Y5" s="1279"/>
      <c r="Z5" s="1280"/>
      <c r="AF5" s="841"/>
    </row>
    <row r="6" spans="1:32" s="532" customFormat="1" ht="27.75" customHeight="1">
      <c r="A6" s="837">
        <v>3</v>
      </c>
      <c r="B6" s="838" t="s">
        <v>1475</v>
      </c>
      <c r="C6" s="1302"/>
      <c r="D6" s="1303"/>
      <c r="E6" s="113" t="s">
        <v>152</v>
      </c>
      <c r="F6" s="839" t="s">
        <v>1476</v>
      </c>
      <c r="G6" s="113" t="s">
        <v>1473</v>
      </c>
      <c r="H6" s="839" t="s">
        <v>1458</v>
      </c>
      <c r="I6" s="844" t="s">
        <v>1477</v>
      </c>
      <c r="J6" s="839" t="s">
        <v>1478</v>
      </c>
      <c r="K6" s="843" t="s">
        <v>1479</v>
      </c>
      <c r="L6" s="839"/>
      <c r="M6" s="839" t="s">
        <v>1480</v>
      </c>
      <c r="N6" s="844" t="s">
        <v>1481</v>
      </c>
      <c r="O6" s="839" t="s">
        <v>153</v>
      </c>
      <c r="P6" s="839" t="s">
        <v>1482</v>
      </c>
      <c r="Q6" s="839" t="s">
        <v>1483</v>
      </c>
      <c r="R6" s="116">
        <f t="shared" si="0"/>
        <v>1</v>
      </c>
      <c r="S6" s="116"/>
      <c r="T6" s="541"/>
      <c r="U6" s="1281"/>
      <c r="V6" s="1282"/>
      <c r="W6" s="1282"/>
      <c r="X6" s="1282"/>
      <c r="Y6" s="1282"/>
      <c r="Z6" s="1283"/>
      <c r="AF6" s="845"/>
    </row>
    <row r="7" spans="1:32" s="532" customFormat="1" ht="27.75" customHeight="1">
      <c r="A7" s="837">
        <v>4</v>
      </c>
      <c r="B7" s="838" t="s">
        <v>1484</v>
      </c>
      <c r="C7" s="1302"/>
      <c r="D7" s="1303"/>
      <c r="E7" s="125" t="s">
        <v>1485</v>
      </c>
      <c r="F7" s="113" t="s">
        <v>1486</v>
      </c>
      <c r="G7" s="839" t="s">
        <v>1482</v>
      </c>
      <c r="H7" s="839" t="s">
        <v>1487</v>
      </c>
      <c r="I7" s="251" t="s">
        <v>1488</v>
      </c>
      <c r="J7" s="117" t="s">
        <v>1489</v>
      </c>
      <c r="K7" s="843" t="s">
        <v>1490</v>
      </c>
      <c r="L7" s="846"/>
      <c r="M7" s="839" t="s">
        <v>1491</v>
      </c>
      <c r="N7" s="113" t="s">
        <v>1459</v>
      </c>
      <c r="O7" s="843" t="s">
        <v>1492</v>
      </c>
      <c r="P7" s="839" t="s">
        <v>1493</v>
      </c>
      <c r="Q7" s="839" t="s">
        <v>1494</v>
      </c>
      <c r="R7" s="116">
        <f t="shared" si="0"/>
        <v>1</v>
      </c>
      <c r="S7" s="116"/>
      <c r="T7" s="541"/>
      <c r="U7" s="1281"/>
      <c r="V7" s="1282"/>
      <c r="W7" s="1282"/>
      <c r="X7" s="1282"/>
      <c r="Y7" s="1282"/>
      <c r="Z7" s="1283"/>
      <c r="AF7" s="845"/>
    </row>
    <row r="8" spans="1:32" s="532" customFormat="1" ht="27.95" customHeight="1" thickBot="1">
      <c r="A8" s="837">
        <v>5</v>
      </c>
      <c r="B8" s="847" t="s">
        <v>1495</v>
      </c>
      <c r="C8" s="1302"/>
      <c r="D8" s="1303"/>
      <c r="E8" s="843" t="s">
        <v>1496</v>
      </c>
      <c r="F8" s="848" t="s">
        <v>154</v>
      </c>
      <c r="G8" s="849" t="s">
        <v>1497</v>
      </c>
      <c r="H8" s="839" t="s">
        <v>1480</v>
      </c>
      <c r="I8" s="113" t="s">
        <v>1451</v>
      </c>
      <c r="J8" s="839" t="s">
        <v>1498</v>
      </c>
      <c r="K8" s="839" t="s">
        <v>155</v>
      </c>
      <c r="L8" s="849"/>
      <c r="M8" s="844" t="s">
        <v>1481</v>
      </c>
      <c r="N8" s="850" t="s">
        <v>1499</v>
      </c>
      <c r="O8" s="848" t="s">
        <v>1500</v>
      </c>
      <c r="P8" s="839" t="s">
        <v>156</v>
      </c>
      <c r="Q8" s="851" t="s">
        <v>1501</v>
      </c>
      <c r="R8" s="116">
        <f t="shared" si="0"/>
        <v>1</v>
      </c>
      <c r="S8" s="116"/>
      <c r="T8" s="541"/>
      <c r="U8" s="1284"/>
      <c r="V8" s="1285"/>
      <c r="W8" s="1285"/>
      <c r="X8" s="1285"/>
      <c r="Y8" s="1285"/>
      <c r="Z8" s="1286"/>
      <c r="AF8" s="845"/>
    </row>
    <row r="9" spans="1:32" s="532" customFormat="1" ht="27.95" customHeight="1" thickBot="1">
      <c r="A9" s="837">
        <v>6</v>
      </c>
      <c r="B9" s="530" t="s">
        <v>1502</v>
      </c>
      <c r="C9" s="1302"/>
      <c r="D9" s="1303"/>
      <c r="E9" s="850" t="s">
        <v>1503</v>
      </c>
      <c r="F9" s="839" t="s">
        <v>1504</v>
      </c>
      <c r="G9" s="113" t="s">
        <v>1505</v>
      </c>
      <c r="H9" s="852" t="s">
        <v>1506</v>
      </c>
      <c r="I9" s="113" t="s">
        <v>1507</v>
      </c>
      <c r="J9" s="853" t="s">
        <v>1455</v>
      </c>
      <c r="K9" s="113" t="s">
        <v>1508</v>
      </c>
      <c r="L9" s="839"/>
      <c r="M9" s="848" t="s">
        <v>1509</v>
      </c>
      <c r="N9" s="839" t="s">
        <v>1453</v>
      </c>
      <c r="O9" s="113" t="s">
        <v>1510</v>
      </c>
      <c r="P9" s="843" t="s">
        <v>1511</v>
      </c>
      <c r="Q9" s="251" t="s">
        <v>1488</v>
      </c>
      <c r="R9" s="116">
        <f t="shared" si="0"/>
        <v>1</v>
      </c>
      <c r="S9" s="116"/>
      <c r="T9" s="541"/>
      <c r="U9" s="1291" t="s">
        <v>1512</v>
      </c>
      <c r="V9" s="1292"/>
      <c r="W9" s="1292"/>
      <c r="X9" s="1292"/>
      <c r="Y9" s="1292"/>
      <c r="Z9" s="1293"/>
      <c r="AF9" s="845"/>
    </row>
    <row r="10" spans="1:32" s="532" customFormat="1" ht="27.95" customHeight="1">
      <c r="A10" s="837">
        <v>7</v>
      </c>
      <c r="B10" s="854" t="s">
        <v>158</v>
      </c>
      <c r="C10" s="1302"/>
      <c r="D10" s="1303"/>
      <c r="E10" s="118"/>
      <c r="F10" s="855"/>
      <c r="G10" s="523"/>
      <c r="H10" s="855"/>
      <c r="I10" s="118"/>
      <c r="J10" s="118"/>
      <c r="K10" s="856"/>
      <c r="L10" s="523"/>
      <c r="M10" s="523"/>
      <c r="N10" s="856"/>
      <c r="O10" s="855"/>
      <c r="P10" s="118"/>
      <c r="Q10" s="523"/>
      <c r="R10" s="116"/>
      <c r="S10" s="116"/>
      <c r="T10" s="541"/>
      <c r="U10" s="1309" t="s">
        <v>1513</v>
      </c>
      <c r="V10" s="1310"/>
      <c r="W10" s="1310"/>
      <c r="X10" s="1310"/>
      <c r="Y10" s="1310"/>
      <c r="Z10" s="1311"/>
      <c r="AF10" s="845"/>
    </row>
    <row r="11" spans="1:32" s="532" customFormat="1" ht="27.95" customHeight="1">
      <c r="A11" s="837">
        <v>8</v>
      </c>
      <c r="B11" s="857" t="s">
        <v>1514</v>
      </c>
      <c r="C11" s="1304"/>
      <c r="D11" s="1305"/>
      <c r="E11" s="117"/>
      <c r="F11" s="858"/>
      <c r="G11" s="859"/>
      <c r="H11" s="858"/>
      <c r="I11" s="117"/>
      <c r="J11" s="117"/>
      <c r="K11" s="860"/>
      <c r="L11" s="859"/>
      <c r="M11" s="859"/>
      <c r="N11" s="861"/>
      <c r="O11" s="852"/>
      <c r="P11" s="862"/>
      <c r="Q11" s="863"/>
      <c r="R11" s="116"/>
      <c r="S11" s="116"/>
      <c r="T11" s="541"/>
      <c r="U11" s="1309"/>
      <c r="V11" s="1310"/>
      <c r="W11" s="1310"/>
      <c r="X11" s="1310"/>
      <c r="Y11" s="1310"/>
      <c r="Z11" s="1311"/>
      <c r="AF11" s="845"/>
    </row>
    <row r="12" spans="1:32" s="532" customFormat="1" ht="27.95" customHeight="1">
      <c r="A12" s="837">
        <v>8</v>
      </c>
      <c r="B12" s="842" t="s">
        <v>1515</v>
      </c>
      <c r="C12" s="864" t="s">
        <v>1516</v>
      </c>
      <c r="D12" s="865" t="s">
        <v>1517</v>
      </c>
      <c r="E12" s="113" t="s">
        <v>1518</v>
      </c>
      <c r="F12" s="214" t="s">
        <v>1519</v>
      </c>
      <c r="G12" s="214" t="s">
        <v>1520</v>
      </c>
      <c r="H12" s="214" t="s">
        <v>1521</v>
      </c>
      <c r="I12" s="117" t="s">
        <v>1522</v>
      </c>
      <c r="J12" s="844" t="s">
        <v>1523</v>
      </c>
      <c r="K12" s="860" t="s">
        <v>159</v>
      </c>
      <c r="L12" s="851"/>
      <c r="M12" s="214" t="s">
        <v>1524</v>
      </c>
      <c r="N12" s="851" t="s">
        <v>1525</v>
      </c>
      <c r="O12" s="839" t="s">
        <v>1526</v>
      </c>
      <c r="P12" s="1315"/>
      <c r="Q12" s="1316"/>
      <c r="R12" s="116">
        <f t="shared" si="0"/>
        <v>1</v>
      </c>
      <c r="S12" s="116"/>
      <c r="T12" s="541"/>
      <c r="U12" s="1309"/>
      <c r="V12" s="1310"/>
      <c r="W12" s="1310"/>
      <c r="X12" s="1310"/>
      <c r="Y12" s="1310"/>
      <c r="Z12" s="1311"/>
      <c r="AF12" s="845"/>
    </row>
    <row r="13" spans="1:32" s="532" customFormat="1" ht="27.95" customHeight="1" thickBot="1">
      <c r="A13" s="837">
        <v>9</v>
      </c>
      <c r="B13" s="847" t="s">
        <v>1527</v>
      </c>
      <c r="C13" s="866" t="s">
        <v>1464</v>
      </c>
      <c r="D13" s="866" t="s">
        <v>1528</v>
      </c>
      <c r="E13" s="113" t="s">
        <v>1508</v>
      </c>
      <c r="F13" s="867" t="s">
        <v>1529</v>
      </c>
      <c r="G13" s="867" t="s">
        <v>1530</v>
      </c>
      <c r="H13" s="868" t="s">
        <v>1531</v>
      </c>
      <c r="I13" s="867" t="s">
        <v>1532</v>
      </c>
      <c r="J13" s="868" t="s">
        <v>1533</v>
      </c>
      <c r="K13" s="839" t="s">
        <v>1534</v>
      </c>
      <c r="L13" s="119"/>
      <c r="M13" s="123" t="s">
        <v>160</v>
      </c>
      <c r="N13" s="839" t="s">
        <v>1520</v>
      </c>
      <c r="O13" s="839" t="s">
        <v>156</v>
      </c>
      <c r="P13" s="1317"/>
      <c r="Q13" s="1318"/>
      <c r="R13" s="116">
        <f t="shared" si="0"/>
        <v>1</v>
      </c>
      <c r="S13" s="116"/>
      <c r="T13" s="541"/>
      <c r="U13" s="1309"/>
      <c r="V13" s="1310"/>
      <c r="W13" s="1310"/>
      <c r="X13" s="1310"/>
      <c r="Y13" s="1310"/>
      <c r="Z13" s="1311"/>
      <c r="AF13" s="845"/>
    </row>
    <row r="14" spans="1:32" s="532" customFormat="1" ht="27.95" customHeight="1">
      <c r="A14" s="869">
        <v>10</v>
      </c>
      <c r="B14" s="870" t="s">
        <v>1535</v>
      </c>
      <c r="C14" s="1319"/>
      <c r="D14" s="1320"/>
      <c r="E14" s="871" t="s">
        <v>1536</v>
      </c>
      <c r="F14" s="871" t="s">
        <v>1537</v>
      </c>
      <c r="G14" s="871" t="s">
        <v>1538</v>
      </c>
      <c r="H14" s="872" t="s">
        <v>1539</v>
      </c>
      <c r="I14" s="871" t="s">
        <v>1540</v>
      </c>
      <c r="J14" s="873" t="s">
        <v>1541</v>
      </c>
      <c r="K14" s="871" t="s">
        <v>161</v>
      </c>
      <c r="L14" s="874"/>
      <c r="M14" s="875" t="s">
        <v>163</v>
      </c>
      <c r="N14" s="871" t="s">
        <v>1542</v>
      </c>
      <c r="O14" s="874" t="s">
        <v>1543</v>
      </c>
      <c r="P14" s="876" t="s">
        <v>162</v>
      </c>
      <c r="Q14" s="871" t="s">
        <v>1544</v>
      </c>
      <c r="R14" s="116">
        <f t="shared" si="0"/>
        <v>1</v>
      </c>
      <c r="S14" s="116"/>
      <c r="T14" s="541"/>
      <c r="U14" s="1309"/>
      <c r="V14" s="1310"/>
      <c r="W14" s="1310"/>
      <c r="X14" s="1310"/>
      <c r="Y14" s="1310"/>
      <c r="Z14" s="1311"/>
      <c r="AF14" s="845"/>
    </row>
    <row r="15" spans="1:32" s="532" customFormat="1" ht="27.95" customHeight="1">
      <c r="A15" s="877">
        <v>11</v>
      </c>
      <c r="B15" s="878" t="s">
        <v>1545</v>
      </c>
      <c r="C15" s="1287"/>
      <c r="D15" s="1288"/>
      <c r="E15" s="113" t="s">
        <v>1546</v>
      </c>
      <c r="F15" s="840" t="s">
        <v>1547</v>
      </c>
      <c r="G15" s="848" t="s">
        <v>172</v>
      </c>
      <c r="H15" s="113" t="s">
        <v>1548</v>
      </c>
      <c r="I15" s="839" t="s">
        <v>1549</v>
      </c>
      <c r="J15" s="113" t="s">
        <v>1550</v>
      </c>
      <c r="K15" s="839" t="s">
        <v>1551</v>
      </c>
      <c r="L15" s="839"/>
      <c r="M15" s="839" t="s">
        <v>1552</v>
      </c>
      <c r="N15" s="839" t="s">
        <v>164</v>
      </c>
      <c r="O15" s="113" t="s">
        <v>1553</v>
      </c>
      <c r="P15" s="843" t="s">
        <v>1554</v>
      </c>
      <c r="Q15" s="850" t="s">
        <v>1555</v>
      </c>
      <c r="R15" s="116">
        <f t="shared" si="0"/>
        <v>1</v>
      </c>
      <c r="S15" s="116"/>
      <c r="T15" s="541"/>
      <c r="U15" s="1309"/>
      <c r="V15" s="1310"/>
      <c r="W15" s="1310"/>
      <c r="X15" s="1310"/>
      <c r="Y15" s="1310"/>
      <c r="Z15" s="1311"/>
      <c r="AF15" s="845"/>
    </row>
    <row r="16" spans="1:32" s="532" customFormat="1" ht="27.95" customHeight="1">
      <c r="A16" s="877">
        <v>12</v>
      </c>
      <c r="B16" s="879" t="s">
        <v>1556</v>
      </c>
      <c r="C16" s="1287"/>
      <c r="D16" s="1288"/>
      <c r="E16" s="839" t="s">
        <v>1557</v>
      </c>
      <c r="F16" s="839" t="s">
        <v>1558</v>
      </c>
      <c r="G16" s="113" t="s">
        <v>1550</v>
      </c>
      <c r="H16" s="839" t="s">
        <v>1559</v>
      </c>
      <c r="I16" s="113" t="s">
        <v>1560</v>
      </c>
      <c r="J16" s="843" t="s">
        <v>1561</v>
      </c>
      <c r="K16" s="839" t="s">
        <v>1562</v>
      </c>
      <c r="L16" s="843"/>
      <c r="M16" s="839" t="s">
        <v>1563</v>
      </c>
      <c r="N16" s="113" t="s">
        <v>1564</v>
      </c>
      <c r="O16" s="252" t="s">
        <v>1565</v>
      </c>
      <c r="P16" s="252" t="s">
        <v>1566</v>
      </c>
      <c r="Q16" s="880" t="s">
        <v>1557</v>
      </c>
      <c r="R16" s="116">
        <f>(COUNTA(C16:Q16))/10</f>
        <v>1.2</v>
      </c>
      <c r="S16" s="116"/>
      <c r="T16" s="541"/>
      <c r="U16" s="1309"/>
      <c r="V16" s="1310"/>
      <c r="W16" s="1310"/>
      <c r="X16" s="1310"/>
      <c r="Y16" s="1310"/>
      <c r="Z16" s="1311"/>
      <c r="AF16" s="845"/>
    </row>
    <row r="17" spans="1:32" s="532" customFormat="1" ht="27.95" customHeight="1">
      <c r="A17" s="877">
        <v>13</v>
      </c>
      <c r="B17" s="881" t="s">
        <v>1567</v>
      </c>
      <c r="C17" s="1287"/>
      <c r="D17" s="1288"/>
      <c r="E17" s="851" t="s">
        <v>1568</v>
      </c>
      <c r="F17" s="882" t="s">
        <v>1544</v>
      </c>
      <c r="G17" s="883" t="s">
        <v>1569</v>
      </c>
      <c r="H17" s="121" t="s">
        <v>1570</v>
      </c>
      <c r="I17" s="859" t="s">
        <v>1571</v>
      </c>
      <c r="J17" s="884" t="s">
        <v>162</v>
      </c>
      <c r="K17" s="885" t="s">
        <v>1572</v>
      </c>
      <c r="L17" s="882"/>
      <c r="M17" s="886" t="s">
        <v>1573</v>
      </c>
      <c r="N17" s="214" t="s">
        <v>166</v>
      </c>
      <c r="O17" s="851" t="s">
        <v>1574</v>
      </c>
      <c r="P17" s="113" t="s">
        <v>1575</v>
      </c>
      <c r="Q17" s="844" t="s">
        <v>1576</v>
      </c>
      <c r="R17" s="116">
        <f t="shared" si="0"/>
        <v>1</v>
      </c>
      <c r="S17" s="116"/>
      <c r="T17" s="541"/>
      <c r="U17" s="1309"/>
      <c r="V17" s="1310"/>
      <c r="W17" s="1310"/>
      <c r="X17" s="1310"/>
      <c r="Y17" s="1310"/>
      <c r="Z17" s="1311"/>
      <c r="AF17" s="845"/>
    </row>
    <row r="18" spans="1:32" s="532" customFormat="1" ht="27.95" customHeight="1">
      <c r="A18" s="877">
        <v>14</v>
      </c>
      <c r="B18" s="847" t="s">
        <v>1577</v>
      </c>
      <c r="C18" s="1287"/>
      <c r="D18" s="1288"/>
      <c r="E18" s="252" t="s">
        <v>1776</v>
      </c>
      <c r="F18" s="113" t="s">
        <v>1578</v>
      </c>
      <c r="G18" s="113" t="s">
        <v>1564</v>
      </c>
      <c r="H18" s="850" t="s">
        <v>1579</v>
      </c>
      <c r="I18" s="252" t="s">
        <v>1580</v>
      </c>
      <c r="J18" s="843" t="s">
        <v>1581</v>
      </c>
      <c r="K18" s="843" t="s">
        <v>1573</v>
      </c>
      <c r="L18" s="843"/>
      <c r="M18" s="839" t="s">
        <v>1559</v>
      </c>
      <c r="N18" s="113" t="s">
        <v>1582</v>
      </c>
      <c r="O18" s="113" t="s">
        <v>1583</v>
      </c>
      <c r="P18" s="839" t="s">
        <v>1584</v>
      </c>
      <c r="Q18" s="113" t="s">
        <v>1550</v>
      </c>
      <c r="R18" s="116">
        <f>(COUNTA(C18:Q18))/12</f>
        <v>1</v>
      </c>
      <c r="S18" s="116"/>
      <c r="T18" s="541"/>
      <c r="U18" s="1309"/>
      <c r="V18" s="1310"/>
      <c r="W18" s="1310"/>
      <c r="X18" s="1310"/>
      <c r="Y18" s="1310"/>
      <c r="Z18" s="1311"/>
      <c r="AF18" s="845"/>
    </row>
    <row r="19" spans="1:32" ht="27.95" customHeight="1" thickBot="1">
      <c r="A19" s="877">
        <v>15</v>
      </c>
      <c r="B19" s="847" t="s">
        <v>1585</v>
      </c>
      <c r="C19" s="1287"/>
      <c r="D19" s="1288"/>
      <c r="E19" s="848" t="s">
        <v>1586</v>
      </c>
      <c r="F19" s="113" t="s">
        <v>168</v>
      </c>
      <c r="G19" s="125" t="s">
        <v>1587</v>
      </c>
      <c r="H19" s="113" t="s">
        <v>1588</v>
      </c>
      <c r="I19" s="850" t="s">
        <v>169</v>
      </c>
      <c r="J19" s="839" t="s">
        <v>1589</v>
      </c>
      <c r="K19" s="113" t="s">
        <v>1590</v>
      </c>
      <c r="L19" s="122"/>
      <c r="M19" s="113" t="s">
        <v>167</v>
      </c>
      <c r="N19" s="843" t="s">
        <v>1591</v>
      </c>
      <c r="O19" s="850" t="s">
        <v>1592</v>
      </c>
      <c r="P19" s="839" t="s">
        <v>1593</v>
      </c>
      <c r="Q19" s="850" t="s">
        <v>1594</v>
      </c>
      <c r="R19" s="116">
        <f t="shared" si="0"/>
        <v>1</v>
      </c>
      <c r="S19" s="116"/>
      <c r="U19" s="1312"/>
      <c r="V19" s="1313"/>
      <c r="W19" s="1313"/>
      <c r="X19" s="1313"/>
      <c r="Y19" s="1313"/>
      <c r="Z19" s="1314"/>
      <c r="AF19" s="841"/>
    </row>
    <row r="20" spans="1:32" ht="27.95" customHeight="1" thickBot="1">
      <c r="A20" s="877">
        <v>16</v>
      </c>
      <c r="B20" s="847" t="s">
        <v>1595</v>
      </c>
      <c r="C20" s="1321"/>
      <c r="D20" s="1322"/>
      <c r="E20" s="843" t="s">
        <v>1596</v>
      </c>
      <c r="F20" s="839" t="s">
        <v>1597</v>
      </c>
      <c r="G20" s="251" t="s">
        <v>1598</v>
      </c>
      <c r="H20" s="844" t="s">
        <v>1599</v>
      </c>
      <c r="I20" s="839" t="s">
        <v>1600</v>
      </c>
      <c r="J20" s="887" t="s">
        <v>1601</v>
      </c>
      <c r="K20" s="839" t="s">
        <v>170</v>
      </c>
      <c r="L20" s="839"/>
      <c r="M20" s="888" t="s">
        <v>1602</v>
      </c>
      <c r="N20" s="125" t="s">
        <v>1587</v>
      </c>
      <c r="O20" s="839" t="s">
        <v>1555</v>
      </c>
      <c r="P20" s="839" t="s">
        <v>1603</v>
      </c>
      <c r="Q20" s="251" t="s">
        <v>1604</v>
      </c>
      <c r="R20" s="116">
        <f>(COUNTA(C20:Q20))/12</f>
        <v>1</v>
      </c>
      <c r="S20" s="116"/>
      <c r="U20" s="1323" t="s">
        <v>1605</v>
      </c>
      <c r="V20" s="1324"/>
      <c r="W20" s="1324"/>
      <c r="X20" s="1324"/>
      <c r="Y20" s="1324"/>
      <c r="Z20" s="1325"/>
      <c r="AF20" s="841"/>
    </row>
    <row r="21" spans="1:32" ht="27.95" customHeight="1">
      <c r="A21" s="877">
        <v>17</v>
      </c>
      <c r="B21" s="879" t="s">
        <v>1606</v>
      </c>
      <c r="C21" s="889" t="s">
        <v>1607</v>
      </c>
      <c r="D21" s="864" t="s">
        <v>1608</v>
      </c>
      <c r="E21" s="839" t="s">
        <v>1609</v>
      </c>
      <c r="F21" s="125" t="s">
        <v>1587</v>
      </c>
      <c r="G21" s="113" t="s">
        <v>1610</v>
      </c>
      <c r="H21" s="113" t="s">
        <v>171</v>
      </c>
      <c r="I21" s="843" t="s">
        <v>1611</v>
      </c>
      <c r="J21" s="844" t="s">
        <v>1612</v>
      </c>
      <c r="K21" s="848" t="s">
        <v>1547</v>
      </c>
      <c r="L21" s="839"/>
      <c r="M21" s="113" t="s">
        <v>1613</v>
      </c>
      <c r="N21" s="839" t="s">
        <v>1614</v>
      </c>
      <c r="O21" s="839" t="s">
        <v>1615</v>
      </c>
      <c r="P21" s="1274"/>
      <c r="Q21" s="1275"/>
      <c r="R21" s="116">
        <f t="shared" si="0"/>
        <v>1</v>
      </c>
      <c r="S21" s="116"/>
      <c r="U21" s="1278" t="s">
        <v>1616</v>
      </c>
      <c r="V21" s="1279"/>
      <c r="W21" s="1279"/>
      <c r="X21" s="1279"/>
      <c r="Y21" s="1279"/>
      <c r="Z21" s="1280"/>
      <c r="AF21" s="841"/>
    </row>
    <row r="22" spans="1:32" s="532" customFormat="1" ht="27.95" customHeight="1" thickBot="1">
      <c r="A22" s="890">
        <v>18</v>
      </c>
      <c r="B22" s="891" t="s">
        <v>1617</v>
      </c>
      <c r="C22" s="892" t="s">
        <v>1618</v>
      </c>
      <c r="D22" s="893" t="s">
        <v>1619</v>
      </c>
      <c r="E22" s="172" t="s">
        <v>1777</v>
      </c>
      <c r="F22" s="123" t="s">
        <v>1620</v>
      </c>
      <c r="G22" s="123" t="s">
        <v>1621</v>
      </c>
      <c r="H22" s="123" t="s">
        <v>1622</v>
      </c>
      <c r="I22" s="894" t="s">
        <v>1623</v>
      </c>
      <c r="J22" s="868" t="s">
        <v>1547</v>
      </c>
      <c r="K22" s="867" t="s">
        <v>1624</v>
      </c>
      <c r="L22" s="894"/>
      <c r="M22" s="867" t="s">
        <v>1625</v>
      </c>
      <c r="N22" s="894" t="s">
        <v>165</v>
      </c>
      <c r="O22" s="868" t="s">
        <v>1611</v>
      </c>
      <c r="P22" s="1276"/>
      <c r="Q22" s="1277"/>
      <c r="R22" s="116">
        <f t="shared" si="0"/>
        <v>1</v>
      </c>
      <c r="S22" s="116"/>
      <c r="T22" s="541"/>
      <c r="U22" s="1281"/>
      <c r="V22" s="1282"/>
      <c r="W22" s="1282"/>
      <c r="X22" s="1282"/>
      <c r="Y22" s="1282"/>
      <c r="Z22" s="1283"/>
      <c r="AF22" s="845"/>
    </row>
    <row r="23" spans="1:32" s="532" customFormat="1" ht="27.95" customHeight="1" thickBot="1">
      <c r="A23" s="895" t="s">
        <v>209</v>
      </c>
      <c r="B23" s="896" t="s">
        <v>1626</v>
      </c>
      <c r="C23" s="1287"/>
      <c r="D23" s="1288"/>
      <c r="E23" s="851"/>
      <c r="F23" s="214" t="s">
        <v>1627</v>
      </c>
      <c r="G23" s="214" t="s">
        <v>1628</v>
      </c>
      <c r="H23" s="851"/>
      <c r="I23" s="851" t="s">
        <v>1629</v>
      </c>
      <c r="J23" s="897" t="s">
        <v>165</v>
      </c>
      <c r="K23" s="851"/>
      <c r="L23" s="853"/>
      <c r="M23" s="851"/>
      <c r="N23" s="851" t="s">
        <v>1630</v>
      </c>
      <c r="O23" s="179" t="s">
        <v>1469</v>
      </c>
      <c r="P23" s="851"/>
      <c r="Q23" s="851" t="s">
        <v>1631</v>
      </c>
      <c r="R23" s="116">
        <f>(COUNTA(C23:Q23))/7</f>
        <v>1</v>
      </c>
      <c r="S23" s="116"/>
      <c r="T23" s="541"/>
      <c r="U23" s="1284"/>
      <c r="V23" s="1285"/>
      <c r="W23" s="1285"/>
      <c r="X23" s="1285"/>
      <c r="Y23" s="1285"/>
      <c r="Z23" s="1286"/>
      <c r="AF23" s="845"/>
    </row>
    <row r="24" spans="1:32" s="903" customFormat="1" ht="27.95" customHeight="1" thickBot="1">
      <c r="A24" s="898"/>
      <c r="B24" s="899" t="s">
        <v>1632</v>
      </c>
      <c r="C24" s="1289"/>
      <c r="D24" s="1290"/>
      <c r="E24" s="900"/>
      <c r="F24" s="901"/>
      <c r="G24" s="124"/>
      <c r="H24" s="124"/>
      <c r="I24" s="244"/>
      <c r="J24" s="124"/>
      <c r="K24" s="124"/>
      <c r="L24" s="900"/>
      <c r="M24" s="124"/>
      <c r="N24" s="900"/>
      <c r="O24" s="900"/>
      <c r="P24" s="902"/>
      <c r="Q24" s="244"/>
      <c r="R24" s="116"/>
      <c r="S24" s="116"/>
      <c r="T24" s="541"/>
      <c r="U24" s="1291" t="s">
        <v>1633</v>
      </c>
      <c r="V24" s="1292"/>
      <c r="W24" s="1292"/>
      <c r="X24" s="1292"/>
      <c r="Y24" s="1292"/>
      <c r="Z24" s="1293"/>
      <c r="AF24" s="904"/>
    </row>
    <row r="25" spans="1:32" s="532" customFormat="1" ht="9.9499999999999993" customHeight="1" thickBot="1">
      <c r="A25" s="905"/>
      <c r="B25" s="906"/>
      <c r="C25" s="907"/>
      <c r="D25" s="908"/>
      <c r="E25" s="909"/>
      <c r="F25" s="910"/>
      <c r="G25" s="911"/>
      <c r="H25" s="912"/>
      <c r="I25" s="913"/>
      <c r="J25" s="914"/>
      <c r="K25" s="913"/>
      <c r="L25" s="909"/>
      <c r="M25" s="912"/>
      <c r="N25" s="910"/>
      <c r="O25" s="915"/>
      <c r="P25" s="909"/>
      <c r="Q25" s="909"/>
      <c r="R25" s="916"/>
      <c r="S25" s="916"/>
      <c r="T25" s="917"/>
      <c r="U25" s="1278" t="s">
        <v>1803</v>
      </c>
      <c r="V25" s="1279"/>
      <c r="W25" s="1279"/>
      <c r="X25" s="1279"/>
      <c r="Y25" s="1279"/>
      <c r="Z25" s="1280"/>
      <c r="AF25" s="845"/>
    </row>
    <row r="26" spans="1:32" s="532" customFormat="1" ht="120" customHeight="1">
      <c r="A26" s="918"/>
      <c r="B26" s="1137" t="s">
        <v>1634</v>
      </c>
      <c r="C26" s="1139"/>
      <c r="D26" s="1140"/>
      <c r="E26" s="883" t="s">
        <v>1635</v>
      </c>
      <c r="F26" s="887" t="s">
        <v>1636</v>
      </c>
      <c r="G26" s="919" t="s">
        <v>1637</v>
      </c>
      <c r="H26" s="883" t="s">
        <v>1638</v>
      </c>
      <c r="I26" s="851" t="s">
        <v>1639</v>
      </c>
      <c r="J26" s="871" t="s">
        <v>1640</v>
      </c>
      <c r="K26" s="920" t="s">
        <v>1641</v>
      </c>
      <c r="L26" s="897"/>
      <c r="M26" s="883" t="s">
        <v>1642</v>
      </c>
      <c r="N26" s="883" t="s">
        <v>1643</v>
      </c>
      <c r="O26" s="871" t="s">
        <v>1644</v>
      </c>
      <c r="P26" s="887" t="s">
        <v>1645</v>
      </c>
      <c r="Q26" s="851" t="s">
        <v>1646</v>
      </c>
      <c r="R26" s="116">
        <f>(COUNTA(C26:Q26))/12</f>
        <v>1</v>
      </c>
      <c r="S26" s="116"/>
      <c r="T26" s="917"/>
      <c r="U26" s="1281"/>
      <c r="V26" s="1282"/>
      <c r="W26" s="1282"/>
      <c r="X26" s="1282"/>
      <c r="Y26" s="1282"/>
      <c r="Z26" s="1283"/>
      <c r="AF26" s="845"/>
    </row>
    <row r="27" spans="1:32" s="532" customFormat="1" ht="120" customHeight="1">
      <c r="A27" s="921"/>
      <c r="B27" s="1138"/>
      <c r="C27" s="1141"/>
      <c r="D27" s="1142"/>
      <c r="E27" s="839" t="s">
        <v>173</v>
      </c>
      <c r="F27" s="839" t="s">
        <v>1647</v>
      </c>
      <c r="G27" s="839" t="s">
        <v>1648</v>
      </c>
      <c r="H27" s="251" t="s">
        <v>1649</v>
      </c>
      <c r="I27" s="843" t="s">
        <v>1727</v>
      </c>
      <c r="J27" s="839" t="s">
        <v>1650</v>
      </c>
      <c r="K27" s="251" t="s">
        <v>1651</v>
      </c>
      <c r="L27" s="839"/>
      <c r="M27" s="839" t="s">
        <v>1652</v>
      </c>
      <c r="N27" s="251" t="s">
        <v>1653</v>
      </c>
      <c r="O27" s="251" t="s">
        <v>1654</v>
      </c>
      <c r="P27" s="839" t="s">
        <v>1655</v>
      </c>
      <c r="Q27" s="839" t="s">
        <v>1656</v>
      </c>
      <c r="R27" s="916"/>
      <c r="S27" s="916"/>
      <c r="T27" s="917"/>
      <c r="U27" s="1281"/>
      <c r="V27" s="1282"/>
      <c r="W27" s="1282"/>
      <c r="X27" s="1282"/>
      <c r="Y27" s="1282"/>
      <c r="Z27" s="1283"/>
      <c r="AF27" s="845"/>
    </row>
    <row r="28" spans="1:32" s="532" customFormat="1" ht="120" customHeight="1" thickBot="1">
      <c r="A28" s="922"/>
      <c r="B28" s="891" t="s">
        <v>1657</v>
      </c>
      <c r="C28" s="1143"/>
      <c r="D28" s="1144"/>
      <c r="E28" s="868"/>
      <c r="F28" s="867" t="s">
        <v>1658</v>
      </c>
      <c r="G28" s="868" t="s">
        <v>1659</v>
      </c>
      <c r="H28" s="868" t="s">
        <v>1660</v>
      </c>
      <c r="I28" s="867" t="s">
        <v>1661</v>
      </c>
      <c r="J28" s="867" t="s">
        <v>1662</v>
      </c>
      <c r="K28" s="923" t="s">
        <v>1663</v>
      </c>
      <c r="L28" s="894"/>
      <c r="M28" s="868" t="s">
        <v>1664</v>
      </c>
      <c r="N28" s="867" t="s">
        <v>174</v>
      </c>
      <c r="O28" s="924" t="s">
        <v>1665</v>
      </c>
      <c r="P28" s="1294"/>
      <c r="Q28" s="1295"/>
      <c r="R28" s="116">
        <f>(COUNTA(C28:Q28))/9</f>
        <v>1</v>
      </c>
      <c r="S28" s="116"/>
      <c r="T28" s="917"/>
      <c r="U28" s="1281"/>
      <c r="V28" s="1282"/>
      <c r="W28" s="1282"/>
      <c r="X28" s="1282"/>
      <c r="Y28" s="1282"/>
      <c r="Z28" s="1283"/>
      <c r="AF28" s="845"/>
    </row>
    <row r="29" spans="1:32" s="532" customFormat="1" ht="9.9499999999999993" customHeight="1" thickBot="1">
      <c r="A29" s="925"/>
      <c r="B29" s="925"/>
      <c r="C29" s="926"/>
      <c r="D29" s="926"/>
      <c r="E29" s="926"/>
      <c r="F29" s="926"/>
      <c r="G29" s="926"/>
      <c r="H29" s="926"/>
      <c r="I29" s="926"/>
      <c r="J29" s="926"/>
      <c r="K29" s="926"/>
      <c r="L29" s="926"/>
      <c r="M29" s="926"/>
      <c r="N29" s="926"/>
      <c r="O29" s="926"/>
      <c r="P29" s="926"/>
      <c r="Q29" s="926"/>
      <c r="R29" s="916"/>
      <c r="S29" s="916"/>
      <c r="T29" s="917"/>
      <c r="U29" s="1284"/>
      <c r="V29" s="1285"/>
      <c r="W29" s="1285"/>
      <c r="X29" s="1285"/>
      <c r="Y29" s="1285"/>
      <c r="Z29" s="1286"/>
      <c r="AF29" s="845"/>
    </row>
    <row r="30" spans="1:32" s="532" customFormat="1" ht="27.95" customHeight="1">
      <c r="A30" s="927"/>
      <c r="B30" s="928"/>
      <c r="C30" s="928"/>
      <c r="D30" s="929" t="s">
        <v>1666</v>
      </c>
      <c r="E30" s="930" t="s">
        <v>1</v>
      </c>
      <c r="F30" s="930" t="s">
        <v>2</v>
      </c>
      <c r="G30" s="930" t="s">
        <v>3</v>
      </c>
      <c r="H30" s="930" t="s">
        <v>4</v>
      </c>
      <c r="I30" s="930" t="s">
        <v>5</v>
      </c>
      <c r="J30" s="930" t="s">
        <v>6</v>
      </c>
      <c r="K30" s="930" t="s">
        <v>7</v>
      </c>
      <c r="L30" s="931" t="s">
        <v>16</v>
      </c>
      <c r="M30" s="930" t="s">
        <v>9</v>
      </c>
      <c r="N30" s="930" t="s">
        <v>10</v>
      </c>
      <c r="O30" s="930" t="s">
        <v>11</v>
      </c>
      <c r="P30" s="930" t="s">
        <v>12</v>
      </c>
      <c r="Q30" s="932" t="s">
        <v>13</v>
      </c>
      <c r="R30" s="833"/>
      <c r="S30" s="833"/>
      <c r="T30" s="917"/>
      <c r="U30" s="1255" t="s">
        <v>1667</v>
      </c>
      <c r="V30" s="1256"/>
      <c r="W30" s="1256"/>
      <c r="X30" s="1256"/>
      <c r="Y30" s="1256"/>
      <c r="Z30" s="1257"/>
      <c r="AF30" s="845"/>
    </row>
    <row r="31" spans="1:32" ht="27.95" customHeight="1">
      <c r="D31" s="933" t="s">
        <v>1668</v>
      </c>
      <c r="E31" s="934" t="s">
        <v>1467</v>
      </c>
      <c r="F31" s="935" t="s">
        <v>1506</v>
      </c>
      <c r="G31" s="935" t="s">
        <v>1533</v>
      </c>
      <c r="H31" s="936" t="s">
        <v>1492</v>
      </c>
      <c r="I31" s="937" t="s">
        <v>1463</v>
      </c>
      <c r="J31" s="936" t="s">
        <v>1528</v>
      </c>
      <c r="K31" s="843" t="s">
        <v>1669</v>
      </c>
      <c r="L31" s="938"/>
      <c r="M31" s="939" t="s">
        <v>1464</v>
      </c>
      <c r="N31" s="843"/>
      <c r="O31" s="843" t="s">
        <v>1454</v>
      </c>
      <c r="P31" s="935" t="s">
        <v>1670</v>
      </c>
      <c r="Q31" s="940" t="s">
        <v>1671</v>
      </c>
      <c r="T31" s="941"/>
      <c r="U31" s="1258"/>
      <c r="V31" s="1259"/>
      <c r="W31" s="1259"/>
      <c r="X31" s="1259"/>
      <c r="Y31" s="1259"/>
      <c r="Z31" s="1260"/>
    </row>
    <row r="32" spans="1:32" s="903" customFormat="1" ht="45.75" customHeight="1">
      <c r="A32" s="514"/>
      <c r="B32" s="542"/>
      <c r="C32" s="542"/>
      <c r="D32" s="942" t="s">
        <v>1672</v>
      </c>
      <c r="E32" s="943"/>
      <c r="F32" s="937"/>
      <c r="G32" s="937"/>
      <c r="H32" s="844"/>
      <c r="I32" s="937"/>
      <c r="J32" s="844"/>
      <c r="K32" s="944"/>
      <c r="L32" s="945"/>
      <c r="M32" s="937"/>
      <c r="N32" s="937"/>
      <c r="O32" s="946"/>
      <c r="P32" s="937"/>
      <c r="Q32" s="947"/>
      <c r="R32" s="833"/>
      <c r="S32" s="833"/>
      <c r="T32" s="541"/>
      <c r="U32" s="1258"/>
      <c r="V32" s="1259"/>
      <c r="W32" s="1259"/>
      <c r="X32" s="1259"/>
      <c r="Y32" s="1259"/>
      <c r="Z32" s="1260"/>
    </row>
    <row r="33" spans="1:26" ht="27.95" customHeight="1">
      <c r="D33" s="942" t="s">
        <v>175</v>
      </c>
      <c r="E33" s="935"/>
      <c r="F33" s="937"/>
      <c r="G33" s="937"/>
      <c r="H33" s="935" t="s">
        <v>1673</v>
      </c>
      <c r="I33" s="937" t="s">
        <v>1674</v>
      </c>
      <c r="J33" s="948" t="s">
        <v>176</v>
      </c>
      <c r="K33" s="937" t="s">
        <v>1675</v>
      </c>
      <c r="L33" s="938"/>
      <c r="M33" s="937"/>
      <c r="N33" s="935" t="s">
        <v>1676</v>
      </c>
      <c r="O33" s="937"/>
      <c r="P33" s="946"/>
      <c r="Q33" s="949"/>
      <c r="U33" s="1258"/>
      <c r="V33" s="1259"/>
      <c r="W33" s="1259"/>
      <c r="X33" s="1259"/>
      <c r="Y33" s="1259"/>
      <c r="Z33" s="1260"/>
    </row>
    <row r="34" spans="1:26" ht="42" customHeight="1" thickBot="1">
      <c r="D34" s="950" t="s">
        <v>1677</v>
      </c>
      <c r="E34" s="951"/>
      <c r="F34" s="951" t="s">
        <v>1678</v>
      </c>
      <c r="G34" s="951" t="s">
        <v>1679</v>
      </c>
      <c r="H34" s="952"/>
      <c r="I34" s="952"/>
      <c r="J34" s="952"/>
      <c r="K34" s="953" t="s">
        <v>1680</v>
      </c>
      <c r="L34" s="954"/>
      <c r="M34" s="955" t="s">
        <v>1681</v>
      </c>
      <c r="N34" s="956" t="s">
        <v>1682</v>
      </c>
      <c r="O34" s="951" t="s">
        <v>1683</v>
      </c>
      <c r="P34" s="951" t="s">
        <v>1684</v>
      </c>
      <c r="Q34" s="957" t="s">
        <v>1685</v>
      </c>
      <c r="U34" s="1261"/>
      <c r="V34" s="1262"/>
      <c r="W34" s="1262"/>
      <c r="X34" s="1262"/>
      <c r="Y34" s="1262"/>
      <c r="Z34" s="1263"/>
    </row>
    <row r="35" spans="1:26" ht="42" customHeight="1">
      <c r="D35" s="958"/>
      <c r="E35" s="959"/>
      <c r="F35" s="960"/>
      <c r="G35" s="958"/>
      <c r="H35" s="958"/>
      <c r="I35" s="958"/>
      <c r="J35" s="958"/>
      <c r="K35" s="958"/>
      <c r="L35" s="961"/>
      <c r="M35" s="958"/>
      <c r="N35" s="958"/>
      <c r="O35" s="958"/>
      <c r="P35" s="958"/>
      <c r="Q35" s="958"/>
      <c r="U35" s="962"/>
      <c r="V35" s="962"/>
      <c r="W35" s="962"/>
      <c r="X35" s="962"/>
      <c r="Y35" s="962"/>
    </row>
    <row r="36" spans="1:26" ht="42" customHeight="1">
      <c r="E36" s="541">
        <f t="shared" ref="E36:J36" si="1">COUNTBLANK(E4:E21)</f>
        <v>2</v>
      </c>
      <c r="F36" s="541">
        <f>COUNTBLANK(F4:F21)</f>
        <v>2</v>
      </c>
      <c r="G36" s="541">
        <f t="shared" si="1"/>
        <v>2</v>
      </c>
      <c r="H36" s="541">
        <f>COUNTBLANK(H4:H21)</f>
        <v>2</v>
      </c>
      <c r="I36" s="541">
        <f>COUNTBLANK(I4:I21)</f>
        <v>2</v>
      </c>
      <c r="J36" s="541">
        <f t="shared" si="1"/>
        <v>2</v>
      </c>
      <c r="K36" s="541">
        <f>COUNTBLANK(K4:K22)</f>
        <v>2</v>
      </c>
      <c r="L36" s="541"/>
      <c r="M36" s="541">
        <f>COUNTBLANK(M4:M21)</f>
        <v>2</v>
      </c>
      <c r="N36" s="541">
        <f>COUNTBLANK(N4:N21)</f>
        <v>2</v>
      </c>
      <c r="O36" s="541">
        <f>COUNTBLANK(O4:O21)</f>
        <v>2</v>
      </c>
      <c r="P36" s="541">
        <f>COUNTBLANK(P4:P20)-2</f>
        <v>2</v>
      </c>
      <c r="Q36" s="541">
        <f>COUNTBLANK(Q4:Q20)-2</f>
        <v>2</v>
      </c>
      <c r="U36" s="962"/>
      <c r="V36" s="962"/>
      <c r="W36" s="962"/>
      <c r="X36" s="962"/>
      <c r="Y36" s="962"/>
    </row>
    <row r="37" spans="1:26">
      <c r="B37" s="963"/>
      <c r="C37" s="963"/>
      <c r="D37" s="963"/>
      <c r="E37" s="964"/>
      <c r="F37" s="964"/>
      <c r="G37" s="964"/>
      <c r="H37" s="964"/>
      <c r="I37" s="964"/>
      <c r="J37" s="964"/>
      <c r="K37" s="964"/>
      <c r="L37" s="965"/>
      <c r="M37" s="964"/>
      <c r="N37" s="964"/>
      <c r="O37" s="964"/>
      <c r="P37" s="964"/>
      <c r="Q37" s="964"/>
      <c r="R37" s="966"/>
      <c r="S37" s="966"/>
    </row>
    <row r="38" spans="1:26">
      <c r="B38" s="967" t="s">
        <v>1686</v>
      </c>
      <c r="C38" s="968"/>
      <c r="D38" s="969"/>
      <c r="E38" s="970"/>
      <c r="F38" s="970"/>
      <c r="G38" s="971" t="s">
        <v>1687</v>
      </c>
      <c r="H38" s="972" t="s">
        <v>1630</v>
      </c>
      <c r="I38" s="973" t="s">
        <v>1576</v>
      </c>
      <c r="J38" s="887" t="s">
        <v>1622</v>
      </c>
      <c r="K38" s="974" t="s">
        <v>1688</v>
      </c>
      <c r="L38" s="975"/>
      <c r="M38" s="976"/>
      <c r="N38" s="976"/>
      <c r="O38" s="976"/>
      <c r="P38" s="977"/>
      <c r="Q38" s="978"/>
      <c r="R38" s="979"/>
      <c r="S38" s="980"/>
      <c r="T38" s="981"/>
    </row>
    <row r="39" spans="1:26">
      <c r="D39" s="968"/>
      <c r="E39" s="970"/>
      <c r="F39" s="976"/>
      <c r="G39" s="976"/>
      <c r="H39" s="976"/>
      <c r="I39" s="978"/>
      <c r="J39" s="976"/>
      <c r="K39" s="978"/>
      <c r="L39" s="982"/>
      <c r="M39" s="976"/>
      <c r="N39" s="976"/>
      <c r="O39" s="976"/>
      <c r="P39" s="978"/>
      <c r="Q39" s="978"/>
      <c r="R39" s="983"/>
      <c r="S39" s="984"/>
    </row>
    <row r="40" spans="1:26">
      <c r="D40" s="1264" t="s">
        <v>177</v>
      </c>
      <c r="E40" s="1264"/>
      <c r="F40" s="1264"/>
      <c r="G40" s="1264"/>
      <c r="H40" s="1264"/>
      <c r="I40" s="1264"/>
      <c r="J40" s="1264"/>
      <c r="K40" s="1264"/>
      <c r="L40" s="1264"/>
      <c r="M40" s="1264"/>
      <c r="N40" s="1264"/>
      <c r="O40" s="1264"/>
      <c r="P40" s="1264"/>
      <c r="Q40" s="1264"/>
      <c r="R40" s="1264"/>
      <c r="S40" s="1265"/>
    </row>
    <row r="41" spans="1:26" ht="21">
      <c r="A41" s="542"/>
      <c r="D41" s="15" t="s">
        <v>1689</v>
      </c>
      <c r="E41" s="8" t="s">
        <v>1</v>
      </c>
      <c r="F41" s="8" t="s">
        <v>2</v>
      </c>
      <c r="G41" s="8" t="s">
        <v>3</v>
      </c>
      <c r="H41" s="8" t="s">
        <v>4</v>
      </c>
      <c r="I41" s="8" t="s">
        <v>5</v>
      </c>
      <c r="J41" s="8" t="s">
        <v>6</v>
      </c>
      <c r="K41" s="8" t="s">
        <v>7</v>
      </c>
      <c r="L41" s="16" t="s">
        <v>8</v>
      </c>
      <c r="M41" s="8" t="s">
        <v>9</v>
      </c>
      <c r="N41" s="8" t="s">
        <v>1690</v>
      </c>
      <c r="O41" s="8" t="s">
        <v>11</v>
      </c>
      <c r="P41" s="8" t="s">
        <v>12</v>
      </c>
      <c r="Q41" s="8" t="s">
        <v>1691</v>
      </c>
      <c r="R41" s="8" t="s">
        <v>14</v>
      </c>
      <c r="S41" s="8" t="s">
        <v>15</v>
      </c>
    </row>
    <row r="42" spans="1:26" ht="27.95" customHeight="1">
      <c r="A42" s="542"/>
      <c r="D42" s="229" t="s">
        <v>1692</v>
      </c>
      <c r="E42" s="218"/>
      <c r="F42" s="985"/>
      <c r="G42" s="986"/>
      <c r="H42" s="987"/>
      <c r="I42" s="986"/>
      <c r="J42" s="988"/>
      <c r="K42" s="987"/>
      <c r="L42" s="989"/>
      <c r="M42" s="990" t="s">
        <v>1693</v>
      </c>
      <c r="N42" s="126"/>
      <c r="O42" s="991" t="s">
        <v>1694</v>
      </c>
      <c r="P42" s="127" t="s">
        <v>1695</v>
      </c>
      <c r="Q42" s="128"/>
      <c r="R42" s="992"/>
      <c r="S42" s="993"/>
    </row>
    <row r="43" spans="1:26">
      <c r="A43" s="542"/>
      <c r="D43" s="1266" t="s">
        <v>1696</v>
      </c>
      <c r="E43" s="1267"/>
      <c r="F43" s="1267"/>
      <c r="G43" s="1267"/>
      <c r="H43" s="1267"/>
      <c r="I43" s="1267"/>
      <c r="J43" s="1267"/>
      <c r="K43" s="1267"/>
      <c r="L43" s="1267"/>
      <c r="M43" s="1267"/>
      <c r="N43" s="1267"/>
      <c r="O43" s="1267"/>
      <c r="P43" s="1267"/>
      <c r="Q43" s="1267"/>
      <c r="R43" s="1267"/>
      <c r="S43" s="1268"/>
      <c r="T43" s="514"/>
    </row>
    <row r="44" spans="1:26" ht="27.95" customHeight="1">
      <c r="A44" s="542"/>
      <c r="D44" s="994" t="s">
        <v>19</v>
      </c>
      <c r="E44" s="995"/>
      <c r="F44" s="996"/>
      <c r="G44" s="995"/>
      <c r="H44" s="995"/>
      <c r="I44" s="995"/>
      <c r="J44" s="995"/>
      <c r="K44" s="223"/>
      <c r="L44" s="224"/>
      <c r="M44" s="996"/>
      <c r="N44" s="997"/>
      <c r="O44" s="996"/>
      <c r="P44" s="995"/>
      <c r="Q44" s="995"/>
      <c r="R44" s="214"/>
      <c r="S44" s="214"/>
      <c r="T44" s="514"/>
    </row>
    <row r="45" spans="1:26" ht="27.95" customHeight="1">
      <c r="A45" s="542"/>
      <c r="D45" s="994" t="s">
        <v>1697</v>
      </c>
      <c r="E45" s="996" t="s">
        <v>1698</v>
      </c>
      <c r="F45" s="72"/>
      <c r="G45" s="223" t="s">
        <v>1699</v>
      </c>
      <c r="H45" s="223"/>
      <c r="I45" s="72"/>
      <c r="J45" s="223"/>
      <c r="K45" s="225"/>
      <c r="L45" s="224"/>
      <c r="M45" s="19"/>
      <c r="N45" s="223"/>
      <c r="O45" s="228" t="s">
        <v>1700</v>
      </c>
      <c r="P45" s="223"/>
      <c r="Q45" s="228"/>
      <c r="R45" s="223"/>
      <c r="S45" s="223"/>
      <c r="T45" s="514"/>
    </row>
    <row r="46" spans="1:26" ht="27.95" customHeight="1">
      <c r="A46" s="542"/>
      <c r="D46" s="998" t="s">
        <v>1701</v>
      </c>
      <c r="E46" s="999"/>
      <c r="F46" s="999"/>
      <c r="G46" s="999" t="s">
        <v>1702</v>
      </c>
      <c r="H46" s="1000"/>
      <c r="I46" s="1000"/>
      <c r="J46" s="999"/>
      <c r="K46" s="1001"/>
      <c r="L46" s="224"/>
      <c r="M46" s="1002"/>
      <c r="N46" s="1002"/>
      <c r="O46" s="1002"/>
      <c r="P46" s="1000"/>
      <c r="Q46" s="999" t="s">
        <v>1703</v>
      </c>
      <c r="R46" s="1003"/>
      <c r="S46" s="1003"/>
      <c r="T46" s="514"/>
    </row>
    <row r="47" spans="1:26" ht="27.95" customHeight="1">
      <c r="A47" s="542"/>
      <c r="D47" s="1004" t="s">
        <v>1704</v>
      </c>
      <c r="E47" s="1005"/>
      <c r="F47" s="1005"/>
      <c r="G47" s="1005"/>
      <c r="H47" s="1000"/>
      <c r="I47" s="1000"/>
      <c r="J47" s="1006"/>
      <c r="K47" s="1005"/>
      <c r="L47" s="129"/>
      <c r="M47" s="1007"/>
      <c r="N47" s="1007"/>
      <c r="O47" s="1000"/>
      <c r="P47" s="1008"/>
      <c r="Q47" s="1005"/>
      <c r="R47" s="1005"/>
      <c r="S47" s="1005"/>
      <c r="T47" s="514"/>
    </row>
    <row r="48" spans="1:26">
      <c r="D48" s="1267" t="s">
        <v>1705</v>
      </c>
      <c r="E48" s="1267"/>
      <c r="F48" s="1267"/>
      <c r="G48" s="1267"/>
      <c r="H48" s="1267"/>
      <c r="I48" s="1267"/>
      <c r="J48" s="1267"/>
      <c r="K48" s="1267"/>
      <c r="L48" s="1267"/>
      <c r="M48" s="1267"/>
      <c r="N48" s="1267"/>
      <c r="O48" s="1267"/>
      <c r="P48" s="1267"/>
      <c r="Q48" s="1267"/>
      <c r="R48" s="1267"/>
      <c r="S48" s="1267"/>
    </row>
    <row r="49" spans="4:19" ht="27.95" customHeight="1">
      <c r="D49" s="1004" t="s">
        <v>1706</v>
      </c>
      <c r="E49" s="1003"/>
      <c r="F49" s="1003"/>
      <c r="G49" s="1003"/>
      <c r="H49" s="1005"/>
      <c r="I49" s="1003"/>
      <c r="J49" s="1009"/>
      <c r="K49" s="1010"/>
      <c r="L49" s="1009"/>
      <c r="M49" s="1007"/>
      <c r="N49" s="1005"/>
      <c r="O49" s="1007" t="s">
        <v>178</v>
      </c>
      <c r="P49" s="1007"/>
      <c r="Q49" s="1005"/>
      <c r="R49" s="1005"/>
      <c r="S49" s="1006"/>
    </row>
    <row r="50" spans="4:19" ht="27.95" customHeight="1">
      <c r="D50" s="1011" t="s">
        <v>21</v>
      </c>
      <c r="E50" s="995"/>
      <c r="F50" s="1012"/>
      <c r="G50" s="1013"/>
      <c r="H50" s="995"/>
      <c r="I50" s="995"/>
      <c r="J50" s="1014"/>
      <c r="K50" s="1015"/>
      <c r="L50" s="1016"/>
      <c r="M50" s="1012"/>
      <c r="N50" s="1013"/>
      <c r="O50" s="1012"/>
      <c r="P50" s="1016"/>
      <c r="Q50" s="995"/>
      <c r="R50" s="1013"/>
      <c r="S50" s="1016"/>
    </row>
    <row r="51" spans="4:19">
      <c r="D51" s="1269" t="s">
        <v>1707</v>
      </c>
      <c r="E51" s="1270"/>
      <c r="F51" s="1270"/>
      <c r="G51" s="1270"/>
      <c r="H51" s="1270"/>
      <c r="I51" s="1270"/>
      <c r="J51" s="1270"/>
      <c r="K51" s="1270"/>
      <c r="L51" s="1270"/>
      <c r="M51" s="1270"/>
      <c r="N51" s="1270"/>
      <c r="O51" s="1270"/>
      <c r="P51" s="1270"/>
      <c r="Q51" s="1270"/>
      <c r="R51" s="1270"/>
      <c r="S51" s="1271"/>
    </row>
    <row r="52" spans="4:19" ht="27.95" customHeight="1">
      <c r="D52" s="219" t="s">
        <v>1708</v>
      </c>
      <c r="E52" s="222" t="s">
        <v>1709</v>
      </c>
      <c r="F52" s="222"/>
      <c r="G52" s="222"/>
      <c r="H52" s="84"/>
      <c r="I52" s="225"/>
      <c r="J52" s="83" t="s">
        <v>1710</v>
      </c>
      <c r="K52" s="83"/>
      <c r="L52" s="84"/>
      <c r="M52" s="1017"/>
      <c r="N52" s="82"/>
      <c r="O52" s="230"/>
      <c r="P52" s="230"/>
      <c r="Q52" s="220"/>
      <c r="R52" s="228"/>
      <c r="S52" s="227"/>
    </row>
    <row r="53" spans="4:19" ht="27.95" customHeight="1">
      <c r="D53" s="219" t="s">
        <v>1711</v>
      </c>
      <c r="E53" s="84"/>
      <c r="F53" s="222"/>
      <c r="G53" s="228" t="s">
        <v>1712</v>
      </c>
      <c r="H53" s="221"/>
      <c r="I53" s="84"/>
      <c r="J53" s="83" t="s">
        <v>1713</v>
      </c>
      <c r="K53" s="84"/>
      <c r="L53" s="84"/>
      <c r="M53" s="228" t="s">
        <v>1714</v>
      </c>
      <c r="N53" s="83"/>
      <c r="O53" s="72"/>
      <c r="P53" s="72"/>
      <c r="Q53" s="84"/>
      <c r="R53" s="226"/>
      <c r="S53" s="228"/>
    </row>
    <row r="54" spans="4:19" ht="27.75" customHeight="1">
      <c r="D54" s="130" t="s">
        <v>1715</v>
      </c>
      <c r="E54" s="227"/>
      <c r="F54" s="228"/>
      <c r="G54" s="228"/>
      <c r="H54" s="84" t="s">
        <v>1716</v>
      </c>
      <c r="I54" s="84" t="s">
        <v>1717</v>
      </c>
      <c r="J54" s="84"/>
      <c r="K54" s="84"/>
      <c r="L54" s="84"/>
      <c r="M54" s="84"/>
      <c r="N54" s="84"/>
      <c r="O54" s="228"/>
      <c r="P54" s="84"/>
      <c r="Q54" s="84"/>
      <c r="R54" s="228"/>
      <c r="S54" s="84"/>
    </row>
    <row r="55" spans="4:19" ht="9.9499999999999993" customHeight="1">
      <c r="D55" s="1018"/>
    </row>
    <row r="56" spans="4:19" ht="27.95" customHeight="1">
      <c r="D56" s="1272" t="s">
        <v>179</v>
      </c>
      <c r="E56" s="215"/>
      <c r="F56" s="131" t="s">
        <v>1718</v>
      </c>
      <c r="G56" s="132"/>
      <c r="H56" s="132" t="s">
        <v>1719</v>
      </c>
      <c r="I56" s="131"/>
      <c r="J56" s="131" t="s">
        <v>1720</v>
      </c>
      <c r="K56" s="131"/>
      <c r="L56" s="122" t="s">
        <v>16</v>
      </c>
      <c r="M56" s="212"/>
      <c r="N56" s="212"/>
      <c r="O56" s="113" t="s">
        <v>762</v>
      </c>
      <c r="P56" s="113" t="s">
        <v>1721</v>
      </c>
      <c r="Q56" s="113"/>
      <c r="R56" s="1019"/>
      <c r="S56" s="980"/>
    </row>
    <row r="57" spans="4:19" ht="27.95" customHeight="1">
      <c r="D57" s="1273"/>
      <c r="E57" s="1020"/>
      <c r="F57" s="1020"/>
      <c r="G57" s="1021"/>
      <c r="H57" s="213" t="s">
        <v>1722</v>
      </c>
      <c r="I57" s="1021"/>
      <c r="J57" s="1021"/>
      <c r="K57" s="1021"/>
      <c r="L57" s="1022"/>
      <c r="M57" s="1023"/>
      <c r="N57" s="1023"/>
      <c r="O57" s="1023"/>
      <c r="P57" s="1024"/>
      <c r="Q57" s="1021"/>
      <c r="R57" s="1025"/>
      <c r="S57" s="1026"/>
    </row>
    <row r="58" spans="4:19">
      <c r="E58" s="1020"/>
      <c r="F58" s="1020"/>
      <c r="G58" s="1020"/>
      <c r="H58" s="1020"/>
      <c r="I58" s="1020"/>
      <c r="J58" s="1020"/>
      <c r="K58" s="1020"/>
      <c r="L58" s="1022"/>
      <c r="M58" s="1020"/>
      <c r="N58" s="1020"/>
      <c r="O58" s="1020"/>
      <c r="P58" s="1020"/>
      <c r="Q58" s="1020"/>
      <c r="R58" s="1025"/>
    </row>
    <row r="59" spans="4:19">
      <c r="E59" s="1020"/>
      <c r="F59" s="1027"/>
      <c r="G59" s="1027"/>
      <c r="H59" s="1027"/>
      <c r="I59" s="1027"/>
      <c r="J59" s="853"/>
      <c r="K59" s="1028"/>
      <c r="L59" s="1029"/>
      <c r="M59" s="853"/>
      <c r="N59" s="1029"/>
      <c r="O59" s="853"/>
      <c r="P59" s="1028"/>
      <c r="Q59" s="1029"/>
      <c r="R59" s="1029"/>
    </row>
    <row r="60" spans="4:19">
      <c r="E60" s="1020"/>
      <c r="F60" s="1020"/>
      <c r="G60" s="1020"/>
      <c r="H60" s="1020"/>
      <c r="I60" s="1020"/>
      <c r="J60" s="1020"/>
      <c r="K60" s="1020"/>
      <c r="L60" s="1022"/>
      <c r="M60" s="1020"/>
      <c r="N60" s="1020"/>
      <c r="O60" s="1020"/>
      <c r="P60" s="1020"/>
      <c r="Q60" s="1020"/>
      <c r="R60" s="1025"/>
    </row>
    <row r="61" spans="4:19">
      <c r="E61" s="1020"/>
      <c r="F61" s="1020"/>
      <c r="G61" s="1020"/>
      <c r="H61" s="1020"/>
      <c r="I61" s="1020"/>
      <c r="J61" s="1020"/>
      <c r="K61" s="1020"/>
      <c r="L61" s="1022"/>
      <c r="M61" s="1020"/>
      <c r="N61" s="1020"/>
      <c r="O61" s="1020"/>
      <c r="P61" s="1020"/>
      <c r="Q61" s="1020"/>
      <c r="R61" s="1025"/>
    </row>
    <row r="62" spans="4:19">
      <c r="E62" s="1020"/>
      <c r="F62" s="1020"/>
      <c r="G62" s="1020"/>
      <c r="H62" s="1020"/>
      <c r="I62" s="1020"/>
      <c r="J62" s="1020"/>
      <c r="K62" s="1020"/>
      <c r="L62" s="1022"/>
      <c r="M62" s="1020"/>
      <c r="N62" s="1020"/>
      <c r="O62" s="1020"/>
      <c r="P62" s="1020"/>
      <c r="Q62" s="1020"/>
      <c r="R62" s="1025"/>
    </row>
    <row r="63" spans="4:19">
      <c r="E63" s="1020"/>
      <c r="F63" s="1020"/>
      <c r="G63" s="1020"/>
      <c r="H63" s="1020"/>
      <c r="I63" s="1020"/>
      <c r="J63" s="1020"/>
      <c r="K63" s="1020"/>
      <c r="L63" s="1022"/>
      <c r="M63" s="1020"/>
      <c r="N63" s="1020"/>
      <c r="O63" s="1020"/>
      <c r="P63" s="1020"/>
      <c r="Q63" s="1020"/>
      <c r="R63" s="1025"/>
    </row>
    <row r="64" spans="4:19">
      <c r="E64" s="1020"/>
      <c r="F64" s="1020"/>
      <c r="G64" s="1020"/>
      <c r="H64" s="1020"/>
      <c r="I64" s="1020"/>
      <c r="J64" s="1020"/>
      <c r="K64" s="1020"/>
      <c r="L64" s="1022"/>
      <c r="M64" s="1020"/>
      <c r="N64" s="1020"/>
      <c r="O64" s="1020"/>
      <c r="P64" s="1020"/>
      <c r="Q64" s="1020"/>
      <c r="R64" s="1025"/>
    </row>
  </sheetData>
  <mergeCells count="24">
    <mergeCell ref="U20:Z20"/>
    <mergeCell ref="U4:Z4"/>
    <mergeCell ref="U5:Z8"/>
    <mergeCell ref="U9:Z9"/>
    <mergeCell ref="U10:Z19"/>
    <mergeCell ref="P12:Q13"/>
    <mergeCell ref="B26:B27"/>
    <mergeCell ref="C26:D28"/>
    <mergeCell ref="P28:Q28"/>
    <mergeCell ref="A1:Q1"/>
    <mergeCell ref="A2:Q2"/>
    <mergeCell ref="C4:D11"/>
    <mergeCell ref="C14:D20"/>
    <mergeCell ref="D56:D57"/>
    <mergeCell ref="P21:Q22"/>
    <mergeCell ref="U21:Z23"/>
    <mergeCell ref="C23:D24"/>
    <mergeCell ref="U24:Z24"/>
    <mergeCell ref="U25:Z29"/>
    <mergeCell ref="U30:Z34"/>
    <mergeCell ref="D40:S40"/>
    <mergeCell ref="D43:S43"/>
    <mergeCell ref="D48:S48"/>
    <mergeCell ref="D51:S51"/>
  </mergeCells>
  <phoneticPr fontId="40" type="noConversion"/>
  <printOptions horizontalCentered="1"/>
  <pageMargins left="0" right="0" top="0" bottom="0" header="0" footer="0"/>
  <pageSetup paperSize="9" scale="36" orientation="portrait" horizontalDpi="4294967293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62"/>
  <sheetViews>
    <sheetView topLeftCell="A5" zoomScale="85" zoomScaleNormal="85" zoomScalePageLayoutView="80" workbookViewId="0">
      <selection activeCell="R15" sqref="R15"/>
    </sheetView>
  </sheetViews>
  <sheetFormatPr defaultRowHeight="16.5"/>
  <cols>
    <col min="1" max="1" width="4.33203125" style="278" customWidth="1"/>
    <col min="2" max="2" width="13.33203125" style="485" customWidth="1"/>
    <col min="3" max="4" width="15.83203125" style="485" customWidth="1"/>
    <col min="5" max="11" width="15.83203125" style="277" customWidth="1"/>
    <col min="12" max="12" width="3.5" style="486" customWidth="1"/>
    <col min="13" max="17" width="15.83203125" style="277" customWidth="1"/>
    <col min="18" max="18" width="15.83203125" style="281" customWidth="1"/>
    <col min="19" max="19" width="15.83203125" style="277" customWidth="1"/>
    <col min="20" max="20" width="15.83203125" style="277" hidden="1" customWidth="1"/>
    <col min="21" max="21" width="2.1640625" style="277" customWidth="1"/>
    <col min="22" max="27" width="10.83203125" style="278" customWidth="1"/>
    <col min="28" max="16384" width="9.33203125" style="278"/>
  </cols>
  <sheetData>
    <row r="1" spans="1:32" ht="16.5" hidden="1" customHeight="1">
      <c r="A1" s="1401" t="s">
        <v>377</v>
      </c>
      <c r="B1" s="1402"/>
      <c r="C1" s="1402"/>
      <c r="D1" s="1402"/>
      <c r="E1" s="1402"/>
      <c r="F1" s="1402"/>
      <c r="G1" s="1402"/>
      <c r="H1" s="1402"/>
      <c r="I1" s="1402"/>
      <c r="J1" s="1402"/>
      <c r="K1" s="1402"/>
      <c r="L1" s="1402"/>
      <c r="M1" s="1402"/>
      <c r="N1" s="1402"/>
      <c r="O1" s="1402"/>
      <c r="P1" s="1402"/>
      <c r="Q1" s="1402"/>
      <c r="R1" s="276"/>
    </row>
    <row r="2" spans="1:32" ht="18" customHeight="1">
      <c r="A2" s="1403" t="s">
        <v>378</v>
      </c>
      <c r="B2" s="1404"/>
      <c r="C2" s="1404"/>
      <c r="D2" s="1404"/>
      <c r="E2" s="1404"/>
      <c r="F2" s="1404"/>
      <c r="G2" s="1404"/>
      <c r="H2" s="1404"/>
      <c r="I2" s="1404"/>
      <c r="J2" s="1404"/>
      <c r="K2" s="1404"/>
      <c r="L2" s="1404"/>
      <c r="M2" s="1404"/>
      <c r="N2" s="1404"/>
      <c r="O2" s="1404"/>
      <c r="P2" s="1404"/>
      <c r="Q2" s="1405"/>
      <c r="R2" s="279"/>
      <c r="S2" s="279"/>
      <c r="T2" s="279"/>
      <c r="U2" s="280"/>
      <c r="V2" s="281"/>
      <c r="W2" s="281"/>
      <c r="X2" s="281"/>
      <c r="Y2" s="281"/>
      <c r="Z2" s="281"/>
      <c r="AA2" s="281"/>
    </row>
    <row r="3" spans="1:32" ht="21" customHeight="1" thickBot="1">
      <c r="A3" s="282"/>
      <c r="B3" s="283" t="s">
        <v>379</v>
      </c>
      <c r="C3" s="284" t="s">
        <v>380</v>
      </c>
      <c r="D3" s="284" t="s">
        <v>148</v>
      </c>
      <c r="E3" s="285" t="s">
        <v>381</v>
      </c>
      <c r="F3" s="284" t="s">
        <v>2</v>
      </c>
      <c r="G3" s="284" t="s">
        <v>3</v>
      </c>
      <c r="H3" s="284" t="s">
        <v>382</v>
      </c>
      <c r="I3" s="284" t="s">
        <v>5</v>
      </c>
      <c r="J3" s="284" t="s">
        <v>383</v>
      </c>
      <c r="K3" s="284" t="s">
        <v>384</v>
      </c>
      <c r="L3" s="286" t="s">
        <v>8</v>
      </c>
      <c r="M3" s="284" t="s">
        <v>385</v>
      </c>
      <c r="N3" s="284" t="s">
        <v>10</v>
      </c>
      <c r="O3" s="284" t="s">
        <v>11</v>
      </c>
      <c r="P3" s="284" t="s">
        <v>12</v>
      </c>
      <c r="Q3" s="284" t="s">
        <v>13</v>
      </c>
      <c r="R3" s="287"/>
      <c r="T3" s="238">
        <f>AVERAGE(T4:T29)</f>
        <v>0.86994949494949514</v>
      </c>
      <c r="V3" s="281"/>
      <c r="W3" s="281"/>
      <c r="X3" s="281"/>
      <c r="Y3" s="281"/>
      <c r="Z3" s="281"/>
      <c r="AA3" s="281"/>
    </row>
    <row r="4" spans="1:32" ht="27.95" customHeight="1" thickBot="1">
      <c r="A4" s="288">
        <v>1</v>
      </c>
      <c r="B4" s="289" t="s">
        <v>386</v>
      </c>
      <c r="C4" s="1406"/>
      <c r="D4" s="1391"/>
      <c r="E4" s="195" t="s">
        <v>387</v>
      </c>
      <c r="F4" s="1057" t="s">
        <v>1772</v>
      </c>
      <c r="G4" s="196" t="s">
        <v>388</v>
      </c>
      <c r="H4" s="290" t="s">
        <v>389</v>
      </c>
      <c r="I4" s="291" t="s">
        <v>390</v>
      </c>
      <c r="J4" s="292" t="s">
        <v>391</v>
      </c>
      <c r="K4" s="293" t="s">
        <v>392</v>
      </c>
      <c r="L4" s="291"/>
      <c r="M4" s="294" t="s">
        <v>393</v>
      </c>
      <c r="N4" s="292" t="s">
        <v>394</v>
      </c>
      <c r="O4" s="293" t="s">
        <v>395</v>
      </c>
      <c r="P4" s="292" t="s">
        <v>396</v>
      </c>
      <c r="Q4" s="295" t="s">
        <v>397</v>
      </c>
      <c r="R4" s="296"/>
      <c r="S4" s="297"/>
      <c r="T4" s="116">
        <f>(COUNTA(C4:Q4))/12</f>
        <v>1</v>
      </c>
      <c r="V4" s="1306" t="s">
        <v>398</v>
      </c>
      <c r="W4" s="1307"/>
      <c r="X4" s="1307"/>
      <c r="Y4" s="1307"/>
      <c r="Z4" s="1307"/>
      <c r="AA4" s="1308"/>
      <c r="AF4" s="298"/>
    </row>
    <row r="5" spans="1:32" ht="27.95" customHeight="1">
      <c r="A5" s="288">
        <v>2</v>
      </c>
      <c r="B5" s="289" t="s">
        <v>399</v>
      </c>
      <c r="C5" s="1407"/>
      <c r="D5" s="1351"/>
      <c r="E5" s="299" t="s">
        <v>396</v>
      </c>
      <c r="F5" s="292" t="s">
        <v>400</v>
      </c>
      <c r="G5" s="290" t="s">
        <v>401</v>
      </c>
      <c r="H5" s="300" t="s">
        <v>402</v>
      </c>
      <c r="I5" s="195" t="s">
        <v>403</v>
      </c>
      <c r="J5" s="293" t="s">
        <v>404</v>
      </c>
      <c r="K5" s="291" t="s">
        <v>405</v>
      </c>
      <c r="L5" s="301"/>
      <c r="M5" s="299" t="s">
        <v>406</v>
      </c>
      <c r="N5" s="302" t="s">
        <v>407</v>
      </c>
      <c r="O5" s="303" t="s">
        <v>408</v>
      </c>
      <c r="P5" s="290" t="s">
        <v>409</v>
      </c>
      <c r="Q5" s="291" t="s">
        <v>410</v>
      </c>
      <c r="R5" s="296"/>
      <c r="S5" s="297"/>
      <c r="T5" s="116">
        <f>(COUNTA(C5:Q5))/12</f>
        <v>1</v>
      </c>
      <c r="V5" s="1376" t="s">
        <v>411</v>
      </c>
      <c r="W5" s="1282"/>
      <c r="X5" s="1282"/>
      <c r="Y5" s="1282"/>
      <c r="Z5" s="1282"/>
      <c r="AA5" s="1283"/>
      <c r="AF5" s="298"/>
    </row>
    <row r="6" spans="1:32" s="281" customFormat="1" ht="27.75" customHeight="1">
      <c r="A6" s="288">
        <v>3</v>
      </c>
      <c r="B6" s="289" t="s">
        <v>412</v>
      </c>
      <c r="C6" s="1407"/>
      <c r="D6" s="1351"/>
      <c r="E6" s="1058" t="s">
        <v>1774</v>
      </c>
      <c r="F6" s="1059" t="s">
        <v>1775</v>
      </c>
      <c r="G6" s="1057" t="s">
        <v>1773</v>
      </c>
      <c r="H6" s="291" t="s">
        <v>413</v>
      </c>
      <c r="I6" s="1075" t="s">
        <v>1744</v>
      </c>
      <c r="J6" s="1063" t="s">
        <v>1780</v>
      </c>
      <c r="K6" s="195" t="s">
        <v>403</v>
      </c>
      <c r="L6" s="291"/>
      <c r="M6" s="304" t="s">
        <v>414</v>
      </c>
      <c r="N6" s="1060" t="s">
        <v>1778</v>
      </c>
      <c r="O6" s="305" t="s">
        <v>415</v>
      </c>
      <c r="P6" s="306" t="s">
        <v>416</v>
      </c>
      <c r="Q6" s="306" t="s">
        <v>417</v>
      </c>
      <c r="R6" s="296"/>
      <c r="S6" s="297"/>
      <c r="T6" s="116">
        <f>(COUNTA(C6:Q6))/12</f>
        <v>1</v>
      </c>
      <c r="U6" s="277"/>
      <c r="V6" s="1281"/>
      <c r="W6" s="1282"/>
      <c r="X6" s="1282"/>
      <c r="Y6" s="1282"/>
      <c r="Z6" s="1282"/>
      <c r="AA6" s="1283"/>
      <c r="AF6" s="307"/>
    </row>
    <row r="7" spans="1:32" s="281" customFormat="1" ht="27.95" customHeight="1">
      <c r="A7" s="288">
        <v>4</v>
      </c>
      <c r="B7" s="308" t="s">
        <v>418</v>
      </c>
      <c r="C7" s="1407"/>
      <c r="D7" s="1351"/>
      <c r="E7" s="309"/>
      <c r="F7" s="309"/>
      <c r="G7" s="310"/>
      <c r="H7" s="311"/>
      <c r="I7" s="312"/>
      <c r="J7" s="311"/>
      <c r="K7" s="310"/>
      <c r="L7" s="291"/>
      <c r="M7" s="313"/>
      <c r="N7" s="156"/>
      <c r="O7" s="311"/>
      <c r="P7" s="197"/>
      <c r="Q7" s="314"/>
      <c r="R7" s="296"/>
      <c r="S7" s="297"/>
      <c r="T7" s="116">
        <f t="shared" ref="T7:T19" si="0">(COUNTA(C7:Q7))/12</f>
        <v>0</v>
      </c>
      <c r="U7" s="277"/>
      <c r="V7" s="1281"/>
      <c r="W7" s="1282"/>
      <c r="X7" s="1282"/>
      <c r="Y7" s="1282"/>
      <c r="Z7" s="1282"/>
      <c r="AA7" s="1283"/>
      <c r="AF7" s="307"/>
    </row>
    <row r="8" spans="1:32" s="281" customFormat="1" ht="27.95" customHeight="1" thickBot="1">
      <c r="A8" s="288">
        <v>5</v>
      </c>
      <c r="B8" s="315" t="s">
        <v>419</v>
      </c>
      <c r="C8" s="1407"/>
      <c r="D8" s="1351"/>
      <c r="E8" s="290" t="s">
        <v>420</v>
      </c>
      <c r="F8" s="316" t="s">
        <v>421</v>
      </c>
      <c r="G8" s="299" t="s">
        <v>422</v>
      </c>
      <c r="H8" s="196" t="s">
        <v>423</v>
      </c>
      <c r="I8" s="291" t="s">
        <v>424</v>
      </c>
      <c r="J8" s="291" t="s">
        <v>416</v>
      </c>
      <c r="K8" s="125" t="s">
        <v>425</v>
      </c>
      <c r="L8" s="291"/>
      <c r="M8" s="292" t="s">
        <v>426</v>
      </c>
      <c r="N8" s="291" t="s">
        <v>427</v>
      </c>
      <c r="O8" s="291" t="s">
        <v>405</v>
      </c>
      <c r="P8" s="292" t="s">
        <v>401</v>
      </c>
      <c r="Q8" s="316" t="s">
        <v>428</v>
      </c>
      <c r="R8" s="296"/>
      <c r="S8" s="297"/>
      <c r="T8" s="116">
        <f t="shared" si="0"/>
        <v>1</v>
      </c>
      <c r="U8" s="277"/>
      <c r="V8" s="1281"/>
      <c r="W8" s="1282"/>
      <c r="X8" s="1282"/>
      <c r="Y8" s="1282"/>
      <c r="Z8" s="1282"/>
      <c r="AA8" s="1283"/>
      <c r="AF8" s="307"/>
    </row>
    <row r="9" spans="1:32" s="281" customFormat="1" ht="27.95" customHeight="1" thickBot="1">
      <c r="A9" s="288">
        <v>6</v>
      </c>
      <c r="B9" s="317" t="s">
        <v>429</v>
      </c>
      <c r="C9" s="1408"/>
      <c r="D9" s="1393"/>
      <c r="E9" s="293" t="s">
        <v>430</v>
      </c>
      <c r="F9" s="291" t="s">
        <v>431</v>
      </c>
      <c r="G9" s="295" t="s">
        <v>397</v>
      </c>
      <c r="H9" s="196" t="s">
        <v>238</v>
      </c>
      <c r="I9" s="293" t="s">
        <v>416</v>
      </c>
      <c r="J9" s="316" t="s">
        <v>432</v>
      </c>
      <c r="K9" s="291" t="s">
        <v>433</v>
      </c>
      <c r="L9" s="291"/>
      <c r="M9" s="318" t="s">
        <v>424</v>
      </c>
      <c r="N9" s="316" t="s">
        <v>400</v>
      </c>
      <c r="O9" s="195" t="s">
        <v>240</v>
      </c>
      <c r="P9" s="291" t="s">
        <v>402</v>
      </c>
      <c r="Q9" s="316" t="s">
        <v>423</v>
      </c>
      <c r="R9" s="296"/>
      <c r="S9" s="297"/>
      <c r="T9" s="116">
        <f t="shared" si="0"/>
        <v>1</v>
      </c>
      <c r="U9" s="277"/>
      <c r="V9" s="1291" t="s">
        <v>157</v>
      </c>
      <c r="W9" s="1292"/>
      <c r="X9" s="1292"/>
      <c r="Y9" s="1292"/>
      <c r="Z9" s="1292"/>
      <c r="AA9" s="1293"/>
      <c r="AF9" s="307"/>
    </row>
    <row r="10" spans="1:32" s="281" customFormat="1" ht="27.95" customHeight="1">
      <c r="A10" s="288">
        <v>7</v>
      </c>
      <c r="B10" s="319" t="s">
        <v>434</v>
      </c>
      <c r="C10" s="301" t="s">
        <v>403</v>
      </c>
      <c r="D10" s="301" t="s">
        <v>423</v>
      </c>
      <c r="E10" s="198" t="s">
        <v>239</v>
      </c>
      <c r="F10" s="290" t="s">
        <v>435</v>
      </c>
      <c r="G10" s="196" t="s">
        <v>240</v>
      </c>
      <c r="H10" s="292" t="s">
        <v>396</v>
      </c>
      <c r="I10" s="196" t="s">
        <v>436</v>
      </c>
      <c r="J10" s="290" t="s">
        <v>427</v>
      </c>
      <c r="K10" s="320" t="s">
        <v>437</v>
      </c>
      <c r="L10" s="301"/>
      <c r="M10" s="164" t="s">
        <v>438</v>
      </c>
      <c r="N10" s="304" t="s">
        <v>439</v>
      </c>
      <c r="O10" s="1056"/>
      <c r="P10" s="1390"/>
      <c r="Q10" s="1391"/>
      <c r="R10" s="296"/>
      <c r="S10" s="297"/>
      <c r="T10" s="116">
        <f t="shared" si="0"/>
        <v>0.91666666666666663</v>
      </c>
      <c r="U10" s="277"/>
      <c r="V10" s="1278" t="s">
        <v>440</v>
      </c>
      <c r="W10" s="1279"/>
      <c r="X10" s="1279"/>
      <c r="Y10" s="1279"/>
      <c r="Z10" s="1279"/>
      <c r="AA10" s="1280"/>
      <c r="AF10" s="307"/>
    </row>
    <row r="11" spans="1:32" s="281" customFormat="1" ht="27.95" customHeight="1">
      <c r="A11" s="288">
        <v>8</v>
      </c>
      <c r="B11" s="319" t="s">
        <v>441</v>
      </c>
      <c r="C11" s="301" t="s">
        <v>442</v>
      </c>
      <c r="D11" s="301" t="s">
        <v>443</v>
      </c>
      <c r="E11" s="321" t="s">
        <v>444</v>
      </c>
      <c r="F11" s="195" t="s">
        <v>403</v>
      </c>
      <c r="G11" s="291" t="s">
        <v>445</v>
      </c>
      <c r="H11" s="299" t="s">
        <v>446</v>
      </c>
      <c r="I11" s="322" t="s">
        <v>447</v>
      </c>
      <c r="J11" s="291" t="s">
        <v>421</v>
      </c>
      <c r="K11" s="301" t="s">
        <v>408</v>
      </c>
      <c r="L11" s="291"/>
      <c r="M11" s="323" t="s">
        <v>448</v>
      </c>
      <c r="N11" s="292" t="s">
        <v>449</v>
      </c>
      <c r="O11" s="318" t="s">
        <v>404</v>
      </c>
      <c r="P11" s="1392"/>
      <c r="Q11" s="1393"/>
      <c r="R11" s="324"/>
      <c r="S11" s="297"/>
      <c r="T11" s="116">
        <f t="shared" si="0"/>
        <v>1</v>
      </c>
      <c r="U11" s="277"/>
      <c r="V11" s="1281"/>
      <c r="W11" s="1282"/>
      <c r="X11" s="1282"/>
      <c r="Y11" s="1282"/>
      <c r="Z11" s="1282"/>
      <c r="AA11" s="1283"/>
      <c r="AF11" s="307"/>
    </row>
    <row r="12" spans="1:32" s="281" customFormat="1" ht="27.95" customHeight="1" thickBot="1">
      <c r="A12" s="288">
        <v>9</v>
      </c>
      <c r="B12" s="325" t="s">
        <v>450</v>
      </c>
      <c r="C12" s="1394"/>
      <c r="D12" s="1395"/>
      <c r="E12" s="207" t="s">
        <v>451</v>
      </c>
      <c r="F12" s="326" t="s">
        <v>417</v>
      </c>
      <c r="G12" s="327" t="s">
        <v>452</v>
      </c>
      <c r="H12" s="328" t="s">
        <v>427</v>
      </c>
      <c r="I12" s="1076" t="s">
        <v>1799</v>
      </c>
      <c r="J12" s="329" t="s">
        <v>425</v>
      </c>
      <c r="K12" s="326" t="s">
        <v>438</v>
      </c>
      <c r="L12" s="330"/>
      <c r="M12" s="328" t="s">
        <v>453</v>
      </c>
      <c r="N12" s="326" t="s">
        <v>454</v>
      </c>
      <c r="O12" s="331" t="s">
        <v>455</v>
      </c>
      <c r="P12" s="328" t="s">
        <v>432</v>
      </c>
      <c r="Q12" s="332" t="s">
        <v>456</v>
      </c>
      <c r="R12" s="324"/>
      <c r="S12" s="297"/>
      <c r="T12" s="116">
        <f>(COUNTA(C12:P12))/12</f>
        <v>0.91666666666666663</v>
      </c>
      <c r="U12" s="277"/>
      <c r="V12" s="1281"/>
      <c r="W12" s="1282"/>
      <c r="X12" s="1282"/>
      <c r="Y12" s="1282"/>
      <c r="Z12" s="1282"/>
      <c r="AA12" s="1283"/>
      <c r="AF12" s="307"/>
    </row>
    <row r="13" spans="1:32" s="281" customFormat="1" ht="27.95" customHeight="1">
      <c r="A13" s="288">
        <v>10</v>
      </c>
      <c r="B13" s="333" t="s">
        <v>457</v>
      </c>
      <c r="C13" s="1348"/>
      <c r="D13" s="1349"/>
      <c r="E13" s="334" t="s">
        <v>458</v>
      </c>
      <c r="F13" s="335" t="s">
        <v>459</v>
      </c>
      <c r="G13" s="336" t="s">
        <v>460</v>
      </c>
      <c r="H13" s="293" t="s">
        <v>461</v>
      </c>
      <c r="I13" s="199" t="s">
        <v>241</v>
      </c>
      <c r="J13" s="337" t="s">
        <v>242</v>
      </c>
      <c r="K13" s="338" t="s">
        <v>243</v>
      </c>
      <c r="L13" s="339"/>
      <c r="M13" s="340" t="s">
        <v>462</v>
      </c>
      <c r="N13" s="1061" t="s">
        <v>1779</v>
      </c>
      <c r="O13" s="341" t="s">
        <v>463</v>
      </c>
      <c r="P13" s="305" t="s">
        <v>464</v>
      </c>
      <c r="Q13" s="342" t="s">
        <v>465</v>
      </c>
      <c r="R13" s="296"/>
      <c r="S13" s="297"/>
      <c r="T13" s="116">
        <f t="shared" si="0"/>
        <v>1</v>
      </c>
      <c r="U13" s="277"/>
      <c r="V13" s="1281"/>
      <c r="W13" s="1282"/>
      <c r="X13" s="1282"/>
      <c r="Y13" s="1282"/>
      <c r="Z13" s="1282"/>
      <c r="AA13" s="1283"/>
      <c r="AF13" s="307"/>
    </row>
    <row r="14" spans="1:32" s="281" customFormat="1" ht="27.95" customHeight="1">
      <c r="A14" s="288">
        <v>11</v>
      </c>
      <c r="B14" s="333" t="s">
        <v>466</v>
      </c>
      <c r="C14" s="1350"/>
      <c r="D14" s="1351"/>
      <c r="E14" s="200" t="s">
        <v>467</v>
      </c>
      <c r="F14" s="340" t="s">
        <v>456</v>
      </c>
      <c r="G14" s="300" t="s">
        <v>468</v>
      </c>
      <c r="H14" s="290" t="s">
        <v>244</v>
      </c>
      <c r="I14" s="343" t="s">
        <v>469</v>
      </c>
      <c r="J14" s="195" t="s">
        <v>470</v>
      </c>
      <c r="K14" s="291" t="s">
        <v>471</v>
      </c>
      <c r="L14" s="339"/>
      <c r="M14" s="344" t="s">
        <v>472</v>
      </c>
      <c r="N14" s="336" t="s">
        <v>461</v>
      </c>
      <c r="O14" s="336" t="s">
        <v>473</v>
      </c>
      <c r="P14" s="195" t="s">
        <v>245</v>
      </c>
      <c r="Q14" s="291" t="s">
        <v>460</v>
      </c>
      <c r="R14" s="324"/>
      <c r="S14" s="297"/>
      <c r="T14" s="116">
        <f t="shared" si="0"/>
        <v>1</v>
      </c>
      <c r="U14" s="277"/>
      <c r="V14" s="1281"/>
      <c r="W14" s="1282"/>
      <c r="X14" s="1282"/>
      <c r="Y14" s="1282"/>
      <c r="Z14" s="1282"/>
      <c r="AA14" s="1283"/>
      <c r="AF14" s="307"/>
    </row>
    <row r="15" spans="1:32" s="281" customFormat="1" ht="27.95" customHeight="1">
      <c r="A15" s="288">
        <v>12</v>
      </c>
      <c r="B15" s="345" t="s">
        <v>246</v>
      </c>
      <c r="C15" s="1350"/>
      <c r="D15" s="1351"/>
      <c r="E15" s="294" t="s">
        <v>472</v>
      </c>
      <c r="F15" s="290" t="s">
        <v>474</v>
      </c>
      <c r="G15" s="318" t="s">
        <v>475</v>
      </c>
      <c r="H15" s="293" t="s">
        <v>473</v>
      </c>
      <c r="I15" s="340" t="s">
        <v>476</v>
      </c>
      <c r="J15" s="195" t="s">
        <v>477</v>
      </c>
      <c r="K15" s="336" t="s">
        <v>478</v>
      </c>
      <c r="L15" s="301"/>
      <c r="M15" s="202" t="s">
        <v>479</v>
      </c>
      <c r="N15" s="346" t="s">
        <v>480</v>
      </c>
      <c r="O15" s="336" t="s">
        <v>481</v>
      </c>
      <c r="P15" s="203" t="s">
        <v>482</v>
      </c>
      <c r="Q15" s="195" t="s">
        <v>477</v>
      </c>
      <c r="R15" s="324"/>
      <c r="S15" s="297"/>
      <c r="T15" s="116">
        <f t="shared" si="0"/>
        <v>1</v>
      </c>
      <c r="U15" s="277"/>
      <c r="V15" s="1281"/>
      <c r="W15" s="1282"/>
      <c r="X15" s="1282"/>
      <c r="Y15" s="1282"/>
      <c r="Z15" s="1282"/>
      <c r="AA15" s="1283"/>
      <c r="AF15" s="307"/>
    </row>
    <row r="16" spans="1:32" ht="27.95" customHeight="1" thickBot="1">
      <c r="A16" s="288">
        <v>13</v>
      </c>
      <c r="B16" s="333" t="s">
        <v>483</v>
      </c>
      <c r="C16" s="1350"/>
      <c r="D16" s="1351"/>
      <c r="E16" s="321" t="s">
        <v>484</v>
      </c>
      <c r="F16" s="347" t="s">
        <v>485</v>
      </c>
      <c r="G16" s="290" t="s">
        <v>486</v>
      </c>
      <c r="H16" s="292" t="s">
        <v>474</v>
      </c>
      <c r="I16" s="305" t="s">
        <v>487</v>
      </c>
      <c r="J16" s="305" t="s">
        <v>488</v>
      </c>
      <c r="K16" s="292" t="s">
        <v>489</v>
      </c>
      <c r="L16" s="301"/>
      <c r="M16" s="348" t="s">
        <v>490</v>
      </c>
      <c r="N16" s="290" t="s">
        <v>491</v>
      </c>
      <c r="O16" s="292" t="s">
        <v>492</v>
      </c>
      <c r="P16" s="290" t="s">
        <v>493</v>
      </c>
      <c r="Q16" s="290" t="s">
        <v>494</v>
      </c>
      <c r="R16" s="324"/>
      <c r="S16" s="297"/>
      <c r="T16" s="116">
        <f t="shared" si="0"/>
        <v>1</v>
      </c>
      <c r="V16" s="1281"/>
      <c r="W16" s="1282"/>
      <c r="X16" s="1282"/>
      <c r="Y16" s="1282"/>
      <c r="Z16" s="1282"/>
      <c r="AA16" s="1283"/>
      <c r="AF16" s="298"/>
    </row>
    <row r="17" spans="1:32" ht="27.95" customHeight="1" thickBot="1">
      <c r="A17" s="288"/>
      <c r="B17" s="345" t="s">
        <v>495</v>
      </c>
      <c r="C17" s="1350"/>
      <c r="D17" s="1351"/>
      <c r="E17" s="323" t="s">
        <v>496</v>
      </c>
      <c r="F17" s="292" t="s">
        <v>497</v>
      </c>
      <c r="G17" s="1062" t="s">
        <v>1781</v>
      </c>
      <c r="H17" s="201" t="s">
        <v>498</v>
      </c>
      <c r="I17" s="290" t="s">
        <v>468</v>
      </c>
      <c r="J17" s="204" t="s">
        <v>499</v>
      </c>
      <c r="K17" s="340" t="s">
        <v>488</v>
      </c>
      <c r="L17" s="301"/>
      <c r="M17" s="290" t="s">
        <v>500</v>
      </c>
      <c r="N17" s="290" t="s">
        <v>501</v>
      </c>
      <c r="O17" s="349"/>
      <c r="P17" s="1396" t="s">
        <v>502</v>
      </c>
      <c r="Q17" s="1397"/>
      <c r="R17" s="324"/>
      <c r="S17" s="297"/>
      <c r="T17" s="116">
        <f>(COUNTA(E17:O17))/9</f>
        <v>1</v>
      </c>
      <c r="V17" s="1398" t="s">
        <v>503</v>
      </c>
      <c r="W17" s="1399"/>
      <c r="X17" s="1399"/>
      <c r="Y17" s="1399"/>
      <c r="Z17" s="1399"/>
      <c r="AA17" s="1400"/>
      <c r="AF17" s="298"/>
    </row>
    <row r="18" spans="1:32" ht="27.95" customHeight="1">
      <c r="A18" s="350">
        <v>14</v>
      </c>
      <c r="B18" s="351" t="s">
        <v>504</v>
      </c>
      <c r="C18" s="352" t="s">
        <v>505</v>
      </c>
      <c r="D18" s="352" t="s">
        <v>506</v>
      </c>
      <c r="E18" s="293" t="s">
        <v>507</v>
      </c>
      <c r="F18" s="290" t="s">
        <v>508</v>
      </c>
      <c r="G18" s="353" t="s">
        <v>244</v>
      </c>
      <c r="H18" s="340" t="s">
        <v>509</v>
      </c>
      <c r="I18" s="354" t="s">
        <v>510</v>
      </c>
      <c r="J18" s="355" t="s">
        <v>511</v>
      </c>
      <c r="K18" s="291" t="s">
        <v>512</v>
      </c>
      <c r="L18" s="301"/>
      <c r="M18" s="321" t="s">
        <v>478</v>
      </c>
      <c r="N18" s="196" t="s">
        <v>513</v>
      </c>
      <c r="O18" s="292" t="s">
        <v>514</v>
      </c>
      <c r="P18" s="1371"/>
      <c r="Q18" s="1372"/>
      <c r="R18" s="324"/>
      <c r="S18" s="297"/>
      <c r="T18" s="116">
        <f t="shared" si="0"/>
        <v>1</v>
      </c>
      <c r="U18" s="356"/>
      <c r="V18" s="1373" t="s">
        <v>515</v>
      </c>
      <c r="W18" s="1374"/>
      <c r="X18" s="1374"/>
      <c r="Y18" s="1374"/>
      <c r="Z18" s="1374"/>
      <c r="AA18" s="1375"/>
      <c r="AF18" s="298"/>
    </row>
    <row r="19" spans="1:32" s="281" customFormat="1" ht="27.95" customHeight="1" thickBot="1">
      <c r="A19" s="357">
        <v>15</v>
      </c>
      <c r="B19" s="325" t="s">
        <v>516</v>
      </c>
      <c r="C19" s="1382"/>
      <c r="D19" s="1383"/>
      <c r="E19" s="358" t="s">
        <v>517</v>
      </c>
      <c r="F19" s="320" t="s">
        <v>518</v>
      </c>
      <c r="G19" s="359" t="s">
        <v>519</v>
      </c>
      <c r="H19" s="360" t="s">
        <v>520</v>
      </c>
      <c r="I19" s="332" t="s">
        <v>1763</v>
      </c>
      <c r="J19" s="318" t="s">
        <v>521</v>
      </c>
      <c r="K19" s="361" t="s">
        <v>522</v>
      </c>
      <c r="L19" s="362"/>
      <c r="M19" s="291" t="s">
        <v>488</v>
      </c>
      <c r="N19" s="363" t="s">
        <v>523</v>
      </c>
      <c r="O19" s="360" t="s">
        <v>485</v>
      </c>
      <c r="P19" s="332" t="s">
        <v>1771</v>
      </c>
      <c r="Q19" s="364" t="s">
        <v>524</v>
      </c>
      <c r="R19" s="324"/>
      <c r="S19" s="297"/>
      <c r="T19" s="116">
        <f t="shared" si="0"/>
        <v>1</v>
      </c>
      <c r="U19" s="356"/>
      <c r="V19" s="1376"/>
      <c r="W19" s="1377"/>
      <c r="X19" s="1377"/>
      <c r="Y19" s="1377"/>
      <c r="Z19" s="1377"/>
      <c r="AA19" s="1378"/>
      <c r="AF19" s="307"/>
    </row>
    <row r="20" spans="1:32" s="281" customFormat="1" ht="27.95" customHeight="1" thickBot="1">
      <c r="A20" s="365" t="s">
        <v>525</v>
      </c>
      <c r="B20" s="366" t="s">
        <v>526</v>
      </c>
      <c r="C20" s="1384"/>
      <c r="D20" s="1385"/>
      <c r="E20" s="367"/>
      <c r="F20" s="341" t="s">
        <v>237</v>
      </c>
      <c r="G20" s="368" t="s">
        <v>527</v>
      </c>
      <c r="H20" s="369"/>
      <c r="I20" s="336" t="s">
        <v>238</v>
      </c>
      <c r="J20" s="334" t="s">
        <v>393</v>
      </c>
      <c r="K20" s="334"/>
      <c r="L20" s="150"/>
      <c r="M20" s="342"/>
      <c r="N20" s="318" t="s">
        <v>528</v>
      </c>
      <c r="O20" s="370" t="s">
        <v>529</v>
      </c>
      <c r="P20" s="371"/>
      <c r="Q20" s="341" t="s">
        <v>530</v>
      </c>
      <c r="R20" s="372"/>
      <c r="S20" s="373"/>
      <c r="T20" s="116">
        <f>(COUNTA(C20:Q20))/7</f>
        <v>1</v>
      </c>
      <c r="U20" s="374"/>
      <c r="V20" s="1379"/>
      <c r="W20" s="1380"/>
      <c r="X20" s="1380"/>
      <c r="Y20" s="1380"/>
      <c r="Z20" s="1380"/>
      <c r="AA20" s="1381"/>
      <c r="AF20" s="307"/>
    </row>
    <row r="21" spans="1:32" s="281" customFormat="1" ht="27.95" customHeight="1" thickBot="1">
      <c r="A21" s="375"/>
      <c r="B21" s="376" t="s">
        <v>531</v>
      </c>
      <c r="C21" s="1386"/>
      <c r="D21" s="1387"/>
      <c r="E21" s="377"/>
      <c r="F21" s="311"/>
      <c r="G21" s="378"/>
      <c r="H21" s="310"/>
      <c r="I21" s="379"/>
      <c r="J21" s="379"/>
      <c r="K21" s="378"/>
      <c r="L21" s="380"/>
      <c r="M21" s="313"/>
      <c r="N21" s="381"/>
      <c r="O21" s="377"/>
      <c r="P21" s="378"/>
      <c r="Q21" s="382"/>
      <c r="R21" s="383"/>
      <c r="S21" s="373"/>
      <c r="T21" s="116">
        <f>(COUNTA(C21:Q21))/8</f>
        <v>0</v>
      </c>
      <c r="U21" s="374"/>
      <c r="V21" s="1388" t="s">
        <v>532</v>
      </c>
      <c r="W21" s="1388"/>
      <c r="X21" s="1388"/>
      <c r="Y21" s="1388"/>
      <c r="Z21" s="1388"/>
      <c r="AA21" s="1389"/>
      <c r="AF21" s="307"/>
    </row>
    <row r="22" spans="1:32" s="281" customFormat="1" ht="9.9499999999999993" customHeight="1" thickBot="1">
      <c r="A22" s="384"/>
      <c r="B22" s="385"/>
      <c r="C22" s="386"/>
      <c r="D22" s="387"/>
      <c r="E22" s="388"/>
      <c r="F22" s="205"/>
      <c r="G22" s="206"/>
      <c r="H22" s="389"/>
      <c r="I22" s="390"/>
      <c r="J22" s="389"/>
      <c r="K22" s="391"/>
      <c r="L22" s="392"/>
      <c r="M22" s="393"/>
      <c r="N22" s="394"/>
      <c r="O22" s="388"/>
      <c r="P22" s="395"/>
      <c r="Q22" s="388"/>
      <c r="R22" s="372"/>
      <c r="S22" s="373"/>
      <c r="T22" s="116"/>
      <c r="U22" s="374"/>
      <c r="V22" s="1278" t="s">
        <v>1801</v>
      </c>
      <c r="W22" s="1279"/>
      <c r="X22" s="1279"/>
      <c r="Y22" s="1279"/>
      <c r="Z22" s="1279"/>
      <c r="AA22" s="1280"/>
      <c r="AF22" s="307"/>
    </row>
    <row r="23" spans="1:32" s="281" customFormat="1" ht="120" customHeight="1">
      <c r="A23" s="396"/>
      <c r="B23" s="1346" t="s">
        <v>533</v>
      </c>
      <c r="C23" s="1348"/>
      <c r="D23" s="1349"/>
      <c r="E23" s="337" t="s">
        <v>534</v>
      </c>
      <c r="F23" s="334" t="s">
        <v>535</v>
      </c>
      <c r="G23" s="337" t="s">
        <v>536</v>
      </c>
      <c r="H23" s="342" t="s">
        <v>537</v>
      </c>
      <c r="I23" s="337" t="s">
        <v>538</v>
      </c>
      <c r="J23" s="334" t="s">
        <v>539</v>
      </c>
      <c r="K23" s="342" t="s">
        <v>540</v>
      </c>
      <c r="L23" s="397"/>
      <c r="M23" s="342" t="s">
        <v>541</v>
      </c>
      <c r="N23" s="337" t="s">
        <v>542</v>
      </c>
      <c r="O23" s="398" t="s">
        <v>543</v>
      </c>
      <c r="P23" s="399" t="s">
        <v>544</v>
      </c>
      <c r="Q23" s="398" t="s">
        <v>545</v>
      </c>
      <c r="R23" s="400"/>
      <c r="S23" s="373"/>
      <c r="T23" s="116">
        <f>(COUNTA(C23:Q23))/12</f>
        <v>1</v>
      </c>
      <c r="U23" s="374"/>
      <c r="V23" s="1281"/>
      <c r="W23" s="1282"/>
      <c r="X23" s="1282"/>
      <c r="Y23" s="1282"/>
      <c r="Z23" s="1282"/>
      <c r="AA23" s="1283"/>
      <c r="AF23" s="307"/>
    </row>
    <row r="24" spans="1:32" s="281" customFormat="1" ht="120" customHeight="1" thickBot="1">
      <c r="A24" s="401"/>
      <c r="B24" s="1347"/>
      <c r="C24" s="1350"/>
      <c r="D24" s="1351"/>
      <c r="E24" s="300" t="s">
        <v>546</v>
      </c>
      <c r="F24" s="300" t="s">
        <v>547</v>
      </c>
      <c r="G24" s="290" t="s">
        <v>548</v>
      </c>
      <c r="H24" s="126" t="s">
        <v>549</v>
      </c>
      <c r="I24" s="126" t="s">
        <v>550</v>
      </c>
      <c r="J24" s="402" t="s">
        <v>551</v>
      </c>
      <c r="K24" s="403" t="s">
        <v>552</v>
      </c>
      <c r="L24" s="208"/>
      <c r="M24" s="404" t="s">
        <v>1729</v>
      </c>
      <c r="N24" s="405" t="s">
        <v>553</v>
      </c>
      <c r="O24" s="126" t="s">
        <v>554</v>
      </c>
      <c r="P24" s="300" t="s">
        <v>555</v>
      </c>
      <c r="Q24" s="300" t="s">
        <v>556</v>
      </c>
      <c r="R24" s="400"/>
      <c r="S24" s="373"/>
      <c r="T24" s="406"/>
      <c r="U24" s="374"/>
      <c r="V24" s="1284"/>
      <c r="W24" s="1285"/>
      <c r="X24" s="1285"/>
      <c r="Y24" s="1285"/>
      <c r="Z24" s="1285"/>
      <c r="AA24" s="1286"/>
      <c r="AF24" s="307"/>
    </row>
    <row r="25" spans="1:32" s="281" customFormat="1" ht="99.95" customHeight="1" thickBot="1">
      <c r="A25" s="407"/>
      <c r="B25" s="408" t="s">
        <v>557</v>
      </c>
      <c r="C25" s="1352"/>
      <c r="D25" s="1353"/>
      <c r="E25" s="409" t="s">
        <v>180</v>
      </c>
      <c r="F25" s="363"/>
      <c r="G25" s="328" t="s">
        <v>558</v>
      </c>
      <c r="H25" s="327" t="s">
        <v>559</v>
      </c>
      <c r="I25" s="363" t="s">
        <v>560</v>
      </c>
      <c r="J25" s="410"/>
      <c r="K25" s="327"/>
      <c r="L25" s="411"/>
      <c r="M25" s="412" t="s">
        <v>561</v>
      </c>
      <c r="N25" s="327"/>
      <c r="O25" s="380" t="s">
        <v>562</v>
      </c>
      <c r="P25" s="413"/>
      <c r="Q25" s="414" t="s">
        <v>563</v>
      </c>
      <c r="R25" s="400"/>
      <c r="S25" s="373"/>
      <c r="T25" s="116">
        <f>(COUNTA(F25:O25))/9</f>
        <v>0.55555555555555558</v>
      </c>
      <c r="U25" s="373"/>
      <c r="V25" s="415"/>
      <c r="W25" s="416"/>
      <c r="X25" s="416"/>
      <c r="Y25" s="416"/>
      <c r="Z25" s="416"/>
      <c r="AA25" s="416"/>
      <c r="AF25" s="307"/>
    </row>
    <row r="26" spans="1:32" s="281" customFormat="1" ht="9.9499999999999993" customHeight="1" thickBot="1">
      <c r="A26" s="417"/>
      <c r="B26" s="418"/>
      <c r="C26" s="419"/>
      <c r="D26" s="420"/>
      <c r="E26" s="421"/>
      <c r="F26" s="422"/>
      <c r="G26" s="423"/>
      <c r="H26" s="424"/>
      <c r="I26" s="422"/>
      <c r="J26" s="425"/>
      <c r="K26" s="426"/>
      <c r="L26" s="427"/>
      <c r="M26" s="424"/>
      <c r="N26" s="424"/>
      <c r="O26" s="425"/>
      <c r="P26" s="428"/>
      <c r="Q26" s="429"/>
      <c r="R26" s="430"/>
      <c r="S26" s="431"/>
      <c r="T26" s="432"/>
      <c r="U26" s="373"/>
      <c r="V26" s="433"/>
      <c r="W26" s="416"/>
      <c r="X26" s="416"/>
      <c r="Y26" s="416"/>
      <c r="Z26" s="416"/>
      <c r="AA26" s="416"/>
      <c r="AF26" s="307"/>
    </row>
    <row r="27" spans="1:32" s="281" customFormat="1" ht="27.95" customHeight="1">
      <c r="A27" s="434"/>
      <c r="B27" s="283" t="s">
        <v>0</v>
      </c>
      <c r="C27" s="435" t="s">
        <v>147</v>
      </c>
      <c r="D27" s="435" t="s">
        <v>564</v>
      </c>
      <c r="E27" s="284" t="s">
        <v>381</v>
      </c>
      <c r="F27" s="284" t="s">
        <v>2</v>
      </c>
      <c r="G27" s="284" t="s">
        <v>565</v>
      </c>
      <c r="H27" s="284" t="s">
        <v>566</v>
      </c>
      <c r="I27" s="284" t="s">
        <v>5</v>
      </c>
      <c r="J27" s="284" t="s">
        <v>567</v>
      </c>
      <c r="K27" s="284" t="s">
        <v>384</v>
      </c>
      <c r="L27" s="286" t="s">
        <v>8</v>
      </c>
      <c r="M27" s="284" t="s">
        <v>385</v>
      </c>
      <c r="N27" s="284" t="s">
        <v>10</v>
      </c>
      <c r="O27" s="284" t="s">
        <v>11</v>
      </c>
      <c r="P27" s="284" t="s">
        <v>12</v>
      </c>
      <c r="Q27" s="284" t="s">
        <v>13</v>
      </c>
      <c r="R27" s="284" t="s">
        <v>14</v>
      </c>
      <c r="S27" s="284" t="s">
        <v>15</v>
      </c>
      <c r="T27" s="373"/>
      <c r="U27" s="373"/>
      <c r="V27" s="1354" t="s">
        <v>568</v>
      </c>
      <c r="W27" s="1355"/>
      <c r="X27" s="1355"/>
      <c r="Y27" s="1355"/>
      <c r="Z27" s="1355"/>
      <c r="AA27" s="1356"/>
    </row>
    <row r="28" spans="1:32" s="281" customFormat="1" ht="27.95" customHeight="1">
      <c r="A28" s="436">
        <v>16</v>
      </c>
      <c r="B28" s="437" t="s">
        <v>569</v>
      </c>
      <c r="C28" s="1363"/>
      <c r="D28" s="1364"/>
      <c r="E28" s="209" t="s">
        <v>570</v>
      </c>
      <c r="F28" s="438" t="s">
        <v>571</v>
      </c>
      <c r="G28" s="439" t="s">
        <v>572</v>
      </c>
      <c r="H28" s="290" t="s">
        <v>573</v>
      </c>
      <c r="I28" s="300" t="s">
        <v>574</v>
      </c>
      <c r="J28" s="302" t="s">
        <v>575</v>
      </c>
      <c r="K28" s="290"/>
      <c r="L28" s="440"/>
      <c r="M28" s="293" t="s">
        <v>238</v>
      </c>
      <c r="N28" s="331" t="s">
        <v>576</v>
      </c>
      <c r="O28" s="1077" t="s">
        <v>1800</v>
      </c>
      <c r="P28" s="196" t="s">
        <v>577</v>
      </c>
      <c r="Q28" s="293" t="s">
        <v>431</v>
      </c>
      <c r="R28" s="1367"/>
      <c r="S28" s="1368"/>
      <c r="T28" s="116">
        <f>(COUNTA(C28:Q28))/12</f>
        <v>0.91666666666666663</v>
      </c>
      <c r="U28" s="432"/>
      <c r="V28" s="1357"/>
      <c r="W28" s="1358"/>
      <c r="X28" s="1358"/>
      <c r="Y28" s="1358"/>
      <c r="Z28" s="1358"/>
      <c r="AA28" s="1359"/>
    </row>
    <row r="29" spans="1:32" s="281" customFormat="1" ht="27.95" customHeight="1" thickBot="1">
      <c r="A29" s="441">
        <v>17</v>
      </c>
      <c r="B29" s="442" t="s">
        <v>578</v>
      </c>
      <c r="C29" s="1365"/>
      <c r="D29" s="1366"/>
      <c r="E29" s="1369"/>
      <c r="F29" s="1370"/>
      <c r="G29" s="291" t="s">
        <v>579</v>
      </c>
      <c r="H29" s="326" t="s">
        <v>247</v>
      </c>
      <c r="I29" s="410" t="s">
        <v>580</v>
      </c>
      <c r="J29" s="300" t="s">
        <v>581</v>
      </c>
      <c r="K29" s="326" t="s">
        <v>428</v>
      </c>
      <c r="L29" s="443"/>
      <c r="M29" s="444" t="s">
        <v>582</v>
      </c>
      <c r="N29" s="210" t="s">
        <v>583</v>
      </c>
      <c r="O29" s="410" t="s">
        <v>584</v>
      </c>
      <c r="P29" s="445" t="s">
        <v>585</v>
      </c>
      <c r="Q29" s="446" t="s">
        <v>586</v>
      </c>
      <c r="R29" s="447" t="s">
        <v>587</v>
      </c>
      <c r="S29" s="448" t="s">
        <v>588</v>
      </c>
      <c r="T29" s="116">
        <f>(COUNTA(C29:Q29))/12</f>
        <v>0.83333333333333337</v>
      </c>
      <c r="U29" s="449"/>
      <c r="V29" s="1357"/>
      <c r="W29" s="1358"/>
      <c r="X29" s="1358"/>
      <c r="Y29" s="1358"/>
      <c r="Z29" s="1358"/>
      <c r="AA29" s="1359"/>
    </row>
    <row r="30" spans="1:32" s="281" customFormat="1" ht="9.9499999999999993" customHeight="1">
      <c r="A30" s="450"/>
      <c r="B30" s="450"/>
      <c r="C30" s="450"/>
      <c r="D30" s="450"/>
      <c r="E30" s="450"/>
      <c r="F30" s="450"/>
      <c r="G30" s="451"/>
      <c r="H30" s="450"/>
      <c r="I30" s="450"/>
      <c r="J30" s="452"/>
      <c r="K30" s="450"/>
      <c r="L30" s="450"/>
      <c r="M30" s="450"/>
      <c r="N30" s="450"/>
      <c r="O30" s="450"/>
      <c r="P30" s="450"/>
      <c r="Q30" s="450"/>
      <c r="R30" s="453"/>
      <c r="S30" s="373"/>
      <c r="T30" s="373"/>
      <c r="U30" s="373"/>
      <c r="V30" s="1357"/>
      <c r="W30" s="1358"/>
      <c r="X30" s="1358"/>
      <c r="Y30" s="1358"/>
      <c r="Z30" s="1358"/>
      <c r="AA30" s="1359"/>
      <c r="AF30" s="307"/>
    </row>
    <row r="31" spans="1:32" ht="21" customHeight="1">
      <c r="A31" s="454"/>
      <c r="B31" s="454"/>
      <c r="C31" s="454"/>
      <c r="D31" s="455" t="s">
        <v>589</v>
      </c>
      <c r="E31" s="456" t="s">
        <v>1</v>
      </c>
      <c r="F31" s="457" t="s">
        <v>2</v>
      </c>
      <c r="G31" s="457" t="s">
        <v>3</v>
      </c>
      <c r="H31" s="457" t="s">
        <v>4</v>
      </c>
      <c r="I31" s="457" t="s">
        <v>5</v>
      </c>
      <c r="J31" s="458" t="s">
        <v>6</v>
      </c>
      <c r="K31" s="458" t="s">
        <v>7</v>
      </c>
      <c r="L31" s="459" t="s">
        <v>16</v>
      </c>
      <c r="M31" s="456" t="s">
        <v>9</v>
      </c>
      <c r="N31" s="457" t="s">
        <v>10</v>
      </c>
      <c r="O31" s="458" t="s">
        <v>11</v>
      </c>
      <c r="P31" s="460" t="s">
        <v>12</v>
      </c>
      <c r="Q31" s="461" t="s">
        <v>13</v>
      </c>
      <c r="R31" s="298"/>
      <c r="V31" s="1357"/>
      <c r="W31" s="1358"/>
      <c r="X31" s="1358"/>
      <c r="Y31" s="1358"/>
      <c r="Z31" s="1358"/>
      <c r="AA31" s="1359"/>
      <c r="AF31" s="298"/>
    </row>
    <row r="32" spans="1:32" ht="45.75" customHeight="1">
      <c r="A32" s="454"/>
      <c r="B32" s="454"/>
      <c r="C32" s="454"/>
      <c r="D32" s="462" t="s">
        <v>590</v>
      </c>
      <c r="E32" s="463" t="s">
        <v>388</v>
      </c>
      <c r="F32" s="338"/>
      <c r="G32" s="463" t="s">
        <v>591</v>
      </c>
      <c r="H32" s="339" t="s">
        <v>592</v>
      </c>
      <c r="I32" s="290" t="s">
        <v>593</v>
      </c>
      <c r="J32" s="335" t="s">
        <v>449</v>
      </c>
      <c r="K32" s="404" t="s">
        <v>435</v>
      </c>
      <c r="L32" s="150"/>
      <c r="M32" s="354"/>
      <c r="N32" s="354"/>
      <c r="O32" s="335" t="s">
        <v>594</v>
      </c>
      <c r="P32" s="301" t="s">
        <v>595</v>
      </c>
      <c r="Q32" s="464"/>
      <c r="R32" s="278"/>
      <c r="V32" s="1357"/>
      <c r="W32" s="1358"/>
      <c r="X32" s="1358"/>
      <c r="Y32" s="1358"/>
      <c r="Z32" s="1358"/>
      <c r="AA32" s="1359"/>
      <c r="AF32" s="298"/>
    </row>
    <row r="33" spans="1:32" ht="27.95" customHeight="1">
      <c r="A33" s="454"/>
      <c r="B33" s="454"/>
      <c r="C33" s="454"/>
      <c r="D33" s="465" t="s">
        <v>596</v>
      </c>
      <c r="E33" s="292"/>
      <c r="F33" s="290"/>
      <c r="G33" s="354"/>
      <c r="H33" s="290" t="s">
        <v>597</v>
      </c>
      <c r="I33" s="195"/>
      <c r="J33" s="466"/>
      <c r="K33" s="290"/>
      <c r="L33" s="467"/>
      <c r="M33" s="467"/>
      <c r="N33" s="467"/>
      <c r="O33" s="467"/>
      <c r="P33" s="354"/>
      <c r="Q33" s="468"/>
      <c r="R33" s="278"/>
      <c r="V33" s="1357"/>
      <c r="W33" s="1358"/>
      <c r="X33" s="1358"/>
      <c r="Y33" s="1358"/>
      <c r="Z33" s="1358"/>
      <c r="AA33" s="1359"/>
      <c r="AF33" s="298"/>
    </row>
    <row r="34" spans="1:32" ht="42" customHeight="1">
      <c r="A34" s="454"/>
      <c r="B34" s="454"/>
      <c r="C34" s="454"/>
      <c r="D34" s="465" t="s">
        <v>175</v>
      </c>
      <c r="E34" s="336"/>
      <c r="F34" s="354" t="s">
        <v>598</v>
      </c>
      <c r="G34" s="196"/>
      <c r="H34" s="290"/>
      <c r="I34" s="340"/>
      <c r="J34" s="292"/>
      <c r="K34" s="292"/>
      <c r="L34" s="354"/>
      <c r="M34" s="354" t="s">
        <v>599</v>
      </c>
      <c r="N34" s="469" t="s">
        <v>600</v>
      </c>
      <c r="O34" s="354" t="s">
        <v>601</v>
      </c>
      <c r="P34" s="470" t="s">
        <v>602</v>
      </c>
      <c r="Q34" s="468"/>
      <c r="R34" s="278"/>
      <c r="V34" s="1357"/>
      <c r="W34" s="1358"/>
      <c r="X34" s="1358"/>
      <c r="Y34" s="1358"/>
      <c r="Z34" s="1358"/>
      <c r="AA34" s="1359"/>
      <c r="AF34" s="298"/>
    </row>
    <row r="35" spans="1:32" ht="42" customHeight="1" thickBot="1">
      <c r="A35" s="454"/>
      <c r="B35" s="454"/>
      <c r="C35" s="454"/>
      <c r="D35" s="471" t="s">
        <v>603</v>
      </c>
      <c r="E35" s="472" t="s">
        <v>604</v>
      </c>
      <c r="F35" s="473"/>
      <c r="G35" s="474" t="s">
        <v>605</v>
      </c>
      <c r="H35" s="475"/>
      <c r="I35" s="474"/>
      <c r="J35" s="211"/>
      <c r="K35" s="475"/>
      <c r="L35" s="476"/>
      <c r="M35" s="475" t="s">
        <v>606</v>
      </c>
      <c r="N35" s="475" t="s">
        <v>607</v>
      </c>
      <c r="O35" s="477" t="s">
        <v>505</v>
      </c>
      <c r="P35" s="478" t="s">
        <v>608</v>
      </c>
      <c r="Q35" s="479" t="s">
        <v>609</v>
      </c>
      <c r="R35" s="278"/>
      <c r="V35" s="1360"/>
      <c r="W35" s="1361"/>
      <c r="X35" s="1361"/>
      <c r="Y35" s="1361"/>
      <c r="Z35" s="1361"/>
      <c r="AA35" s="1362"/>
      <c r="AF35" s="298"/>
    </row>
    <row r="36" spans="1:32" ht="18" customHeight="1" thickBot="1">
      <c r="A36" s="454"/>
      <c r="B36" s="454"/>
      <c r="C36" s="454"/>
      <c r="D36" s="454"/>
      <c r="E36" s="454"/>
      <c r="F36" s="454"/>
      <c r="G36" s="454"/>
      <c r="H36" s="454"/>
      <c r="I36" s="454"/>
      <c r="J36" s="454"/>
      <c r="K36" s="454"/>
      <c r="L36" s="454"/>
      <c r="M36" s="454"/>
      <c r="N36" s="454"/>
      <c r="O36" s="454"/>
      <c r="P36" s="454"/>
      <c r="Q36" s="454"/>
      <c r="R36" s="278"/>
      <c r="V36" s="1326" t="s">
        <v>610</v>
      </c>
      <c r="W36" s="1327"/>
      <c r="X36" s="1327"/>
      <c r="Y36" s="1327"/>
      <c r="Z36" s="1327"/>
      <c r="AA36" s="1327"/>
      <c r="AB36" s="480"/>
      <c r="AF36" s="298"/>
    </row>
    <row r="37" spans="1:32" ht="18" customHeight="1">
      <c r="A37" s="454"/>
      <c r="B37" s="454"/>
      <c r="C37" s="454"/>
      <c r="D37" s="1328" t="s">
        <v>611</v>
      </c>
      <c r="E37" s="1329"/>
      <c r="F37" s="1329"/>
      <c r="G37" s="1329"/>
      <c r="H37" s="1329"/>
      <c r="I37" s="1329"/>
      <c r="J37" s="1329"/>
      <c r="K37" s="1329"/>
      <c r="L37" s="1329"/>
      <c r="M37" s="1329"/>
      <c r="N37" s="1329"/>
      <c r="O37" s="1329"/>
      <c r="P37" s="1329"/>
      <c r="Q37" s="1330"/>
      <c r="R37" s="481"/>
      <c r="V37" s="1337" t="s">
        <v>612</v>
      </c>
      <c r="W37" s="1338"/>
      <c r="X37" s="1338"/>
      <c r="Y37" s="1338"/>
      <c r="Z37" s="1338"/>
      <c r="AA37" s="1339"/>
      <c r="AF37" s="298"/>
    </row>
    <row r="38" spans="1:32" ht="18" customHeight="1">
      <c r="A38" s="454"/>
      <c r="B38" s="454"/>
      <c r="C38" s="454"/>
      <c r="D38" s="1331"/>
      <c r="E38" s="1332"/>
      <c r="F38" s="1332"/>
      <c r="G38" s="1332"/>
      <c r="H38" s="1332"/>
      <c r="I38" s="1332"/>
      <c r="J38" s="1332"/>
      <c r="K38" s="1332"/>
      <c r="L38" s="1332"/>
      <c r="M38" s="1332"/>
      <c r="N38" s="1332"/>
      <c r="O38" s="1332"/>
      <c r="P38" s="1332"/>
      <c r="Q38" s="1333"/>
      <c r="R38" s="482"/>
      <c r="V38" s="1340"/>
      <c r="W38" s="1341"/>
      <c r="X38" s="1341"/>
      <c r="Y38" s="1341"/>
      <c r="Z38" s="1341"/>
      <c r="AA38" s="1342"/>
      <c r="AF38" s="298"/>
    </row>
    <row r="39" spans="1:32" ht="18" customHeight="1">
      <c r="A39" s="454"/>
      <c r="B39" s="454"/>
      <c r="C39" s="454"/>
      <c r="D39" s="1331"/>
      <c r="E39" s="1332"/>
      <c r="F39" s="1332"/>
      <c r="G39" s="1332"/>
      <c r="H39" s="1332"/>
      <c r="I39" s="1332"/>
      <c r="J39" s="1332"/>
      <c r="K39" s="1332"/>
      <c r="L39" s="1332"/>
      <c r="M39" s="1332"/>
      <c r="N39" s="1332"/>
      <c r="O39" s="1332"/>
      <c r="P39" s="1332"/>
      <c r="Q39" s="1333"/>
      <c r="R39" s="482"/>
      <c r="V39" s="1340"/>
      <c r="W39" s="1341"/>
      <c r="X39" s="1341"/>
      <c r="Y39" s="1341"/>
      <c r="Z39" s="1341"/>
      <c r="AA39" s="1342"/>
      <c r="AF39" s="298"/>
    </row>
    <row r="40" spans="1:32" ht="18" customHeight="1">
      <c r="A40" s="454"/>
      <c r="B40" s="454"/>
      <c r="C40" s="454"/>
      <c r="D40" s="1331"/>
      <c r="E40" s="1332"/>
      <c r="F40" s="1332"/>
      <c r="G40" s="1332"/>
      <c r="H40" s="1332"/>
      <c r="I40" s="1332"/>
      <c r="J40" s="1332"/>
      <c r="K40" s="1332"/>
      <c r="L40" s="1332"/>
      <c r="M40" s="1332"/>
      <c r="N40" s="1332"/>
      <c r="O40" s="1332"/>
      <c r="P40" s="1332"/>
      <c r="Q40" s="1333"/>
      <c r="R40" s="482"/>
      <c r="V40" s="1340"/>
      <c r="W40" s="1341"/>
      <c r="X40" s="1341"/>
      <c r="Y40" s="1341"/>
      <c r="Z40" s="1341"/>
      <c r="AA40" s="1342"/>
      <c r="AF40" s="298"/>
    </row>
    <row r="41" spans="1:32" ht="18" customHeight="1">
      <c r="A41" s="454"/>
      <c r="B41" s="454"/>
      <c r="C41" s="454"/>
      <c r="D41" s="1331"/>
      <c r="E41" s="1332"/>
      <c r="F41" s="1332"/>
      <c r="G41" s="1332"/>
      <c r="H41" s="1332"/>
      <c r="I41" s="1332"/>
      <c r="J41" s="1332"/>
      <c r="K41" s="1332"/>
      <c r="L41" s="1332"/>
      <c r="M41" s="1332"/>
      <c r="N41" s="1332"/>
      <c r="O41" s="1332"/>
      <c r="P41" s="1332"/>
      <c r="Q41" s="1333"/>
      <c r="R41" s="482"/>
      <c r="V41" s="1340"/>
      <c r="W41" s="1341"/>
      <c r="X41" s="1341"/>
      <c r="Y41" s="1341"/>
      <c r="Z41" s="1341"/>
      <c r="AA41" s="1342"/>
      <c r="AF41" s="298"/>
    </row>
    <row r="42" spans="1:32" ht="17.25" customHeight="1">
      <c r="A42" s="454"/>
      <c r="B42" s="454"/>
      <c r="C42" s="454"/>
      <c r="D42" s="1331"/>
      <c r="E42" s="1332"/>
      <c r="F42" s="1332"/>
      <c r="G42" s="1332"/>
      <c r="H42" s="1332"/>
      <c r="I42" s="1332"/>
      <c r="J42" s="1332"/>
      <c r="K42" s="1332"/>
      <c r="L42" s="1332"/>
      <c r="M42" s="1332"/>
      <c r="N42" s="1332"/>
      <c r="O42" s="1332"/>
      <c r="P42" s="1332"/>
      <c r="Q42" s="1333"/>
      <c r="R42" s="482"/>
      <c r="V42" s="1340"/>
      <c r="W42" s="1341"/>
      <c r="X42" s="1341"/>
      <c r="Y42" s="1341"/>
      <c r="Z42" s="1341"/>
      <c r="AA42" s="1342"/>
    </row>
    <row r="43" spans="1:32" s="281" customFormat="1" ht="27.95" customHeight="1">
      <c r="A43" s="454"/>
      <c r="B43" s="454"/>
      <c r="C43" s="454"/>
      <c r="D43" s="1331"/>
      <c r="E43" s="1332"/>
      <c r="F43" s="1332"/>
      <c r="G43" s="1332"/>
      <c r="H43" s="1332"/>
      <c r="I43" s="1332"/>
      <c r="J43" s="1332"/>
      <c r="K43" s="1332"/>
      <c r="L43" s="1332"/>
      <c r="M43" s="1332"/>
      <c r="N43" s="1332"/>
      <c r="O43" s="1332"/>
      <c r="P43" s="1332"/>
      <c r="Q43" s="1333"/>
      <c r="R43" s="482"/>
      <c r="S43" s="482"/>
      <c r="T43" s="482"/>
      <c r="U43" s="482"/>
      <c r="V43" s="1340"/>
      <c r="W43" s="1341"/>
      <c r="X43" s="1341"/>
      <c r="Y43" s="1341"/>
      <c r="Z43" s="1341"/>
      <c r="AA43" s="1342"/>
    </row>
    <row r="44" spans="1:32" s="281" customFormat="1" ht="27.95" customHeight="1">
      <c r="A44" s="454"/>
      <c r="B44" s="454"/>
      <c r="C44" s="454"/>
      <c r="D44" s="1331"/>
      <c r="E44" s="1332"/>
      <c r="F44" s="1332"/>
      <c r="G44" s="1332"/>
      <c r="H44" s="1332"/>
      <c r="I44" s="1332"/>
      <c r="J44" s="1332"/>
      <c r="K44" s="1332"/>
      <c r="L44" s="1332"/>
      <c r="M44" s="1332"/>
      <c r="N44" s="1332"/>
      <c r="O44" s="1332"/>
      <c r="P44" s="1332"/>
      <c r="Q44" s="1333"/>
      <c r="R44" s="482"/>
      <c r="S44" s="482"/>
      <c r="T44" s="482"/>
      <c r="U44" s="482"/>
      <c r="V44" s="1340"/>
      <c r="W44" s="1341"/>
      <c r="X44" s="1341"/>
      <c r="Y44" s="1341"/>
      <c r="Z44" s="1341"/>
      <c r="AA44" s="1342"/>
    </row>
    <row r="45" spans="1:32" s="281" customFormat="1" ht="27.95" customHeight="1">
      <c r="A45" s="454"/>
      <c r="B45" s="454"/>
      <c r="C45" s="454"/>
      <c r="D45" s="1331"/>
      <c r="E45" s="1332"/>
      <c r="F45" s="1332"/>
      <c r="G45" s="1332"/>
      <c r="H45" s="1332"/>
      <c r="I45" s="1332"/>
      <c r="J45" s="1332"/>
      <c r="K45" s="1332"/>
      <c r="L45" s="1332"/>
      <c r="M45" s="1332"/>
      <c r="N45" s="1332"/>
      <c r="O45" s="1332"/>
      <c r="P45" s="1332"/>
      <c r="Q45" s="1333"/>
      <c r="R45" s="482"/>
      <c r="S45" s="482"/>
      <c r="T45" s="482"/>
      <c r="U45" s="482"/>
      <c r="V45" s="1340"/>
      <c r="W45" s="1341"/>
      <c r="X45" s="1341"/>
      <c r="Y45" s="1341"/>
      <c r="Z45" s="1341"/>
      <c r="AA45" s="1342"/>
    </row>
    <row r="46" spans="1:32" ht="27.95" customHeight="1">
      <c r="A46" s="454"/>
      <c r="B46" s="454"/>
      <c r="C46" s="454"/>
      <c r="D46" s="1331"/>
      <c r="E46" s="1332"/>
      <c r="F46" s="1332"/>
      <c r="G46" s="1332"/>
      <c r="H46" s="1332"/>
      <c r="I46" s="1332"/>
      <c r="J46" s="1332"/>
      <c r="K46" s="1332"/>
      <c r="L46" s="1332"/>
      <c r="M46" s="1332"/>
      <c r="N46" s="1332"/>
      <c r="O46" s="1332"/>
      <c r="P46" s="1332"/>
      <c r="Q46" s="1333"/>
      <c r="R46" s="482"/>
      <c r="S46" s="482"/>
      <c r="T46" s="482"/>
      <c r="U46" s="482"/>
      <c r="V46" s="1340"/>
      <c r="W46" s="1341"/>
      <c r="X46" s="1341"/>
      <c r="Y46" s="1341"/>
      <c r="Z46" s="1341"/>
      <c r="AA46" s="1342"/>
    </row>
    <row r="47" spans="1:32" ht="27.95" customHeight="1">
      <c r="A47" s="454"/>
      <c r="B47" s="454"/>
      <c r="C47" s="454"/>
      <c r="D47" s="1334"/>
      <c r="E47" s="1335"/>
      <c r="F47" s="1335"/>
      <c r="G47" s="1335"/>
      <c r="H47" s="1335"/>
      <c r="I47" s="1335"/>
      <c r="J47" s="1335"/>
      <c r="K47" s="1335"/>
      <c r="L47" s="1335"/>
      <c r="M47" s="1335"/>
      <c r="N47" s="1335"/>
      <c r="O47" s="1335"/>
      <c r="P47" s="1335"/>
      <c r="Q47" s="1336"/>
      <c r="R47" s="481"/>
      <c r="S47" s="482"/>
      <c r="T47" s="482"/>
      <c r="U47" s="482"/>
      <c r="V47" s="1340"/>
      <c r="W47" s="1341"/>
      <c r="X47" s="1341"/>
      <c r="Y47" s="1341"/>
      <c r="Z47" s="1341"/>
      <c r="AA47" s="1342"/>
    </row>
    <row r="48" spans="1:32" ht="9.9499999999999993" customHeight="1">
      <c r="A48" s="483"/>
      <c r="B48" s="484"/>
      <c r="C48" s="484"/>
      <c r="S48" s="482"/>
      <c r="T48" s="482"/>
      <c r="U48" s="482"/>
      <c r="V48" s="1340"/>
      <c r="W48" s="1341"/>
      <c r="X48" s="1341"/>
      <c r="Y48" s="1341"/>
      <c r="Z48" s="1341"/>
      <c r="AA48" s="1342"/>
    </row>
    <row r="49" spans="1:27" ht="24" customHeight="1">
      <c r="A49" s="298"/>
      <c r="B49" s="487"/>
      <c r="D49" s="488"/>
      <c r="E49" s="489" t="s">
        <v>613</v>
      </c>
      <c r="F49" s="489" t="s">
        <v>2</v>
      </c>
      <c r="G49" s="489" t="s">
        <v>3</v>
      </c>
      <c r="H49" s="489" t="s">
        <v>614</v>
      </c>
      <c r="I49" s="489" t="s">
        <v>615</v>
      </c>
      <c r="J49" s="489" t="s">
        <v>383</v>
      </c>
      <c r="K49" s="489" t="s">
        <v>384</v>
      </c>
      <c r="L49" s="490"/>
      <c r="M49" s="489" t="s">
        <v>616</v>
      </c>
      <c r="N49" s="489" t="s">
        <v>10</v>
      </c>
      <c r="O49" s="489" t="s">
        <v>11</v>
      </c>
      <c r="P49" s="489" t="s">
        <v>12</v>
      </c>
      <c r="Q49" s="489" t="s">
        <v>13</v>
      </c>
      <c r="R49" s="491" t="s">
        <v>617</v>
      </c>
      <c r="S49" s="482"/>
      <c r="T49" s="482"/>
      <c r="U49" s="482"/>
      <c r="V49" s="1340"/>
      <c r="W49" s="1341"/>
      <c r="X49" s="1341"/>
      <c r="Y49" s="1341"/>
      <c r="Z49" s="1341"/>
      <c r="AA49" s="1342"/>
    </row>
    <row r="50" spans="1:27" ht="68.25" customHeight="1">
      <c r="A50" s="298"/>
      <c r="B50" s="487"/>
      <c r="D50" s="492" t="s">
        <v>618</v>
      </c>
      <c r="E50" s="493" t="s">
        <v>619</v>
      </c>
      <c r="F50" s="494"/>
      <c r="G50" s="493"/>
      <c r="H50" s="494" t="s">
        <v>620</v>
      </c>
      <c r="I50" s="493" t="s">
        <v>621</v>
      </c>
      <c r="J50" s="494"/>
      <c r="K50" s="494" t="s">
        <v>622</v>
      </c>
      <c r="L50" s="495"/>
      <c r="M50" s="493"/>
      <c r="N50" s="494" t="s">
        <v>623</v>
      </c>
      <c r="O50" s="494" t="s">
        <v>624</v>
      </c>
      <c r="P50" s="494" t="s">
        <v>620</v>
      </c>
      <c r="Q50" s="493" t="s">
        <v>625</v>
      </c>
      <c r="R50" s="496"/>
      <c r="S50" s="482"/>
      <c r="T50" s="482"/>
      <c r="U50" s="482"/>
      <c r="V50" s="1340"/>
      <c r="W50" s="1341"/>
      <c r="X50" s="1341"/>
      <c r="Y50" s="1341"/>
      <c r="Z50" s="1341"/>
      <c r="AA50" s="1342"/>
    </row>
    <row r="51" spans="1:27" ht="39.950000000000003" customHeight="1">
      <c r="A51" s="298"/>
      <c r="B51" s="487"/>
      <c r="D51" s="492" t="s">
        <v>626</v>
      </c>
      <c r="E51" s="340"/>
      <c r="F51" s="494" t="s">
        <v>627</v>
      </c>
      <c r="G51" s="497"/>
      <c r="H51" s="494" t="s">
        <v>628</v>
      </c>
      <c r="I51" s="494" t="s">
        <v>629</v>
      </c>
      <c r="J51" s="494" t="s">
        <v>630</v>
      </c>
      <c r="K51" s="493"/>
      <c r="L51" s="495"/>
      <c r="M51" s="494" t="s">
        <v>631</v>
      </c>
      <c r="N51" s="493" t="s">
        <v>632</v>
      </c>
      <c r="O51" s="494"/>
      <c r="P51" s="494" t="s">
        <v>633</v>
      </c>
      <c r="Q51" s="498"/>
      <c r="R51" s="496" t="s">
        <v>634</v>
      </c>
      <c r="S51" s="482"/>
      <c r="T51" s="482"/>
      <c r="U51" s="482"/>
      <c r="V51" s="1340"/>
      <c r="W51" s="1341"/>
      <c r="X51" s="1341"/>
      <c r="Y51" s="1341"/>
      <c r="Z51" s="1341"/>
      <c r="AA51" s="1342"/>
    </row>
    <row r="52" spans="1:27" ht="30" customHeight="1">
      <c r="A52" s="298"/>
      <c r="B52" s="487"/>
      <c r="D52" s="492" t="s">
        <v>635</v>
      </c>
      <c r="E52" s="497"/>
      <c r="F52" s="497"/>
      <c r="G52" s="497"/>
      <c r="H52" s="497"/>
      <c r="I52" s="494"/>
      <c r="J52" s="497" t="s">
        <v>636</v>
      </c>
      <c r="K52" s="497"/>
      <c r="L52" s="499"/>
      <c r="M52" s="497" t="s">
        <v>637</v>
      </c>
      <c r="N52" s="497"/>
      <c r="O52" s="493"/>
      <c r="P52" s="497"/>
      <c r="Q52" s="497"/>
      <c r="R52" s="500"/>
      <c r="S52" s="482"/>
      <c r="T52" s="482"/>
      <c r="U52" s="482"/>
      <c r="V52" s="1340"/>
      <c r="W52" s="1341"/>
      <c r="X52" s="1341"/>
      <c r="Y52" s="1341"/>
      <c r="Z52" s="1341"/>
      <c r="AA52" s="1342"/>
    </row>
    <row r="53" spans="1:27" ht="30" customHeight="1">
      <c r="A53" s="298"/>
      <c r="B53" s="487"/>
      <c r="D53" s="492" t="s">
        <v>638</v>
      </c>
      <c r="E53" s="497"/>
      <c r="F53" s="501"/>
      <c r="G53" s="497" t="s">
        <v>639</v>
      </c>
      <c r="H53" s="493"/>
      <c r="I53" s="502"/>
      <c r="J53" s="494" t="s">
        <v>640</v>
      </c>
      <c r="K53" s="497"/>
      <c r="L53" s="495"/>
      <c r="M53" s="497"/>
      <c r="N53" s="494"/>
      <c r="O53" s="494" t="s">
        <v>641</v>
      </c>
      <c r="P53" s="494" t="s">
        <v>642</v>
      </c>
      <c r="Q53" s="494"/>
      <c r="R53" s="496"/>
      <c r="S53" s="482"/>
      <c r="T53" s="482"/>
      <c r="U53" s="482"/>
      <c r="V53" s="1340"/>
      <c r="W53" s="1341"/>
      <c r="X53" s="1341"/>
      <c r="Y53" s="1341"/>
      <c r="Z53" s="1341"/>
      <c r="AA53" s="1342"/>
    </row>
    <row r="54" spans="1:27" ht="30" customHeight="1" thickBot="1">
      <c r="D54" s="503" t="s">
        <v>643</v>
      </c>
      <c r="E54" s="504"/>
      <c r="F54" s="504"/>
      <c r="G54" s="505"/>
      <c r="H54" s="504"/>
      <c r="I54" s="504"/>
      <c r="J54" s="504"/>
      <c r="K54" s="504"/>
      <c r="L54" s="506"/>
      <c r="M54" s="504"/>
      <c r="N54" s="504"/>
      <c r="O54" s="504"/>
      <c r="P54" s="505"/>
      <c r="Q54" s="504"/>
      <c r="R54" s="507"/>
      <c r="S54" s="508"/>
      <c r="T54" s="508"/>
      <c r="V54" s="1343"/>
      <c r="W54" s="1344"/>
      <c r="X54" s="1344"/>
      <c r="Y54" s="1344"/>
      <c r="Z54" s="1344"/>
      <c r="AA54" s="1345"/>
    </row>
    <row r="55" spans="1:27">
      <c r="D55" s="508"/>
      <c r="F55" s="509"/>
      <c r="G55" s="509"/>
      <c r="H55" s="509"/>
      <c r="I55" s="509"/>
      <c r="J55" s="278"/>
      <c r="K55" s="278"/>
      <c r="L55" s="278"/>
      <c r="M55" s="278"/>
      <c r="N55" s="278"/>
      <c r="O55" s="278"/>
      <c r="P55" s="278"/>
      <c r="Q55" s="278"/>
      <c r="R55" s="278"/>
      <c r="S55" s="278"/>
      <c r="T55" s="278"/>
      <c r="U55" s="278"/>
    </row>
    <row r="56" spans="1:27">
      <c r="D56" s="510"/>
      <c r="E56" s="510"/>
      <c r="F56" s="509"/>
      <c r="G56" s="509"/>
      <c r="H56" s="509"/>
      <c r="I56" s="509"/>
      <c r="J56" s="278"/>
      <c r="K56" s="278"/>
      <c r="L56" s="278"/>
      <c r="M56" s="278"/>
      <c r="N56" s="278"/>
      <c r="O56" s="278"/>
      <c r="P56" s="278"/>
      <c r="Q56" s="278"/>
      <c r="R56" s="278"/>
      <c r="S56" s="278"/>
      <c r="T56" s="278"/>
      <c r="U56" s="278"/>
    </row>
    <row r="57" spans="1:27">
      <c r="D57" s="511"/>
      <c r="E57" s="511"/>
      <c r="F57" s="509"/>
      <c r="G57" s="509"/>
      <c r="H57" s="509"/>
      <c r="I57" s="509"/>
      <c r="J57" s="278"/>
      <c r="K57" s="278"/>
      <c r="L57" s="278"/>
      <c r="M57" s="278"/>
      <c r="N57" s="278"/>
      <c r="O57" s="278"/>
      <c r="P57" s="278"/>
      <c r="Q57" s="278"/>
      <c r="R57" s="278"/>
      <c r="S57" s="278"/>
      <c r="T57" s="278"/>
      <c r="U57" s="278"/>
    </row>
    <row r="58" spans="1:27">
      <c r="D58" s="510"/>
      <c r="E58" s="510"/>
      <c r="F58" s="509"/>
      <c r="G58" s="509"/>
      <c r="H58" s="509"/>
      <c r="I58" s="509"/>
      <c r="J58" s="278"/>
      <c r="K58" s="278"/>
      <c r="L58" s="278"/>
      <c r="M58" s="293" t="s">
        <v>238</v>
      </c>
      <c r="N58" s="331" t="s">
        <v>425</v>
      </c>
      <c r="O58" s="292"/>
      <c r="P58" s="196" t="s">
        <v>644</v>
      </c>
      <c r="Q58" s="293" t="s">
        <v>645</v>
      </c>
      <c r="R58" s="278"/>
      <c r="S58" s="278"/>
      <c r="T58" s="278"/>
      <c r="U58" s="278"/>
    </row>
    <row r="59" spans="1:27">
      <c r="D59" s="510"/>
      <c r="R59" s="278"/>
      <c r="S59" s="278"/>
      <c r="T59" s="278"/>
      <c r="U59" s="278"/>
    </row>
    <row r="60" spans="1:27">
      <c r="S60" s="512"/>
      <c r="T60" s="512"/>
      <c r="U60" s="512"/>
    </row>
    <row r="61" spans="1:27">
      <c r="S61" s="508"/>
      <c r="T61" s="508"/>
    </row>
    <row r="62" spans="1:27">
      <c r="S62" s="508"/>
      <c r="T62" s="508"/>
    </row>
  </sheetData>
  <mergeCells count="27">
    <mergeCell ref="A1:Q1"/>
    <mergeCell ref="A2:Q2"/>
    <mergeCell ref="C4:D9"/>
    <mergeCell ref="V4:AA4"/>
    <mergeCell ref="V5:AA8"/>
    <mergeCell ref="V9:AA9"/>
    <mergeCell ref="P10:Q11"/>
    <mergeCell ref="V10:AA16"/>
    <mergeCell ref="C12:D12"/>
    <mergeCell ref="C13:D17"/>
    <mergeCell ref="P17:Q17"/>
    <mergeCell ref="V17:AA17"/>
    <mergeCell ref="P18:Q18"/>
    <mergeCell ref="V18:AA20"/>
    <mergeCell ref="C19:D19"/>
    <mergeCell ref="C20:D21"/>
    <mergeCell ref="V21:AA21"/>
    <mergeCell ref="V36:AA36"/>
    <mergeCell ref="D37:Q47"/>
    <mergeCell ref="V37:AA54"/>
    <mergeCell ref="B23:B24"/>
    <mergeCell ref="C23:D25"/>
    <mergeCell ref="V27:AA35"/>
    <mergeCell ref="C28:D29"/>
    <mergeCell ref="R28:S28"/>
    <mergeCell ref="E29:F29"/>
    <mergeCell ref="V22:AA24"/>
  </mergeCells>
  <phoneticPr fontId="40" type="noConversion"/>
  <printOptions horizontalCentered="1"/>
  <pageMargins left="0" right="0" top="0" bottom="0" header="0" footer="0"/>
  <pageSetup paperSize="9" scale="35" orientation="portrait" horizontalDpi="4294967293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50"/>
  <sheetViews>
    <sheetView topLeftCell="A2" zoomScale="90" zoomScaleNormal="90" zoomScalePageLayoutView="80" workbookViewId="0">
      <selection activeCell="K21" sqref="K21"/>
    </sheetView>
  </sheetViews>
  <sheetFormatPr defaultRowHeight="16.5"/>
  <cols>
    <col min="1" max="1" width="3.5" style="236" customWidth="1"/>
    <col min="2" max="2" width="14.1640625" style="274" customWidth="1"/>
    <col min="3" max="9" width="16.83203125" style="236" customWidth="1"/>
    <col min="10" max="10" width="3.5" style="275" customWidth="1"/>
    <col min="11" max="17" width="16.83203125" style="236" customWidth="1"/>
    <col min="18" max="18" width="15.83203125" style="254" hidden="1" customWidth="1"/>
    <col min="19" max="19" width="15.83203125" style="254" customWidth="1"/>
    <col min="20" max="16384" width="9.33203125" style="236"/>
  </cols>
  <sheetData>
    <row r="1" spans="1:24" ht="16.5" hidden="1" customHeight="1">
      <c r="A1" s="1426" t="s">
        <v>264</v>
      </c>
      <c r="B1" s="1427"/>
      <c r="C1" s="1427"/>
      <c r="D1" s="1427"/>
      <c r="E1" s="1427"/>
      <c r="F1" s="1427"/>
      <c r="G1" s="1427"/>
      <c r="H1" s="1427"/>
      <c r="I1" s="1427"/>
      <c r="J1" s="1427"/>
      <c r="K1" s="1427"/>
      <c r="L1" s="1427"/>
      <c r="M1" s="1427"/>
      <c r="N1" s="1427"/>
      <c r="O1" s="1427"/>
      <c r="P1" s="1427"/>
      <c r="Q1" s="1427"/>
      <c r="R1" s="235"/>
      <c r="S1" s="235"/>
    </row>
    <row r="2" spans="1:24" s="237" customFormat="1" ht="16.5" customHeight="1">
      <c r="A2" s="1428" t="s">
        <v>265</v>
      </c>
      <c r="B2" s="1429"/>
      <c r="C2" s="1429"/>
      <c r="D2" s="1429"/>
      <c r="E2" s="1429"/>
      <c r="F2" s="1429"/>
      <c r="G2" s="1429"/>
      <c r="H2" s="1429"/>
      <c r="I2" s="1429"/>
      <c r="J2" s="1429"/>
      <c r="K2" s="1429"/>
      <c r="L2" s="1429"/>
      <c r="M2" s="1429"/>
      <c r="N2" s="1429"/>
      <c r="O2" s="1429"/>
      <c r="P2" s="1429"/>
      <c r="Q2" s="1430"/>
      <c r="R2" s="13"/>
      <c r="S2" s="13"/>
    </row>
    <row r="3" spans="1:24" s="237" customFormat="1" ht="21.75" thickBot="1">
      <c r="A3" s="14"/>
      <c r="B3" s="15" t="s">
        <v>0</v>
      </c>
      <c r="C3" s="8" t="s">
        <v>1</v>
      </c>
      <c r="D3" s="8" t="s">
        <v>2</v>
      </c>
      <c r="E3" s="8" t="s">
        <v>3</v>
      </c>
      <c r="F3" s="8" t="s">
        <v>4</v>
      </c>
      <c r="G3" s="8" t="s">
        <v>5</v>
      </c>
      <c r="H3" s="8" t="s">
        <v>6</v>
      </c>
      <c r="I3" s="8" t="s">
        <v>7</v>
      </c>
      <c r="J3" s="16" t="s">
        <v>8</v>
      </c>
      <c r="K3" s="8" t="s">
        <v>9</v>
      </c>
      <c r="L3" s="8" t="s">
        <v>266</v>
      </c>
      <c r="M3" s="8" t="s">
        <v>11</v>
      </c>
      <c r="N3" s="8" t="s">
        <v>267</v>
      </c>
      <c r="O3" s="8" t="s">
        <v>13</v>
      </c>
      <c r="P3" s="8" t="s">
        <v>14</v>
      </c>
      <c r="Q3" s="8" t="s">
        <v>15</v>
      </c>
      <c r="R3" s="238">
        <f>AVERAGE(R4:R11)</f>
        <v>0.91666666666666674</v>
      </c>
      <c r="S3" s="238"/>
    </row>
    <row r="4" spans="1:24" s="237" customFormat="1" ht="27.95" customHeight="1">
      <c r="A4" s="1064">
        <v>1</v>
      </c>
      <c r="B4" s="224" t="s">
        <v>268</v>
      </c>
      <c r="C4" s="154" t="s">
        <v>269</v>
      </c>
      <c r="D4" s="1049" t="s">
        <v>1804</v>
      </c>
      <c r="E4" s="171" t="s">
        <v>270</v>
      </c>
      <c r="F4" s="163" t="s">
        <v>271</v>
      </c>
      <c r="G4" s="239" t="s">
        <v>272</v>
      </c>
      <c r="H4" s="154" t="s">
        <v>273</v>
      </c>
      <c r="I4" s="171" t="s">
        <v>274</v>
      </c>
      <c r="J4" s="171"/>
      <c r="K4" s="178" t="s">
        <v>275</v>
      </c>
      <c r="L4" s="171" t="s">
        <v>276</v>
      </c>
      <c r="M4" s="171" t="s">
        <v>277</v>
      </c>
      <c r="N4" s="171" t="s">
        <v>278</v>
      </c>
      <c r="O4" s="117" t="s">
        <v>279</v>
      </c>
      <c r="P4" s="1409"/>
      <c r="Q4" s="1410"/>
      <c r="R4" s="240">
        <f>(COUNTA(C4:Q4))/12</f>
        <v>1</v>
      </c>
      <c r="S4" s="240"/>
      <c r="T4" s="1431" t="s">
        <v>1802</v>
      </c>
      <c r="U4" s="1432"/>
      <c r="V4" s="1432"/>
      <c r="W4" s="1432"/>
      <c r="X4" s="1433"/>
    </row>
    <row r="5" spans="1:24" s="237" customFormat="1" ht="27.95" customHeight="1">
      <c r="A5" s="1064">
        <v>2</v>
      </c>
      <c r="B5" s="224" t="s">
        <v>280</v>
      </c>
      <c r="C5" s="1409"/>
      <c r="D5" s="1410"/>
      <c r="E5" s="177" t="s">
        <v>281</v>
      </c>
      <c r="F5" s="171" t="s">
        <v>282</v>
      </c>
      <c r="G5" s="171" t="s">
        <v>283</v>
      </c>
      <c r="H5" s="154" t="s">
        <v>284</v>
      </c>
      <c r="I5" s="117" t="s">
        <v>285</v>
      </c>
      <c r="J5" s="171"/>
      <c r="K5" s="171" t="s">
        <v>286</v>
      </c>
      <c r="L5" s="171" t="s">
        <v>287</v>
      </c>
      <c r="M5" s="171" t="s">
        <v>288</v>
      </c>
      <c r="N5" s="171" t="s">
        <v>289</v>
      </c>
      <c r="O5" s="241" t="s">
        <v>290</v>
      </c>
      <c r="P5" s="117" t="s">
        <v>291</v>
      </c>
      <c r="Q5" s="241" t="s">
        <v>292</v>
      </c>
      <c r="R5" s="240">
        <f t="shared" ref="R5:R10" si="0">(COUNTA(C5:Q5))/12</f>
        <v>1</v>
      </c>
      <c r="S5" s="240"/>
      <c r="T5" s="1434"/>
      <c r="U5" s="1435"/>
      <c r="V5" s="1435"/>
      <c r="W5" s="1435"/>
      <c r="X5" s="1436"/>
    </row>
    <row r="6" spans="1:24" s="246" customFormat="1" ht="27.95" customHeight="1" thickBot="1">
      <c r="A6" s="1065">
        <v>3</v>
      </c>
      <c r="B6" s="242" t="s">
        <v>293</v>
      </c>
      <c r="C6" s="243"/>
      <c r="D6" s="244"/>
      <c r="E6" s="244"/>
      <c r="F6" s="244"/>
      <c r="G6" s="1071"/>
      <c r="H6" s="124"/>
      <c r="I6" s="124"/>
      <c r="J6" s="243"/>
      <c r="K6" s="243"/>
      <c r="L6" s="243"/>
      <c r="M6" s="243"/>
      <c r="N6" s="245"/>
      <c r="O6" s="1071"/>
      <c r="P6" s="243" t="s">
        <v>294</v>
      </c>
      <c r="Q6" s="245"/>
      <c r="R6" s="240">
        <f>(COUNTA(C6:Q6))/12</f>
        <v>8.3333333333333329E-2</v>
      </c>
      <c r="S6" s="240"/>
      <c r="T6" s="1434"/>
      <c r="U6" s="1435"/>
      <c r="V6" s="1435"/>
      <c r="W6" s="1435"/>
      <c r="X6" s="1436"/>
    </row>
    <row r="7" spans="1:24" s="237" customFormat="1" ht="27.95" customHeight="1">
      <c r="A7" s="1066">
        <v>4</v>
      </c>
      <c r="B7" s="17" t="s">
        <v>295</v>
      </c>
      <c r="C7" s="1437"/>
      <c r="D7" s="1438"/>
      <c r="E7" s="179" t="s">
        <v>1762</v>
      </c>
      <c r="F7" s="179" t="s">
        <v>296</v>
      </c>
      <c r="G7" s="247" t="s">
        <v>297</v>
      </c>
      <c r="H7" s="1049" t="s">
        <v>1761</v>
      </c>
      <c r="I7" s="248" t="s">
        <v>298</v>
      </c>
      <c r="J7" s="181"/>
      <c r="K7" s="181" t="s">
        <v>299</v>
      </c>
      <c r="L7" s="182" t="s">
        <v>300</v>
      </c>
      <c r="M7" s="181" t="s">
        <v>301</v>
      </c>
      <c r="N7" s="181" t="s">
        <v>302</v>
      </c>
      <c r="O7" s="249" t="s">
        <v>303</v>
      </c>
      <c r="P7" s="182" t="s">
        <v>304</v>
      </c>
      <c r="Q7" s="249" t="s">
        <v>305</v>
      </c>
      <c r="R7" s="240">
        <f t="shared" si="0"/>
        <v>1</v>
      </c>
      <c r="S7" s="240"/>
      <c r="T7" s="1434"/>
      <c r="U7" s="1435"/>
      <c r="V7" s="1435"/>
      <c r="W7" s="1435"/>
      <c r="X7" s="1436"/>
    </row>
    <row r="8" spans="1:24" s="237" customFormat="1" ht="27.95" customHeight="1">
      <c r="A8" s="1064">
        <v>5</v>
      </c>
      <c r="B8" s="224" t="s">
        <v>306</v>
      </c>
      <c r="C8" s="168"/>
      <c r="D8" s="177" t="s">
        <v>297</v>
      </c>
      <c r="E8" s="248" t="s">
        <v>298</v>
      </c>
      <c r="F8" s="171" t="s">
        <v>307</v>
      </c>
      <c r="G8" s="154" t="s">
        <v>308</v>
      </c>
      <c r="H8" s="171" t="s">
        <v>309</v>
      </c>
      <c r="I8" s="117" t="s">
        <v>1754</v>
      </c>
      <c r="J8" s="171" t="s">
        <v>310</v>
      </c>
      <c r="K8" s="171" t="s">
        <v>311</v>
      </c>
      <c r="L8" s="171" t="s">
        <v>312</v>
      </c>
      <c r="M8" s="171" t="s">
        <v>313</v>
      </c>
      <c r="N8" s="143" t="s">
        <v>299</v>
      </c>
      <c r="O8" s="171" t="s">
        <v>304</v>
      </c>
      <c r="P8" s="241" t="s">
        <v>314</v>
      </c>
      <c r="Q8" s="159"/>
      <c r="R8" s="240">
        <f t="shared" si="0"/>
        <v>1.0833333333333333</v>
      </c>
      <c r="S8" s="250"/>
      <c r="T8" s="1434"/>
      <c r="U8" s="1435"/>
      <c r="V8" s="1435"/>
      <c r="W8" s="1435"/>
      <c r="X8" s="1436"/>
    </row>
    <row r="9" spans="1:24" s="237" customFormat="1" ht="27.95" customHeight="1">
      <c r="A9" s="1064">
        <v>6</v>
      </c>
      <c r="B9" s="224" t="s">
        <v>315</v>
      </c>
      <c r="C9" s="154" t="s">
        <v>316</v>
      </c>
      <c r="D9" s="182" t="s">
        <v>317</v>
      </c>
      <c r="E9" s="233" t="s">
        <v>1782</v>
      </c>
      <c r="F9" s="171" t="s">
        <v>309</v>
      </c>
      <c r="G9" s="154" t="s">
        <v>318</v>
      </c>
      <c r="H9" s="177" t="s">
        <v>297</v>
      </c>
      <c r="I9" s="154" t="s">
        <v>319</v>
      </c>
      <c r="J9" s="171"/>
      <c r="K9" s="1049" t="s">
        <v>1783</v>
      </c>
      <c r="L9" s="154" t="s">
        <v>320</v>
      </c>
      <c r="M9" s="143" t="s">
        <v>312</v>
      </c>
      <c r="N9" s="171" t="s">
        <v>304</v>
      </c>
      <c r="O9" s="171" t="s">
        <v>321</v>
      </c>
      <c r="P9" s="1409"/>
      <c r="Q9" s="1410"/>
      <c r="R9" s="240">
        <f t="shared" si="0"/>
        <v>1</v>
      </c>
      <c r="S9" s="240"/>
      <c r="T9" s="1434"/>
      <c r="U9" s="1435"/>
      <c r="V9" s="1435"/>
      <c r="W9" s="1435"/>
      <c r="X9" s="1436"/>
    </row>
    <row r="10" spans="1:24" s="237" customFormat="1" ht="27.95" customHeight="1">
      <c r="A10" s="1064">
        <v>7</v>
      </c>
      <c r="B10" s="129" t="s">
        <v>322</v>
      </c>
      <c r="C10" s="1409"/>
      <c r="D10" s="1410"/>
      <c r="E10" s="133" t="s">
        <v>259</v>
      </c>
      <c r="F10" s="133" t="s">
        <v>260</v>
      </c>
      <c r="G10" s="214" t="s">
        <v>261</v>
      </c>
      <c r="H10" s="134" t="s">
        <v>262</v>
      </c>
      <c r="I10" s="136" t="s">
        <v>263</v>
      </c>
      <c r="J10" s="154"/>
      <c r="K10" s="233" t="s">
        <v>1784</v>
      </c>
      <c r="L10" s="143" t="s">
        <v>321</v>
      </c>
      <c r="M10" s="252" t="s">
        <v>323</v>
      </c>
      <c r="N10" s="117" t="s">
        <v>1753</v>
      </c>
      <c r="O10" s="171" t="s">
        <v>300</v>
      </c>
      <c r="P10" s="143" t="s">
        <v>324</v>
      </c>
      <c r="Q10" s="154" t="s">
        <v>325</v>
      </c>
      <c r="R10" s="240">
        <f t="shared" si="0"/>
        <v>1</v>
      </c>
      <c r="S10" s="240"/>
      <c r="T10" s="1434"/>
      <c r="U10" s="1435"/>
      <c r="V10" s="1435"/>
      <c r="W10" s="1435"/>
      <c r="X10" s="1436"/>
    </row>
    <row r="11" spans="1:24" ht="27.95" customHeight="1">
      <c r="A11" s="1064" t="s">
        <v>326</v>
      </c>
      <c r="B11" s="17" t="s">
        <v>327</v>
      </c>
      <c r="C11" s="171"/>
      <c r="D11" s="180" t="s">
        <v>328</v>
      </c>
      <c r="E11" s="171" t="s">
        <v>307</v>
      </c>
      <c r="F11" s="178" t="s">
        <v>297</v>
      </c>
      <c r="G11" s="181" t="s">
        <v>317</v>
      </c>
      <c r="H11" s="143" t="s">
        <v>307</v>
      </c>
      <c r="I11" s="171"/>
      <c r="J11" s="171"/>
      <c r="K11" s="182" t="s">
        <v>317</v>
      </c>
      <c r="L11" s="181"/>
      <c r="M11" s="171"/>
      <c r="N11" s="154"/>
      <c r="O11" s="1072"/>
      <c r="P11" s="171" t="s">
        <v>294</v>
      </c>
      <c r="Q11" s="154"/>
      <c r="R11" s="240">
        <f>(COUNTA(C11:Q11))/6</f>
        <v>1.1666666666666667</v>
      </c>
      <c r="S11" s="240"/>
      <c r="T11" s="1434"/>
      <c r="U11" s="1435"/>
      <c r="V11" s="1435"/>
      <c r="W11" s="1435"/>
      <c r="X11" s="1436"/>
    </row>
    <row r="12" spans="1:24" ht="14.1" customHeight="1">
      <c r="A12" s="1439" t="s">
        <v>329</v>
      </c>
      <c r="B12" s="1440"/>
      <c r="C12" s="1440"/>
      <c r="D12" s="1440"/>
      <c r="E12" s="1440"/>
      <c r="F12" s="1440"/>
      <c r="G12" s="1440"/>
      <c r="H12" s="1440"/>
      <c r="I12" s="1440"/>
      <c r="J12" s="1440"/>
      <c r="K12" s="1440"/>
      <c r="L12" s="1440"/>
      <c r="M12" s="1440"/>
      <c r="N12" s="1440"/>
      <c r="O12" s="1440"/>
      <c r="P12" s="1440"/>
      <c r="Q12" s="1441"/>
      <c r="R12" s="253"/>
      <c r="S12" s="253"/>
      <c r="T12" s="1434"/>
      <c r="U12" s="1435"/>
      <c r="V12" s="1435"/>
      <c r="W12" s="1435"/>
      <c r="X12" s="1436"/>
    </row>
    <row r="13" spans="1:24" ht="23.25" customHeight="1">
      <c r="A13" s="1067"/>
      <c r="B13" s="1073" t="s">
        <v>0</v>
      </c>
      <c r="C13" s="1068" t="s">
        <v>1</v>
      </c>
      <c r="D13" s="1068" t="s">
        <v>2</v>
      </c>
      <c r="E13" s="1068" t="s">
        <v>3</v>
      </c>
      <c r="F13" s="1068" t="s">
        <v>4</v>
      </c>
      <c r="G13" s="1068" t="s">
        <v>5</v>
      </c>
      <c r="H13" s="1068" t="s">
        <v>6</v>
      </c>
      <c r="I13" s="1068" t="s">
        <v>7</v>
      </c>
      <c r="J13" s="1069" t="s">
        <v>8</v>
      </c>
      <c r="K13" s="1068" t="s">
        <v>9</v>
      </c>
      <c r="L13" s="1068" t="s">
        <v>330</v>
      </c>
      <c r="M13" s="1068" t="s">
        <v>331</v>
      </c>
      <c r="N13" s="1068" t="s">
        <v>12</v>
      </c>
      <c r="O13" s="1068" t="s">
        <v>13</v>
      </c>
      <c r="P13" s="1070" t="s">
        <v>14</v>
      </c>
      <c r="Q13" s="1068" t="s">
        <v>15</v>
      </c>
      <c r="T13" s="1434"/>
      <c r="U13" s="1435"/>
      <c r="V13" s="1435"/>
      <c r="W13" s="1435"/>
      <c r="X13" s="1436"/>
    </row>
    <row r="14" spans="1:24" ht="27.75" customHeight="1">
      <c r="A14" s="167">
        <v>8</v>
      </c>
      <c r="B14" s="224" t="s">
        <v>332</v>
      </c>
      <c r="C14" s="1409"/>
      <c r="D14" s="1410"/>
      <c r="E14" s="154" t="s">
        <v>308</v>
      </c>
      <c r="F14" s="248" t="s">
        <v>333</v>
      </c>
      <c r="G14" s="171" t="s">
        <v>334</v>
      </c>
      <c r="H14" s="241" t="s">
        <v>335</v>
      </c>
      <c r="I14" s="143" t="s">
        <v>336</v>
      </c>
      <c r="J14" s="171"/>
      <c r="K14" s="212" t="s">
        <v>337</v>
      </c>
      <c r="L14" s="154" t="s">
        <v>338</v>
      </c>
      <c r="M14" s="171" t="s">
        <v>339</v>
      </c>
      <c r="N14" s="171" t="s">
        <v>340</v>
      </c>
      <c r="O14" s="154" t="s">
        <v>341</v>
      </c>
      <c r="P14" s="154" t="s">
        <v>342</v>
      </c>
      <c r="Q14" s="241" t="s">
        <v>343</v>
      </c>
      <c r="R14" s="240">
        <f t="shared" ref="R14:R16" si="1">(COUNTA(C14:Q14))/12</f>
        <v>1</v>
      </c>
      <c r="T14" s="1434"/>
      <c r="U14" s="1435"/>
      <c r="V14" s="1435"/>
      <c r="W14" s="1435"/>
      <c r="X14" s="1436"/>
    </row>
    <row r="15" spans="1:24" ht="27.95" customHeight="1">
      <c r="A15" s="167">
        <v>9</v>
      </c>
      <c r="B15" s="224" t="s">
        <v>344</v>
      </c>
      <c r="C15" s="1409"/>
      <c r="D15" s="1410"/>
      <c r="E15" s="171" t="s">
        <v>345</v>
      </c>
      <c r="F15" s="1031" t="s">
        <v>1726</v>
      </c>
      <c r="G15" s="125" t="s">
        <v>346</v>
      </c>
      <c r="H15" s="255" t="s">
        <v>347</v>
      </c>
      <c r="I15" s="255" t="s">
        <v>348</v>
      </c>
      <c r="J15" s="171"/>
      <c r="K15" s="1033" t="s">
        <v>1730</v>
      </c>
      <c r="L15" s="171" t="s">
        <v>349</v>
      </c>
      <c r="M15" s="154" t="s">
        <v>350</v>
      </c>
      <c r="N15" s="171" t="s">
        <v>351</v>
      </c>
      <c r="O15" s="183" t="s">
        <v>352</v>
      </c>
      <c r="P15" s="143" t="s">
        <v>353</v>
      </c>
      <c r="Q15" s="143" t="s">
        <v>354</v>
      </c>
      <c r="R15" s="240">
        <f t="shared" si="1"/>
        <v>1</v>
      </c>
      <c r="T15" s="1434"/>
      <c r="U15" s="1435"/>
      <c r="V15" s="1435"/>
      <c r="W15" s="1435"/>
      <c r="X15" s="1436"/>
    </row>
    <row r="16" spans="1:24" ht="27.95" customHeight="1" thickBot="1">
      <c r="A16" s="167">
        <v>10</v>
      </c>
      <c r="B16" s="129" t="s">
        <v>355</v>
      </c>
      <c r="C16" s="168"/>
      <c r="D16" s="154" t="s">
        <v>356</v>
      </c>
      <c r="E16" s="256" t="s">
        <v>357</v>
      </c>
      <c r="F16" s="154" t="s">
        <v>358</v>
      </c>
      <c r="G16" s="1032" t="s">
        <v>1728</v>
      </c>
      <c r="H16" s="256" t="s">
        <v>359</v>
      </c>
      <c r="I16" s="113" t="s">
        <v>360</v>
      </c>
      <c r="J16" s="180"/>
      <c r="K16" s="184" t="s">
        <v>361</v>
      </c>
      <c r="L16" s="171" t="s">
        <v>354</v>
      </c>
      <c r="M16" s="256" t="s">
        <v>362</v>
      </c>
      <c r="N16" s="256" t="s">
        <v>363</v>
      </c>
      <c r="O16" s="171" t="s">
        <v>364</v>
      </c>
      <c r="P16" s="241" t="s">
        <v>365</v>
      </c>
      <c r="Q16" s="159"/>
      <c r="R16" s="240">
        <f t="shared" si="1"/>
        <v>1</v>
      </c>
      <c r="T16" s="1434"/>
      <c r="U16" s="1435"/>
      <c r="V16" s="1435"/>
      <c r="W16" s="1435"/>
      <c r="X16" s="1436"/>
    </row>
    <row r="17" spans="1:24" ht="27.95" customHeight="1">
      <c r="A17" s="185"/>
      <c r="B17" s="186" t="s">
        <v>366</v>
      </c>
      <c r="C17" s="187"/>
      <c r="D17" s="257"/>
      <c r="E17" s="258"/>
      <c r="F17" s="259"/>
      <c r="G17" s="260"/>
      <c r="H17" s="258"/>
      <c r="I17" s="259"/>
      <c r="J17" s="188"/>
      <c r="K17" s="259"/>
      <c r="L17" s="258"/>
      <c r="M17" s="257"/>
      <c r="N17" s="258"/>
      <c r="O17" s="259"/>
      <c r="P17" s="258"/>
      <c r="Q17" s="189"/>
      <c r="T17" s="1434"/>
      <c r="U17" s="1435"/>
      <c r="V17" s="1435"/>
      <c r="W17" s="1435"/>
      <c r="X17" s="1436"/>
    </row>
    <row r="18" spans="1:24" ht="27.95" customHeight="1" thickBot="1">
      <c r="A18" s="175"/>
      <c r="B18" s="190" t="s">
        <v>367</v>
      </c>
      <c r="C18" s="169"/>
      <c r="D18" s="261"/>
      <c r="E18" s="262"/>
      <c r="F18" s="263"/>
      <c r="G18" s="264"/>
      <c r="H18" s="262"/>
      <c r="I18" s="263"/>
      <c r="J18" s="176"/>
      <c r="K18" s="265"/>
      <c r="L18" s="266"/>
      <c r="M18" s="261"/>
      <c r="N18" s="262"/>
      <c r="O18" s="263"/>
      <c r="P18" s="267"/>
      <c r="Q18" s="170"/>
      <c r="T18" s="1434"/>
      <c r="U18" s="1435"/>
      <c r="V18" s="1435"/>
      <c r="W18" s="1435"/>
      <c r="X18" s="1436"/>
    </row>
    <row r="19" spans="1:24" ht="14.1" customHeight="1">
      <c r="A19" s="1411" t="s">
        <v>368</v>
      </c>
      <c r="B19" s="1411"/>
      <c r="C19" s="1411"/>
      <c r="D19" s="1411"/>
      <c r="E19" s="1411"/>
      <c r="F19" s="1411"/>
      <c r="G19" s="1411"/>
      <c r="H19" s="1411"/>
      <c r="I19" s="1411"/>
      <c r="J19" s="1411"/>
      <c r="K19" s="1411"/>
      <c r="L19" s="1411"/>
      <c r="M19" s="1411"/>
      <c r="N19" s="1411"/>
      <c r="O19" s="1411"/>
      <c r="P19" s="1411"/>
      <c r="Q19" s="1411"/>
      <c r="T19" s="1434"/>
      <c r="U19" s="1435"/>
      <c r="V19" s="1435"/>
      <c r="W19" s="1435"/>
      <c r="X19" s="1436"/>
    </row>
    <row r="20" spans="1:24" ht="21.75" customHeight="1">
      <c r="A20" s="14"/>
      <c r="B20" s="15" t="s">
        <v>0</v>
      </c>
      <c r="C20" s="8" t="s">
        <v>1</v>
      </c>
      <c r="D20" s="8" t="s">
        <v>2</v>
      </c>
      <c r="E20" s="8" t="s">
        <v>3</v>
      </c>
      <c r="F20" s="8" t="s">
        <v>4</v>
      </c>
      <c r="G20" s="8" t="s">
        <v>5</v>
      </c>
      <c r="H20" s="8" t="s">
        <v>6</v>
      </c>
      <c r="I20" s="8" t="s">
        <v>7</v>
      </c>
      <c r="J20" s="16" t="s">
        <v>8</v>
      </c>
      <c r="K20" s="8" t="s">
        <v>9</v>
      </c>
      <c r="L20" s="8" t="s">
        <v>266</v>
      </c>
      <c r="M20" s="8" t="s">
        <v>11</v>
      </c>
      <c r="N20" s="8" t="s">
        <v>12</v>
      </c>
      <c r="O20" s="8" t="s">
        <v>369</v>
      </c>
      <c r="P20" s="8" t="s">
        <v>14</v>
      </c>
      <c r="Q20" s="8" t="s">
        <v>15</v>
      </c>
      <c r="T20" s="1434"/>
      <c r="U20" s="1435"/>
      <c r="V20" s="1435"/>
      <c r="W20" s="1435"/>
      <c r="X20" s="1436"/>
    </row>
    <row r="21" spans="1:24" ht="27.95" customHeight="1">
      <c r="A21" s="1412"/>
      <c r="B21" s="229" t="s">
        <v>370</v>
      </c>
      <c r="C21" s="184"/>
      <c r="D21" s="191"/>
      <c r="E21" s="113"/>
      <c r="F21" s="184"/>
      <c r="G21" s="184"/>
      <c r="H21" s="184"/>
      <c r="I21" s="171"/>
      <c r="J21" s="1414"/>
      <c r="K21" s="171" t="s">
        <v>371</v>
      </c>
      <c r="L21" s="184"/>
      <c r="M21" s="184"/>
      <c r="N21" s="268"/>
      <c r="O21" s="171" t="s">
        <v>372</v>
      </c>
      <c r="P21" s="171" t="s">
        <v>373</v>
      </c>
      <c r="Q21" s="268"/>
      <c r="T21" s="1434"/>
      <c r="U21" s="1435"/>
      <c r="V21" s="1435"/>
      <c r="W21" s="1435"/>
      <c r="X21" s="1436"/>
    </row>
    <row r="22" spans="1:24" ht="27.95" customHeight="1" thickBot="1">
      <c r="A22" s="1413"/>
      <c r="B22" s="192" t="s">
        <v>374</v>
      </c>
      <c r="C22" s="193"/>
      <c r="D22" s="194"/>
      <c r="E22" s="123"/>
      <c r="F22" s="193"/>
      <c r="G22" s="193"/>
      <c r="H22" s="269"/>
      <c r="I22" s="173"/>
      <c r="J22" s="1415"/>
      <c r="K22" s="270"/>
      <c r="L22" s="271"/>
      <c r="M22" s="193"/>
      <c r="N22" s="272"/>
      <c r="O22" s="272"/>
      <c r="P22" s="273"/>
      <c r="Q22" s="174"/>
      <c r="T22" s="1434"/>
      <c r="U22" s="1435"/>
      <c r="V22" s="1435"/>
      <c r="W22" s="1435"/>
      <c r="X22" s="1436"/>
    </row>
    <row r="23" spans="1:24" ht="14.1" customHeight="1">
      <c r="T23" s="1434"/>
      <c r="U23" s="1435"/>
      <c r="V23" s="1435"/>
      <c r="W23" s="1435"/>
      <c r="X23" s="1436"/>
    </row>
    <row r="24" spans="1:24" ht="21.75" customHeight="1">
      <c r="R24" s="13"/>
      <c r="S24" s="13"/>
      <c r="T24" s="1434"/>
      <c r="U24" s="1435"/>
      <c r="V24" s="1435"/>
      <c r="W24" s="1435"/>
      <c r="X24" s="1436"/>
    </row>
    <row r="25" spans="1:24" ht="14.1" customHeight="1" thickBot="1">
      <c r="T25" s="1434"/>
      <c r="U25" s="1435"/>
      <c r="V25" s="1435"/>
      <c r="W25" s="1435"/>
      <c r="X25" s="1436"/>
    </row>
    <row r="26" spans="1:24" ht="14.1" customHeight="1">
      <c r="T26" s="1416" t="s">
        <v>375</v>
      </c>
      <c r="U26" s="1417"/>
      <c r="V26" s="1417"/>
      <c r="W26" s="1417"/>
      <c r="X26" s="1418"/>
    </row>
    <row r="27" spans="1:24" ht="14.1" customHeight="1">
      <c r="T27" s="1419"/>
      <c r="U27" s="1420"/>
      <c r="V27" s="1420"/>
      <c r="W27" s="1420"/>
      <c r="X27" s="1421"/>
    </row>
    <row r="28" spans="1:24" ht="14.1" customHeight="1">
      <c r="T28" s="1419"/>
      <c r="U28" s="1420"/>
      <c r="V28" s="1420"/>
      <c r="W28" s="1420"/>
      <c r="X28" s="1421"/>
    </row>
    <row r="29" spans="1:24" ht="14.1" customHeight="1">
      <c r="T29" s="1419"/>
      <c r="U29" s="1420"/>
      <c r="V29" s="1420"/>
      <c r="W29" s="1420"/>
      <c r="X29" s="1421"/>
    </row>
    <row r="30" spans="1:24" ht="14.1" customHeight="1">
      <c r="T30" s="1419"/>
      <c r="U30" s="1420"/>
      <c r="V30" s="1420"/>
      <c r="W30" s="1420"/>
      <c r="X30" s="1421"/>
    </row>
    <row r="31" spans="1:24" ht="16.5" customHeight="1">
      <c r="T31" s="1419"/>
      <c r="U31" s="1420"/>
      <c r="V31" s="1420"/>
      <c r="W31" s="1420"/>
      <c r="X31" s="1421"/>
    </row>
    <row r="32" spans="1:24">
      <c r="T32" s="1419"/>
      <c r="U32" s="1420"/>
      <c r="V32" s="1420"/>
      <c r="W32" s="1420"/>
      <c r="X32" s="1421"/>
    </row>
    <row r="33" spans="1:24">
      <c r="T33" s="1419"/>
      <c r="U33" s="1420"/>
      <c r="V33" s="1420"/>
      <c r="W33" s="1420"/>
      <c r="X33" s="1421"/>
    </row>
    <row r="34" spans="1:24">
      <c r="T34" s="1419"/>
      <c r="U34" s="1420"/>
      <c r="V34" s="1420"/>
      <c r="W34" s="1420"/>
      <c r="X34" s="1421"/>
    </row>
    <row r="35" spans="1:24" ht="17.25" thickBot="1">
      <c r="T35" s="1422"/>
      <c r="U35" s="1423"/>
      <c r="V35" s="1423"/>
      <c r="W35" s="1423"/>
      <c r="X35" s="1424"/>
    </row>
    <row r="36" spans="1:24" ht="17.25" thickBot="1"/>
    <row r="37" spans="1:24">
      <c r="T37" s="1425" t="s">
        <v>376</v>
      </c>
      <c r="U37" s="1417"/>
      <c r="V37" s="1417"/>
      <c r="W37" s="1417"/>
      <c r="X37" s="1418"/>
    </row>
    <row r="38" spans="1:24">
      <c r="T38" s="1419"/>
      <c r="U38" s="1420"/>
      <c r="V38" s="1420"/>
      <c r="W38" s="1420"/>
      <c r="X38" s="1421"/>
    </row>
    <row r="39" spans="1:24" s="237" customFormat="1" ht="13.5" customHeight="1">
      <c r="A39" s="236"/>
      <c r="B39" s="274"/>
      <c r="C39" s="236"/>
      <c r="D39" s="236"/>
      <c r="E39" s="236"/>
      <c r="F39" s="236"/>
      <c r="G39" s="236"/>
      <c r="H39" s="236"/>
      <c r="I39" s="236"/>
      <c r="J39" s="275"/>
      <c r="K39" s="236"/>
      <c r="L39" s="236"/>
      <c r="M39" s="236"/>
      <c r="N39" s="236"/>
      <c r="O39" s="236"/>
      <c r="P39" s="236"/>
      <c r="Q39" s="236"/>
      <c r="R39" s="254"/>
      <c r="S39" s="254"/>
      <c r="T39" s="1419"/>
      <c r="U39" s="1420"/>
      <c r="V39" s="1420"/>
      <c r="W39" s="1420"/>
      <c r="X39" s="1421"/>
    </row>
    <row r="40" spans="1:24">
      <c r="T40" s="1419"/>
      <c r="U40" s="1420"/>
      <c r="V40" s="1420"/>
      <c r="W40" s="1420"/>
      <c r="X40" s="1421"/>
    </row>
    <row r="41" spans="1:24">
      <c r="T41" s="1419"/>
      <c r="U41" s="1420"/>
      <c r="V41" s="1420"/>
      <c r="W41" s="1420"/>
      <c r="X41" s="1421"/>
    </row>
    <row r="42" spans="1:24">
      <c r="T42" s="1419"/>
      <c r="U42" s="1420"/>
      <c r="V42" s="1420"/>
      <c r="W42" s="1420"/>
      <c r="X42" s="1421"/>
    </row>
    <row r="43" spans="1:24">
      <c r="T43" s="1419"/>
      <c r="U43" s="1420"/>
      <c r="V43" s="1420"/>
      <c r="W43" s="1420"/>
      <c r="X43" s="1421"/>
    </row>
    <row r="44" spans="1:24" ht="17.25" thickBot="1">
      <c r="T44" s="1422"/>
      <c r="U44" s="1423"/>
      <c r="V44" s="1423"/>
      <c r="W44" s="1423"/>
      <c r="X44" s="1424"/>
    </row>
    <row r="50" spans="24:24">
      <c r="X50" s="237"/>
    </row>
  </sheetData>
  <mergeCells count="16">
    <mergeCell ref="T37:X44"/>
    <mergeCell ref="A1:Q1"/>
    <mergeCell ref="A2:Q2"/>
    <mergeCell ref="P4:Q4"/>
    <mergeCell ref="T4:X25"/>
    <mergeCell ref="C5:D5"/>
    <mergeCell ref="C7:D7"/>
    <mergeCell ref="P9:Q9"/>
    <mergeCell ref="C10:D10"/>
    <mergeCell ref="A12:Q12"/>
    <mergeCell ref="C14:D14"/>
    <mergeCell ref="C15:D15"/>
    <mergeCell ref="A19:Q19"/>
    <mergeCell ref="A21:A22"/>
    <mergeCell ref="J21:J22"/>
    <mergeCell ref="T26:X35"/>
  </mergeCells>
  <phoneticPr fontId="40" type="noConversion"/>
  <printOptions horizontalCentered="1"/>
  <pageMargins left="0" right="0" top="0" bottom="0" header="0" footer="0"/>
  <pageSetup paperSize="9" scale="52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38"/>
  <sheetViews>
    <sheetView topLeftCell="A2" zoomScale="85" zoomScaleNormal="85" zoomScalePageLayoutView="80" workbookViewId="0">
      <selection activeCell="K46" sqref="K46"/>
    </sheetView>
  </sheetViews>
  <sheetFormatPr defaultRowHeight="16.5"/>
  <cols>
    <col min="1" max="1" width="3.5" style="1" customWidth="1"/>
    <col min="2" max="2" width="14.1640625" style="9" customWidth="1"/>
    <col min="3" max="9" width="16.83203125" style="1" customWidth="1"/>
    <col min="10" max="10" width="3.5" style="10" customWidth="1"/>
    <col min="11" max="17" width="16.83203125" style="1" customWidth="1"/>
    <col min="18" max="18" width="3.5" style="4" customWidth="1"/>
    <col min="19" max="16384" width="9.33203125" style="1"/>
  </cols>
  <sheetData>
    <row r="1" spans="1:24" ht="16.5" hidden="1" customHeight="1">
      <c r="A1" s="1472" t="s">
        <v>35</v>
      </c>
      <c r="B1" s="1473"/>
      <c r="C1" s="1473"/>
      <c r="D1" s="1473"/>
      <c r="E1" s="1473"/>
      <c r="F1" s="1473"/>
      <c r="G1" s="1473"/>
      <c r="H1" s="1473"/>
      <c r="I1" s="1473"/>
      <c r="J1" s="1473"/>
      <c r="K1" s="1473"/>
      <c r="L1" s="1473"/>
      <c r="M1" s="1473"/>
      <c r="N1" s="1473"/>
      <c r="O1" s="1473"/>
      <c r="P1" s="1473"/>
      <c r="Q1" s="1473"/>
      <c r="R1" s="11"/>
    </row>
    <row r="2" spans="1:24" s="4" customFormat="1" ht="16.5" customHeight="1">
      <c r="A2" s="1428" t="s">
        <v>36</v>
      </c>
      <c r="B2" s="1429"/>
      <c r="C2" s="1429"/>
      <c r="D2" s="1429"/>
      <c r="E2" s="1429"/>
      <c r="F2" s="1429"/>
      <c r="G2" s="1429"/>
      <c r="H2" s="1429"/>
      <c r="I2" s="1429"/>
      <c r="J2" s="1429"/>
      <c r="K2" s="1429"/>
      <c r="L2" s="1429"/>
      <c r="M2" s="1429"/>
      <c r="N2" s="1429"/>
      <c r="O2" s="1429"/>
      <c r="P2" s="1429"/>
      <c r="Q2" s="1430"/>
      <c r="R2" s="13"/>
    </row>
    <row r="3" spans="1:24" s="4" customFormat="1" ht="8.1" customHeight="1" thickBot="1">
      <c r="A3" s="63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5"/>
      <c r="R3" s="13"/>
    </row>
    <row r="4" spans="1:24" ht="16.5" customHeight="1">
      <c r="A4" s="1458" t="s">
        <v>37</v>
      </c>
      <c r="B4" s="1458"/>
      <c r="C4" s="1458"/>
      <c r="D4" s="1458"/>
      <c r="E4" s="1458"/>
      <c r="F4" s="1458"/>
      <c r="G4" s="1458"/>
      <c r="H4" s="1458"/>
      <c r="I4" s="1458"/>
      <c r="J4" s="1458"/>
      <c r="K4" s="1458"/>
      <c r="L4" s="1458"/>
      <c r="M4" s="1458"/>
      <c r="N4" s="1458"/>
      <c r="O4" s="1458"/>
      <c r="P4" s="1458"/>
      <c r="Q4" s="1458"/>
      <c r="R4" s="18"/>
      <c r="S4" s="1474" t="s">
        <v>257</v>
      </c>
      <c r="T4" s="1475"/>
      <c r="U4" s="1475"/>
      <c r="V4" s="1475"/>
      <c r="W4" s="1475"/>
      <c r="X4" s="1476"/>
    </row>
    <row r="5" spans="1:24" ht="21.75" customHeight="1">
      <c r="A5" s="14"/>
      <c r="B5" s="15" t="s">
        <v>0</v>
      </c>
      <c r="C5" s="8" t="s">
        <v>1</v>
      </c>
      <c r="D5" s="8" t="s">
        <v>2</v>
      </c>
      <c r="E5" s="8" t="s">
        <v>3</v>
      </c>
      <c r="F5" s="8" t="s">
        <v>4</v>
      </c>
      <c r="G5" s="8" t="s">
        <v>5</v>
      </c>
      <c r="H5" s="8" t="s">
        <v>6</v>
      </c>
      <c r="I5" s="8" t="s">
        <v>7</v>
      </c>
      <c r="J5" s="16" t="s">
        <v>8</v>
      </c>
      <c r="K5" s="8" t="s">
        <v>9</v>
      </c>
      <c r="L5" s="8" t="s">
        <v>38</v>
      </c>
      <c r="M5" s="8" t="s">
        <v>11</v>
      </c>
      <c r="N5" s="8" t="s">
        <v>12</v>
      </c>
      <c r="O5" s="8" t="s">
        <v>39</v>
      </c>
      <c r="P5" s="8" t="s">
        <v>14</v>
      </c>
      <c r="Q5" s="8" t="s">
        <v>15</v>
      </c>
      <c r="R5" s="18"/>
      <c r="S5" s="1477"/>
      <c r="T5" s="1478"/>
      <c r="U5" s="1478"/>
      <c r="V5" s="1478"/>
      <c r="W5" s="1478"/>
      <c r="X5" s="1479"/>
    </row>
    <row r="6" spans="1:24" ht="14.1" customHeight="1">
      <c r="A6" s="88"/>
      <c r="B6" s="1488" t="s">
        <v>40</v>
      </c>
      <c r="C6" s="1363" t="s">
        <v>32</v>
      </c>
      <c r="D6" s="1493" t="s">
        <v>41</v>
      </c>
      <c r="E6" s="1490" t="s">
        <v>42</v>
      </c>
      <c r="F6" s="1495" t="s">
        <v>43</v>
      </c>
      <c r="G6" s="1490" t="s">
        <v>44</v>
      </c>
      <c r="H6" s="90" t="s">
        <v>45</v>
      </c>
      <c r="I6" s="89"/>
      <c r="J6" s="91"/>
      <c r="K6" s="93" t="s">
        <v>46</v>
      </c>
      <c r="L6" s="87"/>
      <c r="M6" s="92" t="s">
        <v>23</v>
      </c>
      <c r="N6" s="94" t="s">
        <v>47</v>
      </c>
      <c r="O6" s="95" t="s">
        <v>48</v>
      </c>
      <c r="P6" s="96" t="s">
        <v>49</v>
      </c>
      <c r="Q6" s="97" t="s">
        <v>50</v>
      </c>
      <c r="S6" s="1477"/>
      <c r="T6" s="1478"/>
      <c r="U6" s="1478"/>
      <c r="V6" s="1478"/>
      <c r="W6" s="1478"/>
      <c r="X6" s="1479"/>
    </row>
    <row r="7" spans="1:24" ht="14.1" customHeight="1">
      <c r="A7" s="42"/>
      <c r="B7" s="1489"/>
      <c r="C7" s="1492"/>
      <c r="D7" s="1494"/>
      <c r="E7" s="1491"/>
      <c r="F7" s="1496"/>
      <c r="G7" s="1491"/>
      <c r="H7" s="98" t="s">
        <v>51</v>
      </c>
      <c r="I7" s="99"/>
      <c r="J7" s="100"/>
      <c r="K7" s="104" t="s">
        <v>52</v>
      </c>
      <c r="L7" s="115" t="s">
        <v>146</v>
      </c>
      <c r="M7" s="101"/>
      <c r="N7" s="102" t="s">
        <v>53</v>
      </c>
      <c r="O7" s="102" t="s">
        <v>33</v>
      </c>
      <c r="P7" s="103" t="s">
        <v>34</v>
      </c>
      <c r="Q7" s="102" t="s">
        <v>54</v>
      </c>
      <c r="S7" s="1477"/>
      <c r="T7" s="1478"/>
      <c r="U7" s="1478"/>
      <c r="V7" s="1478"/>
      <c r="W7" s="1478"/>
      <c r="X7" s="1479"/>
    </row>
    <row r="8" spans="1:24" ht="8.1" customHeight="1">
      <c r="A8" s="43"/>
      <c r="B8" s="44"/>
      <c r="C8" s="60"/>
      <c r="D8" s="61"/>
      <c r="E8" s="12"/>
      <c r="F8" s="60"/>
      <c r="G8" s="60"/>
      <c r="H8" s="60"/>
      <c r="I8" s="62"/>
      <c r="J8" s="45"/>
      <c r="K8" s="62"/>
      <c r="L8" s="60"/>
      <c r="M8" s="60"/>
      <c r="N8" s="46"/>
      <c r="O8" s="62"/>
      <c r="P8" s="62"/>
      <c r="Q8" s="47"/>
      <c r="S8" s="1477"/>
      <c r="T8" s="1478"/>
      <c r="U8" s="1478"/>
      <c r="V8" s="1478"/>
      <c r="W8" s="1478"/>
      <c r="X8" s="1479"/>
    </row>
    <row r="9" spans="1:24" ht="16.5" customHeight="1">
      <c r="A9" s="1459" t="s">
        <v>24</v>
      </c>
      <c r="B9" s="1460"/>
      <c r="C9" s="1460"/>
      <c r="D9" s="1460"/>
      <c r="E9" s="1460"/>
      <c r="F9" s="1460"/>
      <c r="G9" s="1460"/>
      <c r="H9" s="1460"/>
      <c r="I9" s="1460"/>
      <c r="J9" s="1460"/>
      <c r="K9" s="1460"/>
      <c r="L9" s="1460"/>
      <c r="M9" s="1460"/>
      <c r="N9" s="1460"/>
      <c r="O9" s="1460"/>
      <c r="P9" s="1460"/>
      <c r="Q9" s="1461"/>
      <c r="S9" s="1477"/>
      <c r="T9" s="1478"/>
      <c r="U9" s="1478"/>
      <c r="V9" s="1478"/>
      <c r="W9" s="1478"/>
      <c r="X9" s="1479"/>
    </row>
    <row r="10" spans="1:24" ht="21.75" customHeight="1">
      <c r="A10" s="6"/>
      <c r="B10" s="3" t="s">
        <v>55</v>
      </c>
      <c r="C10" s="2" t="s">
        <v>1</v>
      </c>
      <c r="D10" s="2" t="s">
        <v>2</v>
      </c>
      <c r="E10" s="2" t="s">
        <v>3</v>
      </c>
      <c r="F10" s="2" t="s">
        <v>4</v>
      </c>
      <c r="G10" s="2" t="s">
        <v>5</v>
      </c>
      <c r="H10" s="2" t="s">
        <v>56</v>
      </c>
      <c r="I10" s="2" t="s">
        <v>7</v>
      </c>
      <c r="J10" s="7" t="s">
        <v>16</v>
      </c>
      <c r="K10" s="2" t="s">
        <v>9</v>
      </c>
      <c r="L10" s="8" t="s">
        <v>22</v>
      </c>
      <c r="M10" s="2" t="s">
        <v>11</v>
      </c>
      <c r="N10" s="2" t="s">
        <v>12</v>
      </c>
      <c r="O10" s="2" t="s">
        <v>57</v>
      </c>
      <c r="P10" s="2" t="s">
        <v>14</v>
      </c>
      <c r="Q10" s="2" t="s">
        <v>15</v>
      </c>
      <c r="R10" s="114" t="s">
        <v>58</v>
      </c>
      <c r="S10" s="1477"/>
      <c r="T10" s="1478"/>
      <c r="U10" s="1478"/>
      <c r="V10" s="1478"/>
      <c r="W10" s="1478"/>
      <c r="X10" s="1479"/>
    </row>
    <row r="11" spans="1:24" ht="14.1" customHeight="1">
      <c r="A11" s="1462"/>
      <c r="B11" s="1463" t="s">
        <v>19</v>
      </c>
      <c r="C11" s="1442" t="s">
        <v>59</v>
      </c>
      <c r="D11" s="21" t="s">
        <v>60</v>
      </c>
      <c r="E11" s="1442"/>
      <c r="F11" s="1442"/>
      <c r="G11" s="1442" t="s">
        <v>61</v>
      </c>
      <c r="H11" s="1442"/>
      <c r="I11" s="1466"/>
      <c r="J11" s="1468"/>
      <c r="K11" s="21" t="s">
        <v>62</v>
      </c>
      <c r="L11" s="20"/>
      <c r="M11" s="21" t="s">
        <v>63</v>
      </c>
      <c r="N11" s="1442"/>
      <c r="O11" s="1442"/>
      <c r="P11" s="70"/>
      <c r="Q11" s="70"/>
      <c r="S11" s="1477"/>
      <c r="T11" s="1478"/>
      <c r="U11" s="1478"/>
      <c r="V11" s="1478"/>
      <c r="W11" s="1478"/>
      <c r="X11" s="1479"/>
    </row>
    <row r="12" spans="1:24" ht="14.1" customHeight="1">
      <c r="A12" s="1462"/>
      <c r="B12" s="1464"/>
      <c r="C12" s="1465"/>
      <c r="D12" s="21"/>
      <c r="E12" s="1465"/>
      <c r="F12" s="1465"/>
      <c r="G12" s="1465"/>
      <c r="H12" s="1465"/>
      <c r="I12" s="1467"/>
      <c r="J12" s="1469"/>
      <c r="K12" s="110"/>
      <c r="L12" s="110"/>
      <c r="M12" s="110"/>
      <c r="N12" s="1465"/>
      <c r="O12" s="1465"/>
      <c r="P12" s="12"/>
      <c r="Q12" s="12"/>
      <c r="S12" s="1477"/>
      <c r="T12" s="1478"/>
      <c r="U12" s="1478"/>
      <c r="V12" s="1478"/>
      <c r="W12" s="1478"/>
      <c r="X12" s="1479"/>
    </row>
    <row r="13" spans="1:24" ht="14.1" customHeight="1">
      <c r="A13" s="1462"/>
      <c r="B13" s="1463" t="s">
        <v>64</v>
      </c>
      <c r="C13" s="21" t="s">
        <v>65</v>
      </c>
      <c r="D13" s="72"/>
      <c r="E13" s="1466" t="s">
        <v>66</v>
      </c>
      <c r="F13" s="1466"/>
      <c r="G13" s="72" t="s">
        <v>67</v>
      </c>
      <c r="H13" s="1466" t="s">
        <v>68</v>
      </c>
      <c r="I13" s="1470"/>
      <c r="J13" s="1468"/>
      <c r="K13" s="19" t="s">
        <v>69</v>
      </c>
      <c r="L13" s="1466"/>
      <c r="M13" s="110" t="s">
        <v>25</v>
      </c>
      <c r="N13" s="1466"/>
      <c r="O13" s="1466"/>
      <c r="P13" s="1466"/>
      <c r="Q13" s="1466"/>
      <c r="S13" s="1477"/>
      <c r="T13" s="1478"/>
      <c r="U13" s="1478"/>
      <c r="V13" s="1478"/>
      <c r="W13" s="1478"/>
      <c r="X13" s="1479"/>
    </row>
    <row r="14" spans="1:24" ht="14.1" customHeight="1">
      <c r="A14" s="1462"/>
      <c r="B14" s="1464"/>
      <c r="C14" s="21" t="s">
        <v>145</v>
      </c>
      <c r="D14" s="21" t="s">
        <v>70</v>
      </c>
      <c r="E14" s="1467"/>
      <c r="F14" s="1467"/>
      <c r="G14" s="21" t="s">
        <v>71</v>
      </c>
      <c r="H14" s="1467"/>
      <c r="I14" s="1471"/>
      <c r="J14" s="1469"/>
      <c r="K14" s="22" t="s">
        <v>72</v>
      </c>
      <c r="L14" s="1467"/>
      <c r="M14" s="21" t="s">
        <v>73</v>
      </c>
      <c r="N14" s="1467"/>
      <c r="O14" s="1467"/>
      <c r="P14" s="1467"/>
      <c r="Q14" s="1467"/>
      <c r="S14" s="1477"/>
      <c r="T14" s="1478"/>
      <c r="U14" s="1478"/>
      <c r="V14" s="1478"/>
      <c r="W14" s="1478"/>
      <c r="X14" s="1479"/>
    </row>
    <row r="15" spans="1:24" ht="14.1" customHeight="1">
      <c r="A15" s="1450"/>
      <c r="B15" s="1452" t="s">
        <v>74</v>
      </c>
      <c r="C15" s="1454"/>
      <c r="D15" s="1456" t="s">
        <v>144</v>
      </c>
      <c r="E15" s="1454" t="s">
        <v>26</v>
      </c>
      <c r="F15" s="22"/>
      <c r="G15" s="22"/>
      <c r="H15" s="1454" t="s">
        <v>75</v>
      </c>
      <c r="I15" s="1486" t="s">
        <v>76</v>
      </c>
      <c r="J15" s="1468"/>
      <c r="K15" s="1456" t="s">
        <v>77</v>
      </c>
      <c r="L15" s="1456" t="s">
        <v>144</v>
      </c>
      <c r="M15" s="1456" t="s">
        <v>78</v>
      </c>
      <c r="N15" s="22"/>
      <c r="O15" s="1454" t="s">
        <v>27</v>
      </c>
      <c r="P15" s="23"/>
      <c r="Q15" s="23"/>
      <c r="S15" s="1477"/>
      <c r="T15" s="1478"/>
      <c r="U15" s="1478"/>
      <c r="V15" s="1478"/>
      <c r="W15" s="1478"/>
      <c r="X15" s="1479"/>
    </row>
    <row r="16" spans="1:24" ht="14.1" customHeight="1">
      <c r="A16" s="1451"/>
      <c r="B16" s="1453"/>
      <c r="C16" s="1455"/>
      <c r="D16" s="1457"/>
      <c r="E16" s="1455"/>
      <c r="F16" s="22"/>
      <c r="G16" s="24" t="s">
        <v>79</v>
      </c>
      <c r="H16" s="1455"/>
      <c r="I16" s="1487"/>
      <c r="J16" s="1469"/>
      <c r="K16" s="1457"/>
      <c r="L16" s="1457"/>
      <c r="M16" s="1457"/>
      <c r="N16" s="22"/>
      <c r="O16" s="1455"/>
      <c r="P16" s="23"/>
      <c r="Q16" s="23"/>
      <c r="S16" s="1477"/>
      <c r="T16" s="1478"/>
      <c r="U16" s="1478"/>
      <c r="V16" s="1478"/>
      <c r="W16" s="1478"/>
      <c r="X16" s="1479"/>
    </row>
    <row r="17" spans="1:24">
      <c r="A17" s="1462"/>
      <c r="B17" s="1499" t="s">
        <v>80</v>
      </c>
      <c r="C17" s="28" t="s">
        <v>253</v>
      </c>
      <c r="D17" s="25"/>
      <c r="E17" s="25"/>
      <c r="F17" s="105"/>
      <c r="G17" s="20" t="s">
        <v>254</v>
      </c>
      <c r="H17" s="1442" t="s">
        <v>255</v>
      </c>
      <c r="I17" s="25"/>
      <c r="J17" s="1468"/>
      <c r="K17" s="27" t="s">
        <v>81</v>
      </c>
      <c r="L17" s="27"/>
      <c r="M17" s="22"/>
      <c r="O17" s="25"/>
      <c r="P17" s="25"/>
      <c r="Q17" s="25"/>
      <c r="S17" s="1477"/>
      <c r="T17" s="1478"/>
      <c r="U17" s="1478"/>
      <c r="V17" s="1478"/>
      <c r="W17" s="1478"/>
      <c r="X17" s="1479"/>
    </row>
    <row r="18" spans="1:24">
      <c r="A18" s="1498"/>
      <c r="B18" s="1500"/>
      <c r="C18" s="29"/>
      <c r="D18" s="29" t="s">
        <v>82</v>
      </c>
      <c r="E18" s="29"/>
      <c r="F18" s="30" t="s">
        <v>83</v>
      </c>
      <c r="G18" s="31"/>
      <c r="H18" s="1443"/>
      <c r="I18" s="33"/>
      <c r="J18" s="1501"/>
      <c r="K18" s="34"/>
      <c r="L18" s="34"/>
      <c r="M18" s="71"/>
      <c r="N18" s="35"/>
      <c r="O18" s="36"/>
      <c r="P18" s="36"/>
      <c r="Q18" s="34"/>
      <c r="S18" s="1477"/>
      <c r="T18" s="1478"/>
      <c r="U18" s="1478"/>
      <c r="V18" s="1478"/>
      <c r="W18" s="1478"/>
      <c r="X18" s="1479"/>
    </row>
    <row r="19" spans="1:24" ht="8.1" customHeight="1" thickBot="1">
      <c r="A19" s="48"/>
      <c r="B19" s="49"/>
      <c r="C19" s="50"/>
      <c r="D19" s="51"/>
      <c r="E19" s="51"/>
      <c r="F19" s="52"/>
      <c r="G19" s="53"/>
      <c r="H19" s="54"/>
      <c r="I19" s="55"/>
      <c r="J19" s="17"/>
      <c r="K19" s="56"/>
      <c r="L19" s="56"/>
      <c r="M19" s="56"/>
      <c r="N19" s="57"/>
      <c r="O19" s="58"/>
      <c r="P19" s="58"/>
      <c r="Q19" s="59"/>
      <c r="S19" s="1480"/>
      <c r="T19" s="1481"/>
      <c r="U19" s="1481"/>
      <c r="V19" s="1481"/>
      <c r="W19" s="1481"/>
      <c r="X19" s="1482"/>
    </row>
    <row r="20" spans="1:24">
      <c r="A20" s="1459" t="s">
        <v>28</v>
      </c>
      <c r="B20" s="1460"/>
      <c r="C20" s="1460"/>
      <c r="D20" s="1460"/>
      <c r="E20" s="1460"/>
      <c r="F20" s="1460"/>
      <c r="G20" s="1460"/>
      <c r="H20" s="1460"/>
      <c r="I20" s="1460"/>
      <c r="J20" s="1460"/>
      <c r="K20" s="1460"/>
      <c r="L20" s="1460"/>
      <c r="M20" s="1460"/>
      <c r="N20" s="1460"/>
      <c r="O20" s="1460"/>
      <c r="P20" s="1460"/>
      <c r="Q20" s="1461"/>
      <c r="S20" s="1474" t="s">
        <v>84</v>
      </c>
      <c r="T20" s="1475"/>
      <c r="U20" s="1475"/>
      <c r="V20" s="1475"/>
      <c r="W20" s="1475"/>
      <c r="X20" s="1476"/>
    </row>
    <row r="21" spans="1:24" ht="21">
      <c r="A21" s="6"/>
      <c r="B21" s="3" t="s">
        <v>85</v>
      </c>
      <c r="C21" s="2" t="s">
        <v>1</v>
      </c>
      <c r="D21" s="2" t="s">
        <v>2</v>
      </c>
      <c r="E21" s="2" t="s">
        <v>86</v>
      </c>
      <c r="F21" s="2" t="s">
        <v>4</v>
      </c>
      <c r="G21" s="2" t="s">
        <v>5</v>
      </c>
      <c r="H21" s="2" t="s">
        <v>6</v>
      </c>
      <c r="I21" s="2" t="s">
        <v>7</v>
      </c>
      <c r="J21" s="7" t="s">
        <v>16</v>
      </c>
      <c r="K21" s="2" t="s">
        <v>9</v>
      </c>
      <c r="L21" s="8" t="s">
        <v>87</v>
      </c>
      <c r="M21" s="2" t="s">
        <v>11</v>
      </c>
      <c r="N21" s="2" t="s">
        <v>12</v>
      </c>
      <c r="O21" s="2" t="s">
        <v>13</v>
      </c>
      <c r="P21" s="2" t="s">
        <v>14</v>
      </c>
      <c r="Q21" s="2" t="s">
        <v>15</v>
      </c>
      <c r="S21" s="1477"/>
      <c r="T21" s="1478"/>
      <c r="U21" s="1478"/>
      <c r="V21" s="1478"/>
      <c r="W21" s="1478"/>
      <c r="X21" s="1479"/>
    </row>
    <row r="22" spans="1:24" ht="27.95" customHeight="1">
      <c r="A22" s="106"/>
      <c r="B22" s="112" t="s">
        <v>88</v>
      </c>
      <c r="C22" s="23"/>
      <c r="D22" s="23" t="s">
        <v>89</v>
      </c>
      <c r="E22" s="23" t="s">
        <v>20</v>
      </c>
      <c r="F22" s="25"/>
      <c r="G22" s="23" t="s">
        <v>90</v>
      </c>
      <c r="H22" s="37"/>
      <c r="I22" s="28" t="s">
        <v>91</v>
      </c>
      <c r="J22" s="37"/>
      <c r="K22" s="27"/>
      <c r="L22" s="25" t="s">
        <v>92</v>
      </c>
      <c r="M22" s="27" t="s">
        <v>93</v>
      </c>
      <c r="N22" s="27"/>
      <c r="O22" s="25" t="s">
        <v>94</v>
      </c>
      <c r="P22" s="25"/>
      <c r="Q22" s="26"/>
      <c r="S22" s="1477"/>
      <c r="T22" s="1478"/>
      <c r="U22" s="1478"/>
      <c r="V22" s="1478"/>
      <c r="W22" s="1478"/>
      <c r="X22" s="1479"/>
    </row>
    <row r="23" spans="1:24" ht="27.95" customHeight="1">
      <c r="A23" s="106"/>
      <c r="B23" s="38" t="s">
        <v>95</v>
      </c>
      <c r="C23" s="23" t="s">
        <v>96</v>
      </c>
      <c r="D23" s="23" t="s">
        <v>258</v>
      </c>
      <c r="E23" s="23" t="s">
        <v>93</v>
      </c>
      <c r="F23" s="27" t="s">
        <v>97</v>
      </c>
      <c r="G23" s="37"/>
      <c r="H23" s="27" t="s">
        <v>98</v>
      </c>
      <c r="I23" s="21" t="s">
        <v>99</v>
      </c>
      <c r="J23" s="37"/>
      <c r="K23" s="25"/>
      <c r="L23" s="27"/>
      <c r="M23" s="39" t="s">
        <v>100</v>
      </c>
      <c r="O23" s="25"/>
      <c r="P23" s="25"/>
      <c r="Q23" s="25"/>
      <c r="S23" s="1477"/>
      <c r="T23" s="1478"/>
      <c r="U23" s="1478"/>
      <c r="V23" s="1478"/>
      <c r="W23" s="1478"/>
      <c r="X23" s="1479"/>
    </row>
    <row r="24" spans="1:24" ht="27.95" customHeight="1" thickBot="1">
      <c r="A24" s="111"/>
      <c r="B24" s="40" t="s">
        <v>21</v>
      </c>
      <c r="C24" s="33"/>
      <c r="D24" s="34"/>
      <c r="E24" s="35"/>
      <c r="F24" s="33"/>
      <c r="G24" s="33"/>
      <c r="H24" s="32"/>
      <c r="I24" s="41"/>
      <c r="J24" s="36"/>
      <c r="K24" s="34"/>
      <c r="L24" s="35"/>
      <c r="M24" s="34"/>
      <c r="N24" s="36"/>
      <c r="O24" s="33"/>
      <c r="P24" s="35"/>
      <c r="Q24" s="36"/>
      <c r="S24" s="1480"/>
      <c r="T24" s="1481"/>
      <c r="U24" s="1481"/>
      <c r="V24" s="1481"/>
      <c r="W24" s="1481"/>
      <c r="X24" s="1482"/>
    </row>
    <row r="25" spans="1:24" ht="8.1" customHeight="1" thickBot="1">
      <c r="A25" s="66"/>
      <c r="B25" s="67"/>
      <c r="C25" s="66"/>
      <c r="D25" s="66"/>
      <c r="E25" s="66"/>
      <c r="F25" s="66"/>
      <c r="G25" s="66"/>
      <c r="H25" s="66"/>
      <c r="I25" s="66"/>
      <c r="J25" s="68"/>
      <c r="K25" s="66"/>
      <c r="L25" s="66"/>
      <c r="M25" s="66"/>
      <c r="N25" s="66"/>
      <c r="O25" s="66"/>
      <c r="P25" s="66"/>
      <c r="Q25" s="66"/>
      <c r="S25" s="107"/>
      <c r="T25" s="108"/>
      <c r="U25" s="108"/>
      <c r="V25" s="108"/>
      <c r="W25" s="108"/>
      <c r="X25" s="109"/>
    </row>
    <row r="26" spans="1:24" s="4" customFormat="1">
      <c r="A26" s="1497" t="s">
        <v>17</v>
      </c>
      <c r="B26" s="1497"/>
      <c r="C26" s="1497"/>
      <c r="D26" s="1497"/>
      <c r="E26" s="1497"/>
      <c r="F26" s="1497"/>
      <c r="G26" s="1497"/>
      <c r="H26" s="1497"/>
      <c r="I26" s="1497"/>
      <c r="J26" s="1497"/>
      <c r="K26" s="1497"/>
      <c r="L26" s="1497"/>
      <c r="M26" s="1497"/>
      <c r="N26" s="1497"/>
      <c r="O26" s="1497"/>
      <c r="P26" s="1497"/>
      <c r="Q26" s="1497"/>
      <c r="R26" s="5"/>
      <c r="S26" s="1474" t="s">
        <v>101</v>
      </c>
      <c r="T26" s="1475"/>
      <c r="U26" s="1475"/>
      <c r="V26" s="1475"/>
      <c r="W26" s="1475"/>
      <c r="X26" s="1476"/>
    </row>
    <row r="27" spans="1:24" s="78" customFormat="1" ht="21" customHeight="1">
      <c r="A27" s="73"/>
      <c r="B27" s="74" t="s">
        <v>18</v>
      </c>
      <c r="C27" s="75" t="s">
        <v>1</v>
      </c>
      <c r="D27" s="75" t="s">
        <v>2</v>
      </c>
      <c r="E27" s="75" t="s">
        <v>3</v>
      </c>
      <c r="F27" s="75" t="s">
        <v>4</v>
      </c>
      <c r="G27" s="75" t="s">
        <v>5</v>
      </c>
      <c r="H27" s="75" t="s">
        <v>6</v>
      </c>
      <c r="I27" s="75" t="s">
        <v>102</v>
      </c>
      <c r="J27" s="76" t="s">
        <v>16</v>
      </c>
      <c r="K27" s="75" t="s">
        <v>9</v>
      </c>
      <c r="L27" s="8" t="s">
        <v>10</v>
      </c>
      <c r="M27" s="75" t="s">
        <v>11</v>
      </c>
      <c r="N27" s="75" t="s">
        <v>103</v>
      </c>
      <c r="O27" s="75" t="s">
        <v>13</v>
      </c>
      <c r="P27" s="75" t="s">
        <v>14</v>
      </c>
      <c r="Q27" s="75" t="s">
        <v>15</v>
      </c>
      <c r="R27" s="77"/>
      <c r="S27" s="1477"/>
      <c r="T27" s="1478"/>
      <c r="U27" s="1478"/>
      <c r="V27" s="1478"/>
      <c r="W27" s="1478"/>
      <c r="X27" s="1479"/>
    </row>
    <row r="28" spans="1:24" s="80" customFormat="1" ht="24" customHeight="1">
      <c r="A28" s="113"/>
      <c r="B28" s="1444" t="s">
        <v>29</v>
      </c>
      <c r="C28" s="1448" t="s">
        <v>104</v>
      </c>
      <c r="D28" s="1448" t="s">
        <v>105</v>
      </c>
      <c r="E28" s="1448" t="s">
        <v>106</v>
      </c>
      <c r="F28" s="84"/>
      <c r="G28" s="1470" t="s">
        <v>107</v>
      </c>
      <c r="H28" s="83"/>
      <c r="I28" s="83" t="s">
        <v>108</v>
      </c>
      <c r="J28" s="84"/>
      <c r="K28" s="85" t="s">
        <v>109</v>
      </c>
      <c r="L28" s="82" t="s">
        <v>110</v>
      </c>
      <c r="M28" s="1502" t="s">
        <v>111</v>
      </c>
      <c r="N28" s="1502" t="s">
        <v>112</v>
      </c>
      <c r="O28" s="1446"/>
      <c r="P28" s="1483"/>
      <c r="Q28" s="1484"/>
      <c r="R28" s="79"/>
      <c r="S28" s="1477"/>
      <c r="T28" s="1478"/>
      <c r="U28" s="1478"/>
      <c r="V28" s="1478"/>
      <c r="W28" s="1478"/>
      <c r="X28" s="1479"/>
    </row>
    <row r="29" spans="1:24" s="80" customFormat="1" ht="24" customHeight="1">
      <c r="A29" s="113"/>
      <c r="B29" s="1445"/>
      <c r="C29" s="1449"/>
      <c r="D29" s="1449"/>
      <c r="E29" s="1449"/>
      <c r="F29" s="82" t="s">
        <v>113</v>
      </c>
      <c r="G29" s="1471"/>
      <c r="H29" s="83" t="s">
        <v>114</v>
      </c>
      <c r="I29" s="83" t="s">
        <v>115</v>
      </c>
      <c r="J29" s="84"/>
      <c r="K29" s="83"/>
      <c r="L29" s="82" t="s">
        <v>116</v>
      </c>
      <c r="M29" s="1503"/>
      <c r="N29" s="1503"/>
      <c r="O29" s="1447"/>
      <c r="P29" s="1485"/>
      <c r="Q29" s="1485"/>
      <c r="R29" s="79"/>
      <c r="S29" s="1477"/>
      <c r="T29" s="1478"/>
      <c r="U29" s="1478"/>
      <c r="V29" s="1478"/>
      <c r="W29" s="1478"/>
      <c r="X29" s="1479"/>
    </row>
    <row r="30" spans="1:24" s="80" customFormat="1" ht="24" customHeight="1" thickBot="1">
      <c r="A30" s="113"/>
      <c r="B30" s="1444" t="s">
        <v>117</v>
      </c>
      <c r="C30" s="84" t="s">
        <v>118</v>
      </c>
      <c r="D30" s="1448"/>
      <c r="E30" s="110" t="s">
        <v>119</v>
      </c>
      <c r="F30" s="1446"/>
      <c r="G30" s="84"/>
      <c r="H30" s="83" t="s">
        <v>120</v>
      </c>
      <c r="I30" s="1446"/>
      <c r="J30" s="84"/>
      <c r="K30" s="110" t="s">
        <v>121</v>
      </c>
      <c r="L30" s="83"/>
      <c r="M30" s="72" t="s">
        <v>122</v>
      </c>
      <c r="N30" s="72" t="s">
        <v>123</v>
      </c>
      <c r="O30" s="1446" t="s">
        <v>124</v>
      </c>
      <c r="P30" s="1483"/>
      <c r="Q30" s="1484"/>
      <c r="R30" s="79"/>
      <c r="S30" s="1480"/>
      <c r="T30" s="1481"/>
      <c r="U30" s="1481"/>
      <c r="V30" s="1481"/>
      <c r="W30" s="1481"/>
      <c r="X30" s="1482"/>
    </row>
    <row r="31" spans="1:24" s="80" customFormat="1" ht="24" customHeight="1">
      <c r="A31" s="113"/>
      <c r="B31" s="1445"/>
      <c r="C31" s="84" t="s">
        <v>125</v>
      </c>
      <c r="D31" s="1449"/>
      <c r="E31" s="110" t="s">
        <v>30</v>
      </c>
      <c r="F31" s="1447"/>
      <c r="G31" s="84" t="s">
        <v>126</v>
      </c>
      <c r="H31" s="83" t="s">
        <v>127</v>
      </c>
      <c r="I31" s="1447"/>
      <c r="J31" s="84"/>
      <c r="K31" s="72" t="s">
        <v>128</v>
      </c>
      <c r="L31" s="86" t="s">
        <v>129</v>
      </c>
      <c r="M31" s="82" t="s">
        <v>130</v>
      </c>
      <c r="N31" s="83"/>
      <c r="O31" s="1447"/>
      <c r="P31" s="1485"/>
      <c r="Q31" s="1485"/>
      <c r="R31" s="79"/>
      <c r="S31" s="81"/>
      <c r="T31" s="81"/>
      <c r="U31" s="78"/>
      <c r="V31" s="78"/>
      <c r="W31" s="78"/>
      <c r="X31" s="78"/>
    </row>
    <row r="32" spans="1:24" s="80" customFormat="1" ht="24" customHeight="1">
      <c r="A32" s="113"/>
      <c r="B32" s="1444" t="s">
        <v>131</v>
      </c>
      <c r="C32" s="110"/>
      <c r="D32" s="1448" t="s">
        <v>132</v>
      </c>
      <c r="E32" s="1448" t="s">
        <v>133</v>
      </c>
      <c r="F32" s="1446" t="s">
        <v>31</v>
      </c>
      <c r="G32" s="1446" t="s">
        <v>134</v>
      </c>
      <c r="H32" s="84" t="s">
        <v>135</v>
      </c>
      <c r="I32" s="1446" t="s">
        <v>136</v>
      </c>
      <c r="J32" s="84"/>
      <c r="K32" s="1446" t="s">
        <v>137</v>
      </c>
      <c r="L32" s="1446" t="s">
        <v>138</v>
      </c>
      <c r="M32" s="1448" t="s">
        <v>139</v>
      </c>
      <c r="N32" s="84" t="s">
        <v>140</v>
      </c>
      <c r="O32" s="84" t="s">
        <v>141</v>
      </c>
      <c r="P32" s="1448" t="s">
        <v>142</v>
      </c>
      <c r="Q32" s="84"/>
      <c r="R32" s="79"/>
      <c r="S32" s="81"/>
      <c r="T32" s="81"/>
      <c r="U32" s="78"/>
      <c r="V32" s="78"/>
      <c r="W32" s="78"/>
      <c r="X32" s="78"/>
    </row>
    <row r="33" spans="1:23" s="80" customFormat="1" ht="24" customHeight="1">
      <c r="A33" s="113"/>
      <c r="B33" s="1445"/>
      <c r="C33" s="110"/>
      <c r="D33" s="1449"/>
      <c r="E33" s="1449"/>
      <c r="F33" s="1447"/>
      <c r="G33" s="1447"/>
      <c r="H33" s="83" t="s">
        <v>143</v>
      </c>
      <c r="I33" s="1447"/>
      <c r="J33" s="84"/>
      <c r="K33" s="1447"/>
      <c r="L33" s="1447"/>
      <c r="M33" s="1449"/>
      <c r="N33" s="83"/>
      <c r="O33" s="83"/>
      <c r="P33" s="1449"/>
      <c r="Q33" s="84"/>
      <c r="R33" s="79"/>
      <c r="S33" s="81"/>
      <c r="T33" s="81"/>
    </row>
    <row r="34" spans="1:23">
      <c r="S34" s="69"/>
      <c r="T34" s="69"/>
      <c r="U34" s="69"/>
      <c r="V34" s="69"/>
      <c r="W34" s="69"/>
    </row>
    <row r="35" spans="1:23">
      <c r="A35" s="1504" t="s">
        <v>248</v>
      </c>
      <c r="B35" s="1504"/>
      <c r="C35" s="1504"/>
      <c r="D35" s="1504"/>
      <c r="E35" s="1504"/>
      <c r="F35" s="1504"/>
      <c r="G35" s="1504"/>
      <c r="H35" s="1504"/>
      <c r="I35" s="1504"/>
      <c r="J35" s="1504"/>
      <c r="K35" s="1504"/>
      <c r="L35" s="1504"/>
      <c r="M35" s="1504"/>
      <c r="N35" s="1504"/>
      <c r="O35" s="1504"/>
      <c r="P35" s="1504"/>
      <c r="Q35" s="1504"/>
    </row>
    <row r="36" spans="1:23" ht="21">
      <c r="A36" s="73"/>
      <c r="B36" s="74" t="s">
        <v>18</v>
      </c>
      <c r="C36" s="75" t="s">
        <v>1</v>
      </c>
      <c r="D36" s="75" t="s">
        <v>2</v>
      </c>
      <c r="E36" s="75" t="s">
        <v>3</v>
      </c>
      <c r="F36" s="75" t="s">
        <v>4</v>
      </c>
      <c r="G36" s="75" t="s">
        <v>5</v>
      </c>
      <c r="H36" s="75" t="s">
        <v>6</v>
      </c>
      <c r="I36" s="75" t="s">
        <v>102</v>
      </c>
      <c r="J36" s="76" t="s">
        <v>16</v>
      </c>
      <c r="K36" s="75" t="s">
        <v>9</v>
      </c>
      <c r="L36" s="8" t="s">
        <v>10</v>
      </c>
      <c r="M36" s="75" t="s">
        <v>11</v>
      </c>
      <c r="N36" s="75" t="s">
        <v>103</v>
      </c>
      <c r="O36" s="75" t="s">
        <v>13</v>
      </c>
      <c r="P36" s="75" t="s">
        <v>14</v>
      </c>
      <c r="Q36" s="75" t="s">
        <v>15</v>
      </c>
    </row>
    <row r="37" spans="1:23" ht="27.95" customHeight="1">
      <c r="B37" s="144" t="s">
        <v>181</v>
      </c>
      <c r="C37" s="133"/>
      <c r="D37" s="133"/>
      <c r="E37" s="133"/>
      <c r="F37" s="133" t="s">
        <v>251</v>
      </c>
      <c r="G37" s="214"/>
      <c r="H37" s="134" t="s">
        <v>256</v>
      </c>
      <c r="I37" s="136" t="s">
        <v>252</v>
      </c>
      <c r="J37" s="134"/>
      <c r="K37" s="133"/>
      <c r="L37" s="139"/>
      <c r="M37" s="136"/>
      <c r="N37" s="133"/>
      <c r="O37" s="136"/>
      <c r="P37" s="1084"/>
      <c r="Q37" s="1085"/>
    </row>
    <row r="38" spans="1:23" ht="27.95" customHeight="1">
      <c r="B38" s="144" t="s">
        <v>249</v>
      </c>
      <c r="C38" s="1084"/>
      <c r="D38" s="1085"/>
      <c r="E38" s="133" t="s">
        <v>259</v>
      </c>
      <c r="F38" s="133" t="s">
        <v>260</v>
      </c>
      <c r="G38" s="214" t="s">
        <v>261</v>
      </c>
      <c r="H38" s="134" t="s">
        <v>262</v>
      </c>
      <c r="I38" s="136" t="s">
        <v>263</v>
      </c>
      <c r="J38" s="134"/>
      <c r="K38" s="1505" t="s">
        <v>250</v>
      </c>
      <c r="L38" s="1506"/>
      <c r="M38" s="1506"/>
      <c r="N38" s="1506"/>
      <c r="O38" s="1506"/>
      <c r="P38" s="1506"/>
      <c r="Q38" s="1507"/>
    </row>
  </sheetData>
  <mergeCells count="85">
    <mergeCell ref="C38:D38"/>
    <mergeCell ref="M28:M29"/>
    <mergeCell ref="N28:N29"/>
    <mergeCell ref="A35:Q35"/>
    <mergeCell ref="P37:Q37"/>
    <mergeCell ref="K38:Q38"/>
    <mergeCell ref="N11:N12"/>
    <mergeCell ref="I30:I31"/>
    <mergeCell ref="C11:C12"/>
    <mergeCell ref="E13:E14"/>
    <mergeCell ref="H13:H14"/>
    <mergeCell ref="A26:Q26"/>
    <mergeCell ref="M15:M16"/>
    <mergeCell ref="O15:O16"/>
    <mergeCell ref="A17:A18"/>
    <mergeCell ref="B17:B18"/>
    <mergeCell ref="J17:J18"/>
    <mergeCell ref="F13:F14"/>
    <mergeCell ref="A13:A14"/>
    <mergeCell ref="B13:B14"/>
    <mergeCell ref="E15:E16"/>
    <mergeCell ref="F30:F31"/>
    <mergeCell ref="S20:X24"/>
    <mergeCell ref="S26:X30"/>
    <mergeCell ref="O28:O29"/>
    <mergeCell ref="O30:O31"/>
    <mergeCell ref="P28:Q28"/>
    <mergeCell ref="P29:Q29"/>
    <mergeCell ref="A20:Q20"/>
    <mergeCell ref="P30:Q30"/>
    <mergeCell ref="P31:Q31"/>
    <mergeCell ref="G28:G29"/>
    <mergeCell ref="E28:E29"/>
    <mergeCell ref="I13:I14"/>
    <mergeCell ref="J13:J14"/>
    <mergeCell ref="A1:Q1"/>
    <mergeCell ref="A2:Q2"/>
    <mergeCell ref="S4:X19"/>
    <mergeCell ref="P13:P14"/>
    <mergeCell ref="Q13:Q14"/>
    <mergeCell ref="I15:I16"/>
    <mergeCell ref="J15:J16"/>
    <mergeCell ref="B6:B7"/>
    <mergeCell ref="O11:O12"/>
    <mergeCell ref="G6:G7"/>
    <mergeCell ref="C6:C7"/>
    <mergeCell ref="D6:D7"/>
    <mergeCell ref="E6:E7"/>
    <mergeCell ref="F6:F7"/>
    <mergeCell ref="K15:K16"/>
    <mergeCell ref="L15:L16"/>
    <mergeCell ref="A4:Q4"/>
    <mergeCell ref="A9:Q9"/>
    <mergeCell ref="A11:A12"/>
    <mergeCell ref="B11:B12"/>
    <mergeCell ref="E11:E12"/>
    <mergeCell ref="F11:F12"/>
    <mergeCell ref="G11:G12"/>
    <mergeCell ref="H11:H12"/>
    <mergeCell ref="I11:I12"/>
    <mergeCell ref="J11:J12"/>
    <mergeCell ref="H15:H16"/>
    <mergeCell ref="N13:N14"/>
    <mergeCell ref="O13:O14"/>
    <mergeCell ref="L13:L14"/>
    <mergeCell ref="A15:A16"/>
    <mergeCell ref="B15:B16"/>
    <mergeCell ref="C15:C16"/>
    <mergeCell ref="D15:D16"/>
    <mergeCell ref="B28:B29"/>
    <mergeCell ref="H17:H18"/>
    <mergeCell ref="B32:B33"/>
    <mergeCell ref="G32:G33"/>
    <mergeCell ref="F32:F33"/>
    <mergeCell ref="P32:P33"/>
    <mergeCell ref="M32:M33"/>
    <mergeCell ref="L32:L33"/>
    <mergeCell ref="K32:K33"/>
    <mergeCell ref="I32:I33"/>
    <mergeCell ref="E32:E33"/>
    <mergeCell ref="D32:D33"/>
    <mergeCell ref="B30:B31"/>
    <mergeCell ref="D30:D31"/>
    <mergeCell ref="C28:C29"/>
    <mergeCell ref="D28:D29"/>
  </mergeCells>
  <phoneticPr fontId="40" type="noConversion"/>
  <printOptions horizontalCentered="1"/>
  <pageMargins left="0" right="0" top="0" bottom="0" header="0" footer="0"/>
  <pageSetup paperSize="9" scale="4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2층</vt:lpstr>
      <vt:lpstr>3층</vt:lpstr>
      <vt:lpstr>4층</vt:lpstr>
      <vt:lpstr>5층</vt:lpstr>
      <vt:lpstr>6층</vt:lpstr>
      <vt:lpstr>소아</vt:lpstr>
      <vt:lpstr>특수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queen</dc:creator>
  <cp:lastModifiedBy>queen</cp:lastModifiedBy>
  <cp:lastPrinted>2025-11-14T23:14:39Z</cp:lastPrinted>
  <dcterms:created xsi:type="dcterms:W3CDTF">2025-10-02T08:00:50Z</dcterms:created>
  <dcterms:modified xsi:type="dcterms:W3CDTF">2025-11-14T23:14:45Z</dcterms:modified>
</cp:coreProperties>
</file>