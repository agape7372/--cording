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20.248\행정공유\2.차팅확인지\"/>
    </mc:Choice>
  </mc:AlternateContent>
  <bookViews>
    <workbookView xWindow="0" yWindow="0" windowWidth="28800" windowHeight="12285" activeTab="1"/>
  </bookViews>
  <sheets>
    <sheet name="12.01" sheetId="2" r:id="rId1"/>
    <sheet name="12.0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2" i="3" l="1"/>
  <c r="R30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3" i="3"/>
  <c r="R12" i="3"/>
  <c r="R11" i="3"/>
  <c r="R10" i="3"/>
  <c r="R8" i="3"/>
  <c r="R7" i="3"/>
  <c r="R6" i="3"/>
  <c r="R5" i="3"/>
  <c r="R4" i="3"/>
  <c r="R32" i="2"/>
  <c r="R30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8" i="2"/>
  <c r="R7" i="2"/>
  <c r="R6" i="2"/>
  <c r="R5" i="2"/>
  <c r="R4" i="2"/>
  <c r="R3" i="2" l="1"/>
  <c r="R3" i="3"/>
</calcChain>
</file>

<file path=xl/sharedStrings.xml><?xml version="1.0" encoding="utf-8"?>
<sst xmlns="http://schemas.openxmlformats.org/spreadsheetml/2006/main" count="737" uniqueCount="597">
  <si>
    <t>재활센터 시간표     2023. 10. 31 (화)</t>
    <phoneticPr fontId="3" type="noConversion"/>
  </si>
  <si>
    <t>4층 재활센터 시간표 차팅확인지   2025. 12. 1 (월)</t>
    <phoneticPr fontId="3" type="noConversion"/>
  </si>
  <si>
    <t xml:space="preserve">           시간    치료사</t>
    <phoneticPr fontId="3" type="noConversion"/>
  </si>
  <si>
    <t>7:30~
8:00</t>
    <phoneticPr fontId="3" type="noConversion"/>
  </si>
  <si>
    <t>8:00~
8:30</t>
    <phoneticPr fontId="3" type="noConversion"/>
  </si>
  <si>
    <t>8:30~
9:00</t>
    <phoneticPr fontId="3" type="noConversion"/>
  </si>
  <si>
    <t>9:05~
9:35</t>
  </si>
  <si>
    <t>9:40~
10:10</t>
  </si>
  <si>
    <t>10:15~
10:45</t>
    <phoneticPr fontId="3" type="noConversion"/>
  </si>
  <si>
    <t>10:50~
11:20</t>
    <phoneticPr fontId="3" type="noConversion"/>
  </si>
  <si>
    <t>11:25~
11:55</t>
    <phoneticPr fontId="3" type="noConversion"/>
  </si>
  <si>
    <t>12:00~
12:30</t>
    <phoneticPr fontId="3" type="noConversion"/>
  </si>
  <si>
    <t>점심</t>
  </si>
  <si>
    <t>13:30~
14:00</t>
    <phoneticPr fontId="3" type="noConversion"/>
  </si>
  <si>
    <t>14:05~
14:35</t>
  </si>
  <si>
    <t>14:40~
15:10</t>
  </si>
  <si>
    <t>15:15~
15:45</t>
  </si>
  <si>
    <t>15:50~
16:20</t>
  </si>
  <si>
    <t>장희연</t>
    <phoneticPr fontId="3" type="noConversion"/>
  </si>
  <si>
    <t>RG1한상진(평)</t>
    <phoneticPr fontId="3" type="noConversion"/>
  </si>
  <si>
    <t>RM1김진권2(평)</t>
    <phoneticPr fontId="3" type="noConversion"/>
  </si>
  <si>
    <t>N이경순10</t>
    <phoneticPr fontId="3" type="noConversion"/>
  </si>
  <si>
    <t>N정화구</t>
  </si>
  <si>
    <t>RN김동윤3</t>
    <phoneticPr fontId="3" type="noConversion"/>
  </si>
  <si>
    <t>RN곽수열</t>
    <phoneticPr fontId="3" type="noConversion"/>
  </si>
  <si>
    <t>송병태(평)</t>
    <phoneticPr fontId="3" type="noConversion"/>
  </si>
  <si>
    <t>우재천(평)</t>
    <phoneticPr fontId="3" type="noConversion"/>
  </si>
  <si>
    <t>RG이송자</t>
    <phoneticPr fontId="3" type="noConversion"/>
  </si>
  <si>
    <t>RN김남규4</t>
    <phoneticPr fontId="3" type="noConversion"/>
  </si>
  <si>
    <t>박창현3(평)</t>
    <phoneticPr fontId="3" type="noConversion"/>
  </si>
  <si>
    <t>정상범3(평)</t>
    <phoneticPr fontId="3" type="noConversion"/>
  </si>
  <si>
    <t>부족한 오더 적어주세요!</t>
    <phoneticPr fontId="3" type="noConversion"/>
  </si>
  <si>
    <t>유다영</t>
    <phoneticPr fontId="3" type="noConversion"/>
  </si>
  <si>
    <t>이산옥(평)</t>
    <phoneticPr fontId="3" type="noConversion"/>
  </si>
  <si>
    <t>RM우병주</t>
    <phoneticPr fontId="3" type="noConversion"/>
  </si>
  <si>
    <t>김은미11(평)</t>
    <phoneticPr fontId="3" type="noConversion"/>
  </si>
  <si>
    <t>RN1김갑태2(평)</t>
    <phoneticPr fontId="3" type="noConversion"/>
  </si>
  <si>
    <t>RM채규칠</t>
    <phoneticPr fontId="3" type="noConversion"/>
  </si>
  <si>
    <t>RN이준구2</t>
  </si>
  <si>
    <t>RM1차미영3(평)</t>
    <phoneticPr fontId="3" type="noConversion"/>
  </si>
  <si>
    <t>RG김무길</t>
    <phoneticPr fontId="3" type="noConversion"/>
  </si>
  <si>
    <t>M7양덕점D</t>
    <phoneticPr fontId="3" type="noConversion"/>
  </si>
  <si>
    <t>RM박종순13</t>
    <phoneticPr fontId="3" type="noConversion"/>
  </si>
  <si>
    <t>RM1연미재(평)</t>
    <phoneticPr fontId="3" type="noConversion"/>
  </si>
  <si>
    <t>RN신명숙6</t>
  </si>
  <si>
    <t>전진현</t>
    <phoneticPr fontId="3" type="noConversion"/>
  </si>
  <si>
    <t>RM곽수열</t>
    <phoneticPr fontId="3" type="noConversion"/>
  </si>
  <si>
    <t>배영수(평)</t>
    <phoneticPr fontId="3" type="noConversion"/>
  </si>
  <si>
    <t>손재영(평)</t>
    <phoneticPr fontId="3" type="noConversion"/>
  </si>
  <si>
    <t>RN박종순13</t>
    <phoneticPr fontId="3" type="noConversion"/>
  </si>
  <si>
    <t>권순예(평)</t>
    <phoneticPr fontId="3" type="noConversion"/>
  </si>
  <si>
    <t>RM차미영3</t>
  </si>
  <si>
    <t>RM김을순2</t>
    <phoneticPr fontId="3" type="noConversion"/>
  </si>
  <si>
    <t>RM1김남규4(평)</t>
    <phoneticPr fontId="3" type="noConversion"/>
  </si>
  <si>
    <t>RM박인규4</t>
    <phoneticPr fontId="3" type="noConversion"/>
  </si>
  <si>
    <t>이묘헌(평)</t>
    <phoneticPr fontId="15" type="noConversion"/>
  </si>
  <si>
    <t>RM목진구</t>
  </si>
  <si>
    <t>RM염재호</t>
  </si>
  <si>
    <t xml:space="preserve">담당 치료사 </t>
    <phoneticPr fontId="3" type="noConversion"/>
  </si>
  <si>
    <t>환자 성함</t>
    <phoneticPr fontId="3" type="noConversion"/>
  </si>
  <si>
    <t>오더/시간</t>
    <phoneticPr fontId="3" type="noConversion"/>
  </si>
  <si>
    <t>박나은</t>
    <phoneticPr fontId="3" type="noConversion"/>
  </si>
  <si>
    <t>한미송(평)</t>
    <phoneticPr fontId="3" type="noConversion"/>
  </si>
  <si>
    <t>신봉호(평)</t>
    <phoneticPr fontId="3" type="noConversion"/>
  </si>
  <si>
    <t>RG한상진</t>
    <phoneticPr fontId="3" type="noConversion"/>
  </si>
  <si>
    <t>김인기3(평)</t>
    <phoneticPr fontId="3" type="noConversion"/>
  </si>
  <si>
    <t>N오영환3</t>
  </si>
  <si>
    <t>한정완(평)</t>
    <phoneticPr fontId="3" type="noConversion"/>
  </si>
  <si>
    <t>이경순10(평)</t>
    <phoneticPr fontId="3" type="noConversion"/>
  </si>
  <si>
    <t>RN차미영3</t>
  </si>
  <si>
    <t>N이주민</t>
  </si>
  <si>
    <t>RM1윤충원(평)</t>
    <phoneticPr fontId="3" type="noConversion"/>
  </si>
  <si>
    <t>이지은</t>
    <phoneticPr fontId="3" type="noConversion"/>
  </si>
  <si>
    <t>RM김동윤3</t>
    <phoneticPr fontId="3" type="noConversion"/>
  </si>
  <si>
    <t>RM이준구2</t>
    <phoneticPr fontId="3" type="noConversion"/>
  </si>
  <si>
    <t>RM정농숙</t>
  </si>
  <si>
    <t>RN1조항만(평)</t>
    <phoneticPr fontId="3" type="noConversion"/>
  </si>
  <si>
    <t>RM김남규4</t>
  </si>
  <si>
    <t>조희자(평)</t>
    <phoneticPr fontId="3" type="noConversion"/>
  </si>
  <si>
    <t>RM윤충원</t>
    <phoneticPr fontId="3" type="noConversion"/>
  </si>
  <si>
    <t>RM김진권2</t>
    <phoneticPr fontId="3" type="noConversion"/>
  </si>
  <si>
    <t>N김인기3</t>
  </si>
  <si>
    <t>RM권영배</t>
    <phoneticPr fontId="3" type="noConversion"/>
  </si>
  <si>
    <t>RM김갑태2</t>
  </si>
  <si>
    <t>정재희</t>
    <phoneticPr fontId="3" type="noConversion"/>
  </si>
  <si>
    <t>최현수
(공가)</t>
    <phoneticPr fontId="3" type="noConversion"/>
  </si>
  <si>
    <t>이지원</t>
    <phoneticPr fontId="3" type="noConversion"/>
  </si>
  <si>
    <t>채수현</t>
    <phoneticPr fontId="3" type="noConversion"/>
  </si>
  <si>
    <t>RM차미영3</t>
    <phoneticPr fontId="3" type="noConversion"/>
  </si>
  <si>
    <t>RM1정농숙(평)</t>
    <phoneticPr fontId="3" type="noConversion"/>
  </si>
  <si>
    <t>RM김석기2</t>
    <phoneticPr fontId="3" type="noConversion"/>
  </si>
  <si>
    <t>박명숙10(평)</t>
    <phoneticPr fontId="3" type="noConversion"/>
  </si>
  <si>
    <t>N한정완</t>
  </si>
  <si>
    <t>RM1박인규4(평)</t>
    <phoneticPr fontId="3" type="noConversion"/>
  </si>
  <si>
    <t>RN염재호</t>
    <phoneticPr fontId="3" type="noConversion"/>
  </si>
  <si>
    <t>장현성(평)</t>
    <phoneticPr fontId="3" type="noConversion"/>
  </si>
  <si>
    <t>RM정태철</t>
    <phoneticPr fontId="3" type="noConversion"/>
  </si>
  <si>
    <t>김태수5(평)</t>
    <phoneticPr fontId="3" type="noConversion"/>
  </si>
  <si>
    <t>RM조항만</t>
    <phoneticPr fontId="3" type="noConversion"/>
  </si>
  <si>
    <t>홍민서</t>
    <phoneticPr fontId="3" type="noConversion"/>
  </si>
  <si>
    <t>RM1김석기2(평)</t>
    <phoneticPr fontId="3" type="noConversion"/>
  </si>
  <si>
    <t>RN1이순선(평)</t>
    <phoneticPr fontId="3" type="noConversion"/>
  </si>
  <si>
    <t>RM김갑태2</t>
    <phoneticPr fontId="3" type="noConversion"/>
  </si>
  <si>
    <t>RN정묘순</t>
    <phoneticPr fontId="3" type="noConversion"/>
  </si>
  <si>
    <t>RG이태임</t>
    <phoneticPr fontId="3" type="noConversion"/>
  </si>
  <si>
    <t>권정숙(평)</t>
    <phoneticPr fontId="3" type="noConversion"/>
  </si>
  <si>
    <t>RN1우병주(평)</t>
    <phoneticPr fontId="3" type="noConversion"/>
  </si>
  <si>
    <t>RN정농숙</t>
    <phoneticPr fontId="3" type="noConversion"/>
  </si>
  <si>
    <t>윤다은</t>
    <phoneticPr fontId="3" type="noConversion"/>
  </si>
  <si>
    <t>RG한상진</t>
    <phoneticPr fontId="3" type="noConversion"/>
  </si>
  <si>
    <t>이주민(평)</t>
    <phoneticPr fontId="3" type="noConversion"/>
  </si>
  <si>
    <t>N송수연2</t>
    <phoneticPr fontId="3" type="noConversion"/>
  </si>
  <si>
    <t>RM1채규칠(평)</t>
    <phoneticPr fontId="3" type="noConversion"/>
  </si>
  <si>
    <t>장덕한(평)</t>
    <phoneticPr fontId="3" type="noConversion"/>
  </si>
  <si>
    <t>RM이순선</t>
    <phoneticPr fontId="3" type="noConversion"/>
  </si>
  <si>
    <t>N황춘자</t>
    <phoneticPr fontId="3" type="noConversion"/>
  </si>
  <si>
    <t>RG1이태임(평)</t>
    <phoneticPr fontId="3" type="noConversion"/>
  </si>
  <si>
    <t>RM1정묘순(평)</t>
    <phoneticPr fontId="3" type="noConversion"/>
  </si>
  <si>
    <t>윤영채</t>
    <phoneticPr fontId="3" type="noConversion"/>
  </si>
  <si>
    <t>RM조항만</t>
    <phoneticPr fontId="3" type="noConversion"/>
  </si>
  <si>
    <t>RG1김무길(평)</t>
    <phoneticPr fontId="3" type="noConversion"/>
  </si>
  <si>
    <t>N홍은남</t>
    <phoneticPr fontId="3" type="noConversion"/>
  </si>
  <si>
    <t>송수연2(평)</t>
    <phoneticPr fontId="3" type="noConversion"/>
  </si>
  <si>
    <t>RM1조영란2(평)</t>
    <phoneticPr fontId="3" type="noConversion"/>
  </si>
  <si>
    <t>RM1김동윤3(평)</t>
    <phoneticPr fontId="3" type="noConversion"/>
  </si>
  <si>
    <t>N박창현3</t>
    <phoneticPr fontId="3" type="noConversion"/>
  </si>
  <si>
    <t>RN권영배</t>
    <phoneticPr fontId="3" type="noConversion"/>
  </si>
  <si>
    <t>RM1김을순2(평)</t>
    <phoneticPr fontId="3" type="noConversion"/>
  </si>
  <si>
    <t>RM1곽수열(평)</t>
    <phoneticPr fontId="3" type="noConversion"/>
  </si>
  <si>
    <t>이효정</t>
    <phoneticPr fontId="3" type="noConversion"/>
  </si>
  <si>
    <t>송영규</t>
    <phoneticPr fontId="3" type="noConversion"/>
  </si>
  <si>
    <t>간호간병</t>
    <phoneticPr fontId="3" type="noConversion"/>
  </si>
  <si>
    <t>황춘자(평)</t>
    <phoneticPr fontId="3" type="noConversion"/>
  </si>
  <si>
    <t>RN1정태철(평)</t>
    <phoneticPr fontId="3" type="noConversion"/>
  </si>
  <si>
    <t>RM1이준구2(평)</t>
    <phoneticPr fontId="3" type="noConversion"/>
  </si>
  <si>
    <t>RG한상진</t>
    <phoneticPr fontId="3" type="noConversion"/>
  </si>
  <si>
    <t>RG1이송자(평)</t>
    <phoneticPr fontId="3" type="noConversion"/>
  </si>
  <si>
    <t>RM이순선</t>
  </si>
  <si>
    <t>고해봉(평)</t>
    <phoneticPr fontId="3" type="noConversion"/>
  </si>
  <si>
    <t>RG1김도윤19(평)</t>
    <phoneticPr fontId="3" type="noConversion"/>
  </si>
  <si>
    <t>RN조영란2</t>
    <phoneticPr fontId="3" type="noConversion"/>
  </si>
  <si>
    <t>RM정묘순</t>
    <phoneticPr fontId="3" type="noConversion"/>
  </si>
  <si>
    <t>정호용</t>
    <phoneticPr fontId="3" type="noConversion"/>
  </si>
  <si>
    <t>범성희</t>
    <phoneticPr fontId="3" type="noConversion"/>
  </si>
  <si>
    <t>RA권영배</t>
    <phoneticPr fontId="3" type="noConversion"/>
  </si>
  <si>
    <t>RA박종순13</t>
    <phoneticPr fontId="3" type="noConversion"/>
  </si>
  <si>
    <t>RA1정농숙(평)</t>
    <phoneticPr fontId="3" type="noConversion"/>
  </si>
  <si>
    <t>RS차미영3</t>
    <phoneticPr fontId="3" type="noConversion"/>
  </si>
  <si>
    <t>이묘헌(평)</t>
    <phoneticPr fontId="3" type="noConversion"/>
  </si>
  <si>
    <t>RA1염재호(평)</t>
    <phoneticPr fontId="3" type="noConversion"/>
  </si>
  <si>
    <t>RD정태철</t>
    <phoneticPr fontId="3" type="noConversion"/>
  </si>
  <si>
    <t>RA이송자</t>
    <phoneticPr fontId="3" type="noConversion"/>
  </si>
  <si>
    <t>O7박명숙10A</t>
    <phoneticPr fontId="3" type="noConversion"/>
  </si>
  <si>
    <t>이현아</t>
    <phoneticPr fontId="3" type="noConversion"/>
  </si>
  <si>
    <t>RA1김무길(평)</t>
    <phoneticPr fontId="3" type="noConversion"/>
  </si>
  <si>
    <t>김태수5(평)</t>
    <phoneticPr fontId="3" type="noConversion"/>
  </si>
  <si>
    <t>RD이준구2</t>
    <phoneticPr fontId="3" type="noConversion"/>
  </si>
  <si>
    <t>RA1정묘순(평)</t>
    <phoneticPr fontId="3" type="noConversion"/>
  </si>
  <si>
    <t>D이주민</t>
    <phoneticPr fontId="3" type="noConversion"/>
  </si>
  <si>
    <t>RA김도윤19</t>
    <phoneticPr fontId="3" type="noConversion"/>
  </si>
  <si>
    <t>C김인기3</t>
    <phoneticPr fontId="3" type="noConversion"/>
  </si>
  <si>
    <t>RA연미재</t>
    <phoneticPr fontId="3" type="noConversion"/>
  </si>
  <si>
    <t>RA정묘순</t>
    <phoneticPr fontId="3" type="noConversion"/>
  </si>
  <si>
    <t>RD박인규4</t>
    <phoneticPr fontId="3" type="noConversion"/>
  </si>
  <si>
    <t>이수연</t>
    <phoneticPr fontId="3" type="noConversion"/>
  </si>
  <si>
    <t>RA1권남산(평)</t>
    <phoneticPr fontId="3" type="noConversion"/>
  </si>
  <si>
    <t>RA이태임</t>
    <phoneticPr fontId="3" type="noConversion"/>
  </si>
  <si>
    <t>RS조영란2</t>
    <phoneticPr fontId="3" type="noConversion"/>
  </si>
  <si>
    <t>O7양덕점D</t>
    <phoneticPr fontId="3" type="noConversion"/>
  </si>
  <si>
    <t>RS김을순2</t>
  </si>
  <si>
    <t>RA1곽수열(평)</t>
    <phoneticPr fontId="3" type="noConversion"/>
  </si>
  <si>
    <t>RA1김석기2(평)</t>
    <phoneticPr fontId="3" type="noConversion"/>
  </si>
  <si>
    <t>RA조항만</t>
    <phoneticPr fontId="3" type="noConversion"/>
  </si>
  <si>
    <t>C이주민</t>
    <phoneticPr fontId="3" type="noConversion"/>
  </si>
  <si>
    <t>RA1정태철(평)</t>
    <phoneticPr fontId="3" type="noConversion"/>
  </si>
  <si>
    <t>오성균</t>
    <phoneticPr fontId="3" type="noConversion"/>
  </si>
  <si>
    <t>RS1연미재(평)</t>
    <phoneticPr fontId="3" type="noConversion"/>
  </si>
  <si>
    <t>RS1박종순13(평)</t>
    <phoneticPr fontId="3" type="noConversion"/>
  </si>
  <si>
    <t>D배영수</t>
  </si>
  <si>
    <t>RA목진구</t>
    <phoneticPr fontId="3" type="noConversion"/>
  </si>
  <si>
    <t>D송병태</t>
    <phoneticPr fontId="3" type="noConversion"/>
  </si>
  <si>
    <t>RD정묘순</t>
    <phoneticPr fontId="3" type="noConversion"/>
  </si>
  <si>
    <t>RA1이순선(평)</t>
    <phoneticPr fontId="3" type="noConversion"/>
  </si>
  <si>
    <t>D손재영</t>
    <phoneticPr fontId="3" type="noConversion"/>
  </si>
  <si>
    <t>RA김갑태2</t>
    <phoneticPr fontId="3" type="noConversion"/>
  </si>
  <si>
    <t>D이산옥</t>
    <phoneticPr fontId="3" type="noConversion"/>
  </si>
  <si>
    <t>RD김남규4</t>
    <phoneticPr fontId="3" type="noConversion"/>
  </si>
  <si>
    <t>RA1김진권2(평)</t>
    <phoneticPr fontId="3" type="noConversion"/>
  </si>
  <si>
    <t>RA이송자</t>
    <phoneticPr fontId="3" type="noConversion"/>
  </si>
  <si>
    <t>RA김석기2</t>
    <phoneticPr fontId="20" type="noConversion"/>
  </si>
  <si>
    <t>정화구(평)</t>
    <phoneticPr fontId="3" type="noConversion"/>
  </si>
  <si>
    <t>RA김동윤3</t>
    <phoneticPr fontId="3" type="noConversion"/>
  </si>
  <si>
    <t>RA1차미영3(평)</t>
    <phoneticPr fontId="3" type="noConversion"/>
  </si>
  <si>
    <t>RS목진구</t>
    <phoneticPr fontId="3" type="noConversion"/>
  </si>
  <si>
    <t>RA김진권2</t>
  </si>
  <si>
    <t>RS정농숙</t>
  </si>
  <si>
    <t>RA권남산</t>
    <phoneticPr fontId="3" type="noConversion"/>
  </si>
  <si>
    <t>RS염재호</t>
  </si>
  <si>
    <t>RA김무길</t>
  </si>
  <si>
    <t>RA권영배</t>
    <phoneticPr fontId="20" type="noConversion"/>
  </si>
  <si>
    <t>RS곽수열</t>
  </si>
  <si>
    <t>RD김남규4</t>
  </si>
  <si>
    <t>RA1김도윤19
(평)</t>
    <phoneticPr fontId="3" type="noConversion"/>
  </si>
  <si>
    <t>RD권영배</t>
  </si>
  <si>
    <t>RS1김동윤3(평)</t>
    <phoneticPr fontId="3" type="noConversion"/>
  </si>
  <si>
    <t>D김인기3</t>
    <phoneticPr fontId="3" type="noConversion"/>
  </si>
  <si>
    <t>홍은남(평)</t>
    <phoneticPr fontId="3" type="noConversion"/>
  </si>
  <si>
    <t>RS1김갑태2(평)</t>
    <phoneticPr fontId="3" type="noConversion"/>
  </si>
  <si>
    <t>RA목진구</t>
  </si>
  <si>
    <t>RA이준구2</t>
    <phoneticPr fontId="3" type="noConversion"/>
  </si>
  <si>
    <t>RA1조영란2(평)</t>
    <phoneticPr fontId="3" type="noConversion"/>
  </si>
  <si>
    <t>RS조항만</t>
    <phoneticPr fontId="3" type="noConversion"/>
  </si>
  <si>
    <t>송병태(평)</t>
    <phoneticPr fontId="3" type="noConversion"/>
  </si>
  <si>
    <t>이진주</t>
    <phoneticPr fontId="3" type="noConversion"/>
  </si>
  <si>
    <t>RA1목진구(평)</t>
    <phoneticPr fontId="3" type="noConversion"/>
  </si>
  <si>
    <t>RA조영란2</t>
    <phoneticPr fontId="3" type="noConversion"/>
  </si>
  <si>
    <t>RA연미재</t>
    <phoneticPr fontId="20" type="noConversion"/>
  </si>
  <si>
    <t>RA목진구</t>
    <phoneticPr fontId="3" type="noConversion"/>
  </si>
  <si>
    <t>RD정태철</t>
  </si>
  <si>
    <t>RA1조항만(평)</t>
    <phoneticPr fontId="3" type="noConversion"/>
  </si>
  <si>
    <t>RA1박인규4(평)</t>
    <phoneticPr fontId="3" type="noConversion"/>
  </si>
  <si>
    <t>RD이순선</t>
    <phoneticPr fontId="3" type="noConversion"/>
  </si>
  <si>
    <t>이유빈</t>
    <phoneticPr fontId="3" type="noConversion"/>
  </si>
  <si>
    <t>이소미</t>
    <phoneticPr fontId="3" type="noConversion"/>
  </si>
  <si>
    <t>RA김무길님</t>
    <phoneticPr fontId="3" type="noConversion"/>
  </si>
  <si>
    <t>RA1김남규4(평)</t>
    <phoneticPr fontId="3" type="noConversion"/>
  </si>
  <si>
    <t>RA1이태임(평)</t>
    <phoneticPr fontId="3" type="noConversion"/>
  </si>
  <si>
    <t>정상범3(평)</t>
    <phoneticPr fontId="3" type="noConversion"/>
  </si>
  <si>
    <t>RA한상진</t>
    <phoneticPr fontId="3" type="noConversion"/>
  </si>
  <si>
    <t>D홍은남</t>
    <phoneticPr fontId="3" type="noConversion"/>
  </si>
  <si>
    <t>RA1이준구2(평)</t>
    <phoneticPr fontId="3" type="noConversion"/>
  </si>
  <si>
    <t>RA김무길</t>
    <phoneticPr fontId="3" type="noConversion"/>
  </si>
  <si>
    <t>RA채규칠</t>
    <phoneticPr fontId="3" type="noConversion"/>
  </si>
  <si>
    <t>유희주</t>
    <phoneticPr fontId="3" type="noConversion"/>
  </si>
  <si>
    <t>C정화구</t>
  </si>
  <si>
    <t>C정상범3</t>
  </si>
  <si>
    <t>오영환3(평)</t>
    <phoneticPr fontId="3" type="noConversion"/>
  </si>
  <si>
    <t>R김남규4</t>
    <phoneticPr fontId="3" type="noConversion"/>
  </si>
  <si>
    <t>RD김석기2</t>
    <phoneticPr fontId="3" type="noConversion"/>
  </si>
  <si>
    <t>RD윤충원</t>
    <phoneticPr fontId="3" type="noConversion"/>
  </si>
  <si>
    <t>RA김을순2</t>
    <phoneticPr fontId="3" type="noConversion"/>
  </si>
  <si>
    <t>RA1한상진(평)</t>
    <phoneticPr fontId="3" type="noConversion"/>
  </si>
  <si>
    <t>H송병태</t>
    <phoneticPr fontId="3" type="noConversion"/>
  </si>
  <si>
    <t>C장덕한</t>
  </si>
  <si>
    <t>C배영수</t>
  </si>
  <si>
    <t>RA1윤충원(평)</t>
    <phoneticPr fontId="3" type="noConversion"/>
  </si>
  <si>
    <t>RA김도윤19</t>
    <phoneticPr fontId="3" type="noConversion"/>
  </si>
  <si>
    <t>RA1권영배(평)</t>
    <phoneticPr fontId="3" type="noConversion"/>
  </si>
  <si>
    <t>RA박인규4</t>
    <phoneticPr fontId="3" type="noConversion"/>
  </si>
  <si>
    <t>이산옥(평)</t>
    <phoneticPr fontId="3" type="noConversion"/>
  </si>
  <si>
    <t>RA김진권2</t>
    <phoneticPr fontId="20" type="noConversion"/>
  </si>
  <si>
    <t>RA우병주</t>
    <phoneticPr fontId="3" type="noConversion"/>
  </si>
  <si>
    <t>RA1김을순2(평)</t>
    <phoneticPr fontId="3" type="noConversion"/>
  </si>
  <si>
    <t>C김태수5</t>
  </si>
  <si>
    <t>C장현성</t>
  </si>
  <si>
    <t>RS1채규칠(평)</t>
    <phoneticPr fontId="3" type="noConversion"/>
  </si>
  <si>
    <t>RA1이송자(평)</t>
    <phoneticPr fontId="3" type="noConversion"/>
  </si>
  <si>
    <t>손재영(평)</t>
    <phoneticPr fontId="15" type="noConversion"/>
  </si>
  <si>
    <t>C이경순10
C박창현3</t>
    <phoneticPr fontId="3" type="noConversion"/>
  </si>
  <si>
    <t>RA김진권2</t>
    <phoneticPr fontId="3" type="noConversion"/>
  </si>
  <si>
    <t>팀장</t>
    <phoneticPr fontId="3" type="noConversion"/>
  </si>
  <si>
    <t>이송희</t>
    <phoneticPr fontId="3" type="noConversion"/>
  </si>
  <si>
    <t>계장</t>
    <phoneticPr fontId="3" type="noConversion"/>
  </si>
  <si>
    <t>김유나
(연차)</t>
    <phoneticPr fontId="3" type="noConversion"/>
  </si>
  <si>
    <t>신지아</t>
    <phoneticPr fontId="3" type="noConversion"/>
  </si>
  <si>
    <t>M김태수5
M이묘헌
M박창현3
M송수연2
M황춘자
M김은미11
M배영수</t>
    <phoneticPr fontId="3" type="noConversion"/>
  </si>
  <si>
    <t>M정상범3
M박명숙10
M김인기3
M정화구</t>
    <phoneticPr fontId="3" type="noConversion"/>
  </si>
  <si>
    <t>M한미송
M이주민
G양덕점
M권순예
M송병태</t>
    <phoneticPr fontId="3" type="noConversion"/>
  </si>
  <si>
    <t>M김은미11
M권정숙
M장현성
Tt배영수</t>
    <phoneticPr fontId="3" type="noConversion"/>
  </si>
  <si>
    <t>M이산옥
M한정완
M박명숙10
M송수연2
M오영환3</t>
    <phoneticPr fontId="3" type="noConversion"/>
  </si>
  <si>
    <t>M고해봉
M조희자
M이경순10
M우재천
M홍은남</t>
    <phoneticPr fontId="3" type="noConversion"/>
  </si>
  <si>
    <t>M이묘헌
M신봉호
M손재영
M장덕한</t>
    <phoneticPr fontId="3" type="noConversion"/>
  </si>
  <si>
    <t>M권순예
M김태수5
M이주민
M배영수</t>
    <phoneticPr fontId="3" type="noConversion"/>
  </si>
  <si>
    <t>M우재천
M박창현3
M권정숙
M송병태
M오영환3</t>
    <phoneticPr fontId="3" type="noConversion"/>
  </si>
  <si>
    <t>M조희자
M한정완
M고해봉
M황춘자
M이경순10</t>
    <phoneticPr fontId="3" type="noConversion"/>
  </si>
  <si>
    <t>M정상범3</t>
    <phoneticPr fontId="3" type="noConversion"/>
  </si>
  <si>
    <t>M김인기3
M장덕한
M정화구
M장현성
M신봉호</t>
    <phoneticPr fontId="3" type="noConversion"/>
  </si>
  <si>
    <t>MM정태철</t>
    <phoneticPr fontId="3" type="noConversion"/>
  </si>
  <si>
    <t>MM곽수열
MM김갑태2</t>
    <phoneticPr fontId="3" type="noConversion"/>
  </si>
  <si>
    <t>MM김도윤19</t>
    <phoneticPr fontId="3" type="noConversion"/>
  </si>
  <si>
    <r>
      <t>MM이순선
MM김남규4</t>
    </r>
    <r>
      <rPr>
        <sz val="10"/>
        <color theme="0" tint="-0.249977111117893"/>
        <rFont val="돋움"/>
        <family val="3"/>
        <charset val="129"/>
      </rPr>
      <t xml:space="preserve">
</t>
    </r>
    <r>
      <rPr>
        <sz val="10"/>
        <color theme="1"/>
        <rFont val="돋움"/>
        <family val="3"/>
        <charset val="129"/>
      </rPr>
      <t>MM이준구2</t>
    </r>
    <phoneticPr fontId="3" type="noConversion"/>
  </si>
  <si>
    <r>
      <t>MM정농숙</t>
    </r>
    <r>
      <rPr>
        <sz val="10"/>
        <rFont val="돋움"/>
        <family val="3"/>
        <charset val="129"/>
      </rPr>
      <t xml:space="preserve">
MM김석기2</t>
    </r>
    <phoneticPr fontId="3" type="noConversion"/>
  </si>
  <si>
    <r>
      <t>MM목진구</t>
    </r>
    <r>
      <rPr>
        <sz val="10"/>
        <rFont val="돋움"/>
        <family val="3"/>
        <charset val="129"/>
      </rPr>
      <t xml:space="preserve">
MM조영란2</t>
    </r>
    <phoneticPr fontId="3" type="noConversion"/>
  </si>
  <si>
    <t>MM정태철
MM김동윤3
MM채규칠</t>
    <phoneticPr fontId="3" type="noConversion"/>
  </si>
  <si>
    <t>MM연미재
MM이태임</t>
    <phoneticPr fontId="3" type="noConversion"/>
  </si>
  <si>
    <r>
      <t>MM연미재
MM김남규4
MM박종순13</t>
    </r>
    <r>
      <rPr>
        <sz val="10"/>
        <color theme="1"/>
        <rFont val="돋움"/>
        <family val="3"/>
        <charset val="129"/>
      </rPr>
      <t xml:space="preserve">
MM채규칠</t>
    </r>
    <phoneticPr fontId="3" type="noConversion"/>
  </si>
  <si>
    <t>MM목진구
MM김동윤3
MM김갑태2</t>
    <phoneticPr fontId="3" type="noConversion"/>
  </si>
  <si>
    <r>
      <t>MM정농숙
MM신명숙6
MM윤충원</t>
    </r>
    <r>
      <rPr>
        <sz val="10"/>
        <rFont val="돋움"/>
        <family val="3"/>
        <charset val="129"/>
      </rPr>
      <t xml:space="preserve">
MM김석기2</t>
    </r>
    <phoneticPr fontId="3" type="noConversion"/>
  </si>
  <si>
    <t>MM곽수열
MM김을순2
MM조영란2</t>
    <phoneticPr fontId="3" type="noConversion"/>
  </si>
  <si>
    <t>최유진</t>
    <phoneticPr fontId="3" type="noConversion"/>
  </si>
  <si>
    <t>단축근무</t>
    <phoneticPr fontId="3" type="noConversion"/>
  </si>
  <si>
    <t>F한미송
F박창현3
F이주민
F황춘자</t>
    <phoneticPr fontId="3" type="noConversion"/>
  </si>
  <si>
    <t>F김태수5
F이묘헌
F김인기3
F송수연2</t>
    <phoneticPr fontId="3" type="noConversion"/>
  </si>
  <si>
    <t>F이산옥
F송병태</t>
    <phoneticPr fontId="3" type="noConversion"/>
  </si>
  <si>
    <t>F우재천
F장현성
F김은미11
F이경순10</t>
    <phoneticPr fontId="3" type="noConversion"/>
  </si>
  <si>
    <t>F권정숙
F장덕한
F박명숙10
F오영환3
F권순예</t>
    <phoneticPr fontId="3" type="noConversion"/>
  </si>
  <si>
    <t>F고해봉</t>
    <phoneticPr fontId="3" type="noConversion"/>
  </si>
  <si>
    <t>F손재영</t>
    <phoneticPr fontId="3" type="noConversion"/>
  </si>
  <si>
    <t>F조희자
F한정완
F정화구
F배영수</t>
    <phoneticPr fontId="3" type="noConversion"/>
  </si>
  <si>
    <t>F신봉호
F정상범3</t>
    <phoneticPr fontId="3" type="noConversion"/>
  </si>
  <si>
    <t xml:space="preserve">
단축근무
</t>
    <phoneticPr fontId="3" type="noConversion"/>
  </si>
  <si>
    <t>재활센터 시간표     2023. 10. 31 (화)</t>
    <phoneticPr fontId="3" type="noConversion"/>
  </si>
  <si>
    <t>4층 재활센터 시간표 차팅확인지     2025. 12. 2 (화)</t>
    <phoneticPr fontId="3" type="noConversion"/>
  </si>
  <si>
    <t xml:space="preserve">           시간    치료사</t>
    <phoneticPr fontId="3" type="noConversion"/>
  </si>
  <si>
    <t>7:30~
8:00</t>
    <phoneticPr fontId="3" type="noConversion"/>
  </si>
  <si>
    <t>8:00~
8:30</t>
    <phoneticPr fontId="3" type="noConversion"/>
  </si>
  <si>
    <t>8:30~
9:00</t>
    <phoneticPr fontId="3" type="noConversion"/>
  </si>
  <si>
    <t>10:15~
10:45</t>
    <phoneticPr fontId="3" type="noConversion"/>
  </si>
  <si>
    <t>10:50~
11:20</t>
    <phoneticPr fontId="3" type="noConversion"/>
  </si>
  <si>
    <t>11:25~
11:55</t>
    <phoneticPr fontId="3" type="noConversion"/>
  </si>
  <si>
    <t>12:00~
12:30</t>
    <phoneticPr fontId="3" type="noConversion"/>
  </si>
  <si>
    <t>13:30~
14:00</t>
    <phoneticPr fontId="3" type="noConversion"/>
  </si>
  <si>
    <t>부족한 오더 적어주세요!</t>
    <phoneticPr fontId="3" type="noConversion"/>
  </si>
  <si>
    <t>장희연</t>
    <phoneticPr fontId="3" type="noConversion"/>
  </si>
  <si>
    <t>RG한상진</t>
  </si>
  <si>
    <t>RM김진권2</t>
  </si>
  <si>
    <t>N이경순10</t>
    <phoneticPr fontId="3" type="noConversion"/>
  </si>
  <si>
    <t>RN김동윤3</t>
    <phoneticPr fontId="3" type="noConversion"/>
  </si>
  <si>
    <t>RN곽수열</t>
    <phoneticPr fontId="3" type="noConversion"/>
  </si>
  <si>
    <t>N송병태</t>
    <phoneticPr fontId="3" type="noConversion"/>
  </si>
  <si>
    <t>N우재천</t>
    <phoneticPr fontId="3" type="noConversion"/>
  </si>
  <si>
    <t>RG이송자</t>
    <phoneticPr fontId="3" type="noConversion"/>
  </si>
  <si>
    <t>RN김남규4</t>
    <phoneticPr fontId="3" type="noConversion"/>
  </si>
  <si>
    <t>N박창현3</t>
    <phoneticPr fontId="3" type="noConversion"/>
  </si>
  <si>
    <t>N정상범3</t>
    <phoneticPr fontId="3" type="noConversion"/>
  </si>
  <si>
    <t>유다영</t>
    <phoneticPr fontId="3" type="noConversion"/>
  </si>
  <si>
    <t>N이산옥</t>
    <phoneticPr fontId="3" type="noConversion"/>
  </si>
  <si>
    <t>RM우병주</t>
    <phoneticPr fontId="3" type="noConversion"/>
  </si>
  <si>
    <t>N김은미11</t>
    <phoneticPr fontId="3" type="noConversion"/>
  </si>
  <si>
    <t>RN김갑태2</t>
    <phoneticPr fontId="3" type="noConversion"/>
  </si>
  <si>
    <t>RM채규칠</t>
    <phoneticPr fontId="3" type="noConversion"/>
  </si>
  <si>
    <t>RM차미영3</t>
    <phoneticPr fontId="3" type="noConversion"/>
  </si>
  <si>
    <t>RG김무길</t>
    <phoneticPr fontId="3" type="noConversion"/>
  </si>
  <si>
    <t>M7양덕점D</t>
    <phoneticPr fontId="3" type="noConversion"/>
  </si>
  <si>
    <t>RM연미재</t>
  </si>
  <si>
    <t xml:space="preserve">담당 치료사 </t>
    <phoneticPr fontId="3" type="noConversion"/>
  </si>
  <si>
    <t>환자 성함</t>
    <phoneticPr fontId="3" type="noConversion"/>
  </si>
  <si>
    <t>오더/시간</t>
    <phoneticPr fontId="3" type="noConversion"/>
  </si>
  <si>
    <t>전진현</t>
    <phoneticPr fontId="3" type="noConversion"/>
  </si>
  <si>
    <t>RM곽수열</t>
    <phoneticPr fontId="3" type="noConversion"/>
  </si>
  <si>
    <t>N배영수</t>
  </si>
  <si>
    <t>N손재영</t>
    <phoneticPr fontId="3" type="noConversion"/>
  </si>
  <si>
    <t>RN박종순13</t>
    <phoneticPr fontId="3" type="noConversion"/>
  </si>
  <si>
    <t>N권순예</t>
    <phoneticPr fontId="3" type="noConversion"/>
  </si>
  <si>
    <t>RM김을순2</t>
    <phoneticPr fontId="3" type="noConversion"/>
  </si>
  <si>
    <t>N이묘헌</t>
    <phoneticPr fontId="15" type="noConversion"/>
  </si>
  <si>
    <t>박나은</t>
    <phoneticPr fontId="3" type="noConversion"/>
  </si>
  <si>
    <t>N신봉호</t>
    <phoneticPr fontId="3" type="noConversion"/>
  </si>
  <si>
    <t>RG한상진</t>
    <phoneticPr fontId="3" type="noConversion"/>
  </si>
  <si>
    <t>N김인기3</t>
    <phoneticPr fontId="3" type="noConversion"/>
  </si>
  <si>
    <t>RG이태임</t>
    <phoneticPr fontId="3" type="noConversion"/>
  </si>
  <si>
    <t>N한정완</t>
    <phoneticPr fontId="3" type="noConversion"/>
  </si>
  <si>
    <t>N이경순10</t>
  </si>
  <si>
    <t>RM윤충원</t>
  </si>
  <si>
    <t>이지은</t>
    <phoneticPr fontId="3" type="noConversion"/>
  </si>
  <si>
    <t>RM김동윤3</t>
    <phoneticPr fontId="3" type="noConversion"/>
  </si>
  <si>
    <t>RN조항만</t>
  </si>
  <si>
    <t>N조희자</t>
    <phoneticPr fontId="3" type="noConversion"/>
  </si>
  <si>
    <t>RM윤충원</t>
    <phoneticPr fontId="3" type="noConversion"/>
  </si>
  <si>
    <t>RM박종순13</t>
    <phoneticPr fontId="3" type="noConversion"/>
  </si>
  <si>
    <t>RM권영배</t>
    <phoneticPr fontId="3" type="noConversion"/>
  </si>
  <si>
    <t>최현수
(연차)</t>
    <phoneticPr fontId="3" type="noConversion"/>
  </si>
  <si>
    <t>채수현</t>
    <phoneticPr fontId="3" type="noConversion"/>
  </si>
  <si>
    <t>RM정농숙</t>
    <phoneticPr fontId="3" type="noConversion"/>
  </si>
  <si>
    <t>RM김석기2</t>
    <phoneticPr fontId="3" type="noConversion"/>
  </si>
  <si>
    <t>N박명숙10</t>
    <phoneticPr fontId="3" type="noConversion"/>
  </si>
  <si>
    <t>RM박인규4</t>
    <phoneticPr fontId="3" type="noConversion"/>
  </si>
  <si>
    <t>RN염재호</t>
    <phoneticPr fontId="3" type="noConversion"/>
  </si>
  <si>
    <t>N장현성</t>
    <phoneticPr fontId="3" type="noConversion"/>
  </si>
  <si>
    <t>RM정태철</t>
    <phoneticPr fontId="3" type="noConversion"/>
  </si>
  <si>
    <t>N고해봉</t>
    <phoneticPr fontId="20" type="noConversion"/>
  </si>
  <si>
    <t>RM조항만</t>
    <phoneticPr fontId="3" type="noConversion"/>
  </si>
  <si>
    <t>홍민서</t>
    <phoneticPr fontId="3" type="noConversion"/>
  </si>
  <si>
    <t>M7양덕점D</t>
    <phoneticPr fontId="20" type="noConversion"/>
  </si>
  <si>
    <t>RM김갑태2</t>
    <phoneticPr fontId="3" type="noConversion"/>
  </si>
  <si>
    <t>RN정묘순</t>
    <phoneticPr fontId="3" type="noConversion"/>
  </si>
  <si>
    <t>N오영환3</t>
    <phoneticPr fontId="20" type="noConversion"/>
  </si>
  <si>
    <t>N권정숙</t>
    <phoneticPr fontId="3" type="noConversion"/>
  </si>
  <si>
    <t>RN우병주</t>
    <phoneticPr fontId="3" type="noConversion"/>
  </si>
  <si>
    <t>RN정농숙</t>
    <phoneticPr fontId="3" type="noConversion"/>
  </si>
  <si>
    <t>윤다은</t>
    <phoneticPr fontId="3" type="noConversion"/>
  </si>
  <si>
    <t>N이주민</t>
    <phoneticPr fontId="3" type="noConversion"/>
  </si>
  <si>
    <t>N송수연2</t>
    <phoneticPr fontId="3" type="noConversion"/>
  </si>
  <si>
    <t>N장덕한</t>
    <phoneticPr fontId="3" type="noConversion"/>
  </si>
  <si>
    <t>RM이순선</t>
    <phoneticPr fontId="3" type="noConversion"/>
  </si>
  <si>
    <t>N황춘자</t>
    <phoneticPr fontId="3" type="noConversion"/>
  </si>
  <si>
    <t>RM정묘순</t>
    <phoneticPr fontId="3" type="noConversion"/>
  </si>
  <si>
    <t>윤영채</t>
    <phoneticPr fontId="3" type="noConversion"/>
  </si>
  <si>
    <t>RG김무길</t>
  </si>
  <si>
    <t>RM조영란2</t>
  </si>
  <si>
    <t>RM곽수열</t>
  </si>
  <si>
    <t>송영규
(연차)</t>
    <phoneticPr fontId="3" type="noConversion"/>
  </si>
  <si>
    <t>RA권영배</t>
    <phoneticPr fontId="3" type="noConversion"/>
  </si>
  <si>
    <t>범성희</t>
    <phoneticPr fontId="3" type="noConversion"/>
  </si>
  <si>
    <t>SNSB평가 : 이순선님</t>
    <phoneticPr fontId="20" type="noConversion"/>
  </si>
  <si>
    <t>RS차미영3</t>
    <phoneticPr fontId="3" type="noConversion"/>
  </si>
  <si>
    <t>CA이묘헌</t>
    <phoneticPr fontId="3" type="noConversion"/>
  </si>
  <si>
    <t>RA염재호</t>
    <phoneticPr fontId="3" type="noConversion"/>
  </si>
  <si>
    <t>CA조희자</t>
    <phoneticPr fontId="3" type="noConversion"/>
  </si>
  <si>
    <t>RA이송자</t>
    <phoneticPr fontId="3" type="noConversion"/>
  </si>
  <si>
    <t>CA장현성</t>
    <phoneticPr fontId="3" type="noConversion"/>
  </si>
  <si>
    <t>이현아</t>
    <phoneticPr fontId="3" type="noConversion"/>
  </si>
  <si>
    <t>RA김무길</t>
    <phoneticPr fontId="3" type="noConversion"/>
  </si>
  <si>
    <t>RD이준구2</t>
    <phoneticPr fontId="3" type="noConversion"/>
  </si>
  <si>
    <t>RA정묘순</t>
    <phoneticPr fontId="3" type="noConversion"/>
  </si>
  <si>
    <t>D이주민</t>
    <phoneticPr fontId="3" type="noConversion"/>
  </si>
  <si>
    <t>CA권정숙</t>
    <phoneticPr fontId="3" type="noConversion"/>
  </si>
  <si>
    <t>CA장덕한</t>
    <phoneticPr fontId="3" type="noConversion"/>
  </si>
  <si>
    <t>RA연미재</t>
    <phoneticPr fontId="3" type="noConversion"/>
  </si>
  <si>
    <t>RD박인규4</t>
    <phoneticPr fontId="3" type="noConversion"/>
  </si>
  <si>
    <t>이지원</t>
    <phoneticPr fontId="3" type="noConversion"/>
  </si>
  <si>
    <t>CA우재천</t>
    <phoneticPr fontId="3" type="noConversion"/>
  </si>
  <si>
    <t>RA박종순13</t>
    <phoneticPr fontId="20" type="noConversion"/>
  </si>
  <si>
    <t>RA이태임</t>
    <phoneticPr fontId="3" type="noConversion"/>
  </si>
  <si>
    <t>RS조영란2</t>
    <phoneticPr fontId="3" type="noConversion"/>
  </si>
  <si>
    <t>O7양덕점D</t>
    <phoneticPr fontId="3" type="noConversion"/>
  </si>
  <si>
    <t>RA곽수열</t>
    <phoneticPr fontId="3" type="noConversion"/>
  </si>
  <si>
    <t>RA김석기2</t>
    <phoneticPr fontId="3" type="noConversion"/>
  </si>
  <si>
    <t>RA조항만</t>
    <phoneticPr fontId="3" type="noConversion"/>
  </si>
  <si>
    <t>RA정태철</t>
    <phoneticPr fontId="3" type="noConversion"/>
  </si>
  <si>
    <t>오성균</t>
    <phoneticPr fontId="3" type="noConversion"/>
  </si>
  <si>
    <t>RS연미재</t>
    <phoneticPr fontId="3" type="noConversion"/>
  </si>
  <si>
    <t>RS박종순13</t>
    <phoneticPr fontId="3" type="noConversion"/>
  </si>
  <si>
    <t>CA신봉호</t>
    <phoneticPr fontId="3" type="noConversion"/>
  </si>
  <si>
    <t>RA목진구</t>
    <phoneticPr fontId="3" type="noConversion"/>
  </si>
  <si>
    <t>D송병태</t>
    <phoneticPr fontId="3" type="noConversion"/>
  </si>
  <si>
    <t>RD정묘순</t>
    <phoneticPr fontId="3" type="noConversion"/>
  </si>
  <si>
    <t>이수연</t>
    <phoneticPr fontId="3" type="noConversion"/>
  </si>
  <si>
    <t>RA김갑태2</t>
    <phoneticPr fontId="3" type="noConversion"/>
  </si>
  <si>
    <t>RD김남규4</t>
    <phoneticPr fontId="3" type="noConversion"/>
  </si>
  <si>
    <t>CA박명숙10</t>
    <phoneticPr fontId="3" type="noConversion"/>
  </si>
  <si>
    <t>RA김진권2</t>
    <phoneticPr fontId="3" type="noConversion"/>
  </si>
  <si>
    <t>RA신명숙6</t>
    <phoneticPr fontId="3" type="noConversion"/>
  </si>
  <si>
    <t>RA김도윤19</t>
    <phoneticPr fontId="3" type="noConversion"/>
  </si>
  <si>
    <t>CA정화구</t>
    <phoneticPr fontId="3" type="noConversion"/>
  </si>
  <si>
    <t>RA김동윤3</t>
    <phoneticPr fontId="3" type="noConversion"/>
  </si>
  <si>
    <t>RA차미영3</t>
  </si>
  <si>
    <t>RS목진구</t>
    <phoneticPr fontId="3" type="noConversion"/>
  </si>
  <si>
    <t>이효정</t>
    <phoneticPr fontId="3" type="noConversion"/>
  </si>
  <si>
    <t>RA정농숙</t>
  </si>
  <si>
    <t>CA권순예</t>
  </si>
  <si>
    <t>RA박종순13</t>
    <phoneticPr fontId="3" type="noConversion"/>
  </si>
  <si>
    <t>정재희</t>
    <phoneticPr fontId="3" type="noConversion"/>
  </si>
  <si>
    <t>RS김동윤3</t>
  </si>
  <si>
    <t>CA홍은남</t>
    <phoneticPr fontId="3" type="noConversion"/>
  </si>
  <si>
    <t>RS김갑태2</t>
    <phoneticPr fontId="3" type="noConversion"/>
  </si>
  <si>
    <t>RA이준구2</t>
    <phoneticPr fontId="3" type="noConversion"/>
  </si>
  <si>
    <t>RA조영란2</t>
    <phoneticPr fontId="3" type="noConversion"/>
  </si>
  <si>
    <t>RS조항만</t>
    <phoneticPr fontId="3" type="noConversion"/>
  </si>
  <si>
    <t>CA송병태</t>
    <phoneticPr fontId="3" type="noConversion"/>
  </si>
  <si>
    <t>이진주</t>
    <phoneticPr fontId="3" type="noConversion"/>
  </si>
  <si>
    <t>CA배영수</t>
  </si>
  <si>
    <t>CA이경순10</t>
    <phoneticPr fontId="20" type="noConversion"/>
  </si>
  <si>
    <t>RS신명숙6</t>
    <phoneticPr fontId="3" type="noConversion"/>
  </si>
  <si>
    <t>RA박인규4</t>
    <phoneticPr fontId="3" type="noConversion"/>
  </si>
  <si>
    <t>RD이순선</t>
    <phoneticPr fontId="3" type="noConversion"/>
  </si>
  <si>
    <t>이소미</t>
    <phoneticPr fontId="3" type="noConversion"/>
  </si>
  <si>
    <t>RA김무길님</t>
    <phoneticPr fontId="3" type="noConversion"/>
  </si>
  <si>
    <t>RA김남규4</t>
    <phoneticPr fontId="3" type="noConversion"/>
  </si>
  <si>
    <t>CA박창현3</t>
    <phoneticPr fontId="3" type="noConversion"/>
  </si>
  <si>
    <t>CA정상범3</t>
    <phoneticPr fontId="3" type="noConversion"/>
  </si>
  <si>
    <t>RA한상진</t>
    <phoneticPr fontId="3" type="noConversion"/>
  </si>
  <si>
    <t>D홍은남</t>
    <phoneticPr fontId="3" type="noConversion"/>
  </si>
  <si>
    <t>RA채규칠</t>
    <phoneticPr fontId="3" type="noConversion"/>
  </si>
  <si>
    <t>유희주</t>
    <phoneticPr fontId="3" type="noConversion"/>
  </si>
  <si>
    <t>CA오영환3</t>
    <phoneticPr fontId="3" type="noConversion"/>
  </si>
  <si>
    <t>H7김남규4</t>
    <phoneticPr fontId="3" type="noConversion"/>
  </si>
  <si>
    <t>RD김석기2</t>
    <phoneticPr fontId="3" type="noConversion"/>
  </si>
  <si>
    <t>RD윤충원</t>
    <phoneticPr fontId="3" type="noConversion"/>
  </si>
  <si>
    <t>H7정화구</t>
    <phoneticPr fontId="3" type="noConversion"/>
  </si>
  <si>
    <t>CA김인기3</t>
    <phoneticPr fontId="3" type="noConversion"/>
  </si>
  <si>
    <t>H송병태</t>
    <phoneticPr fontId="3" type="noConversion"/>
  </si>
  <si>
    <t>이유빈</t>
    <phoneticPr fontId="3" type="noConversion"/>
  </si>
  <si>
    <t>RA윤충원</t>
    <phoneticPr fontId="3" type="noConversion"/>
  </si>
  <si>
    <t>CA이산옥</t>
    <phoneticPr fontId="3" type="noConversion"/>
  </si>
  <si>
    <t>RA우병주</t>
    <phoneticPr fontId="3" type="noConversion"/>
  </si>
  <si>
    <t>RA김을순2</t>
    <phoneticPr fontId="3" type="noConversion"/>
  </si>
  <si>
    <t>정호용</t>
    <phoneticPr fontId="3" type="noConversion"/>
  </si>
  <si>
    <t>RS채규칠</t>
  </si>
  <si>
    <t>RA김동윤3</t>
    <phoneticPr fontId="3" type="noConversion"/>
  </si>
  <si>
    <t>CA고해봉</t>
    <phoneticPr fontId="3" type="noConversion"/>
  </si>
  <si>
    <t>CA손재영</t>
    <phoneticPr fontId="15" type="noConversion"/>
  </si>
  <si>
    <t>C이경순10
C박창현3</t>
    <phoneticPr fontId="3" type="noConversion"/>
  </si>
  <si>
    <t>CA이주민</t>
    <phoneticPr fontId="3" type="noConversion"/>
  </si>
  <si>
    <t>팀장</t>
    <phoneticPr fontId="3" type="noConversion"/>
  </si>
  <si>
    <t>이송희</t>
    <phoneticPr fontId="3" type="noConversion"/>
  </si>
  <si>
    <t>RN연미재</t>
    <phoneticPr fontId="3" type="noConversion"/>
  </si>
  <si>
    <t>계장</t>
    <phoneticPr fontId="3" type="noConversion"/>
  </si>
  <si>
    <t>김유나</t>
  </si>
  <si>
    <t>RA정농숙</t>
    <phoneticPr fontId="3" type="noConversion"/>
  </si>
  <si>
    <t>RS김진권2</t>
    <phoneticPr fontId="3" type="noConversion"/>
  </si>
  <si>
    <t>신지아</t>
    <phoneticPr fontId="3" type="noConversion"/>
  </si>
  <si>
    <t>최유진</t>
    <phoneticPr fontId="3" type="noConversion"/>
  </si>
  <si>
    <t>단축근무</t>
    <phoneticPr fontId="3" type="noConversion"/>
  </si>
  <si>
    <t>F이산옥
F송병태</t>
    <phoneticPr fontId="3" type="noConversion"/>
  </si>
  <si>
    <t>F우재천
F장현성
F김은미11
F이경순10</t>
    <phoneticPr fontId="3" type="noConversion"/>
  </si>
  <si>
    <t>F권정숙
F장덕한
F박명숙10
F오영환3
F권순예</t>
    <phoneticPr fontId="3" type="noConversion"/>
  </si>
  <si>
    <t>F고해봉</t>
    <phoneticPr fontId="3" type="noConversion"/>
  </si>
  <si>
    <t>F손재영</t>
    <phoneticPr fontId="3" type="noConversion"/>
  </si>
  <si>
    <t>F조희자
F한정완
F정화구
F배영수</t>
    <phoneticPr fontId="3" type="noConversion"/>
  </si>
  <si>
    <t>F신봉호
F김진철4
F정상범3</t>
    <phoneticPr fontId="3" type="noConversion"/>
  </si>
  <si>
    <t xml:space="preserve">
단축근무
</t>
    <phoneticPr fontId="3" type="noConversion"/>
  </si>
  <si>
    <t xml:space="preserve">
단축근무
</t>
    <phoneticPr fontId="3" type="noConversion"/>
  </si>
  <si>
    <t>M이묘헌
M박창현3
M황춘자
M김은미11
M배영수</t>
    <phoneticPr fontId="3" type="noConversion"/>
  </si>
  <si>
    <t>MM염재호</t>
    <phoneticPr fontId="3" type="noConversion"/>
  </si>
  <si>
    <t>M손재영
M정상범3
M박명숙10
M김인기3
M정화구</t>
    <phoneticPr fontId="3" type="noConversion"/>
  </si>
  <si>
    <t>RM정태철</t>
    <phoneticPr fontId="3" type="noConversion"/>
  </si>
  <si>
    <t>MM곽수열
MM김갑태2</t>
    <phoneticPr fontId="3" type="noConversion"/>
  </si>
  <si>
    <t>F박창현3
F이주민
F황춘자</t>
    <phoneticPr fontId="3" type="noConversion"/>
  </si>
  <si>
    <t>MM염재호
MM윤충원</t>
    <phoneticPr fontId="3" type="noConversion"/>
  </si>
  <si>
    <t>M김은미11
M권정숙
M장현성
Tt배영수</t>
    <phoneticPr fontId="3" type="noConversion"/>
  </si>
  <si>
    <r>
      <t>MM박인규4
MM조항만
MM이순선
MM김남규4</t>
    </r>
    <r>
      <rPr>
        <sz val="10"/>
        <color theme="0" tint="-0.249977111117893"/>
        <rFont val="돋움"/>
        <family val="3"/>
        <charset val="129"/>
      </rPr>
      <t xml:space="preserve">
</t>
    </r>
    <r>
      <rPr>
        <sz val="10"/>
        <color theme="1"/>
        <rFont val="돋움"/>
        <family val="3"/>
        <charset val="129"/>
      </rPr>
      <t>MM이준구2</t>
    </r>
    <phoneticPr fontId="3" type="noConversion"/>
  </si>
  <si>
    <r>
      <t>MM정농숙
MM정묘순
MM김을순2</t>
    </r>
    <r>
      <rPr>
        <sz val="10"/>
        <rFont val="돋움"/>
        <family val="3"/>
        <charset val="129"/>
      </rPr>
      <t xml:space="preserve">
MM김석기2</t>
    </r>
    <phoneticPr fontId="3" type="noConversion"/>
  </si>
  <si>
    <t>M고해봉
M조희자
M이경순10
M우재천
M홍은남</t>
    <phoneticPr fontId="3" type="noConversion"/>
  </si>
  <si>
    <t>M이묘헌
M신봉호
M손재영
M장덕한</t>
    <phoneticPr fontId="3" type="noConversion"/>
  </si>
  <si>
    <t>M권순예
M이주민
M배영수</t>
    <phoneticPr fontId="3" type="noConversion"/>
  </si>
  <si>
    <t>M조희자
M한정완
M고해봉
M황춘자
M이경순10</t>
    <phoneticPr fontId="3" type="noConversion"/>
  </si>
  <si>
    <t>M김진철4
M정상범3</t>
    <phoneticPr fontId="3" type="noConversion"/>
  </si>
  <si>
    <t>M이주민
G양덕점
M권순예
M송병태</t>
    <phoneticPr fontId="3" type="noConversion"/>
  </si>
  <si>
    <t>F이묘헌
F김인기3</t>
    <phoneticPr fontId="3" type="noConversion"/>
  </si>
  <si>
    <t>RA이준구2</t>
    <phoneticPr fontId="3" type="noConversion"/>
  </si>
  <si>
    <t>RA한상진</t>
    <phoneticPr fontId="20" type="noConversion"/>
  </si>
  <si>
    <t>김진철4(평)</t>
    <phoneticPr fontId="3" type="noConversion"/>
  </si>
  <si>
    <t>김은미11(평)</t>
    <phoneticPr fontId="3" type="noConversion"/>
  </si>
  <si>
    <t>김유나</t>
    <phoneticPr fontId="3" type="noConversion"/>
  </si>
  <si>
    <t>김은미11</t>
    <phoneticPr fontId="3" type="noConversion"/>
  </si>
  <si>
    <t>MMSE,MBI,HAND,PHQ-9,CDR</t>
    <phoneticPr fontId="3" type="noConversion"/>
  </si>
  <si>
    <t>D이산옥</t>
    <phoneticPr fontId="3" type="noConversion"/>
  </si>
  <si>
    <t>V이산옥</t>
    <phoneticPr fontId="3" type="noConversion"/>
  </si>
  <si>
    <t>RA1신명숙6(평)</t>
    <phoneticPr fontId="3" type="noConversion"/>
  </si>
  <si>
    <t>D황춘자</t>
    <phoneticPr fontId="3" type="noConversion"/>
  </si>
  <si>
    <t>M김진철4
M이산옥
M한정완
M박명숙10
M오영환3</t>
    <phoneticPr fontId="3" type="noConversion"/>
  </si>
  <si>
    <t>범성희</t>
    <phoneticPr fontId="3" type="noConversion"/>
  </si>
  <si>
    <t>이순선</t>
    <phoneticPr fontId="3" type="noConversion"/>
  </si>
  <si>
    <t>SNSB</t>
    <phoneticPr fontId="3" type="noConversion"/>
  </si>
  <si>
    <t>RN김석기2</t>
    <phoneticPr fontId="3" type="noConversion"/>
  </si>
  <si>
    <t>N김인기3</t>
    <phoneticPr fontId="20" type="noConversion"/>
  </si>
  <si>
    <t>RA윤충원</t>
    <phoneticPr fontId="20" type="noConversion"/>
  </si>
  <si>
    <t>RM1신명숙6(평)</t>
    <phoneticPr fontId="3" type="noConversion"/>
  </si>
  <si>
    <r>
      <t>MM목진구
MM정농숙</t>
    </r>
    <r>
      <rPr>
        <sz val="10"/>
        <rFont val="돋움"/>
        <family val="3"/>
        <charset val="129"/>
      </rPr>
      <t xml:space="preserve">
MM조영란2</t>
    </r>
    <phoneticPr fontId="3" type="noConversion"/>
  </si>
  <si>
    <t>MM정태철
MM김동윤3
MM신명숙6
MM채규칠</t>
    <phoneticPr fontId="3" type="noConversion"/>
  </si>
  <si>
    <t>RA정태철</t>
    <phoneticPr fontId="3" type="noConversion"/>
  </si>
  <si>
    <t>V황춘자
V김인기3</t>
    <phoneticPr fontId="3" type="noConversion"/>
  </si>
  <si>
    <t>D김인기3</t>
    <phoneticPr fontId="3" type="noConversion"/>
  </si>
  <si>
    <t>RA1/14:20-14:35</t>
    <phoneticPr fontId="3" type="noConversion"/>
  </si>
  <si>
    <t>김무길</t>
    <phoneticPr fontId="3" type="noConversion"/>
  </si>
  <si>
    <t>RS1우병주(평)</t>
    <phoneticPr fontId="3" type="noConversion"/>
  </si>
  <si>
    <t>RG한상진</t>
    <phoneticPr fontId="3" type="noConversion"/>
  </si>
  <si>
    <t>이소미</t>
    <phoneticPr fontId="3" type="noConversion"/>
  </si>
  <si>
    <t>RA김도윤19</t>
    <phoneticPr fontId="3" type="noConversion"/>
  </si>
  <si>
    <r>
      <t>MM김진권2</t>
    </r>
    <r>
      <rPr>
        <sz val="10"/>
        <rFont val="돋움"/>
        <family val="3"/>
        <charset val="129"/>
      </rPr>
      <t xml:space="preserve">
MM이태임</t>
    </r>
    <phoneticPr fontId="3" type="noConversion"/>
  </si>
  <si>
    <t>RA이순선</t>
    <phoneticPr fontId="3" type="noConversion"/>
  </si>
  <si>
    <t>M우재천
M박창현3
M권정숙
M송병태
M오영환3</t>
    <phoneticPr fontId="3" type="noConversion"/>
  </si>
  <si>
    <t>D손재영</t>
    <phoneticPr fontId="3" type="noConversion"/>
  </si>
  <si>
    <r>
      <t>MM박종순13</t>
    </r>
    <r>
      <rPr>
        <sz val="10"/>
        <color theme="1"/>
        <rFont val="돋움"/>
        <family val="3"/>
        <charset val="129"/>
      </rPr>
      <t xml:space="preserve">
MM채규칠</t>
    </r>
    <phoneticPr fontId="3" type="noConversion"/>
  </si>
  <si>
    <t>RM박인규4</t>
    <phoneticPr fontId="3" type="noConversion"/>
  </si>
  <si>
    <t>RD박인규4</t>
    <phoneticPr fontId="3" type="noConversion"/>
  </si>
  <si>
    <t>RA김남규4</t>
    <phoneticPr fontId="3" type="noConversion"/>
  </si>
  <si>
    <t>RA권영배</t>
    <phoneticPr fontId="3" type="noConversion"/>
  </si>
  <si>
    <t>V손재영</t>
    <phoneticPr fontId="3" type="noConversion"/>
  </si>
  <si>
    <t>RA이순선</t>
    <phoneticPr fontId="20" type="noConversion"/>
  </si>
  <si>
    <t>CA황춘자</t>
    <phoneticPr fontId="3" type="noConversion"/>
  </si>
  <si>
    <t>MM목진구</t>
    <phoneticPr fontId="3" type="noConversion"/>
  </si>
  <si>
    <r>
      <t xml:space="preserve">C이주민
</t>
    </r>
    <r>
      <rPr>
        <sz val="10"/>
        <color theme="1"/>
        <rFont val="돋움"/>
        <family val="3"/>
        <charset val="129"/>
      </rPr>
      <t>C김인기3</t>
    </r>
    <phoneticPr fontId="3" type="noConversion"/>
  </si>
  <si>
    <t>RA권영배</t>
    <phoneticPr fontId="20" type="noConversion"/>
  </si>
  <si>
    <t>RA이순선</t>
    <phoneticPr fontId="3" type="noConversion"/>
  </si>
  <si>
    <t>장희연</t>
    <phoneticPr fontId="3" type="noConversion"/>
  </si>
  <si>
    <t>이송자</t>
    <phoneticPr fontId="3" type="noConversion"/>
  </si>
  <si>
    <t>RG14:20-14:35</t>
    <phoneticPr fontId="3" type="noConversion"/>
  </si>
  <si>
    <t>유다영</t>
    <phoneticPr fontId="3" type="noConversion"/>
  </si>
  <si>
    <t>김무길</t>
    <phoneticPr fontId="3" type="noConversion"/>
  </si>
  <si>
    <t>RG1/1345-1400</t>
    <phoneticPr fontId="3" type="noConversion"/>
  </si>
  <si>
    <t>김진철</t>
    <phoneticPr fontId="3" type="noConversion"/>
  </si>
  <si>
    <t>ROM,BBS평가오더</t>
    <phoneticPr fontId="3" type="noConversion"/>
  </si>
  <si>
    <t>이현아</t>
    <phoneticPr fontId="3" type="noConversion"/>
  </si>
  <si>
    <t>연미재</t>
    <phoneticPr fontId="3" type="noConversion"/>
  </si>
  <si>
    <t>RA2/14:40-15:10</t>
    <phoneticPr fontId="3" type="noConversion"/>
  </si>
  <si>
    <t>범성희</t>
    <phoneticPr fontId="3" type="noConversion"/>
  </si>
  <si>
    <t>RA1/14:55-1510</t>
    <phoneticPr fontId="3" type="noConversion"/>
  </si>
  <si>
    <t>이현아</t>
    <phoneticPr fontId="3" type="noConversion"/>
  </si>
  <si>
    <t>황춘자</t>
    <phoneticPr fontId="3" type="noConversion"/>
  </si>
  <si>
    <t>C/15:15-15:25</t>
    <phoneticPr fontId="3" type="noConversion"/>
  </si>
  <si>
    <t>박인규4</t>
    <phoneticPr fontId="3" type="noConversion"/>
  </si>
  <si>
    <t>RD2/15:50-16:20</t>
    <phoneticPr fontId="3" type="noConversion"/>
  </si>
  <si>
    <t>이송희</t>
    <phoneticPr fontId="3" type="noConversion"/>
  </si>
  <si>
    <t>우병주</t>
    <phoneticPr fontId="3" type="noConversion"/>
  </si>
  <si>
    <t>RM2/10:50-11:20</t>
    <phoneticPr fontId="3" type="noConversion"/>
  </si>
  <si>
    <t>이진주</t>
    <phoneticPr fontId="3" type="noConversion"/>
  </si>
  <si>
    <t>김도윤19</t>
    <phoneticPr fontId="3" type="noConversion"/>
  </si>
  <si>
    <t>RA1/14:55-15:10</t>
    <phoneticPr fontId="3" type="noConversion"/>
  </si>
  <si>
    <t>MM곽수열
MM김을순2
MM조영란2</t>
    <phoneticPr fontId="3" type="noConversion"/>
  </si>
  <si>
    <t>M장덕한
M정화구
M장현성
M신봉호</t>
    <phoneticPr fontId="3" type="noConversion"/>
  </si>
  <si>
    <t>RN김진권2</t>
    <phoneticPr fontId="3" type="noConversion"/>
  </si>
  <si>
    <t>신지아</t>
    <phoneticPr fontId="3" type="noConversion"/>
  </si>
  <si>
    <t>곽수열</t>
    <phoneticPr fontId="3" type="noConversion"/>
  </si>
  <si>
    <t>MM/16:05-16:20</t>
    <phoneticPr fontId="3" type="noConversion"/>
  </si>
  <si>
    <t>MM김석기2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</si>
</sst>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2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8.5"/>
      <color rgb="FF000000"/>
      <name val="돋움"/>
      <family val="3"/>
      <charset val="129"/>
    </font>
    <font>
      <sz val="8.5"/>
      <name val="돋움"/>
      <family val="3"/>
      <charset val="129"/>
    </font>
    <font>
      <sz val="10"/>
      <color rgb="FF000000"/>
      <name val="돋움"/>
      <family val="3"/>
      <charset val="129"/>
    </font>
    <font>
      <sz val="11"/>
      <color rgb="FFFF0000"/>
      <name val="돋움"/>
      <family val="3"/>
      <charset val="129"/>
    </font>
    <font>
      <sz val="10"/>
      <color theme="1"/>
      <name val="돋움"/>
      <family val="3"/>
      <charset val="129"/>
    </font>
    <font>
      <b/>
      <sz val="10"/>
      <name val="돋움"/>
      <family val="3"/>
      <charset val="129"/>
    </font>
    <font>
      <sz val="11"/>
      <color rgb="FF000000"/>
      <name val="돋움"/>
      <family val="3"/>
      <charset val="129"/>
    </font>
    <font>
      <sz val="10"/>
      <name val="돋움"/>
      <family val="3"/>
      <charset val="129"/>
    </font>
    <font>
      <sz val="10"/>
      <color theme="1"/>
      <name val="돋움"/>
      <family val="2"/>
      <charset val="129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rgb="FF00B050"/>
      <name val="돋움"/>
      <family val="3"/>
      <charset val="129"/>
    </font>
    <font>
      <sz val="10"/>
      <color rgb="FF00B050"/>
      <name val="돋움"/>
      <family val="3"/>
      <charset val="129"/>
    </font>
    <font>
      <b/>
      <u/>
      <sz val="10"/>
      <name val="돋움"/>
      <family val="3"/>
      <charset val="129"/>
    </font>
    <font>
      <sz val="8"/>
      <name val="돋움"/>
      <family val="2"/>
      <charset val="129"/>
    </font>
    <font>
      <b/>
      <u/>
      <sz val="10"/>
      <color rgb="FF000000"/>
      <name val="돋움"/>
      <family val="3"/>
      <charset val="129"/>
    </font>
    <font>
      <sz val="8"/>
      <name val="돋움"/>
      <family val="3"/>
      <charset val="129"/>
    </font>
    <font>
      <sz val="10"/>
      <color theme="0" tint="-0.249977111117893"/>
      <name val="돋움"/>
      <family val="3"/>
      <charset val="129"/>
    </font>
    <font>
      <sz val="10"/>
      <color theme="0"/>
      <name val="돋움"/>
      <family val="3"/>
      <charset val="129"/>
    </font>
    <font>
      <sz val="11"/>
      <name val="맑은 고딕"/>
      <family val="2"/>
      <charset val="129"/>
      <scheme val="minor"/>
    </font>
    <font>
      <sz val="12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5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</borders>
  <cellStyleXfs count="11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46">
    <xf numFmtId="0" fontId="0" fillId="0" borderId="0" xfId="0">
      <alignment vertical="center"/>
    </xf>
    <xf numFmtId="0" fontId="2" fillId="0" borderId="2" xfId="2" applyNumberFormat="1" applyFont="1" applyFill="1" applyBorder="1" applyAlignment="1" applyProtection="1">
      <alignment horizontal="center" vertical="center"/>
    </xf>
    <xf numFmtId="0" fontId="1" fillId="0" borderId="0" xfId="1">
      <alignment vertical="center"/>
    </xf>
    <xf numFmtId="0" fontId="2" fillId="0" borderId="0" xfId="2" applyNumberFormat="1" applyFont="1" applyFill="1" applyBorder="1" applyAlignment="1" applyProtection="1">
      <alignment horizontal="center" vertical="center"/>
    </xf>
    <xf numFmtId="0" fontId="1" fillId="0" borderId="0" xfId="1" applyFill="1">
      <alignment vertical="center"/>
    </xf>
    <xf numFmtId="0" fontId="5" fillId="2" borderId="3" xfId="1" applyNumberFormat="1" applyFont="1" applyFill="1" applyBorder="1" applyAlignment="1" applyProtection="1">
      <alignment horizontal="center" vertical="center"/>
    </xf>
    <xf numFmtId="0" fontId="5" fillId="2" borderId="3" xfId="1" applyNumberFormat="1" applyFont="1" applyFill="1" applyBorder="1" applyAlignment="1" applyProtection="1">
      <alignment horizontal="left" vertical="center" wrapText="1"/>
    </xf>
    <xf numFmtId="0" fontId="5" fillId="2" borderId="3" xfId="1" applyNumberFormat="1" applyFont="1" applyFill="1" applyBorder="1" applyAlignment="1" applyProtection="1">
      <alignment horizontal="center" vertical="center" wrapText="1"/>
    </xf>
    <xf numFmtId="0" fontId="6" fillId="2" borderId="3" xfId="1" applyNumberFormat="1" applyFont="1" applyFill="1" applyBorder="1" applyAlignment="1" applyProtection="1">
      <alignment horizontal="center" vertical="center"/>
    </xf>
    <xf numFmtId="176" fontId="7" fillId="0" borderId="0" xfId="3" applyNumberFormat="1" applyFont="1" applyFill="1" applyBorder="1" applyAlignment="1" applyProtection="1">
      <alignment horizontal="center" vertical="center" wrapText="1"/>
    </xf>
    <xf numFmtId="0" fontId="8" fillId="0" borderId="0" xfId="1" applyFont="1" applyAlignment="1">
      <alignment vertical="top" wrapText="1"/>
    </xf>
    <xf numFmtId="0" fontId="9" fillId="0" borderId="0" xfId="1" applyFont="1" applyFill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10" fillId="0" borderId="3" xfId="1" applyFont="1" applyFill="1" applyBorder="1" applyAlignment="1">
      <alignment horizontal="center" vertical="center" wrapText="1"/>
    </xf>
    <xf numFmtId="0" fontId="9" fillId="3" borderId="3" xfId="1" applyNumberFormat="1" applyFont="1" applyFill="1" applyBorder="1" applyAlignment="1" applyProtection="1">
      <alignment horizontal="center" vertical="center" wrapText="1"/>
    </xf>
    <xf numFmtId="0" fontId="9" fillId="3" borderId="6" xfId="1" applyNumberFormat="1" applyFont="1" applyFill="1" applyBorder="1" applyAlignment="1" applyProtection="1">
      <alignment horizontal="center" vertical="center" wrapText="1"/>
    </xf>
    <xf numFmtId="0" fontId="12" fillId="0" borderId="3" xfId="4" applyFont="1" applyFill="1" applyBorder="1" applyAlignment="1">
      <alignment horizontal="center" vertical="center" wrapText="1"/>
    </xf>
    <xf numFmtId="0" fontId="9" fillId="0" borderId="7" xfId="1" applyNumberFormat="1" applyFont="1" applyFill="1" applyBorder="1" applyAlignment="1" applyProtection="1">
      <alignment horizontal="center" vertical="center" wrapText="1"/>
    </xf>
    <xf numFmtId="0" fontId="12" fillId="0" borderId="7" xfId="1" applyNumberFormat="1" applyFont="1" applyFill="1" applyBorder="1" applyAlignment="1" applyProtection="1">
      <alignment horizontal="center" vertical="center" wrapText="1"/>
    </xf>
    <xf numFmtId="0" fontId="12" fillId="0" borderId="7" xfId="1" applyFont="1" applyFill="1" applyBorder="1" applyAlignment="1">
      <alignment horizontal="center" vertical="center"/>
    </xf>
    <xf numFmtId="0" fontId="12" fillId="0" borderId="7" xfId="1" applyFont="1" applyFill="1" applyBorder="1" applyAlignment="1">
      <alignment horizontal="center" vertical="center" wrapText="1"/>
    </xf>
    <xf numFmtId="0" fontId="12" fillId="0" borderId="3" xfId="1" applyNumberFormat="1" applyFont="1" applyFill="1" applyBorder="1" applyAlignment="1" applyProtection="1">
      <alignment horizontal="center" vertical="center" wrapText="1"/>
    </xf>
    <xf numFmtId="0" fontId="12" fillId="0" borderId="3" xfId="1" applyFont="1" applyFill="1" applyBorder="1" applyAlignment="1">
      <alignment horizontal="center" vertical="center" wrapText="1"/>
    </xf>
    <xf numFmtId="0" fontId="12" fillId="0" borderId="8" xfId="4" applyFont="1" applyFill="1" applyBorder="1" applyAlignment="1">
      <alignment horizontal="center" vertical="center" wrapText="1"/>
    </xf>
    <xf numFmtId="9" fontId="7" fillId="0" borderId="0" xfId="5" applyFont="1" applyFill="1" applyBorder="1" applyAlignment="1" applyProtection="1">
      <alignment horizontal="center" vertical="center" wrapText="1"/>
    </xf>
    <xf numFmtId="0" fontId="4" fillId="0" borderId="7" xfId="1" applyNumberFormat="1" applyFont="1" applyFill="1" applyBorder="1" applyAlignment="1" applyProtection="1">
      <alignment horizontal="center" vertical="center" wrapText="1"/>
    </xf>
    <xf numFmtId="0" fontId="9" fillId="0" borderId="7" xfId="1" applyFont="1" applyFill="1" applyBorder="1" applyAlignment="1">
      <alignment horizontal="center" vertical="center"/>
    </xf>
    <xf numFmtId="0" fontId="10" fillId="0" borderId="7" xfId="1" applyFont="1" applyFill="1" applyBorder="1" applyAlignment="1">
      <alignment horizontal="center" vertical="center" wrapText="1"/>
    </xf>
    <xf numFmtId="0" fontId="9" fillId="0" borderId="3" xfId="1" applyNumberFormat="1" applyFont="1" applyFill="1" applyBorder="1" applyAlignment="1" applyProtection="1">
      <alignment horizontal="center" vertical="center" wrapText="1"/>
    </xf>
    <xf numFmtId="0" fontId="12" fillId="0" borderId="7" xfId="4" applyFont="1" applyFill="1" applyBorder="1" applyAlignment="1">
      <alignment horizontal="center" vertical="center" wrapText="1"/>
    </xf>
    <xf numFmtId="0" fontId="9" fillId="0" borderId="8" xfId="4" applyFont="1" applyFill="1" applyBorder="1" applyAlignment="1">
      <alignment horizontal="center" vertical="center" wrapText="1"/>
    </xf>
    <xf numFmtId="0" fontId="10" fillId="0" borderId="7" xfId="1" applyNumberFormat="1" applyFont="1" applyFill="1" applyBorder="1" applyAlignment="1" applyProtection="1">
      <alignment horizontal="center" vertical="center" wrapText="1"/>
    </xf>
    <xf numFmtId="0" fontId="12" fillId="0" borderId="3" xfId="1" applyFont="1" applyFill="1" applyBorder="1" applyAlignment="1">
      <alignment horizontal="center" vertical="center"/>
    </xf>
    <xf numFmtId="0" fontId="9" fillId="0" borderId="3" xfId="1" applyFont="1" applyFill="1" applyBorder="1" applyAlignment="1">
      <alignment horizontal="center" vertical="center"/>
    </xf>
    <xf numFmtId="0" fontId="4" fillId="4" borderId="24" xfId="1" applyNumberFormat="1" applyFont="1" applyFill="1" applyBorder="1" applyAlignment="1" applyProtection="1">
      <alignment horizontal="center" vertical="center" wrapText="1"/>
    </xf>
    <xf numFmtId="0" fontId="9" fillId="4" borderId="27" xfId="1" applyNumberFormat="1" applyFont="1" applyFill="1" applyBorder="1" applyAlignment="1" applyProtection="1">
      <alignment horizontal="center" vertical="center" wrapText="1"/>
    </xf>
    <xf numFmtId="0" fontId="17" fillId="4" borderId="27" xfId="1" applyNumberFormat="1" applyFont="1" applyFill="1" applyBorder="1" applyAlignment="1" applyProtection="1">
      <alignment horizontal="center" vertical="center" wrapText="1"/>
    </xf>
    <xf numFmtId="0" fontId="17" fillId="4" borderId="27" xfId="4" applyFont="1" applyFill="1" applyBorder="1" applyAlignment="1">
      <alignment horizontal="center" vertical="center" wrapText="1"/>
    </xf>
    <xf numFmtId="0" fontId="17" fillId="4" borderId="28" xfId="1" applyFont="1" applyFill="1" applyBorder="1" applyAlignment="1">
      <alignment horizontal="center" vertical="center"/>
    </xf>
    <xf numFmtId="0" fontId="17" fillId="4" borderId="24" xfId="1" applyFont="1" applyFill="1" applyBorder="1" applyAlignment="1">
      <alignment horizontal="center" vertical="center" wrapText="1"/>
    </xf>
    <xf numFmtId="0" fontId="18" fillId="4" borderId="27" xfId="1" applyFont="1" applyFill="1" applyBorder="1" applyAlignment="1">
      <alignment horizontal="center" vertical="center" wrapText="1"/>
    </xf>
    <xf numFmtId="0" fontId="19" fillId="0" borderId="29" xfId="1" applyFont="1" applyFill="1" applyBorder="1" applyAlignment="1">
      <alignment horizontal="center" vertical="center" wrapText="1"/>
    </xf>
    <xf numFmtId="0" fontId="12" fillId="3" borderId="3" xfId="1" applyNumberFormat="1" applyFont="1" applyFill="1" applyBorder="1" applyAlignment="1" applyProtection="1">
      <alignment horizontal="center" vertical="center" wrapText="1"/>
    </xf>
    <xf numFmtId="0" fontId="9" fillId="0" borderId="29" xfId="1" applyFont="1" applyFill="1" applyBorder="1" applyAlignment="1">
      <alignment horizontal="center" vertical="center"/>
    </xf>
    <xf numFmtId="0" fontId="4" fillId="0" borderId="3" xfId="1" applyNumberFormat="1" applyFont="1" applyFill="1" applyBorder="1" applyAlignment="1" applyProtection="1">
      <alignment horizontal="center" vertical="center" wrapText="1"/>
    </xf>
    <xf numFmtId="0" fontId="19" fillId="0" borderId="3" xfId="1" applyFont="1" applyFill="1" applyBorder="1" applyAlignment="1">
      <alignment horizontal="center" vertical="center" wrapText="1"/>
    </xf>
    <xf numFmtId="0" fontId="4" fillId="0" borderId="24" xfId="1" applyNumberFormat="1" applyFont="1" applyFill="1" applyBorder="1" applyAlignment="1" applyProtection="1">
      <alignment horizontal="center" vertical="center" wrapText="1"/>
    </xf>
    <xf numFmtId="0" fontId="19" fillId="0" borderId="27" xfId="1" applyFont="1" applyFill="1" applyBorder="1" applyAlignment="1">
      <alignment horizontal="center" vertical="center" wrapText="1"/>
    </xf>
    <xf numFmtId="0" fontId="12" fillId="0" borderId="24" xfId="1" applyNumberFormat="1" applyFont="1" applyFill="1" applyBorder="1" applyAlignment="1" applyProtection="1">
      <alignment horizontal="center" vertical="center" wrapText="1"/>
    </xf>
    <xf numFmtId="0" fontId="12" fillId="0" borderId="25" xfId="1" applyFont="1" applyFill="1" applyBorder="1" applyAlignment="1">
      <alignment horizontal="center" vertical="center"/>
    </xf>
    <xf numFmtId="0" fontId="12" fillId="0" borderId="24" xfId="1" applyFont="1" applyFill="1" applyBorder="1" applyAlignment="1">
      <alignment horizontal="center" vertical="center" wrapText="1"/>
    </xf>
    <xf numFmtId="0" fontId="12" fillId="0" borderId="24" xfId="4" applyFont="1" applyFill="1" applyBorder="1" applyAlignment="1">
      <alignment horizontal="center" vertical="center"/>
    </xf>
    <xf numFmtId="0" fontId="10" fillId="0" borderId="24" xfId="1" applyFont="1" applyFill="1" applyBorder="1" applyAlignment="1">
      <alignment horizontal="center" vertical="center" wrapText="1"/>
    </xf>
    <xf numFmtId="0" fontId="9" fillId="0" borderId="24" xfId="1" applyFont="1" applyFill="1" applyBorder="1" applyAlignment="1">
      <alignment horizontal="center" vertical="center"/>
    </xf>
    <xf numFmtId="0" fontId="12" fillId="0" borderId="24" xfId="1" applyFont="1" applyFill="1" applyBorder="1" applyAlignment="1">
      <alignment horizontal="center" vertical="center"/>
    </xf>
    <xf numFmtId="0" fontId="12" fillId="0" borderId="34" xfId="1" applyNumberFormat="1" applyFont="1" applyFill="1" applyBorder="1" applyAlignment="1" applyProtection="1">
      <alignment horizontal="center" vertical="center" wrapText="1"/>
    </xf>
    <xf numFmtId="0" fontId="1" fillId="0" borderId="0" xfId="1" applyFill="1" applyBorder="1">
      <alignment vertical="center"/>
    </xf>
    <xf numFmtId="0" fontId="12" fillId="0" borderId="29" xfId="1" applyNumberFormat="1" applyFont="1" applyFill="1" applyBorder="1" applyAlignment="1" applyProtection="1">
      <alignment horizontal="center" vertical="center" wrapText="1"/>
    </xf>
    <xf numFmtId="0" fontId="10" fillId="0" borderId="3" xfId="1" applyNumberFormat="1" applyFont="1" applyFill="1" applyBorder="1" applyAlignment="1" applyProtection="1">
      <alignment horizontal="center" vertical="center" wrapText="1"/>
    </xf>
    <xf numFmtId="0" fontId="9" fillId="0" borderId="3" xfId="1" applyFont="1" applyFill="1" applyBorder="1" applyAlignment="1">
      <alignment horizontal="center" vertical="center" wrapText="1"/>
    </xf>
    <xf numFmtId="0" fontId="9" fillId="0" borderId="7" xfId="4" applyFont="1" applyFill="1" applyBorder="1" applyAlignment="1">
      <alignment horizontal="center" vertical="center" wrapText="1"/>
    </xf>
    <xf numFmtId="0" fontId="4" fillId="0" borderId="6" xfId="1" applyNumberFormat="1" applyFont="1" applyFill="1" applyBorder="1" applyAlignment="1" applyProtection="1">
      <alignment horizontal="center" vertical="center" wrapText="1"/>
    </xf>
    <xf numFmtId="0" fontId="12" fillId="0" borderId="35" xfId="1" applyNumberFormat="1" applyFont="1" applyFill="1" applyBorder="1" applyAlignment="1" applyProtection="1">
      <alignment horizontal="center" vertical="center" wrapText="1"/>
    </xf>
    <xf numFmtId="0" fontId="10" fillId="0" borderId="35" xfId="1" applyFont="1" applyFill="1" applyBorder="1" applyAlignment="1">
      <alignment horizontal="center" vertical="center" wrapText="1"/>
    </xf>
    <xf numFmtId="0" fontId="9" fillId="0" borderId="7" xfId="1" applyFont="1" applyFill="1" applyBorder="1" applyAlignment="1">
      <alignment horizontal="center" vertical="center" wrapText="1"/>
    </xf>
    <xf numFmtId="0" fontId="10" fillId="0" borderId="8" xfId="1" applyNumberFormat="1" applyFont="1" applyFill="1" applyBorder="1" applyAlignment="1" applyProtection="1">
      <alignment horizontal="center" vertical="center" wrapText="1"/>
    </xf>
    <xf numFmtId="0" fontId="12" fillId="0" borderId="8" xfId="1" applyFont="1" applyFill="1" applyBorder="1" applyAlignment="1">
      <alignment horizontal="center" vertical="center" wrapText="1"/>
    </xf>
    <xf numFmtId="0" fontId="4" fillId="0" borderId="27" xfId="1" applyNumberFormat="1" applyFont="1" applyFill="1" applyBorder="1" applyAlignment="1" applyProtection="1">
      <alignment horizontal="center" vertical="center" wrapText="1"/>
    </xf>
    <xf numFmtId="0" fontId="9" fillId="3" borderId="28" xfId="1" applyFont="1" applyFill="1" applyBorder="1" applyAlignment="1">
      <alignment horizontal="center" vertical="center" wrapText="1"/>
    </xf>
    <xf numFmtId="0" fontId="12" fillId="0" borderId="27" xfId="1" applyFont="1" applyFill="1" applyBorder="1" applyAlignment="1">
      <alignment horizontal="center" vertical="center" wrapText="1"/>
    </xf>
    <xf numFmtId="0" fontId="12" fillId="0" borderId="27" xfId="4" applyFont="1" applyFill="1" applyBorder="1" applyAlignment="1">
      <alignment horizontal="center" vertical="center" wrapText="1"/>
    </xf>
    <xf numFmtId="0" fontId="12" fillId="0" borderId="27" xfId="1" applyNumberFormat="1" applyFont="1" applyFill="1" applyBorder="1" applyAlignment="1" applyProtection="1">
      <alignment horizontal="center" vertical="center" wrapText="1"/>
    </xf>
    <xf numFmtId="0" fontId="12" fillId="0" borderId="27" xfId="1" applyFont="1" applyFill="1" applyBorder="1" applyAlignment="1">
      <alignment horizontal="center" vertical="center"/>
    </xf>
    <xf numFmtId="0" fontId="10" fillId="0" borderId="24" xfId="1" applyNumberFormat="1" applyFont="1" applyFill="1" applyBorder="1" applyAlignment="1" applyProtection="1">
      <alignment horizontal="center" vertical="center" wrapText="1"/>
    </xf>
    <xf numFmtId="0" fontId="9" fillId="0" borderId="14" xfId="1" applyFont="1" applyFill="1" applyBorder="1" applyAlignment="1">
      <alignment horizontal="center" vertical="center"/>
    </xf>
    <xf numFmtId="0" fontId="4" fillId="0" borderId="36" xfId="1" applyNumberFormat="1" applyFont="1" applyFill="1" applyBorder="1" applyAlignment="1" applyProtection="1">
      <alignment horizontal="center" vertical="center" wrapText="1"/>
    </xf>
    <xf numFmtId="0" fontId="19" fillId="3" borderId="29" xfId="1" applyFont="1" applyFill="1" applyBorder="1" applyAlignment="1">
      <alignment horizontal="center" vertical="center" wrapText="1"/>
    </xf>
    <xf numFmtId="0" fontId="12" fillId="0" borderId="7" xfId="1" applyNumberFormat="1" applyFont="1" applyFill="1" applyBorder="1" applyAlignment="1" applyProtection="1">
      <alignment horizontal="center" vertical="center"/>
    </xf>
    <xf numFmtId="0" fontId="19" fillId="3" borderId="3" xfId="1" applyFont="1" applyFill="1" applyBorder="1" applyAlignment="1">
      <alignment horizontal="center" vertical="center" wrapText="1"/>
    </xf>
    <xf numFmtId="0" fontId="12" fillId="0" borderId="6" xfId="1" applyNumberFormat="1" applyFont="1" applyFill="1" applyBorder="1" applyAlignment="1" applyProtection="1">
      <alignment horizontal="center" vertical="center" wrapText="1"/>
    </xf>
    <xf numFmtId="0" fontId="12" fillId="3" borderId="3" xfId="1" applyFont="1" applyFill="1" applyBorder="1" applyAlignment="1">
      <alignment horizontal="center" vertical="center" wrapText="1"/>
    </xf>
    <xf numFmtId="0" fontId="10" fillId="0" borderId="27" xfId="1" applyNumberFormat="1" applyFont="1" applyFill="1" applyBorder="1" applyAlignment="1" applyProtection="1">
      <alignment horizontal="center" vertical="center" wrapText="1"/>
    </xf>
    <xf numFmtId="0" fontId="19" fillId="3" borderId="27" xfId="1" applyFont="1" applyFill="1" applyBorder="1" applyAlignment="1">
      <alignment horizontal="center" vertical="center" wrapText="1"/>
    </xf>
    <xf numFmtId="0" fontId="12" fillId="3" borderId="27" xfId="1" applyFont="1" applyFill="1" applyBorder="1" applyAlignment="1">
      <alignment horizontal="center" vertical="center" wrapText="1"/>
    </xf>
    <xf numFmtId="0" fontId="9" fillId="0" borderId="24" xfId="1" applyNumberFormat="1" applyFont="1" applyFill="1" applyBorder="1" applyAlignment="1" applyProtection="1">
      <alignment horizontal="center" vertical="center" wrapText="1"/>
    </xf>
    <xf numFmtId="0" fontId="5" fillId="0" borderId="29" xfId="1" applyFont="1" applyBorder="1" applyAlignment="1">
      <alignment horizontal="center" vertical="center"/>
    </xf>
    <xf numFmtId="0" fontId="4" fillId="0" borderId="37" xfId="1" applyNumberFormat="1" applyFont="1" applyFill="1" applyBorder="1" applyAlignment="1" applyProtection="1">
      <alignment horizontal="center" vertical="center" wrapText="1"/>
    </xf>
    <xf numFmtId="0" fontId="17" fillId="0" borderId="7" xfId="1" applyNumberFormat="1" applyFont="1" applyFill="1" applyBorder="1" applyAlignment="1" applyProtection="1">
      <alignment horizontal="center" vertical="center" wrapText="1"/>
    </xf>
    <xf numFmtId="0" fontId="17" fillId="0" borderId="7" xfId="1" applyFont="1" applyFill="1" applyBorder="1" applyAlignment="1">
      <alignment horizontal="center" vertical="center" wrapText="1"/>
    </xf>
    <xf numFmtId="0" fontId="18" fillId="0" borderId="7" xfId="4" applyFont="1" applyFill="1" applyBorder="1" applyAlignment="1">
      <alignment horizontal="center" vertical="center" wrapText="1"/>
    </xf>
    <xf numFmtId="0" fontId="18" fillId="0" borderId="38" xfId="1" applyFont="1" applyFill="1" applyBorder="1" applyAlignment="1">
      <alignment horizontal="center" vertical="center" wrapText="1"/>
    </xf>
    <xf numFmtId="0" fontId="18" fillId="0" borderId="7" xfId="1" applyNumberFormat="1" applyFont="1" applyFill="1" applyBorder="1" applyAlignment="1" applyProtection="1">
      <alignment horizontal="center" vertical="center" wrapText="1"/>
    </xf>
    <xf numFmtId="0" fontId="12" fillId="0" borderId="37" xfId="1" applyFont="1" applyFill="1" applyBorder="1" applyAlignment="1">
      <alignment horizontal="center" vertical="center" wrapText="1"/>
    </xf>
    <xf numFmtId="0" fontId="5" fillId="0" borderId="7" xfId="1" applyNumberFormat="1" applyFont="1" applyFill="1" applyBorder="1" applyAlignment="1" applyProtection="1">
      <alignment horizontal="center" vertical="center"/>
    </xf>
    <xf numFmtId="0" fontId="10" fillId="4" borderId="37" xfId="1" applyFont="1" applyFill="1" applyBorder="1" applyAlignment="1">
      <alignment horizontal="center" vertical="center" wrapText="1"/>
    </xf>
    <xf numFmtId="0" fontId="17" fillId="4" borderId="7" xfId="1" applyNumberFormat="1" applyFont="1" applyFill="1" applyBorder="1" applyAlignment="1" applyProtection="1">
      <alignment horizontal="center" vertical="center" wrapText="1"/>
    </xf>
    <xf numFmtId="0" fontId="9" fillId="4" borderId="7" xfId="1" applyNumberFormat="1" applyFont="1" applyFill="1" applyBorder="1" applyAlignment="1" applyProtection="1">
      <alignment horizontal="center" vertical="center" wrapText="1"/>
    </xf>
    <xf numFmtId="0" fontId="18" fillId="4" borderId="7" xfId="1" applyNumberFormat="1" applyFont="1" applyFill="1" applyBorder="1" applyAlignment="1" applyProtection="1">
      <alignment horizontal="center" vertical="center" wrapText="1"/>
    </xf>
    <xf numFmtId="0" fontId="17" fillId="4" borderId="27" xfId="1" applyFont="1" applyFill="1" applyBorder="1" applyAlignment="1">
      <alignment horizontal="center" vertical="center"/>
    </xf>
    <xf numFmtId="0" fontId="17" fillId="4" borderId="0" xfId="1" applyFont="1" applyFill="1" applyBorder="1" applyAlignment="1">
      <alignment horizontal="center" vertical="center"/>
    </xf>
    <xf numFmtId="0" fontId="17" fillId="4" borderId="3" xfId="1" applyNumberFormat="1" applyFont="1" applyFill="1" applyBorder="1" applyAlignment="1" applyProtection="1">
      <alignment horizontal="center" vertical="center" wrapText="1"/>
    </xf>
    <xf numFmtId="0" fontId="5" fillId="0" borderId="34" xfId="1" applyFont="1" applyBorder="1" applyAlignment="1">
      <alignment horizontal="center" vertical="center"/>
    </xf>
    <xf numFmtId="0" fontId="10" fillId="0" borderId="34" xfId="1" applyFont="1" applyFill="1" applyBorder="1" applyAlignment="1">
      <alignment horizontal="center" vertical="center" wrapText="1"/>
    </xf>
    <xf numFmtId="0" fontId="12" fillId="0" borderId="34" xfId="4" applyFont="1" applyFill="1" applyBorder="1" applyAlignment="1">
      <alignment horizontal="center" vertical="center" wrapText="1"/>
    </xf>
    <xf numFmtId="0" fontId="12" fillId="0" borderId="34" xfId="1" applyFont="1" applyFill="1" applyBorder="1" applyAlignment="1">
      <alignment horizontal="center" vertical="center" wrapText="1"/>
    </xf>
    <xf numFmtId="0" fontId="12" fillId="0" borderId="34" xfId="1" applyFont="1" applyFill="1" applyBorder="1" applyAlignment="1">
      <alignment horizontal="center" vertical="center"/>
    </xf>
    <xf numFmtId="0" fontId="22" fillId="0" borderId="0" xfId="2" applyFont="1" applyFill="1" applyBorder="1" applyAlignment="1">
      <alignment horizontal="center" vertical="center" wrapText="1"/>
    </xf>
    <xf numFmtId="0" fontId="9" fillId="3" borderId="7" xfId="1" applyFont="1" applyFill="1" applyBorder="1" applyAlignment="1">
      <alignment horizontal="center" vertical="center" wrapText="1"/>
    </xf>
    <xf numFmtId="0" fontId="12" fillId="0" borderId="42" xfId="1" applyNumberFormat="1" applyFont="1" applyFill="1" applyBorder="1" applyAlignment="1" applyProtection="1">
      <alignment horizontal="center" vertical="center" wrapText="1"/>
    </xf>
    <xf numFmtId="0" fontId="12" fillId="3" borderId="42" xfId="1" applyNumberFormat="1" applyFont="1" applyFill="1" applyBorder="1" applyAlignment="1" applyProtection="1">
      <alignment horizontal="center" vertical="center" wrapText="1"/>
    </xf>
    <xf numFmtId="0" fontId="9" fillId="0" borderId="47" xfId="1" applyNumberFormat="1" applyFont="1" applyFill="1" applyBorder="1" applyAlignment="1" applyProtection="1">
      <alignment horizontal="center" vertical="center" wrapText="1"/>
    </xf>
    <xf numFmtId="0" fontId="9" fillId="3" borderId="47" xfId="1" applyNumberFormat="1" applyFont="1" applyFill="1" applyBorder="1" applyAlignment="1" applyProtection="1">
      <alignment horizontal="center" vertical="center" wrapText="1"/>
    </xf>
    <xf numFmtId="0" fontId="12" fillId="3" borderId="6" xfId="1" applyNumberFormat="1" applyFont="1" applyFill="1" applyBorder="1" applyAlignment="1" applyProtection="1">
      <alignment horizontal="center" vertical="center" wrapText="1"/>
    </xf>
    <xf numFmtId="0" fontId="5" fillId="0" borderId="27" xfId="1" applyFont="1" applyBorder="1" applyAlignment="1">
      <alignment horizontal="center" vertical="center"/>
    </xf>
    <xf numFmtId="0" fontId="24" fillId="5" borderId="27" xfId="1" applyFont="1" applyFill="1" applyBorder="1" applyAlignment="1">
      <alignment horizontal="center" vertical="center" wrapText="1"/>
    </xf>
    <xf numFmtId="0" fontId="9" fillId="3" borderId="24" xfId="1" applyNumberFormat="1" applyFont="1" applyFill="1" applyBorder="1" applyAlignment="1" applyProtection="1">
      <alignment horizontal="center" vertical="center" wrapText="1"/>
    </xf>
    <xf numFmtId="0" fontId="24" fillId="5" borderId="28" xfId="1" applyNumberFormat="1" applyFont="1" applyFill="1" applyBorder="1" applyAlignment="1" applyProtection="1">
      <alignment horizontal="center" vertical="center" wrapText="1"/>
    </xf>
    <xf numFmtId="0" fontId="1" fillId="0" borderId="10" xfId="1" applyBorder="1" applyAlignment="1">
      <alignment vertical="center"/>
    </xf>
    <xf numFmtId="0" fontId="1" fillId="0" borderId="0" xfId="1" applyBorder="1" applyAlignment="1">
      <alignment vertical="center"/>
    </xf>
    <xf numFmtId="0" fontId="25" fillId="0" borderId="0" xfId="1" applyFont="1">
      <alignment vertical="center"/>
    </xf>
    <xf numFmtId="0" fontId="0" fillId="0" borderId="0" xfId="1" applyFont="1" applyAlignment="1">
      <alignment vertical="center" wrapText="1"/>
    </xf>
    <xf numFmtId="0" fontId="1" fillId="0" borderId="0" xfId="2" applyFill="1" applyAlignment="1">
      <alignment horizontal="center" vertical="center"/>
    </xf>
    <xf numFmtId="0" fontId="1" fillId="0" borderId="0" xfId="1" applyAlignment="1">
      <alignment vertical="center"/>
    </xf>
    <xf numFmtId="0" fontId="0" fillId="0" borderId="0" xfId="1" applyFont="1" applyFill="1" applyAlignment="1">
      <alignment vertical="center" wrapText="1"/>
    </xf>
    <xf numFmtId="0" fontId="1" fillId="0" borderId="0" xfId="1" applyFill="1" applyAlignment="1">
      <alignment vertical="center"/>
    </xf>
    <xf numFmtId="0" fontId="1" fillId="0" borderId="0" xfId="1" applyAlignment="1">
      <alignment vertical="center" wrapText="1"/>
    </xf>
    <xf numFmtId="0" fontId="26" fillId="0" borderId="0" xfId="1" applyFont="1" applyFill="1" applyBorder="1" applyAlignment="1">
      <alignment vertical="center" wrapText="1"/>
    </xf>
    <xf numFmtId="0" fontId="2" fillId="0" borderId="2" xfId="9" applyNumberFormat="1" applyFont="1" applyFill="1" applyBorder="1" applyAlignment="1" applyProtection="1">
      <alignment horizontal="center" vertical="center"/>
    </xf>
    <xf numFmtId="0" fontId="1" fillId="0" borderId="0" xfId="8">
      <alignment vertical="center"/>
    </xf>
    <xf numFmtId="0" fontId="2" fillId="0" borderId="0" xfId="9" applyNumberFormat="1" applyFont="1" applyFill="1" applyBorder="1" applyAlignment="1" applyProtection="1">
      <alignment horizontal="center" vertical="center"/>
    </xf>
    <xf numFmtId="0" fontId="1" fillId="0" borderId="0" xfId="8" applyFill="1">
      <alignment vertical="center"/>
    </xf>
    <xf numFmtId="0" fontId="5" fillId="2" borderId="3" xfId="8" applyNumberFormat="1" applyFont="1" applyFill="1" applyBorder="1" applyAlignment="1" applyProtection="1">
      <alignment horizontal="center" vertical="center"/>
    </xf>
    <xf numFmtId="0" fontId="5" fillId="2" borderId="3" xfId="8" applyNumberFormat="1" applyFont="1" applyFill="1" applyBorder="1" applyAlignment="1" applyProtection="1">
      <alignment horizontal="left" vertical="center" wrapText="1"/>
    </xf>
    <xf numFmtId="0" fontId="5" fillId="2" borderId="3" xfId="8" applyNumberFormat="1" applyFont="1" applyFill="1" applyBorder="1" applyAlignment="1" applyProtection="1">
      <alignment horizontal="center" vertical="center" wrapText="1"/>
    </xf>
    <xf numFmtId="0" fontId="6" fillId="2" borderId="3" xfId="8" applyNumberFormat="1" applyFont="1" applyFill="1" applyBorder="1" applyAlignment="1" applyProtection="1">
      <alignment horizontal="center" vertical="center"/>
    </xf>
    <xf numFmtId="176" fontId="7" fillId="0" borderId="0" xfId="10" applyNumberFormat="1" applyFont="1" applyFill="1" applyBorder="1" applyAlignment="1" applyProtection="1">
      <alignment horizontal="center" vertical="center" wrapText="1"/>
    </xf>
    <xf numFmtId="0" fontId="8" fillId="0" borderId="0" xfId="8" applyFont="1" applyAlignment="1">
      <alignment vertical="top" wrapText="1"/>
    </xf>
    <xf numFmtId="0" fontId="5" fillId="0" borderId="3" xfId="8" applyFont="1" applyBorder="1" applyAlignment="1">
      <alignment horizontal="center" vertical="center"/>
    </xf>
    <xf numFmtId="0" fontId="10" fillId="0" borderId="3" xfId="8" applyFont="1" applyFill="1" applyBorder="1" applyAlignment="1">
      <alignment horizontal="center" vertical="center" wrapText="1"/>
    </xf>
    <xf numFmtId="0" fontId="9" fillId="0" borderId="3" xfId="8" applyNumberFormat="1" applyFont="1" applyFill="1" applyBorder="1" applyAlignment="1" applyProtection="1">
      <alignment horizontal="center" vertical="center" wrapText="1"/>
    </xf>
    <xf numFmtId="0" fontId="9" fillId="0" borderId="6" xfId="8" applyNumberFormat="1" applyFont="1" applyFill="1" applyBorder="1" applyAlignment="1" applyProtection="1">
      <alignment horizontal="center" vertical="center" wrapText="1"/>
    </xf>
    <xf numFmtId="0" fontId="12" fillId="0" borderId="7" xfId="8" applyNumberFormat="1" applyFont="1" applyFill="1" applyBorder="1" applyAlignment="1" applyProtection="1">
      <alignment horizontal="center" vertical="center" wrapText="1"/>
    </xf>
    <xf numFmtId="0" fontId="12" fillId="0" borderId="7" xfId="8" applyFont="1" applyFill="1" applyBorder="1" applyAlignment="1">
      <alignment horizontal="center" vertical="center"/>
    </xf>
    <xf numFmtId="0" fontId="12" fillId="0" borderId="7" xfId="8" applyFont="1" applyFill="1" applyBorder="1" applyAlignment="1">
      <alignment horizontal="center" vertical="center" wrapText="1"/>
    </xf>
    <xf numFmtId="0" fontId="12" fillId="0" borderId="3" xfId="8" applyNumberFormat="1" applyFont="1" applyFill="1" applyBorder="1" applyAlignment="1" applyProtection="1">
      <alignment horizontal="center" vertical="center" wrapText="1"/>
    </xf>
    <xf numFmtId="0" fontId="12" fillId="0" borderId="3" xfId="8" applyFont="1" applyFill="1" applyBorder="1" applyAlignment="1">
      <alignment horizontal="center" vertical="center" wrapText="1"/>
    </xf>
    <xf numFmtId="0" fontId="4" fillId="0" borderId="7" xfId="8" applyNumberFormat="1" applyFont="1" applyFill="1" applyBorder="1" applyAlignment="1" applyProtection="1">
      <alignment horizontal="center" vertical="center" wrapText="1"/>
    </xf>
    <xf numFmtId="0" fontId="9" fillId="0" borderId="0" xfId="8" applyFont="1" applyFill="1" applyAlignment="1">
      <alignment horizontal="center" vertical="center"/>
    </xf>
    <xf numFmtId="0" fontId="9" fillId="0" borderId="7" xfId="8" applyFont="1" applyFill="1" applyBorder="1" applyAlignment="1">
      <alignment horizontal="center" vertical="center"/>
    </xf>
    <xf numFmtId="0" fontId="10" fillId="0" borderId="7" xfId="8" applyFont="1" applyFill="1" applyBorder="1" applyAlignment="1">
      <alignment horizontal="center" vertical="center" wrapText="1"/>
    </xf>
    <xf numFmtId="0" fontId="10" fillId="0" borderId="7" xfId="8" applyNumberFormat="1" applyFont="1" applyFill="1" applyBorder="1" applyAlignment="1" applyProtection="1">
      <alignment horizontal="center" vertical="center" wrapText="1"/>
    </xf>
    <xf numFmtId="0" fontId="12" fillId="0" borderId="3" xfId="8" applyFont="1" applyFill="1" applyBorder="1" applyAlignment="1">
      <alignment horizontal="center" vertical="center"/>
    </xf>
    <xf numFmtId="0" fontId="9" fillId="0" borderId="3" xfId="8" applyFont="1" applyFill="1" applyBorder="1" applyAlignment="1">
      <alignment horizontal="center" vertical="center"/>
    </xf>
    <xf numFmtId="0" fontId="4" fillId="4" borderId="24" xfId="8" applyNumberFormat="1" applyFont="1" applyFill="1" applyBorder="1" applyAlignment="1" applyProtection="1">
      <alignment horizontal="center" vertical="center" wrapText="1"/>
    </xf>
    <xf numFmtId="0" fontId="9" fillId="4" borderId="27" xfId="8" applyNumberFormat="1" applyFont="1" applyFill="1" applyBorder="1" applyAlignment="1" applyProtection="1">
      <alignment horizontal="center" vertical="center" wrapText="1"/>
    </xf>
    <xf numFmtId="0" fontId="18" fillId="4" borderId="27" xfId="8" applyNumberFormat="1" applyFont="1" applyFill="1" applyBorder="1" applyAlignment="1" applyProtection="1">
      <alignment horizontal="center" vertical="center" wrapText="1"/>
    </xf>
    <xf numFmtId="0" fontId="17" fillId="4" borderId="27" xfId="8" applyNumberFormat="1" applyFont="1" applyFill="1" applyBorder="1" applyAlignment="1" applyProtection="1">
      <alignment horizontal="center" vertical="center" wrapText="1"/>
    </xf>
    <xf numFmtId="0" fontId="9" fillId="4" borderId="28" xfId="8" applyFont="1" applyFill="1" applyBorder="1" applyAlignment="1">
      <alignment horizontal="center" vertical="center"/>
    </xf>
    <xf numFmtId="0" fontId="17" fillId="4" borderId="24" xfId="8" applyFont="1" applyFill="1" applyBorder="1" applyAlignment="1">
      <alignment horizontal="center" vertical="center" wrapText="1"/>
    </xf>
    <xf numFmtId="0" fontId="18" fillId="4" borderId="27" xfId="8" applyFont="1" applyFill="1" applyBorder="1" applyAlignment="1">
      <alignment horizontal="center" vertical="center" wrapText="1"/>
    </xf>
    <xf numFmtId="0" fontId="19" fillId="0" borderId="29" xfId="8" applyFont="1" applyFill="1" applyBorder="1" applyAlignment="1">
      <alignment horizontal="center" vertical="center" wrapText="1"/>
    </xf>
    <xf numFmtId="0" fontId="9" fillId="0" borderId="29" xfId="8" applyFont="1" applyFill="1" applyBorder="1" applyAlignment="1">
      <alignment horizontal="center" vertical="center"/>
    </xf>
    <xf numFmtId="0" fontId="4" fillId="0" borderId="3" xfId="8" applyNumberFormat="1" applyFont="1" applyFill="1" applyBorder="1" applyAlignment="1" applyProtection="1">
      <alignment horizontal="center" vertical="center" wrapText="1"/>
    </xf>
    <xf numFmtId="0" fontId="19" fillId="0" borderId="3" xfId="8" applyFont="1" applyFill="1" applyBorder="1" applyAlignment="1">
      <alignment horizontal="center" vertical="center" wrapText="1"/>
    </xf>
    <xf numFmtId="0" fontId="4" fillId="0" borderId="24" xfId="8" applyNumberFormat="1" applyFont="1" applyFill="1" applyBorder="1" applyAlignment="1" applyProtection="1">
      <alignment horizontal="center" vertical="center" wrapText="1"/>
    </xf>
    <xf numFmtId="0" fontId="19" fillId="0" borderId="27" xfId="8" applyFont="1" applyFill="1" applyBorder="1" applyAlignment="1">
      <alignment horizontal="center" vertical="center" wrapText="1"/>
    </xf>
    <xf numFmtId="0" fontId="12" fillId="0" borderId="24" xfId="8" applyNumberFormat="1" applyFont="1" applyFill="1" applyBorder="1" applyAlignment="1" applyProtection="1">
      <alignment horizontal="center" vertical="center" wrapText="1"/>
    </xf>
    <xf numFmtId="0" fontId="12" fillId="0" borderId="25" xfId="8" applyFont="1" applyFill="1" applyBorder="1" applyAlignment="1">
      <alignment horizontal="center" vertical="center"/>
    </xf>
    <xf numFmtId="0" fontId="12" fillId="0" borderId="24" xfId="8" applyFont="1" applyFill="1" applyBorder="1" applyAlignment="1">
      <alignment horizontal="center" vertical="center" wrapText="1"/>
    </xf>
    <xf numFmtId="0" fontId="10" fillId="4" borderId="24" xfId="8" applyFont="1" applyFill="1" applyBorder="1" applyAlignment="1">
      <alignment horizontal="center" vertical="center" wrapText="1"/>
    </xf>
    <xf numFmtId="0" fontId="9" fillId="4" borderId="24" xfId="8" applyFont="1" applyFill="1" applyBorder="1" applyAlignment="1">
      <alignment horizontal="center" vertical="center" wrapText="1"/>
    </xf>
    <xf numFmtId="0" fontId="17" fillId="4" borderId="24" xfId="8" applyFont="1" applyFill="1" applyBorder="1" applyAlignment="1">
      <alignment horizontal="center" vertical="center"/>
    </xf>
    <xf numFmtId="0" fontId="9" fillId="4" borderId="24" xfId="8" applyFont="1" applyFill="1" applyBorder="1" applyAlignment="1">
      <alignment horizontal="center" vertical="center"/>
    </xf>
    <xf numFmtId="0" fontId="9" fillId="4" borderId="24" xfId="8" applyNumberFormat="1" applyFont="1" applyFill="1" applyBorder="1" applyAlignment="1" applyProtection="1">
      <alignment horizontal="center" vertical="center" wrapText="1"/>
    </xf>
    <xf numFmtId="0" fontId="18" fillId="4" borderId="24" xfId="8" applyNumberFormat="1" applyFont="1" applyFill="1" applyBorder="1" applyAlignment="1" applyProtection="1">
      <alignment horizontal="center" vertical="center" wrapText="1"/>
    </xf>
    <xf numFmtId="0" fontId="18" fillId="4" borderId="24" xfId="8" applyFont="1" applyFill="1" applyBorder="1" applyAlignment="1">
      <alignment horizontal="center" vertical="center" wrapText="1"/>
    </xf>
    <xf numFmtId="0" fontId="17" fillId="4" borderId="34" xfId="8" applyNumberFormat="1" applyFont="1" applyFill="1" applyBorder="1" applyAlignment="1" applyProtection="1">
      <alignment horizontal="center" vertical="center" wrapText="1"/>
    </xf>
    <xf numFmtId="0" fontId="1" fillId="0" borderId="0" xfId="8" applyFill="1" applyBorder="1">
      <alignment vertical="center"/>
    </xf>
    <xf numFmtId="0" fontId="10" fillId="0" borderId="3" xfId="8" applyNumberFormat="1" applyFont="1" applyFill="1" applyBorder="1" applyAlignment="1" applyProtection="1">
      <alignment horizontal="center" vertical="center" wrapText="1"/>
    </xf>
    <xf numFmtId="0" fontId="4" fillId="0" borderId="6" xfId="8" applyNumberFormat="1" applyFont="1" applyFill="1" applyBorder="1" applyAlignment="1" applyProtection="1">
      <alignment horizontal="center" vertical="center" wrapText="1"/>
    </xf>
    <xf numFmtId="0" fontId="12" fillId="0" borderId="35" xfId="8" applyNumberFormat="1" applyFont="1" applyFill="1" applyBorder="1" applyAlignment="1" applyProtection="1">
      <alignment horizontal="center" vertical="center" wrapText="1"/>
    </xf>
    <xf numFmtId="0" fontId="10" fillId="0" borderId="35" xfId="8" applyFont="1" applyFill="1" applyBorder="1" applyAlignment="1">
      <alignment horizontal="center" vertical="center" wrapText="1"/>
    </xf>
    <xf numFmtId="0" fontId="10" fillId="0" borderId="8" xfId="8" applyNumberFormat="1" applyFont="1" applyFill="1" applyBorder="1" applyAlignment="1" applyProtection="1">
      <alignment horizontal="center" vertical="center" wrapText="1"/>
    </xf>
    <xf numFmtId="0" fontId="12" fillId="0" borderId="8" xfId="8" applyFont="1" applyFill="1" applyBorder="1" applyAlignment="1">
      <alignment horizontal="center" vertical="center" wrapText="1"/>
    </xf>
    <xf numFmtId="0" fontId="4" fillId="0" borderId="27" xfId="8" applyNumberFormat="1" applyFont="1" applyFill="1" applyBorder="1" applyAlignment="1" applyProtection="1">
      <alignment horizontal="center" vertical="center" wrapText="1"/>
    </xf>
    <xf numFmtId="0" fontId="9" fillId="0" borderId="28" xfId="8" applyFont="1" applyFill="1" applyBorder="1" applyAlignment="1">
      <alignment horizontal="center" vertical="center"/>
    </xf>
    <xf numFmtId="0" fontId="12" fillId="0" borderId="27" xfId="8" applyFont="1" applyFill="1" applyBorder="1" applyAlignment="1">
      <alignment horizontal="center" vertical="center" wrapText="1"/>
    </xf>
    <xf numFmtId="0" fontId="12" fillId="0" borderId="27" xfId="8" applyNumberFormat="1" applyFont="1" applyFill="1" applyBorder="1" applyAlignment="1" applyProtection="1">
      <alignment horizontal="center" vertical="center" wrapText="1"/>
    </xf>
    <xf numFmtId="0" fontId="12" fillId="0" borderId="27" xfId="8" applyFont="1" applyFill="1" applyBorder="1" applyAlignment="1">
      <alignment horizontal="center" vertical="center"/>
    </xf>
    <xf numFmtId="0" fontId="10" fillId="0" borderId="24" xfId="8" applyNumberFormat="1" applyFont="1" applyFill="1" applyBorder="1" applyAlignment="1" applyProtection="1">
      <alignment horizontal="center" vertical="center" wrapText="1"/>
    </xf>
    <xf numFmtId="0" fontId="9" fillId="0" borderId="14" xfId="8" applyFont="1" applyFill="1" applyBorder="1" applyAlignment="1">
      <alignment horizontal="center" vertical="center"/>
    </xf>
    <xf numFmtId="0" fontId="9" fillId="0" borderId="24" xfId="8" applyFont="1" applyFill="1" applyBorder="1" applyAlignment="1">
      <alignment horizontal="center" vertical="center"/>
    </xf>
    <xf numFmtId="0" fontId="4" fillId="0" borderId="36" xfId="8" applyNumberFormat="1" applyFont="1" applyFill="1" applyBorder="1" applyAlignment="1" applyProtection="1">
      <alignment horizontal="center" vertical="center" wrapText="1"/>
    </xf>
    <xf numFmtId="0" fontId="19" fillId="3" borderId="29" xfId="8" applyFont="1" applyFill="1" applyBorder="1" applyAlignment="1">
      <alignment horizontal="center" vertical="center" wrapText="1"/>
    </xf>
    <xf numFmtId="0" fontId="12" fillId="0" borderId="7" xfId="8" applyNumberFormat="1" applyFont="1" applyFill="1" applyBorder="1" applyAlignment="1" applyProtection="1">
      <alignment horizontal="center" vertical="center"/>
    </xf>
    <xf numFmtId="0" fontId="19" fillId="3" borderId="3" xfId="8" applyFont="1" applyFill="1" applyBorder="1" applyAlignment="1">
      <alignment horizontal="center" vertical="center" wrapText="1"/>
    </xf>
    <xf numFmtId="0" fontId="9" fillId="0" borderId="3" xfId="8" applyFont="1" applyFill="1" applyBorder="1" applyAlignment="1">
      <alignment horizontal="center" vertical="center" wrapText="1"/>
    </xf>
    <xf numFmtId="0" fontId="12" fillId="0" borderId="6" xfId="8" applyNumberFormat="1" applyFont="1" applyFill="1" applyBorder="1" applyAlignment="1" applyProtection="1">
      <alignment horizontal="center" vertical="center" wrapText="1"/>
    </xf>
    <xf numFmtId="0" fontId="12" fillId="3" borderId="3" xfId="8" applyNumberFormat="1" applyFont="1" applyFill="1" applyBorder="1" applyAlignment="1" applyProtection="1">
      <alignment horizontal="center" vertical="center" wrapText="1"/>
    </xf>
    <xf numFmtId="0" fontId="10" fillId="0" borderId="27" xfId="8" applyNumberFormat="1" applyFont="1" applyFill="1" applyBorder="1" applyAlignment="1" applyProtection="1">
      <alignment horizontal="center" vertical="center" wrapText="1"/>
    </xf>
    <xf numFmtId="0" fontId="19" fillId="3" borderId="27" xfId="8" applyFont="1" applyFill="1" applyBorder="1" applyAlignment="1">
      <alignment horizontal="center" vertical="center" wrapText="1"/>
    </xf>
    <xf numFmtId="0" fontId="12" fillId="3" borderId="27" xfId="8" applyFont="1" applyFill="1" applyBorder="1" applyAlignment="1">
      <alignment horizontal="center" vertical="center" wrapText="1"/>
    </xf>
    <xf numFmtId="0" fontId="5" fillId="0" borderId="29" xfId="8" applyFont="1" applyBorder="1" applyAlignment="1">
      <alignment horizontal="center" vertical="center"/>
    </xf>
    <xf numFmtId="0" fontId="4" fillId="0" borderId="37" xfId="8" applyNumberFormat="1" applyFont="1" applyFill="1" applyBorder="1" applyAlignment="1" applyProtection="1">
      <alignment horizontal="center" vertical="center" wrapText="1"/>
    </xf>
    <xf numFmtId="0" fontId="12" fillId="0" borderId="38" xfId="8" applyFont="1" applyFill="1" applyBorder="1" applyAlignment="1">
      <alignment horizontal="center" vertical="center" wrapText="1"/>
    </xf>
    <xf numFmtId="0" fontId="12" fillId="0" borderId="37" xfId="8" applyFont="1" applyFill="1" applyBorder="1" applyAlignment="1">
      <alignment horizontal="center" vertical="center" wrapText="1"/>
    </xf>
    <xf numFmtId="0" fontId="9" fillId="0" borderId="7" xfId="8" applyFont="1" applyFill="1" applyBorder="1" applyAlignment="1">
      <alignment horizontal="center" vertical="center" wrapText="1"/>
    </xf>
    <xf numFmtId="0" fontId="5" fillId="0" borderId="7" xfId="8" applyNumberFormat="1" applyFont="1" applyFill="1" applyBorder="1" applyAlignment="1" applyProtection="1">
      <alignment horizontal="center" vertical="center"/>
    </xf>
    <xf numFmtId="0" fontId="10" fillId="0" borderId="37" xfId="8" applyFont="1" applyFill="1" applyBorder="1" applyAlignment="1">
      <alignment horizontal="center" vertical="center" wrapText="1"/>
    </xf>
    <xf numFmtId="0" fontId="12" fillId="0" borderId="0" xfId="8" applyFont="1" applyFill="1" applyBorder="1" applyAlignment="1">
      <alignment horizontal="center" vertical="center"/>
    </xf>
    <xf numFmtId="0" fontId="5" fillId="0" borderId="34" xfId="8" applyFont="1" applyBorder="1" applyAlignment="1">
      <alignment horizontal="center" vertical="center"/>
    </xf>
    <xf numFmtId="0" fontId="10" fillId="0" borderId="34" xfId="8" applyFont="1" applyFill="1" applyBorder="1" applyAlignment="1">
      <alignment horizontal="center" vertical="center" wrapText="1"/>
    </xf>
    <xf numFmtId="0" fontId="12" fillId="0" borderId="34" xfId="8" applyFont="1" applyFill="1" applyBorder="1" applyAlignment="1">
      <alignment horizontal="center" vertical="center" wrapText="1"/>
    </xf>
    <xf numFmtId="0" fontId="12" fillId="0" borderId="34" xfId="8" applyNumberFormat="1" applyFont="1" applyFill="1" applyBorder="1" applyAlignment="1" applyProtection="1">
      <alignment horizontal="center" vertical="center" wrapText="1"/>
    </xf>
    <xf numFmtId="0" fontId="12" fillId="0" borderId="34" xfId="8" applyFont="1" applyFill="1" applyBorder="1" applyAlignment="1">
      <alignment horizontal="center" vertical="center"/>
    </xf>
    <xf numFmtId="0" fontId="22" fillId="0" borderId="0" xfId="9" applyFont="1" applyFill="1" applyBorder="1" applyAlignment="1">
      <alignment horizontal="center" vertical="center" wrapText="1"/>
    </xf>
    <xf numFmtId="0" fontId="12" fillId="0" borderId="42" xfId="8" applyNumberFormat="1" applyFont="1" applyFill="1" applyBorder="1" applyAlignment="1" applyProtection="1">
      <alignment horizontal="center" vertical="center" wrapText="1"/>
    </xf>
    <xf numFmtId="0" fontId="9" fillId="0" borderId="7" xfId="8" applyNumberFormat="1" applyFont="1" applyFill="1" applyBorder="1" applyAlignment="1" applyProtection="1">
      <alignment horizontal="center" vertical="center" wrapText="1"/>
    </xf>
    <xf numFmtId="0" fontId="9" fillId="0" borderId="47" xfId="8" applyNumberFormat="1" applyFont="1" applyFill="1" applyBorder="1" applyAlignment="1" applyProtection="1">
      <alignment horizontal="center" vertical="center" wrapText="1"/>
    </xf>
    <xf numFmtId="0" fontId="5" fillId="0" borderId="27" xfId="8" applyFont="1" applyBorder="1" applyAlignment="1">
      <alignment horizontal="center" vertical="center"/>
    </xf>
    <xf numFmtId="0" fontId="24" fillId="5" borderId="27" xfId="8" applyFont="1" applyFill="1" applyBorder="1" applyAlignment="1">
      <alignment horizontal="center" vertical="center" wrapText="1"/>
    </xf>
    <xf numFmtId="0" fontId="9" fillId="0" borderId="24" xfId="8" applyNumberFormat="1" applyFont="1" applyFill="1" applyBorder="1" applyAlignment="1" applyProtection="1">
      <alignment horizontal="center" vertical="center" wrapText="1"/>
    </xf>
    <xf numFmtId="0" fontId="24" fillId="5" borderId="28" xfId="8" applyNumberFormat="1" applyFont="1" applyFill="1" applyBorder="1" applyAlignment="1" applyProtection="1">
      <alignment horizontal="center" vertical="center" wrapText="1"/>
    </xf>
    <xf numFmtId="0" fontId="1" fillId="0" borderId="10" xfId="8" applyBorder="1" applyAlignment="1">
      <alignment vertical="center"/>
    </xf>
    <xf numFmtId="0" fontId="1" fillId="0" borderId="0" xfId="8" applyBorder="1" applyAlignment="1">
      <alignment vertical="center"/>
    </xf>
    <xf numFmtId="0" fontId="25" fillId="0" borderId="0" xfId="8" applyFont="1">
      <alignment vertical="center"/>
    </xf>
    <xf numFmtId="0" fontId="0" fillId="0" borderId="0" xfId="8" applyFont="1" applyAlignment="1">
      <alignment vertical="center" wrapText="1"/>
    </xf>
    <xf numFmtId="0" fontId="1" fillId="0" borderId="0" xfId="9" applyFill="1" applyAlignment="1">
      <alignment horizontal="center" vertical="center"/>
    </xf>
    <xf numFmtId="0" fontId="1" fillId="0" borderId="0" xfId="8" applyAlignment="1">
      <alignment vertical="center"/>
    </xf>
    <xf numFmtId="0" fontId="1" fillId="0" borderId="0" xfId="8" applyAlignment="1">
      <alignment vertical="center" wrapText="1"/>
    </xf>
    <xf numFmtId="0" fontId="26" fillId="0" borderId="0" xfId="8" applyFont="1" applyFill="1" applyBorder="1" applyAlignment="1">
      <alignment vertical="center" wrapText="1"/>
    </xf>
    <xf numFmtId="0" fontId="12" fillId="3" borderId="3" xfId="8" applyFont="1" applyFill="1" applyBorder="1" applyAlignment="1">
      <alignment horizontal="center" vertical="center" wrapText="1"/>
    </xf>
    <xf numFmtId="0" fontId="9" fillId="3" borderId="3" xfId="8" applyNumberFormat="1" applyFont="1" applyFill="1" applyBorder="1" applyAlignment="1" applyProtection="1">
      <alignment horizontal="center" vertical="center" wrapText="1"/>
    </xf>
    <xf numFmtId="0" fontId="12" fillId="3" borderId="6" xfId="8" applyNumberFormat="1" applyFont="1" applyFill="1" applyBorder="1" applyAlignment="1" applyProtection="1">
      <alignment horizontal="center" vertical="center" wrapText="1"/>
    </xf>
    <xf numFmtId="0" fontId="12" fillId="3" borderId="7" xfId="8" applyNumberFormat="1" applyFont="1" applyFill="1" applyBorder="1" applyAlignment="1" applyProtection="1">
      <alignment horizontal="center" vertical="center" wrapText="1"/>
    </xf>
    <xf numFmtId="0" fontId="9" fillId="0" borderId="29" xfId="8" applyNumberFormat="1" applyFont="1" applyFill="1" applyBorder="1" applyAlignment="1" applyProtection="1">
      <alignment horizontal="center" vertical="center" wrapText="1"/>
    </xf>
    <xf numFmtId="0" fontId="16" fillId="0" borderId="20" xfId="7" applyFont="1" applyBorder="1" applyAlignment="1">
      <alignment horizontal="center" vertical="center" wrapText="1"/>
    </xf>
    <xf numFmtId="0" fontId="16" fillId="0" borderId="21" xfId="7" applyFont="1" applyBorder="1" applyAlignment="1">
      <alignment horizontal="center" vertical="center" wrapText="1"/>
    </xf>
    <xf numFmtId="0" fontId="16" fillId="0" borderId="22" xfId="7" applyFont="1" applyBorder="1" applyAlignment="1">
      <alignment horizontal="center" vertical="center" wrapText="1"/>
    </xf>
    <xf numFmtId="0" fontId="16" fillId="0" borderId="23" xfId="7" applyFont="1" applyBorder="1" applyAlignment="1">
      <alignment horizontal="center" vertical="center" wrapText="1"/>
    </xf>
    <xf numFmtId="0" fontId="5" fillId="0" borderId="42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10" fillId="0" borderId="42" xfId="4" applyNumberFormat="1" applyFont="1" applyFill="1" applyBorder="1" applyAlignment="1" applyProtection="1">
      <alignment horizontal="center" vertical="center" wrapText="1"/>
    </xf>
    <xf numFmtId="0" fontId="10" fillId="0" borderId="7" xfId="4" applyNumberFormat="1" applyFont="1" applyFill="1" applyBorder="1" applyAlignment="1" applyProtection="1">
      <alignment horizontal="center" vertical="center" wrapText="1"/>
    </xf>
    <xf numFmtId="0" fontId="10" fillId="0" borderId="30" xfId="4" applyNumberFormat="1" applyFont="1" applyFill="1" applyBorder="1" applyAlignment="1" applyProtection="1">
      <alignment horizontal="center" vertical="center" wrapText="1"/>
    </xf>
    <xf numFmtId="0" fontId="10" fillId="0" borderId="31" xfId="4" applyNumberFormat="1" applyFont="1" applyFill="1" applyBorder="1" applyAlignment="1" applyProtection="1">
      <alignment horizontal="center" vertical="center" wrapText="1"/>
    </xf>
    <xf numFmtId="0" fontId="10" fillId="0" borderId="2" xfId="4" applyNumberFormat="1" applyFont="1" applyFill="1" applyBorder="1" applyAlignment="1" applyProtection="1">
      <alignment horizontal="center" vertical="center" wrapText="1"/>
    </xf>
    <xf numFmtId="0" fontId="10" fillId="0" borderId="12" xfId="4" applyNumberFormat="1" applyFont="1" applyFill="1" applyBorder="1" applyAlignment="1" applyProtection="1">
      <alignment horizontal="center" vertical="center" wrapText="1"/>
    </xf>
    <xf numFmtId="0" fontId="10" fillId="0" borderId="25" xfId="4" applyNumberFormat="1" applyFont="1" applyFill="1" applyBorder="1" applyAlignment="1" applyProtection="1">
      <alignment horizontal="center" vertical="center" wrapText="1"/>
    </xf>
    <xf numFmtId="0" fontId="10" fillId="0" borderId="26" xfId="4" applyNumberFormat="1" applyFont="1" applyFill="1" applyBorder="1" applyAlignment="1" applyProtection="1">
      <alignment horizontal="center" vertical="center" wrapText="1"/>
    </xf>
    <xf numFmtId="0" fontId="16" fillId="0" borderId="43" xfId="7" applyFont="1" applyBorder="1" applyAlignment="1">
      <alignment horizontal="center" vertical="center" wrapText="1"/>
    </xf>
    <xf numFmtId="0" fontId="16" fillId="0" borderId="44" xfId="7" applyFont="1" applyBorder="1" applyAlignment="1">
      <alignment horizontal="center" vertical="center" wrapText="1"/>
    </xf>
    <xf numFmtId="0" fontId="16" fillId="0" borderId="45" xfId="7" applyFont="1" applyBorder="1" applyAlignment="1">
      <alignment horizontal="center" vertical="center" wrapText="1"/>
    </xf>
    <xf numFmtId="0" fontId="16" fillId="0" borderId="46" xfId="7" applyFont="1" applyBorder="1" applyAlignment="1">
      <alignment horizontal="center" vertical="center" wrapText="1"/>
    </xf>
    <xf numFmtId="0" fontId="0" fillId="0" borderId="48" xfId="1" applyFont="1" applyFill="1" applyBorder="1" applyAlignment="1">
      <alignment horizontal="center" vertical="center"/>
    </xf>
    <xf numFmtId="0" fontId="1" fillId="0" borderId="49" xfId="1" applyFill="1" applyBorder="1" applyAlignment="1">
      <alignment horizontal="center" vertical="center"/>
    </xf>
    <xf numFmtId="0" fontId="0" fillId="0" borderId="50" xfId="1" applyFont="1" applyFill="1" applyBorder="1" applyAlignment="1">
      <alignment horizontal="center" vertical="center"/>
    </xf>
    <xf numFmtId="0" fontId="0" fillId="0" borderId="51" xfId="1" applyFont="1" applyFill="1" applyBorder="1" applyAlignment="1">
      <alignment horizontal="center" vertical="center"/>
    </xf>
    <xf numFmtId="0" fontId="1" fillId="0" borderId="52" xfId="1" applyFill="1" applyBorder="1" applyAlignment="1">
      <alignment horizontal="center" vertical="center"/>
    </xf>
    <xf numFmtId="0" fontId="1" fillId="0" borderId="51" xfId="1" applyFill="1" applyBorder="1" applyAlignment="1">
      <alignment horizontal="center" vertical="center"/>
    </xf>
    <xf numFmtId="0" fontId="21" fillId="3" borderId="2" xfId="1" applyNumberFormat="1" applyFont="1" applyFill="1" applyBorder="1" applyAlignment="1" applyProtection="1">
      <alignment horizontal="center" vertical="center" wrapText="1"/>
    </xf>
    <xf numFmtId="0" fontId="21" fillId="3" borderId="12" xfId="1" applyNumberFormat="1" applyFont="1" applyFill="1" applyBorder="1" applyAlignment="1" applyProtection="1">
      <alignment horizontal="center" vertical="center" wrapText="1"/>
    </xf>
    <xf numFmtId="0" fontId="16" fillId="0" borderId="39" xfId="7" applyFont="1" applyBorder="1" applyAlignment="1">
      <alignment horizontal="center" vertical="center" wrapText="1"/>
    </xf>
    <xf numFmtId="0" fontId="16" fillId="0" borderId="40" xfId="7" applyFont="1" applyBorder="1" applyAlignment="1">
      <alignment horizontal="center" vertical="center" wrapText="1"/>
    </xf>
    <xf numFmtId="0" fontId="16" fillId="0" borderId="41" xfId="7" applyFont="1" applyBorder="1" applyAlignment="1">
      <alignment horizontal="center" vertical="center" wrapText="1"/>
    </xf>
    <xf numFmtId="0" fontId="19" fillId="3" borderId="32" xfId="1" applyFont="1" applyFill="1" applyBorder="1" applyAlignment="1">
      <alignment horizontal="center" vertical="center" wrapText="1"/>
    </xf>
    <xf numFmtId="0" fontId="19" fillId="3" borderId="33" xfId="1" applyFont="1" applyFill="1" applyBorder="1" applyAlignment="1">
      <alignment horizontal="center" vertical="center" wrapText="1"/>
    </xf>
    <xf numFmtId="0" fontId="12" fillId="0" borderId="30" xfId="1" applyFont="1" applyFill="1" applyBorder="1" applyAlignment="1">
      <alignment horizontal="center" vertical="center" wrapText="1"/>
    </xf>
    <xf numFmtId="0" fontId="12" fillId="0" borderId="31" xfId="1" applyFont="1" applyFill="1" applyBorder="1" applyAlignment="1">
      <alignment horizontal="center" vertical="center" wrapText="1"/>
    </xf>
    <xf numFmtId="0" fontId="12" fillId="0" borderId="2" xfId="1" applyFont="1" applyFill="1" applyBorder="1" applyAlignment="1">
      <alignment horizontal="center" vertical="center" wrapText="1"/>
    </xf>
    <xf numFmtId="0" fontId="12" fillId="0" borderId="12" xfId="1" applyFont="1" applyFill="1" applyBorder="1" applyAlignment="1">
      <alignment horizontal="center" vertical="center" wrapText="1"/>
    </xf>
    <xf numFmtId="0" fontId="12" fillId="0" borderId="25" xfId="1" applyFont="1" applyFill="1" applyBorder="1" applyAlignment="1">
      <alignment horizontal="center" vertical="center" wrapText="1"/>
    </xf>
    <xf numFmtId="0" fontId="12" fillId="0" borderId="26" xfId="1" applyFont="1" applyFill="1" applyBorder="1" applyAlignment="1">
      <alignment horizontal="center" vertical="center" wrapText="1"/>
    </xf>
    <xf numFmtId="0" fontId="19" fillId="3" borderId="30" xfId="1" applyFont="1" applyFill="1" applyBorder="1" applyAlignment="1">
      <alignment horizontal="center" vertical="center" wrapText="1"/>
    </xf>
    <xf numFmtId="0" fontId="19" fillId="3" borderId="31" xfId="1" applyFont="1" applyFill="1" applyBorder="1" applyAlignment="1">
      <alignment horizontal="center" vertical="center" wrapText="1"/>
    </xf>
    <xf numFmtId="0" fontId="19" fillId="3" borderId="2" xfId="1" applyFont="1" applyFill="1" applyBorder="1" applyAlignment="1">
      <alignment horizontal="center" vertical="center" wrapText="1"/>
    </xf>
    <xf numFmtId="0" fontId="19" fillId="3" borderId="12" xfId="1" applyFont="1" applyFill="1" applyBorder="1" applyAlignment="1">
      <alignment horizontal="center" vertical="center" wrapText="1"/>
    </xf>
    <xf numFmtId="0" fontId="19" fillId="3" borderId="25" xfId="1" applyFont="1" applyFill="1" applyBorder="1" applyAlignment="1">
      <alignment horizontal="center" vertical="center" wrapText="1"/>
    </xf>
    <xf numFmtId="0" fontId="19" fillId="3" borderId="26" xfId="1" applyFont="1" applyFill="1" applyBorder="1" applyAlignment="1">
      <alignment horizontal="center" vertical="center" wrapText="1"/>
    </xf>
    <xf numFmtId="0" fontId="19" fillId="0" borderId="32" xfId="1" applyFont="1" applyFill="1" applyBorder="1" applyAlignment="1">
      <alignment horizontal="center" vertical="center" wrapText="1"/>
    </xf>
    <xf numFmtId="0" fontId="19" fillId="0" borderId="33" xfId="1" applyFont="1" applyFill="1" applyBorder="1" applyAlignment="1">
      <alignment horizontal="center" vertical="center" wrapText="1"/>
    </xf>
    <xf numFmtId="0" fontId="12" fillId="0" borderId="30" xfId="1" applyNumberFormat="1" applyFont="1" applyFill="1" applyBorder="1" applyAlignment="1" applyProtection="1">
      <alignment horizontal="center" vertical="center" wrapText="1"/>
    </xf>
    <xf numFmtId="0" fontId="12" fillId="0" borderId="31" xfId="1" applyNumberFormat="1" applyFont="1" applyFill="1" applyBorder="1" applyAlignment="1" applyProtection="1">
      <alignment horizontal="center" vertical="center" wrapText="1"/>
    </xf>
    <xf numFmtId="0" fontId="12" fillId="0" borderId="2" xfId="1" applyNumberFormat="1" applyFont="1" applyFill="1" applyBorder="1" applyAlignment="1" applyProtection="1">
      <alignment horizontal="center" vertical="center" wrapText="1"/>
    </xf>
    <xf numFmtId="0" fontId="12" fillId="0" borderId="12" xfId="1" applyNumberFormat="1" applyFont="1" applyFill="1" applyBorder="1" applyAlignment="1" applyProtection="1">
      <alignment horizontal="center" vertical="center" wrapText="1"/>
    </xf>
    <xf numFmtId="0" fontId="12" fillId="0" borderId="25" xfId="1" applyNumberFormat="1" applyFont="1" applyFill="1" applyBorder="1" applyAlignment="1" applyProtection="1">
      <alignment horizontal="center" vertical="center" wrapText="1"/>
    </xf>
    <xf numFmtId="0" fontId="12" fillId="0" borderId="26" xfId="1" applyNumberFormat="1" applyFont="1" applyFill="1" applyBorder="1" applyAlignment="1" applyProtection="1">
      <alignment horizontal="center" vertical="center" wrapText="1"/>
    </xf>
    <xf numFmtId="0" fontId="2" fillId="0" borderId="1" xfId="1" applyNumberFormat="1" applyFont="1" applyFill="1" applyBorder="1" applyAlignment="1" applyProtection="1">
      <alignment horizontal="center" vertical="center"/>
    </xf>
    <xf numFmtId="0" fontId="4" fillId="0" borderId="1" xfId="1" applyNumberFormat="1" applyFont="1" applyFill="1" applyBorder="1" applyAlignment="1" applyProtection="1">
      <alignment horizontal="center" vertical="center"/>
    </xf>
    <xf numFmtId="0" fontId="2" fillId="0" borderId="3" xfId="1" applyNumberFormat="1" applyFont="1" applyFill="1" applyBorder="1" applyAlignment="1" applyProtection="1">
      <alignment horizontal="center" vertical="center"/>
    </xf>
    <xf numFmtId="0" fontId="4" fillId="0" borderId="3" xfId="1" applyNumberFormat="1" applyFont="1" applyFill="1" applyBorder="1" applyAlignment="1" applyProtection="1">
      <alignment horizontal="center" vertical="center"/>
    </xf>
    <xf numFmtId="0" fontId="10" fillId="0" borderId="4" xfId="1" applyFont="1" applyFill="1" applyBorder="1" applyAlignment="1">
      <alignment horizontal="center" vertical="center" wrapText="1"/>
    </xf>
    <xf numFmtId="0" fontId="10" fillId="0" borderId="5" xfId="1" applyFont="1" applyFill="1" applyBorder="1" applyAlignment="1">
      <alignment horizontal="center" vertical="center" wrapText="1"/>
    </xf>
    <xf numFmtId="0" fontId="10" fillId="0" borderId="2" xfId="1" applyFont="1" applyFill="1" applyBorder="1" applyAlignment="1">
      <alignment horizontal="center" vertical="center" wrapText="1"/>
    </xf>
    <xf numFmtId="0" fontId="10" fillId="0" borderId="12" xfId="1" applyFont="1" applyFill="1" applyBorder="1" applyAlignment="1">
      <alignment horizontal="center" vertical="center" wrapText="1"/>
    </xf>
    <xf numFmtId="0" fontId="10" fillId="0" borderId="25" xfId="1" applyFont="1" applyFill="1" applyBorder="1" applyAlignment="1">
      <alignment horizontal="center" vertical="center" wrapText="1"/>
    </xf>
    <xf numFmtId="0" fontId="10" fillId="0" borderId="26" xfId="1" applyFont="1" applyFill="1" applyBorder="1" applyAlignment="1">
      <alignment horizontal="center" vertical="center" wrapText="1"/>
    </xf>
    <xf numFmtId="0" fontId="14" fillId="0" borderId="9" xfId="6" applyFont="1" applyFill="1" applyBorder="1" applyAlignment="1">
      <alignment horizontal="center" vertical="center"/>
    </xf>
    <xf numFmtId="0" fontId="14" fillId="0" borderId="10" xfId="6" applyFont="1" applyFill="1" applyBorder="1" applyAlignment="1">
      <alignment horizontal="center" vertical="center"/>
    </xf>
    <xf numFmtId="0" fontId="14" fillId="0" borderId="11" xfId="6" applyFont="1" applyFill="1" applyBorder="1" applyAlignment="1">
      <alignment horizontal="center" vertical="center"/>
    </xf>
    <xf numFmtId="0" fontId="14" fillId="0" borderId="13" xfId="6" applyFont="1" applyFill="1" applyBorder="1" applyAlignment="1">
      <alignment horizontal="center" vertical="center"/>
    </xf>
    <xf numFmtId="0" fontId="14" fillId="0" borderId="14" xfId="6" applyFont="1" applyFill="1" applyBorder="1" applyAlignment="1">
      <alignment horizontal="center" vertical="center"/>
    </xf>
    <xf numFmtId="0" fontId="14" fillId="0" borderId="15" xfId="6" applyFont="1" applyFill="1" applyBorder="1" applyAlignment="1">
      <alignment horizontal="center" vertical="center"/>
    </xf>
    <xf numFmtId="0" fontId="16" fillId="0" borderId="16" xfId="7" applyFont="1" applyBorder="1" applyAlignment="1">
      <alignment horizontal="center" vertical="center" wrapText="1"/>
    </xf>
    <xf numFmtId="0" fontId="16" fillId="0" borderId="17" xfId="7" applyFont="1" applyBorder="1" applyAlignment="1">
      <alignment horizontal="center" vertical="center" wrapText="1"/>
    </xf>
    <xf numFmtId="0" fontId="16" fillId="0" borderId="18" xfId="7" applyFont="1" applyBorder="1" applyAlignment="1">
      <alignment horizontal="center" vertical="center" wrapText="1"/>
    </xf>
    <xf numFmtId="0" fontId="16" fillId="0" borderId="19" xfId="7" applyFont="1" applyBorder="1" applyAlignment="1">
      <alignment horizontal="center" vertical="center" wrapText="1"/>
    </xf>
    <xf numFmtId="0" fontId="5" fillId="0" borderId="42" xfId="8" applyFont="1" applyBorder="1" applyAlignment="1">
      <alignment horizontal="center" vertical="center"/>
    </xf>
    <xf numFmtId="0" fontId="5" fillId="0" borderId="7" xfId="8" applyFont="1" applyBorder="1" applyAlignment="1">
      <alignment horizontal="center" vertical="center"/>
    </xf>
    <xf numFmtId="0" fontId="21" fillId="3" borderId="2" xfId="8" applyNumberFormat="1" applyFont="1" applyFill="1" applyBorder="1" applyAlignment="1" applyProtection="1">
      <alignment horizontal="center" vertical="center" wrapText="1"/>
    </xf>
    <xf numFmtId="0" fontId="21" fillId="3" borderId="12" xfId="8" applyNumberFormat="1" applyFont="1" applyFill="1" applyBorder="1" applyAlignment="1" applyProtection="1">
      <alignment horizontal="center" vertical="center" wrapText="1"/>
    </xf>
    <xf numFmtId="0" fontId="12" fillId="0" borderId="30" xfId="8" applyFont="1" applyFill="1" applyBorder="1" applyAlignment="1">
      <alignment horizontal="center" vertical="center" wrapText="1"/>
    </xf>
    <xf numFmtId="0" fontId="12" fillId="0" borderId="31" xfId="8" applyFont="1" applyFill="1" applyBorder="1" applyAlignment="1">
      <alignment horizontal="center" vertical="center" wrapText="1"/>
    </xf>
    <xf numFmtId="0" fontId="12" fillId="0" borderId="2" xfId="8" applyFont="1" applyFill="1" applyBorder="1" applyAlignment="1">
      <alignment horizontal="center" vertical="center" wrapText="1"/>
    </xf>
    <xf numFmtId="0" fontId="12" fillId="0" borderId="12" xfId="8" applyFont="1" applyFill="1" applyBorder="1" applyAlignment="1">
      <alignment horizontal="center" vertical="center" wrapText="1"/>
    </xf>
    <xf numFmtId="0" fontId="12" fillId="0" borderId="25" xfId="8" applyFont="1" applyFill="1" applyBorder="1" applyAlignment="1">
      <alignment horizontal="center" vertical="center" wrapText="1"/>
    </xf>
    <xf numFmtId="0" fontId="12" fillId="0" borderId="26" xfId="8" applyFont="1" applyFill="1" applyBorder="1" applyAlignment="1">
      <alignment horizontal="center" vertical="center" wrapText="1"/>
    </xf>
    <xf numFmtId="0" fontId="19" fillId="3" borderId="32" xfId="8" applyFont="1" applyFill="1" applyBorder="1" applyAlignment="1">
      <alignment horizontal="center" vertical="center" wrapText="1"/>
    </xf>
    <xf numFmtId="0" fontId="19" fillId="3" borderId="33" xfId="8" applyFont="1" applyFill="1" applyBorder="1" applyAlignment="1">
      <alignment horizontal="center" vertical="center" wrapText="1"/>
    </xf>
    <xf numFmtId="0" fontId="19" fillId="0" borderId="32" xfId="8" applyFont="1" applyFill="1" applyBorder="1" applyAlignment="1">
      <alignment horizontal="center" vertical="center" wrapText="1"/>
    </xf>
    <xf numFmtId="0" fontId="19" fillId="0" borderId="33" xfId="8" applyFont="1" applyFill="1" applyBorder="1" applyAlignment="1">
      <alignment horizontal="center" vertical="center" wrapText="1"/>
    </xf>
    <xf numFmtId="0" fontId="19" fillId="3" borderId="30" xfId="8" applyFont="1" applyFill="1" applyBorder="1" applyAlignment="1">
      <alignment horizontal="center" vertical="center" wrapText="1"/>
    </xf>
    <xf numFmtId="0" fontId="19" fillId="3" borderId="31" xfId="8" applyFont="1" applyFill="1" applyBorder="1" applyAlignment="1">
      <alignment horizontal="center" vertical="center" wrapText="1"/>
    </xf>
    <xf numFmtId="0" fontId="19" fillId="3" borderId="2" xfId="8" applyFont="1" applyFill="1" applyBorder="1" applyAlignment="1">
      <alignment horizontal="center" vertical="center" wrapText="1"/>
    </xf>
    <xf numFmtId="0" fontId="19" fillId="3" borderId="12" xfId="8" applyFont="1" applyFill="1" applyBorder="1" applyAlignment="1">
      <alignment horizontal="center" vertical="center" wrapText="1"/>
    </xf>
    <xf numFmtId="0" fontId="19" fillId="3" borderId="25" xfId="8" applyFont="1" applyFill="1" applyBorder="1" applyAlignment="1">
      <alignment horizontal="center" vertical="center" wrapText="1"/>
    </xf>
    <xf numFmtId="0" fontId="19" fillId="3" borderId="26" xfId="8" applyFont="1" applyFill="1" applyBorder="1" applyAlignment="1">
      <alignment horizontal="center" vertical="center" wrapText="1"/>
    </xf>
    <xf numFmtId="0" fontId="9" fillId="0" borderId="53" xfId="8" applyNumberFormat="1" applyFont="1" applyFill="1" applyBorder="1" applyAlignment="1" applyProtection="1">
      <alignment horizontal="center" vertical="center" wrapText="1"/>
    </xf>
    <xf numFmtId="0" fontId="9" fillId="0" borderId="54" xfId="8" applyNumberFormat="1" applyFont="1" applyFill="1" applyBorder="1" applyAlignment="1" applyProtection="1">
      <alignment horizontal="center" vertical="center" wrapText="1"/>
    </xf>
    <xf numFmtId="0" fontId="9" fillId="0" borderId="36" xfId="8" applyNumberFormat="1" applyFont="1" applyFill="1" applyBorder="1" applyAlignment="1" applyProtection="1">
      <alignment horizontal="center" vertical="center" wrapText="1"/>
    </xf>
    <xf numFmtId="0" fontId="12" fillId="0" borderId="30" xfId="8" applyNumberFormat="1" applyFont="1" applyFill="1" applyBorder="1" applyAlignment="1" applyProtection="1">
      <alignment horizontal="center" vertical="center" wrapText="1"/>
    </xf>
    <xf numFmtId="0" fontId="12" fillId="0" borderId="31" xfId="8" applyNumberFormat="1" applyFont="1" applyFill="1" applyBorder="1" applyAlignment="1" applyProtection="1">
      <alignment horizontal="center" vertical="center" wrapText="1"/>
    </xf>
    <xf numFmtId="0" fontId="12" fillId="0" borderId="2" xfId="8" applyNumberFormat="1" applyFont="1" applyFill="1" applyBorder="1" applyAlignment="1" applyProtection="1">
      <alignment horizontal="center" vertical="center" wrapText="1"/>
    </xf>
    <xf numFmtId="0" fontId="12" fillId="0" borderId="12" xfId="8" applyNumberFormat="1" applyFont="1" applyFill="1" applyBorder="1" applyAlignment="1" applyProtection="1">
      <alignment horizontal="center" vertical="center" wrapText="1"/>
    </xf>
    <xf numFmtId="0" fontId="12" fillId="0" borderId="25" xfId="8" applyNumberFormat="1" applyFont="1" applyFill="1" applyBorder="1" applyAlignment="1" applyProtection="1">
      <alignment horizontal="center" vertical="center" wrapText="1"/>
    </xf>
    <xf numFmtId="0" fontId="12" fillId="0" borderId="26" xfId="8" applyNumberFormat="1" applyFont="1" applyFill="1" applyBorder="1" applyAlignment="1" applyProtection="1">
      <alignment horizontal="center" vertical="center" wrapText="1"/>
    </xf>
    <xf numFmtId="0" fontId="2" fillId="0" borderId="1" xfId="8" applyNumberFormat="1" applyFont="1" applyFill="1" applyBorder="1" applyAlignment="1" applyProtection="1">
      <alignment horizontal="center" vertical="center"/>
    </xf>
    <xf numFmtId="0" fontId="4" fillId="0" borderId="1" xfId="8" applyNumberFormat="1" applyFont="1" applyFill="1" applyBorder="1" applyAlignment="1" applyProtection="1">
      <alignment horizontal="center" vertical="center"/>
    </xf>
    <xf numFmtId="0" fontId="2" fillId="0" borderId="3" xfId="8" applyNumberFormat="1" applyFont="1" applyFill="1" applyBorder="1" applyAlignment="1" applyProtection="1">
      <alignment horizontal="center" vertical="center"/>
    </xf>
    <xf numFmtId="0" fontId="4" fillId="0" borderId="3" xfId="8" applyNumberFormat="1" applyFont="1" applyFill="1" applyBorder="1" applyAlignment="1" applyProtection="1">
      <alignment horizontal="center" vertical="center"/>
    </xf>
    <xf numFmtId="0" fontId="10" fillId="0" borderId="4" xfId="8" applyFont="1" applyFill="1" applyBorder="1" applyAlignment="1">
      <alignment horizontal="center" vertical="center" wrapText="1"/>
    </xf>
    <xf numFmtId="0" fontId="10" fillId="0" borderId="5" xfId="8" applyFont="1" applyFill="1" applyBorder="1" applyAlignment="1">
      <alignment horizontal="center" vertical="center" wrapText="1"/>
    </xf>
    <xf numFmtId="0" fontId="10" fillId="0" borderId="2" xfId="8" applyFont="1" applyFill="1" applyBorder="1" applyAlignment="1">
      <alignment horizontal="center" vertical="center" wrapText="1"/>
    </xf>
    <xf numFmtId="0" fontId="10" fillId="0" borderId="12" xfId="8" applyFont="1" applyFill="1" applyBorder="1" applyAlignment="1">
      <alignment horizontal="center" vertical="center" wrapText="1"/>
    </xf>
    <xf numFmtId="0" fontId="10" fillId="0" borderId="25" xfId="8" applyFont="1" applyFill="1" applyBorder="1" applyAlignment="1">
      <alignment horizontal="center" vertical="center" wrapText="1"/>
    </xf>
    <xf numFmtId="0" fontId="10" fillId="0" borderId="26" xfId="8" applyFont="1" applyFill="1" applyBorder="1" applyAlignment="1">
      <alignment horizontal="center" vertical="center" wrapText="1"/>
    </xf>
  </cellXfs>
  <cellStyles count="11">
    <cellStyle name="백분율 2" xfId="5"/>
    <cellStyle name="표준" xfId="0" builtinId="0"/>
    <cellStyle name="표준 2 10 17 16 9" xfId="10"/>
    <cellStyle name="표준 2 10 17 27" xfId="3"/>
    <cellStyle name="표준 2 10 18 18" xfId="2"/>
    <cellStyle name="표준 2 10 18 19" xfId="9"/>
    <cellStyle name="표준 2 10 20 23" xfId="1"/>
    <cellStyle name="표준 2 10 20 24" xfId="8"/>
    <cellStyle name="표준 2 10 20 8" xfId="6"/>
    <cellStyle name="표준 2 2" xfId="4"/>
    <cellStyle name="표준 2 3 6 20 8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63"/>
  <sheetViews>
    <sheetView topLeftCell="A2" zoomScale="85" zoomScaleNormal="85" workbookViewId="0">
      <selection activeCell="T36" sqref="T36"/>
    </sheetView>
  </sheetViews>
  <sheetFormatPr defaultRowHeight="16.5"/>
  <cols>
    <col min="1" max="1" width="3.25" style="2" customWidth="1"/>
    <col min="2" max="2" width="10" style="125" customWidth="1"/>
    <col min="3" max="4" width="11.875" style="125" customWidth="1"/>
    <col min="5" max="11" width="11.875" style="2" customWidth="1"/>
    <col min="12" max="12" width="2.625" style="119" customWidth="1"/>
    <col min="13" max="17" width="11.875" style="2" customWidth="1"/>
    <col min="18" max="18" width="11.875" style="121" customWidth="1"/>
    <col min="19" max="19" width="6.125" style="2" customWidth="1"/>
    <col min="20" max="25" width="8.125" style="2" customWidth="1"/>
    <col min="26" max="16384" width="9" style="2"/>
  </cols>
  <sheetData>
    <row r="1" spans="1:30" ht="16.5" hidden="1" customHeight="1">
      <c r="A1" s="287" t="s">
        <v>0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1"/>
    </row>
    <row r="2" spans="1:30" ht="18" customHeight="1">
      <c r="A2" s="289" t="s">
        <v>1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3"/>
      <c r="T2" s="4"/>
      <c r="U2" s="4"/>
      <c r="V2" s="4"/>
      <c r="W2" s="4"/>
      <c r="X2" s="4"/>
      <c r="Y2" s="4"/>
      <c r="AA2" s="4"/>
      <c r="AB2" s="4"/>
      <c r="AC2" s="4"/>
      <c r="AD2" s="4"/>
    </row>
    <row r="3" spans="1:30" ht="21" customHeight="1" thickBot="1">
      <c r="A3" s="5"/>
      <c r="B3" s="6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8" t="s">
        <v>12</v>
      </c>
      <c r="M3" s="7" t="s">
        <v>13</v>
      </c>
      <c r="N3" s="7" t="s">
        <v>14</v>
      </c>
      <c r="O3" s="7" t="s">
        <v>15</v>
      </c>
      <c r="P3" s="7" t="s">
        <v>16</v>
      </c>
      <c r="Q3" s="7" t="s">
        <v>17</v>
      </c>
      <c r="R3" s="9">
        <f>AVERAGE(R4:R32)</f>
        <v>0.92307692307692313</v>
      </c>
      <c r="S3" s="10"/>
      <c r="T3" s="4"/>
      <c r="U3" s="4"/>
      <c r="V3" s="4"/>
      <c r="W3" s="4"/>
      <c r="X3" s="4"/>
      <c r="Y3" s="4"/>
      <c r="Z3" s="11"/>
      <c r="AA3" s="4"/>
      <c r="AB3" s="4"/>
      <c r="AC3" s="4"/>
      <c r="AD3" s="4"/>
    </row>
    <row r="4" spans="1:30" s="4" customFormat="1" ht="27.95" customHeight="1">
      <c r="A4" s="12">
        <v>1</v>
      </c>
      <c r="B4" s="13" t="s">
        <v>18</v>
      </c>
      <c r="C4" s="291"/>
      <c r="D4" s="292"/>
      <c r="E4" s="14" t="s">
        <v>19</v>
      </c>
      <c r="F4" s="15" t="s">
        <v>20</v>
      </c>
      <c r="G4" s="16" t="s">
        <v>21</v>
      </c>
      <c r="H4" s="17" t="s">
        <v>22</v>
      </c>
      <c r="I4" s="18" t="s">
        <v>23</v>
      </c>
      <c r="J4" s="19" t="s">
        <v>24</v>
      </c>
      <c r="K4" s="18" t="s">
        <v>25</v>
      </c>
      <c r="L4" s="20"/>
      <c r="M4" s="18" t="s">
        <v>26</v>
      </c>
      <c r="N4" s="21" t="s">
        <v>27</v>
      </c>
      <c r="O4" s="18" t="s">
        <v>28</v>
      </c>
      <c r="P4" s="22" t="s">
        <v>29</v>
      </c>
      <c r="Q4" s="23" t="s">
        <v>30</v>
      </c>
      <c r="R4" s="24">
        <f>(COUNTA(G4:Q4))/10</f>
        <v>1</v>
      </c>
      <c r="S4" s="10"/>
      <c r="T4" s="297" t="s">
        <v>31</v>
      </c>
      <c r="U4" s="298"/>
      <c r="V4" s="298"/>
      <c r="W4" s="298"/>
      <c r="X4" s="298"/>
      <c r="Y4" s="299"/>
    </row>
    <row r="5" spans="1:30" s="4" customFormat="1" ht="27.95" customHeight="1" thickBot="1">
      <c r="A5" s="12">
        <v>2</v>
      </c>
      <c r="B5" s="25" t="s">
        <v>32</v>
      </c>
      <c r="C5" s="293"/>
      <c r="D5" s="294"/>
      <c r="E5" s="22" t="s">
        <v>33</v>
      </c>
      <c r="F5" s="11" t="s">
        <v>34</v>
      </c>
      <c r="G5" s="18" t="s">
        <v>35</v>
      </c>
      <c r="H5" s="20" t="s">
        <v>36</v>
      </c>
      <c r="I5" s="18" t="s">
        <v>37</v>
      </c>
      <c r="J5" s="18" t="s">
        <v>38</v>
      </c>
      <c r="K5" s="18" t="s">
        <v>39</v>
      </c>
      <c r="L5" s="19"/>
      <c r="M5" s="18" t="s">
        <v>40</v>
      </c>
      <c r="N5" s="26" t="s">
        <v>41</v>
      </c>
      <c r="O5" s="20" t="s">
        <v>42</v>
      </c>
      <c r="P5" s="21" t="s">
        <v>43</v>
      </c>
      <c r="Q5" s="21" t="s">
        <v>44</v>
      </c>
      <c r="R5" s="24">
        <f>(COUNTA(C5:Q5))/12</f>
        <v>1</v>
      </c>
      <c r="S5" s="10"/>
      <c r="T5" s="300"/>
      <c r="U5" s="301"/>
      <c r="V5" s="301"/>
      <c r="W5" s="301"/>
      <c r="X5" s="301"/>
      <c r="Y5" s="302"/>
    </row>
    <row r="6" spans="1:30" s="4" customFormat="1" ht="27.95" customHeight="1">
      <c r="A6" s="12">
        <v>3</v>
      </c>
      <c r="B6" s="27" t="s">
        <v>45</v>
      </c>
      <c r="C6" s="293"/>
      <c r="D6" s="294"/>
      <c r="E6" s="19" t="s">
        <v>46</v>
      </c>
      <c r="F6" s="22" t="s">
        <v>47</v>
      </c>
      <c r="G6" s="21" t="s">
        <v>48</v>
      </c>
      <c r="H6" s="22" t="s">
        <v>49</v>
      </c>
      <c r="I6" s="22" t="s">
        <v>50</v>
      </c>
      <c r="J6" s="18" t="s">
        <v>51</v>
      </c>
      <c r="K6" s="21" t="s">
        <v>52</v>
      </c>
      <c r="L6" s="22"/>
      <c r="M6" s="21" t="s">
        <v>53</v>
      </c>
      <c r="N6" s="28" t="s">
        <v>54</v>
      </c>
      <c r="O6" s="18" t="s">
        <v>55</v>
      </c>
      <c r="P6" s="21" t="s">
        <v>56</v>
      </c>
      <c r="Q6" s="21" t="s">
        <v>57</v>
      </c>
      <c r="R6" s="24">
        <f>(COUNTA(C6:Q6))/12</f>
        <v>1</v>
      </c>
      <c r="S6" s="10"/>
      <c r="T6" s="303" t="s">
        <v>58</v>
      </c>
      <c r="U6" s="304"/>
      <c r="V6" s="305" t="s">
        <v>59</v>
      </c>
      <c r="W6" s="304"/>
      <c r="X6" s="305" t="s">
        <v>60</v>
      </c>
      <c r="Y6" s="306"/>
    </row>
    <row r="7" spans="1:30" s="4" customFormat="1" ht="27.95" customHeight="1">
      <c r="A7" s="12">
        <v>4</v>
      </c>
      <c r="B7" s="13" t="s">
        <v>61</v>
      </c>
      <c r="C7" s="293"/>
      <c r="D7" s="294"/>
      <c r="E7" s="16" t="s">
        <v>62</v>
      </c>
      <c r="F7" s="21" t="s">
        <v>63</v>
      </c>
      <c r="G7" s="21" t="s">
        <v>64</v>
      </c>
      <c r="H7" s="21" t="s">
        <v>34</v>
      </c>
      <c r="I7" s="18" t="s">
        <v>40</v>
      </c>
      <c r="J7" s="29" t="s">
        <v>65</v>
      </c>
      <c r="K7" s="28" t="s">
        <v>66</v>
      </c>
      <c r="L7" s="22"/>
      <c r="M7" s="22" t="s">
        <v>67</v>
      </c>
      <c r="N7" s="18" t="s">
        <v>68</v>
      </c>
      <c r="O7" s="21" t="s">
        <v>69</v>
      </c>
      <c r="P7" s="22" t="s">
        <v>70</v>
      </c>
      <c r="Q7" s="30" t="s">
        <v>71</v>
      </c>
      <c r="R7" s="24">
        <f>(COUNTA(C7:Q7))/12</f>
        <v>1</v>
      </c>
      <c r="S7" s="10"/>
      <c r="T7" s="236"/>
      <c r="U7" s="237"/>
      <c r="V7" s="238"/>
      <c r="W7" s="237"/>
      <c r="X7" s="238"/>
      <c r="Y7" s="239"/>
    </row>
    <row r="8" spans="1:30" s="4" customFormat="1" ht="27.95" customHeight="1">
      <c r="A8" s="12">
        <v>5</v>
      </c>
      <c r="B8" s="31" t="s">
        <v>72</v>
      </c>
      <c r="C8" s="293"/>
      <c r="D8" s="294"/>
      <c r="E8" s="21" t="s">
        <v>73</v>
      </c>
      <c r="F8" s="21" t="s">
        <v>74</v>
      </c>
      <c r="G8" s="21" t="s">
        <v>27</v>
      </c>
      <c r="H8" s="21" t="s">
        <v>75</v>
      </c>
      <c r="I8" s="21" t="s">
        <v>76</v>
      </c>
      <c r="J8" s="21" t="s">
        <v>77</v>
      </c>
      <c r="K8" s="22" t="s">
        <v>78</v>
      </c>
      <c r="L8" s="21"/>
      <c r="M8" s="21" t="s">
        <v>79</v>
      </c>
      <c r="N8" s="32" t="s">
        <v>80</v>
      </c>
      <c r="O8" s="33" t="s">
        <v>81</v>
      </c>
      <c r="P8" s="22" t="s">
        <v>82</v>
      </c>
      <c r="Q8" s="30" t="s">
        <v>83</v>
      </c>
      <c r="R8" s="24">
        <f t="shared" ref="R8:R25" si="0">(COUNTA(C8:Q8))/12</f>
        <v>1</v>
      </c>
      <c r="S8" s="10"/>
      <c r="T8" s="236"/>
      <c r="U8" s="237"/>
      <c r="V8" s="238"/>
      <c r="W8" s="237"/>
      <c r="X8" s="238"/>
      <c r="Y8" s="239"/>
    </row>
    <row r="9" spans="1:30" s="4" customFormat="1" ht="27.95" customHeight="1" thickBot="1">
      <c r="A9" s="12">
        <v>6</v>
      </c>
      <c r="B9" s="34" t="s">
        <v>85</v>
      </c>
      <c r="C9" s="295"/>
      <c r="D9" s="296"/>
      <c r="E9" s="35"/>
      <c r="F9" s="36"/>
      <c r="G9" s="36"/>
      <c r="H9" s="36"/>
      <c r="I9" s="36"/>
      <c r="J9" s="36"/>
      <c r="K9" s="37"/>
      <c r="L9" s="36"/>
      <c r="M9" s="36"/>
      <c r="N9" s="38"/>
      <c r="O9" s="39"/>
      <c r="P9" s="40"/>
      <c r="Q9" s="36"/>
      <c r="R9" s="24"/>
      <c r="S9" s="10"/>
      <c r="T9" s="236"/>
      <c r="U9" s="237"/>
      <c r="V9" s="238"/>
      <c r="W9" s="237"/>
      <c r="X9" s="238"/>
      <c r="Y9" s="239"/>
    </row>
    <row r="10" spans="1:30" s="4" customFormat="1" ht="27.95" customHeight="1">
      <c r="A10" s="12">
        <v>7</v>
      </c>
      <c r="B10" s="31" t="s">
        <v>87</v>
      </c>
      <c r="C10" s="41" t="s">
        <v>88</v>
      </c>
      <c r="D10" s="41" t="s">
        <v>88</v>
      </c>
      <c r="E10" s="21" t="s">
        <v>89</v>
      </c>
      <c r="F10" s="21" t="s">
        <v>90</v>
      </c>
      <c r="G10" s="21" t="s">
        <v>91</v>
      </c>
      <c r="H10" s="21" t="s">
        <v>92</v>
      </c>
      <c r="I10" s="42" t="s">
        <v>93</v>
      </c>
      <c r="J10" s="21" t="s">
        <v>94</v>
      </c>
      <c r="K10" s="16" t="s">
        <v>95</v>
      </c>
      <c r="L10" s="21"/>
      <c r="M10" s="21" t="s">
        <v>96</v>
      </c>
      <c r="N10" s="32" t="s">
        <v>97</v>
      </c>
      <c r="O10" s="43" t="s">
        <v>98</v>
      </c>
      <c r="P10" s="281"/>
      <c r="Q10" s="282"/>
      <c r="R10" s="24">
        <f t="shared" si="0"/>
        <v>1</v>
      </c>
      <c r="S10" s="10"/>
      <c r="T10" s="236"/>
      <c r="U10" s="237"/>
      <c r="V10" s="238"/>
      <c r="W10" s="237"/>
      <c r="X10" s="238"/>
      <c r="Y10" s="239"/>
    </row>
    <row r="11" spans="1:30" s="4" customFormat="1" ht="27.95" customHeight="1">
      <c r="A11" s="12">
        <v>8</v>
      </c>
      <c r="B11" s="44" t="s">
        <v>99</v>
      </c>
      <c r="C11" s="45" t="s">
        <v>27</v>
      </c>
      <c r="D11" s="45" t="s">
        <v>27</v>
      </c>
      <c r="E11" s="16" t="s">
        <v>100</v>
      </c>
      <c r="F11" s="22" t="s">
        <v>101</v>
      </c>
      <c r="G11" s="21" t="s">
        <v>102</v>
      </c>
      <c r="H11" s="21" t="s">
        <v>57</v>
      </c>
      <c r="I11" s="16" t="s">
        <v>96</v>
      </c>
      <c r="J11" s="21" t="s">
        <v>103</v>
      </c>
      <c r="K11" s="21" t="s">
        <v>104</v>
      </c>
      <c r="L11" s="21"/>
      <c r="M11" s="21" t="s">
        <v>105</v>
      </c>
      <c r="N11" s="22" t="s">
        <v>106</v>
      </c>
      <c r="O11" s="20" t="s">
        <v>107</v>
      </c>
      <c r="P11" s="283"/>
      <c r="Q11" s="284"/>
      <c r="R11" s="24">
        <f t="shared" si="0"/>
        <v>1</v>
      </c>
      <c r="S11" s="10"/>
      <c r="T11" s="236"/>
      <c r="U11" s="237"/>
      <c r="V11" s="238"/>
      <c r="W11" s="237"/>
      <c r="X11" s="238"/>
      <c r="Y11" s="239"/>
    </row>
    <row r="12" spans="1:30" s="4" customFormat="1" ht="27.95" customHeight="1">
      <c r="A12" s="12">
        <v>9</v>
      </c>
      <c r="B12" s="25" t="s">
        <v>108</v>
      </c>
      <c r="C12" s="45" t="s">
        <v>64</v>
      </c>
      <c r="D12" s="45" t="s">
        <v>109</v>
      </c>
      <c r="E12" s="21" t="s">
        <v>110</v>
      </c>
      <c r="F12" s="21" t="s">
        <v>111</v>
      </c>
      <c r="G12" s="19" t="s">
        <v>46</v>
      </c>
      <c r="H12" s="21" t="s">
        <v>112</v>
      </c>
      <c r="I12" s="21" t="s">
        <v>113</v>
      </c>
      <c r="J12" s="22" t="s">
        <v>114</v>
      </c>
      <c r="K12" s="11" t="s">
        <v>41</v>
      </c>
      <c r="L12" s="21"/>
      <c r="M12" s="20" t="s">
        <v>115</v>
      </c>
      <c r="N12" s="22" t="s">
        <v>116</v>
      </c>
      <c r="O12" s="16" t="s">
        <v>117</v>
      </c>
      <c r="P12" s="283"/>
      <c r="Q12" s="284"/>
      <c r="R12" s="24">
        <f t="shared" si="0"/>
        <v>1</v>
      </c>
      <c r="S12" s="10"/>
      <c r="T12" s="236"/>
      <c r="U12" s="237"/>
      <c r="V12" s="238"/>
      <c r="W12" s="237"/>
      <c r="X12" s="238"/>
      <c r="Y12" s="239"/>
    </row>
    <row r="13" spans="1:30" s="4" customFormat="1" ht="27.95" customHeight="1" thickBot="1">
      <c r="A13" s="12">
        <v>10</v>
      </c>
      <c r="B13" s="46" t="s">
        <v>118</v>
      </c>
      <c r="C13" s="47" t="s">
        <v>34</v>
      </c>
      <c r="D13" s="47" t="s">
        <v>34</v>
      </c>
      <c r="E13" s="48" t="s">
        <v>119</v>
      </c>
      <c r="F13" s="49" t="s">
        <v>120</v>
      </c>
      <c r="G13" s="48" t="s">
        <v>121</v>
      </c>
      <c r="H13" s="48" t="s">
        <v>122</v>
      </c>
      <c r="I13" s="50" t="s">
        <v>123</v>
      </c>
      <c r="J13" s="48" t="s">
        <v>124</v>
      </c>
      <c r="K13" s="48" t="s">
        <v>125</v>
      </c>
      <c r="L13" s="51"/>
      <c r="M13" s="48" t="s">
        <v>126</v>
      </c>
      <c r="N13" s="48" t="s">
        <v>127</v>
      </c>
      <c r="O13" s="48" t="s">
        <v>128</v>
      </c>
      <c r="P13" s="285"/>
      <c r="Q13" s="286"/>
      <c r="R13" s="24">
        <f t="shared" si="0"/>
        <v>1</v>
      </c>
      <c r="S13" s="10"/>
      <c r="T13" s="236"/>
      <c r="U13" s="237"/>
      <c r="V13" s="238"/>
      <c r="W13" s="237"/>
      <c r="X13" s="238"/>
      <c r="Y13" s="239"/>
    </row>
    <row r="14" spans="1:30" s="56" customFormat="1" ht="27.95" customHeight="1" thickBot="1">
      <c r="A14" s="12">
        <v>11</v>
      </c>
      <c r="B14" s="52" t="s">
        <v>130</v>
      </c>
      <c r="C14" s="279"/>
      <c r="D14" s="280"/>
      <c r="E14" s="50" t="s">
        <v>131</v>
      </c>
      <c r="F14" s="53" t="s">
        <v>41</v>
      </c>
      <c r="G14" s="54" t="s">
        <v>132</v>
      </c>
      <c r="H14" s="53" t="s">
        <v>133</v>
      </c>
      <c r="I14" s="50" t="s">
        <v>134</v>
      </c>
      <c r="J14" s="48" t="s">
        <v>135</v>
      </c>
      <c r="K14" s="48" t="s">
        <v>136</v>
      </c>
      <c r="L14" s="50"/>
      <c r="M14" s="48" t="s">
        <v>137</v>
      </c>
      <c r="N14" s="55" t="s">
        <v>138</v>
      </c>
      <c r="O14" s="48" t="s">
        <v>139</v>
      </c>
      <c r="P14" s="50" t="s">
        <v>140</v>
      </c>
      <c r="Q14" s="50" t="s">
        <v>141</v>
      </c>
      <c r="R14" s="24">
        <f t="shared" si="0"/>
        <v>1</v>
      </c>
      <c r="S14" s="10"/>
      <c r="T14" s="236"/>
      <c r="U14" s="237"/>
      <c r="V14" s="238"/>
      <c r="W14" s="237"/>
      <c r="X14" s="238"/>
      <c r="Y14" s="239"/>
    </row>
    <row r="15" spans="1:30" s="56" customFormat="1" ht="27.95" customHeight="1">
      <c r="A15" s="12">
        <v>12</v>
      </c>
      <c r="B15" s="31" t="s">
        <v>143</v>
      </c>
      <c r="C15" s="273"/>
      <c r="D15" s="274"/>
      <c r="E15" s="18" t="s">
        <v>144</v>
      </c>
      <c r="F15" s="20" t="s">
        <v>145</v>
      </c>
      <c r="G15" s="20" t="s">
        <v>146</v>
      </c>
      <c r="H15" s="20" t="s">
        <v>68</v>
      </c>
      <c r="I15" s="18" t="s">
        <v>147</v>
      </c>
      <c r="J15" s="20" t="s">
        <v>148</v>
      </c>
      <c r="K15" s="18" t="s">
        <v>149</v>
      </c>
      <c r="L15" s="20"/>
      <c r="M15" s="18" t="s">
        <v>78</v>
      </c>
      <c r="N15" s="18" t="s">
        <v>150</v>
      </c>
      <c r="O15" s="20" t="s">
        <v>151</v>
      </c>
      <c r="P15" s="22" t="s">
        <v>95</v>
      </c>
      <c r="Q15" s="57" t="s">
        <v>152</v>
      </c>
      <c r="R15" s="24">
        <f t="shared" si="0"/>
        <v>1</v>
      </c>
      <c r="S15" s="10"/>
      <c r="T15" s="236"/>
      <c r="U15" s="237"/>
      <c r="V15" s="238"/>
      <c r="W15" s="237"/>
      <c r="X15" s="238"/>
      <c r="Y15" s="239"/>
    </row>
    <row r="16" spans="1:30" s="56" customFormat="1" ht="27.95" customHeight="1">
      <c r="A16" s="12">
        <v>13</v>
      </c>
      <c r="B16" s="58" t="s">
        <v>153</v>
      </c>
      <c r="C16" s="275"/>
      <c r="D16" s="276"/>
      <c r="E16" s="18" t="s">
        <v>154</v>
      </c>
      <c r="F16" s="20" t="s">
        <v>155</v>
      </c>
      <c r="G16" s="18" t="s">
        <v>156</v>
      </c>
      <c r="H16" s="18" t="s">
        <v>157</v>
      </c>
      <c r="I16" s="20" t="s">
        <v>158</v>
      </c>
      <c r="J16" s="59" t="s">
        <v>159</v>
      </c>
      <c r="K16" s="20" t="s">
        <v>105</v>
      </c>
      <c r="L16" s="19"/>
      <c r="M16" s="60" t="s">
        <v>160</v>
      </c>
      <c r="N16" s="19" t="s">
        <v>113</v>
      </c>
      <c r="O16" s="21" t="s">
        <v>161</v>
      </c>
      <c r="P16" s="22" t="s">
        <v>162</v>
      </c>
      <c r="Q16" s="18" t="s">
        <v>163</v>
      </c>
      <c r="R16" s="24">
        <f t="shared" si="0"/>
        <v>1</v>
      </c>
      <c r="S16" s="10"/>
      <c r="T16" s="236"/>
      <c r="U16" s="237"/>
      <c r="V16" s="238"/>
      <c r="W16" s="237"/>
      <c r="X16" s="238"/>
      <c r="Y16" s="239"/>
    </row>
    <row r="17" spans="1:25" s="56" customFormat="1" ht="27.95" customHeight="1">
      <c r="A17" s="12">
        <v>14</v>
      </c>
      <c r="B17" s="58" t="s">
        <v>86</v>
      </c>
      <c r="C17" s="275"/>
      <c r="D17" s="276"/>
      <c r="E17" s="22" t="s">
        <v>26</v>
      </c>
      <c r="F17" s="21" t="s">
        <v>165</v>
      </c>
      <c r="G17" s="21" t="s">
        <v>166</v>
      </c>
      <c r="H17" s="22" t="s">
        <v>167</v>
      </c>
      <c r="I17" s="22" t="s">
        <v>168</v>
      </c>
      <c r="J17" s="18" t="s">
        <v>169</v>
      </c>
      <c r="K17" s="19" t="s">
        <v>170</v>
      </c>
      <c r="L17" s="22"/>
      <c r="M17" s="16" t="s">
        <v>171</v>
      </c>
      <c r="N17" s="33" t="s">
        <v>172</v>
      </c>
      <c r="O17" s="20" t="s">
        <v>173</v>
      </c>
      <c r="P17" s="22" t="s">
        <v>163</v>
      </c>
      <c r="Q17" s="22" t="s">
        <v>174</v>
      </c>
      <c r="R17" s="24">
        <f t="shared" si="0"/>
        <v>1</v>
      </c>
      <c r="S17" s="10"/>
      <c r="T17" s="236"/>
      <c r="U17" s="237"/>
      <c r="V17" s="238"/>
      <c r="W17" s="237"/>
      <c r="X17" s="238"/>
      <c r="Y17" s="239"/>
    </row>
    <row r="18" spans="1:25" s="4" customFormat="1" ht="27.95" customHeight="1">
      <c r="A18" s="12">
        <v>15</v>
      </c>
      <c r="B18" s="61" t="s">
        <v>175</v>
      </c>
      <c r="C18" s="275"/>
      <c r="D18" s="276"/>
      <c r="E18" s="62" t="s">
        <v>166</v>
      </c>
      <c r="F18" s="21" t="s">
        <v>176</v>
      </c>
      <c r="G18" s="29" t="s">
        <v>177</v>
      </c>
      <c r="H18" s="18" t="s">
        <v>63</v>
      </c>
      <c r="I18" s="22" t="s">
        <v>178</v>
      </c>
      <c r="J18" s="22" t="s">
        <v>132</v>
      </c>
      <c r="K18" s="21" t="s">
        <v>179</v>
      </c>
      <c r="L18" s="32"/>
      <c r="M18" s="22" t="s">
        <v>180</v>
      </c>
      <c r="N18" s="16" t="s">
        <v>181</v>
      </c>
      <c r="O18" s="22" t="s">
        <v>182</v>
      </c>
      <c r="P18" s="22" t="s">
        <v>183</v>
      </c>
      <c r="Q18" s="62" t="s">
        <v>159</v>
      </c>
      <c r="R18" s="24">
        <f t="shared" si="0"/>
        <v>1</v>
      </c>
      <c r="S18" s="10"/>
      <c r="T18" s="236"/>
      <c r="U18" s="237"/>
      <c r="V18" s="238"/>
      <c r="W18" s="237"/>
      <c r="X18" s="238"/>
      <c r="Y18" s="239"/>
    </row>
    <row r="19" spans="1:25" s="4" customFormat="1" ht="27.95" customHeight="1">
      <c r="A19" s="12">
        <v>16</v>
      </c>
      <c r="B19" s="63" t="s">
        <v>164</v>
      </c>
      <c r="C19" s="275"/>
      <c r="D19" s="276"/>
      <c r="E19" s="62" t="s">
        <v>184</v>
      </c>
      <c r="F19" s="18" t="s">
        <v>185</v>
      </c>
      <c r="G19" s="18" t="s">
        <v>186</v>
      </c>
      <c r="H19" s="18" t="s">
        <v>91</v>
      </c>
      <c r="I19" s="18" t="s">
        <v>187</v>
      </c>
      <c r="J19" s="18" t="s">
        <v>188</v>
      </c>
      <c r="K19" s="64" t="s">
        <v>189</v>
      </c>
      <c r="L19" s="20"/>
      <c r="M19" s="18" t="s">
        <v>190</v>
      </c>
      <c r="N19" s="20" t="s">
        <v>191</v>
      </c>
      <c r="O19" s="26" t="s">
        <v>156</v>
      </c>
      <c r="P19" s="22" t="s">
        <v>192</v>
      </c>
      <c r="Q19" s="21" t="s">
        <v>193</v>
      </c>
      <c r="R19" s="24">
        <f t="shared" si="0"/>
        <v>1</v>
      </c>
      <c r="S19" s="10"/>
      <c r="T19" s="236"/>
      <c r="U19" s="237"/>
      <c r="V19" s="238"/>
      <c r="W19" s="237"/>
      <c r="X19" s="238"/>
      <c r="Y19" s="239"/>
    </row>
    <row r="20" spans="1:25" s="4" customFormat="1" ht="27.95" customHeight="1">
      <c r="A20" s="12">
        <v>17</v>
      </c>
      <c r="B20" s="65" t="s">
        <v>129</v>
      </c>
      <c r="C20" s="275"/>
      <c r="D20" s="276"/>
      <c r="E20" s="22" t="s">
        <v>194</v>
      </c>
      <c r="F20" s="21" t="s">
        <v>195</v>
      </c>
      <c r="G20" s="21" t="s">
        <v>196</v>
      </c>
      <c r="H20" s="22" t="s">
        <v>50</v>
      </c>
      <c r="I20" s="22" t="s">
        <v>197</v>
      </c>
      <c r="J20" s="18" t="s">
        <v>198</v>
      </c>
      <c r="K20" s="19" t="s">
        <v>158</v>
      </c>
      <c r="L20" s="22"/>
      <c r="M20" s="16" t="s">
        <v>145</v>
      </c>
      <c r="N20" s="20" t="s">
        <v>159</v>
      </c>
      <c r="O20" s="64" t="s">
        <v>199</v>
      </c>
      <c r="P20" s="20" t="s">
        <v>200</v>
      </c>
      <c r="Q20" s="66" t="s">
        <v>201</v>
      </c>
      <c r="R20" s="24">
        <f t="shared" si="0"/>
        <v>1</v>
      </c>
      <c r="S20" s="10"/>
      <c r="T20" s="236"/>
      <c r="U20" s="237"/>
      <c r="V20" s="238"/>
      <c r="W20" s="237"/>
      <c r="X20" s="238"/>
      <c r="Y20" s="239"/>
    </row>
    <row r="21" spans="1:25" s="4" customFormat="1" ht="27.95" customHeight="1" thickBot="1">
      <c r="A21" s="12">
        <v>18</v>
      </c>
      <c r="B21" s="67" t="s">
        <v>84</v>
      </c>
      <c r="C21" s="277"/>
      <c r="D21" s="278"/>
      <c r="E21" s="68" t="s">
        <v>202</v>
      </c>
      <c r="F21" s="69" t="s">
        <v>203</v>
      </c>
      <c r="G21" s="70" t="s">
        <v>204</v>
      </c>
      <c r="H21" s="71" t="s">
        <v>205</v>
      </c>
      <c r="I21" s="71" t="s">
        <v>206</v>
      </c>
      <c r="J21" s="69" t="s">
        <v>161</v>
      </c>
      <c r="K21" s="71" t="s">
        <v>207</v>
      </c>
      <c r="L21" s="72"/>
      <c r="M21" s="69" t="s">
        <v>208</v>
      </c>
      <c r="N21" s="71" t="s">
        <v>209</v>
      </c>
      <c r="O21" s="71" t="s">
        <v>210</v>
      </c>
      <c r="P21" s="69" t="s">
        <v>211</v>
      </c>
      <c r="Q21" s="71" t="s">
        <v>212</v>
      </c>
      <c r="R21" s="24">
        <f t="shared" si="0"/>
        <v>1</v>
      </c>
      <c r="S21" s="10"/>
      <c r="T21" s="236"/>
      <c r="U21" s="237"/>
      <c r="V21" s="238"/>
      <c r="W21" s="237"/>
      <c r="X21" s="238"/>
      <c r="Y21" s="239"/>
    </row>
    <row r="22" spans="1:25" s="4" customFormat="1" ht="27.95" customHeight="1" thickBot="1">
      <c r="A22" s="12">
        <v>19</v>
      </c>
      <c r="B22" s="73" t="s">
        <v>213</v>
      </c>
      <c r="C22" s="265"/>
      <c r="D22" s="266"/>
      <c r="E22" s="48" t="s">
        <v>214</v>
      </c>
      <c r="F22" s="48" t="s">
        <v>215</v>
      </c>
      <c r="G22" s="74" t="s">
        <v>216</v>
      </c>
      <c r="H22" s="48" t="s">
        <v>196</v>
      </c>
      <c r="I22" s="48" t="s">
        <v>217</v>
      </c>
      <c r="J22" s="48" t="s">
        <v>218</v>
      </c>
      <c r="K22" s="53" t="s">
        <v>219</v>
      </c>
      <c r="L22" s="53"/>
      <c r="M22" s="53" t="s">
        <v>220</v>
      </c>
      <c r="N22" s="50" t="s">
        <v>184</v>
      </c>
      <c r="O22" s="54" t="s">
        <v>47</v>
      </c>
      <c r="P22" s="50" t="s">
        <v>221</v>
      </c>
      <c r="Q22" s="48" t="s">
        <v>166</v>
      </c>
      <c r="R22" s="24">
        <f t="shared" si="0"/>
        <v>1</v>
      </c>
      <c r="S22" s="10"/>
      <c r="T22" s="236"/>
      <c r="U22" s="237"/>
      <c r="V22" s="238"/>
      <c r="W22" s="237"/>
      <c r="X22" s="238"/>
      <c r="Y22" s="239"/>
    </row>
    <row r="23" spans="1:25" s="4" customFormat="1" ht="27.95" customHeight="1">
      <c r="A23" s="12">
        <v>20</v>
      </c>
      <c r="B23" s="75" t="s">
        <v>223</v>
      </c>
      <c r="C23" s="76" t="s">
        <v>224</v>
      </c>
      <c r="D23" s="76" t="s">
        <v>224</v>
      </c>
      <c r="E23" s="62" t="s">
        <v>225</v>
      </c>
      <c r="F23" s="62" t="s">
        <v>226</v>
      </c>
      <c r="G23" s="20" t="s">
        <v>29</v>
      </c>
      <c r="H23" s="29" t="s">
        <v>227</v>
      </c>
      <c r="I23" s="18" t="s">
        <v>228</v>
      </c>
      <c r="J23" s="18" t="s">
        <v>168</v>
      </c>
      <c r="K23" s="18" t="s">
        <v>229</v>
      </c>
      <c r="L23" s="77"/>
      <c r="M23" s="26" t="s">
        <v>230</v>
      </c>
      <c r="N23" s="18" t="s">
        <v>231</v>
      </c>
      <c r="O23" s="29" t="s">
        <v>232</v>
      </c>
      <c r="P23" s="267"/>
      <c r="Q23" s="268"/>
      <c r="R23" s="24">
        <f t="shared" si="0"/>
        <v>1</v>
      </c>
      <c r="S23" s="10"/>
      <c r="T23" s="236"/>
      <c r="U23" s="237"/>
      <c r="V23" s="238"/>
      <c r="W23" s="237"/>
      <c r="X23" s="238"/>
      <c r="Y23" s="239"/>
    </row>
    <row r="24" spans="1:25" s="4" customFormat="1" ht="27.95" customHeight="1">
      <c r="A24" s="12">
        <v>21</v>
      </c>
      <c r="B24" s="27" t="s">
        <v>233</v>
      </c>
      <c r="C24" s="78" t="s">
        <v>234</v>
      </c>
      <c r="D24" s="78" t="s">
        <v>235</v>
      </c>
      <c r="E24" s="16" t="s">
        <v>236</v>
      </c>
      <c r="F24" s="59" t="s">
        <v>237</v>
      </c>
      <c r="G24" s="18" t="s">
        <v>238</v>
      </c>
      <c r="H24" s="21" t="s">
        <v>239</v>
      </c>
      <c r="I24" s="16" t="s">
        <v>240</v>
      </c>
      <c r="J24" s="18" t="s">
        <v>166</v>
      </c>
      <c r="K24" s="22" t="s">
        <v>241</v>
      </c>
      <c r="L24" s="22"/>
      <c r="M24" s="18" t="s">
        <v>168</v>
      </c>
      <c r="N24" s="18" t="s">
        <v>65</v>
      </c>
      <c r="O24" s="21" t="s">
        <v>242</v>
      </c>
      <c r="P24" s="269"/>
      <c r="Q24" s="270"/>
      <c r="R24" s="24">
        <f t="shared" si="0"/>
        <v>1</v>
      </c>
      <c r="S24" s="10"/>
      <c r="T24" s="236"/>
      <c r="U24" s="237"/>
      <c r="V24" s="238"/>
      <c r="W24" s="237"/>
      <c r="X24" s="238"/>
      <c r="Y24" s="239"/>
    </row>
    <row r="25" spans="1:25" s="4" customFormat="1" ht="27.95" customHeight="1">
      <c r="A25" s="12">
        <v>22</v>
      </c>
      <c r="B25" s="44" t="s">
        <v>222</v>
      </c>
      <c r="C25" s="78" t="s">
        <v>243</v>
      </c>
      <c r="D25" s="78" t="s">
        <v>244</v>
      </c>
      <c r="E25" s="79" t="s">
        <v>245</v>
      </c>
      <c r="F25" s="80" t="s">
        <v>246</v>
      </c>
      <c r="G25" s="16" t="s">
        <v>247</v>
      </c>
      <c r="H25" s="22" t="s">
        <v>248</v>
      </c>
      <c r="I25" s="80" t="s">
        <v>205</v>
      </c>
      <c r="J25" s="42" t="s">
        <v>249</v>
      </c>
      <c r="K25" s="59" t="s">
        <v>250</v>
      </c>
      <c r="L25" s="42"/>
      <c r="M25" s="22" t="s">
        <v>251</v>
      </c>
      <c r="N25" s="21" t="s">
        <v>221</v>
      </c>
      <c r="O25" s="16" t="s">
        <v>252</v>
      </c>
      <c r="P25" s="269"/>
      <c r="Q25" s="270"/>
      <c r="R25" s="24">
        <f t="shared" si="0"/>
        <v>1</v>
      </c>
      <c r="S25" s="10"/>
      <c r="T25" s="236"/>
      <c r="U25" s="237"/>
      <c r="V25" s="238"/>
      <c r="W25" s="237"/>
      <c r="X25" s="238"/>
      <c r="Y25" s="239"/>
    </row>
    <row r="26" spans="1:25" s="4" customFormat="1" ht="27.95" customHeight="1" thickBot="1">
      <c r="A26" s="12">
        <v>23</v>
      </c>
      <c r="B26" s="81" t="s">
        <v>142</v>
      </c>
      <c r="C26" s="82" t="s">
        <v>253</v>
      </c>
      <c r="D26" s="82" t="s">
        <v>254</v>
      </c>
      <c r="E26" s="71" t="s">
        <v>255</v>
      </c>
      <c r="F26" s="71" t="s">
        <v>191</v>
      </c>
      <c r="G26" s="71" t="s">
        <v>215</v>
      </c>
      <c r="H26" s="69" t="s">
        <v>256</v>
      </c>
      <c r="I26" s="71" t="s">
        <v>138</v>
      </c>
      <c r="J26" s="71" t="s">
        <v>257</v>
      </c>
      <c r="K26" s="71" t="s">
        <v>181</v>
      </c>
      <c r="L26" s="83"/>
      <c r="M26" s="69" t="s">
        <v>258</v>
      </c>
      <c r="N26" s="70" t="s">
        <v>110</v>
      </c>
      <c r="O26" s="84" t="s">
        <v>259</v>
      </c>
      <c r="P26" s="271"/>
      <c r="Q26" s="272"/>
      <c r="R26" s="24">
        <f>(COUNTA(C26:Q26))/12</f>
        <v>1</v>
      </c>
      <c r="S26" s="10"/>
      <c r="T26" s="236"/>
      <c r="U26" s="237"/>
      <c r="V26" s="238"/>
      <c r="W26" s="237"/>
      <c r="X26" s="238"/>
      <c r="Y26" s="239"/>
    </row>
    <row r="27" spans="1:25" s="4" customFormat="1" ht="27.95" customHeight="1">
      <c r="A27" s="85" t="s">
        <v>260</v>
      </c>
      <c r="B27" s="86" t="s">
        <v>261</v>
      </c>
      <c r="C27" s="260"/>
      <c r="D27" s="261"/>
      <c r="E27" s="29"/>
      <c r="F27" s="18"/>
      <c r="G27" s="87"/>
      <c r="H27" s="88"/>
      <c r="I27" s="17"/>
      <c r="J27" s="60"/>
      <c r="K27" s="89"/>
      <c r="L27" s="90"/>
      <c r="M27" s="91"/>
      <c r="N27" s="87"/>
      <c r="O27" s="91"/>
      <c r="P27" s="92"/>
      <c r="Q27" s="64"/>
      <c r="R27" s="24">
        <f>(COUNTA(C27:Q27))/6</f>
        <v>0</v>
      </c>
      <c r="S27" s="10"/>
      <c r="T27" s="236"/>
      <c r="U27" s="237"/>
      <c r="V27" s="238"/>
      <c r="W27" s="237"/>
      <c r="X27" s="238"/>
      <c r="Y27" s="239"/>
    </row>
    <row r="28" spans="1:25" s="4" customFormat="1" ht="27.95" customHeight="1" thickBot="1">
      <c r="A28" s="93" t="s">
        <v>262</v>
      </c>
      <c r="B28" s="94" t="s">
        <v>263</v>
      </c>
      <c r="C28" s="260"/>
      <c r="D28" s="261"/>
      <c r="E28" s="95"/>
      <c r="F28" s="96"/>
      <c r="G28" s="97"/>
      <c r="H28" s="97"/>
      <c r="I28" s="97"/>
      <c r="J28" s="95"/>
      <c r="K28" s="98"/>
      <c r="L28" s="99"/>
      <c r="M28" s="95"/>
      <c r="N28" s="95"/>
      <c r="O28" s="95"/>
      <c r="P28" s="100"/>
      <c r="Q28" s="95"/>
      <c r="R28" s="24">
        <f>(COUNTA(C28:Q28))/7</f>
        <v>0</v>
      </c>
      <c r="S28" s="10"/>
      <c r="T28" s="262"/>
      <c r="U28" s="263"/>
      <c r="V28" s="263"/>
      <c r="W28" s="263"/>
      <c r="X28" s="263"/>
      <c r="Y28" s="264"/>
    </row>
    <row r="29" spans="1:25" s="4" customFormat="1" ht="9.9499999999999993" customHeight="1" thickBot="1">
      <c r="A29" s="101"/>
      <c r="B29" s="102"/>
      <c r="C29" s="102"/>
      <c r="D29" s="102"/>
      <c r="E29" s="103"/>
      <c r="F29" s="104"/>
      <c r="G29" s="55"/>
      <c r="H29" s="55"/>
      <c r="I29" s="55"/>
      <c r="J29" s="55"/>
      <c r="K29" s="103"/>
      <c r="L29" s="104"/>
      <c r="M29" s="103"/>
      <c r="N29" s="55"/>
      <c r="O29" s="104"/>
      <c r="P29" s="104"/>
      <c r="Q29" s="105"/>
      <c r="R29" s="106"/>
      <c r="S29" s="10"/>
      <c r="T29" s="236"/>
      <c r="U29" s="237"/>
      <c r="V29" s="238"/>
      <c r="W29" s="237"/>
      <c r="X29" s="238"/>
      <c r="Y29" s="239"/>
    </row>
    <row r="30" spans="1:25" s="4" customFormat="1" ht="109.5" customHeight="1" thickBot="1">
      <c r="A30" s="240"/>
      <c r="B30" s="242" t="s">
        <v>264</v>
      </c>
      <c r="C30" s="244"/>
      <c r="D30" s="245"/>
      <c r="E30" s="107" t="s">
        <v>265</v>
      </c>
      <c r="F30" s="108" t="s">
        <v>266</v>
      </c>
      <c r="G30" s="64" t="s">
        <v>267</v>
      </c>
      <c r="H30" s="64" t="s">
        <v>268</v>
      </c>
      <c r="I30" s="18" t="s">
        <v>269</v>
      </c>
      <c r="J30" s="20" t="s">
        <v>270</v>
      </c>
      <c r="K30" s="18" t="s">
        <v>271</v>
      </c>
      <c r="L30" s="19"/>
      <c r="M30" s="20" t="s">
        <v>272</v>
      </c>
      <c r="N30" s="17" t="s">
        <v>273</v>
      </c>
      <c r="O30" s="109" t="s">
        <v>274</v>
      </c>
      <c r="P30" s="17" t="s">
        <v>275</v>
      </c>
      <c r="Q30" s="18" t="s">
        <v>276</v>
      </c>
      <c r="R30" s="24">
        <f>(COUNTA(C30:Q30))/12</f>
        <v>1</v>
      </c>
      <c r="S30" s="10"/>
      <c r="T30" s="250"/>
      <c r="U30" s="251"/>
      <c r="V30" s="252"/>
      <c r="W30" s="251"/>
      <c r="X30" s="252"/>
      <c r="Y30" s="253"/>
    </row>
    <row r="31" spans="1:25" s="4" customFormat="1" ht="129.94999999999999" customHeight="1" thickBot="1">
      <c r="A31" s="241"/>
      <c r="B31" s="243"/>
      <c r="C31" s="246"/>
      <c r="D31" s="247"/>
      <c r="E31" s="110" t="s">
        <v>277</v>
      </c>
      <c r="F31" s="21" t="s">
        <v>278</v>
      </c>
      <c r="G31" s="15" t="s">
        <v>279</v>
      </c>
      <c r="H31" s="42" t="s">
        <v>280</v>
      </c>
      <c r="I31" s="22" t="s">
        <v>281</v>
      </c>
      <c r="J31" s="21" t="s">
        <v>282</v>
      </c>
      <c r="K31" s="21" t="s">
        <v>283</v>
      </c>
      <c r="L31" s="21"/>
      <c r="M31" s="42" t="s">
        <v>284</v>
      </c>
      <c r="N31" s="111" t="s">
        <v>285</v>
      </c>
      <c r="O31" s="28" t="s">
        <v>286</v>
      </c>
      <c r="P31" s="112" t="s">
        <v>287</v>
      </c>
      <c r="Q31" s="21" t="s">
        <v>288</v>
      </c>
      <c r="R31" s="106"/>
      <c r="S31" s="10"/>
      <c r="T31" s="254"/>
      <c r="U31" s="255"/>
      <c r="V31" s="256"/>
      <c r="W31" s="255"/>
      <c r="X31" s="257"/>
      <c r="Y31" s="258"/>
    </row>
    <row r="32" spans="1:25" s="4" customFormat="1" ht="69.95" customHeight="1" thickBot="1">
      <c r="A32" s="113"/>
      <c r="B32" s="67" t="s">
        <v>289</v>
      </c>
      <c r="C32" s="248"/>
      <c r="D32" s="249"/>
      <c r="E32" s="114" t="s">
        <v>290</v>
      </c>
      <c r="F32" s="115" t="s">
        <v>291</v>
      </c>
      <c r="G32" s="69" t="s">
        <v>292</v>
      </c>
      <c r="H32" s="69" t="s">
        <v>293</v>
      </c>
      <c r="I32" s="71" t="s">
        <v>294</v>
      </c>
      <c r="J32" s="69" t="s">
        <v>295</v>
      </c>
      <c r="K32" s="69" t="s">
        <v>296</v>
      </c>
      <c r="L32" s="72"/>
      <c r="M32" s="69" t="s">
        <v>297</v>
      </c>
      <c r="N32" s="71" t="s">
        <v>298</v>
      </c>
      <c r="O32" s="48" t="s">
        <v>299</v>
      </c>
      <c r="P32" s="116" t="s">
        <v>300</v>
      </c>
      <c r="Q32" s="116" t="s">
        <v>300</v>
      </c>
      <c r="R32" s="24">
        <f>(COUNTA(F32:P32))/10</f>
        <v>1</v>
      </c>
      <c r="S32" s="10"/>
      <c r="T32" s="254"/>
      <c r="U32" s="259"/>
      <c r="V32" s="257"/>
      <c r="W32" s="259"/>
      <c r="X32" s="257"/>
      <c r="Y32" s="258"/>
    </row>
    <row r="33" spans="1:21" ht="9.9499999999999993" customHeight="1">
      <c r="A33" s="117"/>
      <c r="B33" s="117"/>
      <c r="C33" s="118"/>
      <c r="D33" s="118"/>
      <c r="O33" s="120"/>
      <c r="S33" s="10"/>
      <c r="U33" s="4"/>
    </row>
    <row r="34" spans="1:21" ht="21" customHeight="1">
      <c r="B34" s="122"/>
      <c r="C34" s="122"/>
      <c r="D34" s="2"/>
      <c r="E34" s="123"/>
      <c r="F34" s="124"/>
      <c r="G34" s="124"/>
      <c r="H34" s="124"/>
      <c r="I34" s="124"/>
      <c r="L34" s="4"/>
      <c r="R34" s="2"/>
    </row>
    <row r="35" spans="1:21" ht="45.75" customHeight="1">
      <c r="B35" s="122"/>
      <c r="C35" s="122"/>
      <c r="D35" s="2"/>
      <c r="E35" s="124"/>
      <c r="F35" s="124"/>
      <c r="G35" s="124"/>
      <c r="H35" s="124"/>
      <c r="I35" s="124"/>
      <c r="L35" s="4"/>
      <c r="R35" s="2"/>
    </row>
    <row r="36" spans="1:21" ht="27.95" customHeight="1">
      <c r="B36" s="122"/>
      <c r="C36" s="122"/>
      <c r="D36" s="2"/>
      <c r="E36" s="124"/>
      <c r="F36" s="124"/>
      <c r="G36" s="124"/>
      <c r="H36" s="124"/>
      <c r="I36" s="124"/>
      <c r="L36" s="2"/>
      <c r="R36" s="2"/>
    </row>
    <row r="37" spans="1:21" ht="27.95" customHeight="1">
      <c r="B37" s="122"/>
      <c r="C37" s="122"/>
      <c r="D37" s="2"/>
      <c r="E37" s="124"/>
      <c r="F37" s="124"/>
      <c r="G37" s="124"/>
      <c r="H37" s="124"/>
      <c r="I37" s="124"/>
      <c r="L37" s="2"/>
      <c r="R37" s="2"/>
    </row>
    <row r="38" spans="1:21" ht="42" customHeight="1">
      <c r="B38" s="2"/>
      <c r="C38" s="2"/>
      <c r="D38" s="2"/>
      <c r="L38" s="2"/>
      <c r="R38" s="2"/>
    </row>
    <row r="39" spans="1:21" ht="9.9499999999999993" customHeight="1">
      <c r="D39" s="2"/>
      <c r="L39" s="2"/>
      <c r="R39" s="2"/>
    </row>
    <row r="40" spans="1:21" ht="27.95" customHeight="1">
      <c r="A40" s="126"/>
      <c r="B40" s="126"/>
      <c r="C40" s="126"/>
      <c r="D40" s="2"/>
      <c r="L40" s="2"/>
      <c r="R40" s="2"/>
    </row>
    <row r="41" spans="1:21" ht="27.95" customHeight="1">
      <c r="A41" s="126"/>
      <c r="B41" s="126"/>
      <c r="C41" s="126"/>
      <c r="D41" s="2"/>
      <c r="L41" s="2"/>
      <c r="R41" s="2"/>
    </row>
    <row r="42" spans="1:21" ht="27.95" customHeight="1">
      <c r="A42" s="126"/>
      <c r="B42" s="126"/>
      <c r="C42" s="126"/>
      <c r="D42" s="2"/>
      <c r="L42" s="2"/>
      <c r="R42" s="2"/>
    </row>
    <row r="43" spans="1:21" ht="27.95" customHeight="1">
      <c r="A43" s="126"/>
      <c r="B43" s="126"/>
      <c r="C43" s="126"/>
      <c r="D43" s="2"/>
      <c r="L43" s="2"/>
      <c r="R43" s="2"/>
    </row>
    <row r="44" spans="1:21" ht="27.95" customHeight="1">
      <c r="A44" s="126"/>
      <c r="B44" s="126"/>
      <c r="C44" s="126"/>
      <c r="D44" s="2"/>
      <c r="L44" s="2"/>
      <c r="R44" s="2"/>
    </row>
    <row r="45" spans="1:21">
      <c r="A45" s="126"/>
      <c r="B45" s="126"/>
      <c r="C45" s="126"/>
      <c r="D45" s="2"/>
      <c r="L45" s="2"/>
      <c r="R45" s="2"/>
    </row>
    <row r="46" spans="1:21">
      <c r="A46" s="126"/>
      <c r="B46" s="126"/>
      <c r="C46" s="126"/>
      <c r="D46" s="2"/>
      <c r="L46" s="2"/>
      <c r="R46" s="2"/>
    </row>
    <row r="47" spans="1:21">
      <c r="A47" s="126"/>
      <c r="B47" s="126"/>
      <c r="C47" s="126"/>
      <c r="D47" s="2"/>
      <c r="L47" s="2"/>
      <c r="R47" s="2"/>
    </row>
    <row r="48" spans="1:21">
      <c r="A48" s="126"/>
      <c r="B48" s="126"/>
      <c r="C48" s="126"/>
      <c r="D48" s="2"/>
      <c r="L48" s="2"/>
      <c r="R48" s="2"/>
    </row>
    <row r="49" spans="1:18">
      <c r="A49" s="126"/>
      <c r="B49" s="126"/>
      <c r="C49" s="126"/>
      <c r="D49" s="2"/>
      <c r="L49" s="2"/>
      <c r="R49" s="2"/>
    </row>
    <row r="50" spans="1:18">
      <c r="A50" s="126"/>
      <c r="B50" s="126"/>
      <c r="C50" s="126"/>
      <c r="D50" s="2"/>
      <c r="L50" s="2"/>
      <c r="R50" s="2"/>
    </row>
    <row r="51" spans="1:18" ht="9.9499999999999993" customHeight="1">
      <c r="D51" s="2"/>
      <c r="L51" s="2"/>
      <c r="R51" s="2"/>
    </row>
    <row r="52" spans="1:18">
      <c r="D52" s="2"/>
      <c r="L52" s="2"/>
      <c r="R52" s="2"/>
    </row>
    <row r="53" spans="1:18" ht="30" customHeight="1">
      <c r="D53" s="2"/>
      <c r="L53" s="2"/>
      <c r="R53" s="2"/>
    </row>
    <row r="54" spans="1:18" ht="30" customHeight="1">
      <c r="D54" s="2"/>
      <c r="L54" s="2"/>
      <c r="R54" s="2"/>
    </row>
    <row r="55" spans="1:18" ht="69.95" customHeight="1">
      <c r="D55" s="2"/>
      <c r="L55" s="2"/>
      <c r="R55" s="2"/>
    </row>
    <row r="56" spans="1:18" ht="30" customHeight="1">
      <c r="D56" s="2"/>
      <c r="L56" s="2"/>
      <c r="R56" s="2"/>
    </row>
    <row r="57" spans="1:18" ht="30" customHeight="1">
      <c r="D57" s="2"/>
      <c r="L57" s="2"/>
      <c r="R57" s="2"/>
    </row>
    <row r="58" spans="1:18">
      <c r="D58" s="2"/>
      <c r="L58" s="2"/>
      <c r="R58" s="2"/>
    </row>
    <row r="59" spans="1:18">
      <c r="D59" s="2"/>
      <c r="L59" s="2"/>
      <c r="R59" s="2"/>
    </row>
    <row r="60" spans="1:18">
      <c r="D60" s="2"/>
      <c r="L60" s="2"/>
      <c r="R60" s="2"/>
    </row>
    <row r="61" spans="1:18">
      <c r="D61" s="2"/>
      <c r="L61" s="2"/>
      <c r="R61" s="2"/>
    </row>
    <row r="62" spans="1:18">
      <c r="D62" s="2"/>
      <c r="L62" s="2"/>
      <c r="R62" s="2"/>
    </row>
    <row r="63" spans="1:18">
      <c r="H63" s="4"/>
      <c r="I63" s="4"/>
      <c r="J63" s="4"/>
    </row>
  </sheetData>
  <mergeCells count="94">
    <mergeCell ref="A1:Q1"/>
    <mergeCell ref="A2:Q2"/>
    <mergeCell ref="C4:D9"/>
    <mergeCell ref="T4:Y5"/>
    <mergeCell ref="T6:U6"/>
    <mergeCell ref="V6:W6"/>
    <mergeCell ref="X6:Y6"/>
    <mergeCell ref="T7:U7"/>
    <mergeCell ref="V7:W7"/>
    <mergeCell ref="X7:Y7"/>
    <mergeCell ref="X12:Y12"/>
    <mergeCell ref="T8:U8"/>
    <mergeCell ref="V8:W8"/>
    <mergeCell ref="X8:Y8"/>
    <mergeCell ref="T9:U9"/>
    <mergeCell ref="V9:W9"/>
    <mergeCell ref="X9:Y9"/>
    <mergeCell ref="T13:U13"/>
    <mergeCell ref="V13:W13"/>
    <mergeCell ref="X13:Y13"/>
    <mergeCell ref="C14:D14"/>
    <mergeCell ref="T14:U14"/>
    <mergeCell ref="V14:W14"/>
    <mergeCell ref="X14:Y14"/>
    <mergeCell ref="P10:Q13"/>
    <mergeCell ref="T10:U10"/>
    <mergeCell ref="V10:W10"/>
    <mergeCell ref="X10:Y10"/>
    <mergeCell ref="T11:U11"/>
    <mergeCell ref="V11:W11"/>
    <mergeCell ref="X11:Y11"/>
    <mergeCell ref="T12:U12"/>
    <mergeCell ref="V12:W12"/>
    <mergeCell ref="C15:D21"/>
    <mergeCell ref="T15:U15"/>
    <mergeCell ref="V15:W15"/>
    <mergeCell ref="X15:Y15"/>
    <mergeCell ref="T16:U16"/>
    <mergeCell ref="V16:W16"/>
    <mergeCell ref="X16:Y16"/>
    <mergeCell ref="T17:U17"/>
    <mergeCell ref="V17:W17"/>
    <mergeCell ref="X17:Y17"/>
    <mergeCell ref="T18:U18"/>
    <mergeCell ref="V18:W18"/>
    <mergeCell ref="X18:Y18"/>
    <mergeCell ref="T19:U19"/>
    <mergeCell ref="V19:W19"/>
    <mergeCell ref="X19:Y19"/>
    <mergeCell ref="T20:U20"/>
    <mergeCell ref="V20:W20"/>
    <mergeCell ref="X20:Y20"/>
    <mergeCell ref="T21:U21"/>
    <mergeCell ref="V21:W21"/>
    <mergeCell ref="X21:Y21"/>
    <mergeCell ref="C22:D22"/>
    <mergeCell ref="T22:U22"/>
    <mergeCell ref="V22:W22"/>
    <mergeCell ref="X22:Y22"/>
    <mergeCell ref="P23:Q26"/>
    <mergeCell ref="T23:U23"/>
    <mergeCell ref="V23:W23"/>
    <mergeCell ref="X23:Y23"/>
    <mergeCell ref="T24:U24"/>
    <mergeCell ref="V24:W24"/>
    <mergeCell ref="X24:Y24"/>
    <mergeCell ref="T25:U25"/>
    <mergeCell ref="V25:W25"/>
    <mergeCell ref="X25:Y25"/>
    <mergeCell ref="T26:U26"/>
    <mergeCell ref="V26:W26"/>
    <mergeCell ref="X26:Y26"/>
    <mergeCell ref="C27:D28"/>
    <mergeCell ref="T27:U27"/>
    <mergeCell ref="V27:W27"/>
    <mergeCell ref="X27:Y27"/>
    <mergeCell ref="T28:U28"/>
    <mergeCell ref="V28:W28"/>
    <mergeCell ref="X28:Y28"/>
    <mergeCell ref="T29:U29"/>
    <mergeCell ref="V29:W29"/>
    <mergeCell ref="X29:Y29"/>
    <mergeCell ref="A30:A31"/>
    <mergeCell ref="B30:B31"/>
    <mergeCell ref="C30:D32"/>
    <mergeCell ref="T30:U30"/>
    <mergeCell ref="V30:W30"/>
    <mergeCell ref="X30:Y30"/>
    <mergeCell ref="T31:U31"/>
    <mergeCell ref="V31:W31"/>
    <mergeCell ref="X31:Y31"/>
    <mergeCell ref="T32:U32"/>
    <mergeCell ref="V32:W32"/>
    <mergeCell ref="X32:Y32"/>
  </mergeCells>
  <phoneticPr fontId="3" type="noConversion"/>
  <pageMargins left="0.7" right="0.7" top="0.75" bottom="0.75" header="0.3" footer="0.3"/>
  <pageSetup paperSize="9" scale="32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63"/>
  <sheetViews>
    <sheetView tabSelected="1" topLeftCell="A2" zoomScale="85" zoomScaleNormal="85" workbookViewId="0">
      <selection activeCell="A17" sqref="A17"/>
    </sheetView>
  </sheetViews>
  <sheetFormatPr defaultRowHeight="16.5"/>
  <cols>
    <col min="1" max="1" width="3.25" style="128" customWidth="1"/>
    <col min="2" max="2" width="10" style="229" customWidth="1"/>
    <col min="3" max="4" width="11.875" style="229" customWidth="1"/>
    <col min="5" max="11" width="11.875" style="128" customWidth="1"/>
    <col min="12" max="12" width="2.625" style="225" customWidth="1"/>
    <col min="13" max="17" width="11.875" style="128" customWidth="1"/>
    <col min="18" max="18" width="11.875" style="227" hidden="1" customWidth="1"/>
    <col min="19" max="19" width="6.125" style="128" customWidth="1"/>
    <col min="20" max="25" width="8.125" style="128" customWidth="1"/>
    <col min="26" max="16384" width="9" style="128"/>
  </cols>
  <sheetData>
    <row r="1" spans="1:30" ht="16.5" hidden="1" customHeight="1">
      <c r="A1" s="336" t="s">
        <v>301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127"/>
    </row>
    <row r="2" spans="1:30" ht="18" customHeight="1" thickBot="1">
      <c r="A2" s="338" t="s">
        <v>302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129"/>
      <c r="T2" s="130"/>
      <c r="U2" s="130"/>
      <c r="V2" s="130"/>
      <c r="W2" s="130"/>
      <c r="X2" s="130"/>
      <c r="Y2" s="130"/>
      <c r="AA2" s="130"/>
      <c r="AB2" s="130"/>
      <c r="AC2" s="130"/>
      <c r="AD2" s="130"/>
    </row>
    <row r="3" spans="1:30" ht="21" customHeight="1">
      <c r="A3" s="131"/>
      <c r="B3" s="132" t="s">
        <v>303</v>
      </c>
      <c r="C3" s="133" t="s">
        <v>304</v>
      </c>
      <c r="D3" s="133" t="s">
        <v>305</v>
      </c>
      <c r="E3" s="133" t="s">
        <v>306</v>
      </c>
      <c r="F3" s="133" t="s">
        <v>6</v>
      </c>
      <c r="G3" s="133" t="s">
        <v>7</v>
      </c>
      <c r="H3" s="133" t="s">
        <v>307</v>
      </c>
      <c r="I3" s="133" t="s">
        <v>308</v>
      </c>
      <c r="J3" s="133" t="s">
        <v>309</v>
      </c>
      <c r="K3" s="133" t="s">
        <v>310</v>
      </c>
      <c r="L3" s="134" t="s">
        <v>12</v>
      </c>
      <c r="M3" s="133" t="s">
        <v>311</v>
      </c>
      <c r="N3" s="133" t="s">
        <v>14</v>
      </c>
      <c r="O3" s="133" t="s">
        <v>15</v>
      </c>
      <c r="P3" s="133" t="s">
        <v>16</v>
      </c>
      <c r="Q3" s="133" t="s">
        <v>17</v>
      </c>
      <c r="R3" s="135">
        <f>AVERAGE(R4:R32)</f>
        <v>0.97476190476190472</v>
      </c>
      <c r="S3" s="136"/>
      <c r="T3" s="297" t="s">
        <v>312</v>
      </c>
      <c r="U3" s="298"/>
      <c r="V3" s="298"/>
      <c r="W3" s="298"/>
      <c r="X3" s="298"/>
      <c r="Y3" s="299"/>
    </row>
    <row r="4" spans="1:30" s="130" customFormat="1" ht="27.95" customHeight="1" thickBot="1">
      <c r="A4" s="137">
        <v>1</v>
      </c>
      <c r="B4" s="138" t="s">
        <v>313</v>
      </c>
      <c r="C4" s="340"/>
      <c r="D4" s="341"/>
      <c r="E4" s="139" t="s">
        <v>314</v>
      </c>
      <c r="F4" s="140" t="s">
        <v>315</v>
      </c>
      <c r="G4" s="16" t="s">
        <v>316</v>
      </c>
      <c r="H4" s="141" t="s">
        <v>522</v>
      </c>
      <c r="I4" s="141" t="s">
        <v>317</v>
      </c>
      <c r="J4" s="142" t="s">
        <v>318</v>
      </c>
      <c r="K4" s="141" t="s">
        <v>319</v>
      </c>
      <c r="L4" s="143"/>
      <c r="M4" s="141" t="s">
        <v>320</v>
      </c>
      <c r="N4" s="144" t="s">
        <v>321</v>
      </c>
      <c r="O4" s="141" t="s">
        <v>322</v>
      </c>
      <c r="P4" s="145" t="s">
        <v>323</v>
      </c>
      <c r="Q4" s="23" t="s">
        <v>324</v>
      </c>
      <c r="R4" s="24">
        <f>(COUNTA(G4:Q4))/10</f>
        <v>1</v>
      </c>
      <c r="S4" s="136"/>
      <c r="T4" s="300"/>
      <c r="U4" s="301"/>
      <c r="V4" s="301"/>
      <c r="W4" s="301"/>
      <c r="X4" s="301"/>
      <c r="Y4" s="302"/>
    </row>
    <row r="5" spans="1:30" s="130" customFormat="1" ht="27.95" customHeight="1">
      <c r="A5" s="137">
        <v>2</v>
      </c>
      <c r="B5" s="146" t="s">
        <v>325</v>
      </c>
      <c r="C5" s="342"/>
      <c r="D5" s="343"/>
      <c r="E5" s="145" t="s">
        <v>326</v>
      </c>
      <c r="F5" s="147" t="s">
        <v>327</v>
      </c>
      <c r="G5" s="141" t="s">
        <v>328</v>
      </c>
      <c r="H5" s="143" t="s">
        <v>329</v>
      </c>
      <c r="I5" s="141" t="s">
        <v>330</v>
      </c>
      <c r="J5" s="141" t="s">
        <v>38</v>
      </c>
      <c r="K5" s="141" t="s">
        <v>331</v>
      </c>
      <c r="L5" s="142"/>
      <c r="M5" s="141" t="s">
        <v>332</v>
      </c>
      <c r="N5" s="148" t="s">
        <v>333</v>
      </c>
      <c r="O5" s="143" t="s">
        <v>592</v>
      </c>
      <c r="P5" s="144" t="s">
        <v>334</v>
      </c>
      <c r="Q5" s="144" t="s">
        <v>44</v>
      </c>
      <c r="R5" s="24">
        <f>(COUNTA(C5:Q5))/12</f>
        <v>1</v>
      </c>
      <c r="S5" s="136"/>
      <c r="T5" s="303" t="s">
        <v>335</v>
      </c>
      <c r="U5" s="304"/>
      <c r="V5" s="305" t="s">
        <v>336</v>
      </c>
      <c r="W5" s="304"/>
      <c r="X5" s="305" t="s">
        <v>337</v>
      </c>
      <c r="Y5" s="306"/>
    </row>
    <row r="6" spans="1:30" s="130" customFormat="1" ht="27.95" customHeight="1">
      <c r="A6" s="137">
        <v>3</v>
      </c>
      <c r="B6" s="149" t="s">
        <v>338</v>
      </c>
      <c r="C6" s="342"/>
      <c r="D6" s="343"/>
      <c r="E6" s="142" t="s">
        <v>339</v>
      </c>
      <c r="F6" s="145" t="s">
        <v>340</v>
      </c>
      <c r="G6" s="144" t="s">
        <v>341</v>
      </c>
      <c r="H6" s="145" t="s">
        <v>342</v>
      </c>
      <c r="I6" s="145" t="s">
        <v>343</v>
      </c>
      <c r="J6" s="141" t="s">
        <v>51</v>
      </c>
      <c r="K6" s="144" t="s">
        <v>344</v>
      </c>
      <c r="L6" s="145"/>
      <c r="M6" s="144" t="s">
        <v>77</v>
      </c>
      <c r="N6" s="139" t="s">
        <v>555</v>
      </c>
      <c r="O6" s="141" t="s">
        <v>345</v>
      </c>
      <c r="P6" s="144" t="s">
        <v>56</v>
      </c>
      <c r="Q6" s="144" t="s">
        <v>57</v>
      </c>
      <c r="R6" s="24">
        <f>(COUNTA(C6:Q6))/12</f>
        <v>1</v>
      </c>
      <c r="S6" s="136"/>
      <c r="T6" s="236" t="s">
        <v>524</v>
      </c>
      <c r="U6" s="237"/>
      <c r="V6" s="238" t="s">
        <v>525</v>
      </c>
      <c r="W6" s="237"/>
      <c r="X6" s="238" t="s">
        <v>526</v>
      </c>
      <c r="Y6" s="239"/>
    </row>
    <row r="7" spans="1:30" s="130" customFormat="1" ht="27.95" customHeight="1">
      <c r="A7" s="137">
        <v>3</v>
      </c>
      <c r="B7" s="138" t="s">
        <v>346</v>
      </c>
      <c r="C7" s="342"/>
      <c r="D7" s="343"/>
      <c r="E7" s="16" t="s">
        <v>506</v>
      </c>
      <c r="F7" s="144" t="s">
        <v>347</v>
      </c>
      <c r="G7" s="144" t="s">
        <v>348</v>
      </c>
      <c r="H7" s="144" t="s">
        <v>327</v>
      </c>
      <c r="I7" s="141" t="s">
        <v>332</v>
      </c>
      <c r="J7" s="29" t="s">
        <v>349</v>
      </c>
      <c r="K7" s="144" t="s">
        <v>350</v>
      </c>
      <c r="L7" s="145"/>
      <c r="M7" s="145" t="s">
        <v>351</v>
      </c>
      <c r="N7" s="141" t="s">
        <v>352</v>
      </c>
      <c r="O7" s="144" t="s">
        <v>69</v>
      </c>
      <c r="P7" s="145" t="s">
        <v>70</v>
      </c>
      <c r="Q7" s="30" t="s">
        <v>353</v>
      </c>
      <c r="R7" s="24">
        <f>(COUNTA(C7:Q7))/12</f>
        <v>1</v>
      </c>
      <c r="S7" s="136"/>
      <c r="T7" s="236" t="s">
        <v>532</v>
      </c>
      <c r="U7" s="237"/>
      <c r="V7" s="238" t="s">
        <v>533</v>
      </c>
      <c r="W7" s="237"/>
      <c r="X7" s="238" t="s">
        <v>534</v>
      </c>
      <c r="Y7" s="239"/>
    </row>
    <row r="8" spans="1:30" s="130" customFormat="1" ht="27.95" customHeight="1">
      <c r="A8" s="137">
        <v>5</v>
      </c>
      <c r="B8" s="150" t="s">
        <v>354</v>
      </c>
      <c r="C8" s="342"/>
      <c r="D8" s="343"/>
      <c r="E8" s="144" t="s">
        <v>355</v>
      </c>
      <c r="F8" s="144" t="s">
        <v>57</v>
      </c>
      <c r="G8" s="144" t="s">
        <v>321</v>
      </c>
      <c r="H8" s="144" t="s">
        <v>75</v>
      </c>
      <c r="I8" s="144" t="s">
        <v>356</v>
      </c>
      <c r="J8" s="144" t="s">
        <v>77</v>
      </c>
      <c r="K8" s="145" t="s">
        <v>357</v>
      </c>
      <c r="L8" s="144"/>
      <c r="M8" s="144" t="s">
        <v>358</v>
      </c>
      <c r="N8" s="151" t="s">
        <v>315</v>
      </c>
      <c r="O8" s="152" t="s">
        <v>359</v>
      </c>
      <c r="P8" s="145" t="s">
        <v>360</v>
      </c>
      <c r="Q8" s="30" t="s">
        <v>83</v>
      </c>
      <c r="R8" s="24">
        <f t="shared" ref="R8:R25" si="0">(COUNTA(C8:Q8))/12</f>
        <v>1</v>
      </c>
      <c r="S8" s="136"/>
      <c r="T8" s="236" t="s">
        <v>548</v>
      </c>
      <c r="U8" s="237"/>
      <c r="V8" s="238" t="s">
        <v>545</v>
      </c>
      <c r="W8" s="237"/>
      <c r="X8" s="238" t="s">
        <v>544</v>
      </c>
      <c r="Y8" s="239"/>
    </row>
    <row r="9" spans="1:30" s="130" customFormat="1" ht="27.95" customHeight="1" thickBot="1">
      <c r="A9" s="137">
        <v>6</v>
      </c>
      <c r="B9" s="153" t="s">
        <v>361</v>
      </c>
      <c r="C9" s="344"/>
      <c r="D9" s="345"/>
      <c r="E9" s="154"/>
      <c r="F9" s="155"/>
      <c r="G9" s="154"/>
      <c r="H9" s="154"/>
      <c r="I9" s="154"/>
      <c r="J9" s="155"/>
      <c r="K9" s="37"/>
      <c r="L9" s="155"/>
      <c r="M9" s="156"/>
      <c r="N9" s="157"/>
      <c r="O9" s="158"/>
      <c r="P9" s="159"/>
      <c r="Q9" s="155"/>
      <c r="R9" s="24"/>
      <c r="S9" s="136"/>
      <c r="T9" s="236" t="s">
        <v>566</v>
      </c>
      <c r="U9" s="237"/>
      <c r="V9" s="238" t="s">
        <v>567</v>
      </c>
      <c r="W9" s="237"/>
      <c r="X9" s="238" t="s">
        <v>568</v>
      </c>
      <c r="Y9" s="239"/>
    </row>
    <row r="10" spans="1:30" s="130" customFormat="1" ht="27.95" customHeight="1">
      <c r="A10" s="137">
        <v>7</v>
      </c>
      <c r="B10" s="150" t="s">
        <v>362</v>
      </c>
      <c r="C10" s="160" t="s">
        <v>331</v>
      </c>
      <c r="D10" s="160" t="s">
        <v>331</v>
      </c>
      <c r="E10" s="144" t="s">
        <v>363</v>
      </c>
      <c r="F10" s="144" t="s">
        <v>364</v>
      </c>
      <c r="G10" s="144" t="s">
        <v>365</v>
      </c>
      <c r="H10" s="144" t="s">
        <v>92</v>
      </c>
      <c r="I10" s="144" t="s">
        <v>366</v>
      </c>
      <c r="J10" s="144" t="s">
        <v>367</v>
      </c>
      <c r="K10" s="16" t="s">
        <v>368</v>
      </c>
      <c r="L10" s="144"/>
      <c r="M10" s="144" t="s">
        <v>369</v>
      </c>
      <c r="N10" s="152" t="s">
        <v>370</v>
      </c>
      <c r="O10" s="161" t="s">
        <v>371</v>
      </c>
      <c r="P10" s="330"/>
      <c r="Q10" s="331"/>
      <c r="R10" s="24">
        <f t="shared" si="0"/>
        <v>1</v>
      </c>
      <c r="S10" s="136"/>
      <c r="T10" s="236" t="s">
        <v>569</v>
      </c>
      <c r="U10" s="237"/>
      <c r="V10" s="238" t="s">
        <v>570</v>
      </c>
      <c r="W10" s="237"/>
      <c r="X10" s="238" t="s">
        <v>571</v>
      </c>
      <c r="Y10" s="239"/>
    </row>
    <row r="11" spans="1:30" s="130" customFormat="1" ht="27.95" customHeight="1">
      <c r="A11" s="137">
        <v>8</v>
      </c>
      <c r="B11" s="162" t="s">
        <v>372</v>
      </c>
      <c r="C11" s="163" t="s">
        <v>321</v>
      </c>
      <c r="D11" s="163" t="s">
        <v>321</v>
      </c>
      <c r="E11" s="16" t="s">
        <v>364</v>
      </c>
      <c r="F11" s="196" t="s">
        <v>373</v>
      </c>
      <c r="G11" s="144" t="s">
        <v>374</v>
      </c>
      <c r="H11" s="144" t="s">
        <v>57</v>
      </c>
      <c r="I11" s="16" t="s">
        <v>369</v>
      </c>
      <c r="J11" s="144" t="s">
        <v>375</v>
      </c>
      <c r="K11" s="139" t="s">
        <v>376</v>
      </c>
      <c r="L11" s="144"/>
      <c r="M11" s="144" t="s">
        <v>377</v>
      </c>
      <c r="N11" s="145" t="s">
        <v>378</v>
      </c>
      <c r="O11" s="143" t="s">
        <v>379</v>
      </c>
      <c r="P11" s="332"/>
      <c r="Q11" s="333"/>
      <c r="R11" s="24">
        <f t="shared" si="0"/>
        <v>1</v>
      </c>
      <c r="S11" s="136"/>
      <c r="T11" s="236" t="s">
        <v>566</v>
      </c>
      <c r="U11" s="237"/>
      <c r="V11" s="238" t="s">
        <v>572</v>
      </c>
      <c r="W11" s="237"/>
      <c r="X11" s="238" t="s">
        <v>573</v>
      </c>
      <c r="Y11" s="239"/>
    </row>
    <row r="12" spans="1:30" s="130" customFormat="1" ht="27.95" customHeight="1">
      <c r="A12" s="137">
        <v>9</v>
      </c>
      <c r="B12" s="146" t="s">
        <v>380</v>
      </c>
      <c r="C12" s="163" t="s">
        <v>547</v>
      </c>
      <c r="D12" s="163" t="s">
        <v>547</v>
      </c>
      <c r="E12" s="144" t="s">
        <v>381</v>
      </c>
      <c r="F12" s="144" t="s">
        <v>382</v>
      </c>
      <c r="G12" s="142" t="s">
        <v>339</v>
      </c>
      <c r="H12" s="144" t="s">
        <v>330</v>
      </c>
      <c r="I12" s="144" t="s">
        <v>383</v>
      </c>
      <c r="J12" s="145" t="s">
        <v>384</v>
      </c>
      <c r="K12" s="147" t="s">
        <v>333</v>
      </c>
      <c r="L12" s="144"/>
      <c r="M12" s="143" t="s">
        <v>385</v>
      </c>
      <c r="N12" s="145" t="s">
        <v>350</v>
      </c>
      <c r="O12" s="16" t="s">
        <v>386</v>
      </c>
      <c r="P12" s="332"/>
      <c r="Q12" s="333"/>
      <c r="R12" s="24">
        <f t="shared" si="0"/>
        <v>1</v>
      </c>
      <c r="S12" s="136"/>
      <c r="T12" s="236" t="s">
        <v>574</v>
      </c>
      <c r="U12" s="237"/>
      <c r="V12" s="238" t="s">
        <v>575</v>
      </c>
      <c r="W12" s="237"/>
      <c r="X12" s="238" t="s">
        <v>576</v>
      </c>
      <c r="Y12" s="239"/>
    </row>
    <row r="13" spans="1:30" s="130" customFormat="1" ht="27.95" customHeight="1" thickBot="1">
      <c r="A13" s="137">
        <v>10</v>
      </c>
      <c r="B13" s="164" t="s">
        <v>387</v>
      </c>
      <c r="C13" s="165" t="s">
        <v>327</v>
      </c>
      <c r="D13" s="165" t="s">
        <v>327</v>
      </c>
      <c r="E13" s="166" t="s">
        <v>371</v>
      </c>
      <c r="F13" s="167" t="s">
        <v>388</v>
      </c>
      <c r="G13" s="166" t="s">
        <v>538</v>
      </c>
      <c r="H13" s="166" t="s">
        <v>535</v>
      </c>
      <c r="I13" s="168" t="s">
        <v>389</v>
      </c>
      <c r="J13" s="166" t="s">
        <v>355</v>
      </c>
      <c r="K13" s="166" t="s">
        <v>323</v>
      </c>
      <c r="L13" s="51"/>
      <c r="M13" s="221" t="s">
        <v>536</v>
      </c>
      <c r="N13" s="166" t="s">
        <v>344</v>
      </c>
      <c r="O13" s="166" t="s">
        <v>390</v>
      </c>
      <c r="P13" s="334"/>
      <c r="Q13" s="335"/>
      <c r="R13" s="24">
        <f t="shared" si="0"/>
        <v>1</v>
      </c>
      <c r="S13" s="136"/>
      <c r="T13" s="236" t="s">
        <v>577</v>
      </c>
      <c r="U13" s="237"/>
      <c r="V13" s="238" t="s">
        <v>567</v>
      </c>
      <c r="W13" s="237"/>
      <c r="X13" s="238" t="s">
        <v>578</v>
      </c>
      <c r="Y13" s="239"/>
    </row>
    <row r="14" spans="1:30" s="177" customFormat="1" ht="27.95" customHeight="1" thickBot="1">
      <c r="A14" s="137">
        <v>11</v>
      </c>
      <c r="B14" s="169" t="s">
        <v>391</v>
      </c>
      <c r="C14" s="319"/>
      <c r="D14" s="320"/>
      <c r="E14" s="170"/>
      <c r="F14" s="171"/>
      <c r="G14" s="172"/>
      <c r="H14" s="171"/>
      <c r="I14" s="158"/>
      <c r="J14" s="173"/>
      <c r="K14" s="174"/>
      <c r="L14" s="175"/>
      <c r="M14" s="173"/>
      <c r="N14" s="176"/>
      <c r="O14" s="174"/>
      <c r="P14" s="170"/>
      <c r="Q14" s="175"/>
      <c r="R14" s="24"/>
      <c r="S14" s="136"/>
      <c r="T14" s="236" t="s">
        <v>579</v>
      </c>
      <c r="U14" s="237"/>
      <c r="V14" s="238" t="s">
        <v>580</v>
      </c>
      <c r="W14" s="237"/>
      <c r="X14" s="238" t="s">
        <v>581</v>
      </c>
      <c r="Y14" s="239"/>
    </row>
    <row r="15" spans="1:30" s="177" customFormat="1" ht="27.95" customHeight="1">
      <c r="A15" s="137">
        <v>12</v>
      </c>
      <c r="B15" s="150" t="s">
        <v>393</v>
      </c>
      <c r="C15" s="321"/>
      <c r="D15" s="322"/>
      <c r="E15" s="327" t="s">
        <v>394</v>
      </c>
      <c r="F15" s="328"/>
      <c r="G15" s="328"/>
      <c r="H15" s="329"/>
      <c r="I15" s="141" t="s">
        <v>395</v>
      </c>
      <c r="J15" s="143" t="s">
        <v>396</v>
      </c>
      <c r="K15" s="141" t="s">
        <v>397</v>
      </c>
      <c r="L15" s="143"/>
      <c r="M15" s="141" t="s">
        <v>398</v>
      </c>
      <c r="N15" s="141" t="s">
        <v>557</v>
      </c>
      <c r="O15" s="143" t="s">
        <v>399</v>
      </c>
      <c r="P15" s="145" t="s">
        <v>400</v>
      </c>
      <c r="Q15" s="235" t="s">
        <v>565</v>
      </c>
      <c r="R15" s="24">
        <f t="shared" si="0"/>
        <v>0.75</v>
      </c>
      <c r="S15" s="136"/>
      <c r="T15" s="236" t="s">
        <v>579</v>
      </c>
      <c r="U15" s="237"/>
      <c r="V15" s="238" t="s">
        <v>582</v>
      </c>
      <c r="W15" s="237"/>
      <c r="X15" s="238" t="s">
        <v>583</v>
      </c>
      <c r="Y15" s="239"/>
    </row>
    <row r="16" spans="1:30" s="177" customFormat="1" ht="27.95" customHeight="1">
      <c r="A16" s="137">
        <v>13</v>
      </c>
      <c r="B16" s="178" t="s">
        <v>401</v>
      </c>
      <c r="C16" s="323"/>
      <c r="D16" s="324"/>
      <c r="E16" s="141" t="s">
        <v>402</v>
      </c>
      <c r="F16" s="143" t="s">
        <v>520</v>
      </c>
      <c r="G16" s="141" t="s">
        <v>403</v>
      </c>
      <c r="H16" s="141" t="s">
        <v>404</v>
      </c>
      <c r="I16" s="143" t="s">
        <v>405</v>
      </c>
      <c r="J16" s="206" t="s">
        <v>521</v>
      </c>
      <c r="K16" s="143" t="s">
        <v>406</v>
      </c>
      <c r="L16" s="142"/>
      <c r="M16" s="206" t="s">
        <v>560</v>
      </c>
      <c r="N16" s="142" t="s">
        <v>407</v>
      </c>
      <c r="O16" s="144" t="s">
        <v>408</v>
      </c>
      <c r="P16" s="145" t="s">
        <v>561</v>
      </c>
      <c r="Q16" s="141" t="s">
        <v>409</v>
      </c>
      <c r="R16" s="24">
        <f t="shared" si="0"/>
        <v>1</v>
      </c>
      <c r="S16" s="136"/>
      <c r="T16" s="236" t="s">
        <v>584</v>
      </c>
      <c r="U16" s="237"/>
      <c r="V16" s="238" t="s">
        <v>585</v>
      </c>
      <c r="W16" s="237"/>
      <c r="X16" s="238" t="s">
        <v>586</v>
      </c>
      <c r="Y16" s="239"/>
    </row>
    <row r="17" spans="1:25" s="177" customFormat="1" ht="27.95" customHeight="1">
      <c r="A17" s="137">
        <v>14</v>
      </c>
      <c r="B17" s="178" t="s">
        <v>410</v>
      </c>
      <c r="C17" s="323"/>
      <c r="D17" s="324"/>
      <c r="E17" s="145" t="s">
        <v>411</v>
      </c>
      <c r="F17" s="139" t="s">
        <v>412</v>
      </c>
      <c r="G17" s="144" t="s">
        <v>413</v>
      </c>
      <c r="H17" s="145" t="s">
        <v>414</v>
      </c>
      <c r="I17" s="145" t="s">
        <v>415</v>
      </c>
      <c r="J17" s="141" t="s">
        <v>169</v>
      </c>
      <c r="K17" s="142" t="s">
        <v>416</v>
      </c>
      <c r="L17" s="145"/>
      <c r="M17" s="16" t="s">
        <v>417</v>
      </c>
      <c r="N17" s="152" t="s">
        <v>418</v>
      </c>
      <c r="O17" s="143" t="s">
        <v>563</v>
      </c>
      <c r="P17" s="145" t="s">
        <v>556</v>
      </c>
      <c r="Q17" s="145" t="s">
        <v>419</v>
      </c>
      <c r="R17" s="24">
        <f t="shared" si="0"/>
        <v>1</v>
      </c>
      <c r="S17" s="136"/>
      <c r="T17" s="236" t="s">
        <v>587</v>
      </c>
      <c r="U17" s="237"/>
      <c r="V17" s="238" t="s">
        <v>588</v>
      </c>
      <c r="W17" s="237"/>
      <c r="X17" s="238" t="s">
        <v>589</v>
      </c>
      <c r="Y17" s="239"/>
    </row>
    <row r="18" spans="1:25" s="130" customFormat="1" ht="27.95" customHeight="1">
      <c r="A18" s="137">
        <v>15</v>
      </c>
      <c r="B18" s="179" t="s">
        <v>420</v>
      </c>
      <c r="C18" s="323"/>
      <c r="D18" s="324"/>
      <c r="E18" s="180" t="s">
        <v>413</v>
      </c>
      <c r="F18" s="144" t="s">
        <v>421</v>
      </c>
      <c r="G18" s="29" t="s">
        <v>422</v>
      </c>
      <c r="H18" s="141" t="s">
        <v>423</v>
      </c>
      <c r="I18" s="145" t="s">
        <v>178</v>
      </c>
      <c r="J18" s="145" t="s">
        <v>530</v>
      </c>
      <c r="K18" s="144" t="s">
        <v>424</v>
      </c>
      <c r="L18" s="151"/>
      <c r="M18" s="145" t="s">
        <v>425</v>
      </c>
      <c r="N18" s="16" t="s">
        <v>426</v>
      </c>
      <c r="O18" s="145" t="s">
        <v>551</v>
      </c>
      <c r="P18" s="145" t="s">
        <v>553</v>
      </c>
      <c r="Q18" s="145" t="s">
        <v>558</v>
      </c>
      <c r="R18" s="24">
        <f t="shared" si="0"/>
        <v>1</v>
      </c>
      <c r="S18" s="136"/>
      <c r="T18" s="236" t="s">
        <v>593</v>
      </c>
      <c r="U18" s="237"/>
      <c r="V18" s="238" t="s">
        <v>594</v>
      </c>
      <c r="W18" s="237"/>
      <c r="X18" s="238" t="s">
        <v>595</v>
      </c>
      <c r="Y18" s="239"/>
    </row>
    <row r="19" spans="1:25" s="130" customFormat="1" ht="27.95" customHeight="1">
      <c r="A19" s="137">
        <v>16</v>
      </c>
      <c r="B19" s="181" t="s">
        <v>427</v>
      </c>
      <c r="C19" s="323"/>
      <c r="D19" s="324"/>
      <c r="E19" s="180" t="s">
        <v>428</v>
      </c>
      <c r="F19" s="234" t="s">
        <v>527</v>
      </c>
      <c r="G19" s="141" t="s">
        <v>429</v>
      </c>
      <c r="H19" s="141" t="s">
        <v>430</v>
      </c>
      <c r="I19" s="141" t="s">
        <v>431</v>
      </c>
      <c r="J19" s="141" t="s">
        <v>529</v>
      </c>
      <c r="K19" s="143" t="s">
        <v>433</v>
      </c>
      <c r="L19" s="143"/>
      <c r="M19" s="141" t="s">
        <v>434</v>
      </c>
      <c r="N19" s="143" t="s">
        <v>435</v>
      </c>
      <c r="O19" s="148" t="s">
        <v>403</v>
      </c>
      <c r="P19" s="145" t="s">
        <v>436</v>
      </c>
      <c r="Q19" s="144" t="s">
        <v>437</v>
      </c>
      <c r="R19" s="24">
        <f t="shared" si="0"/>
        <v>1</v>
      </c>
      <c r="S19" s="136"/>
      <c r="T19" s="236"/>
      <c r="U19" s="237"/>
      <c r="V19" s="238"/>
      <c r="W19" s="237"/>
      <c r="X19" s="238"/>
      <c r="Y19" s="239"/>
    </row>
    <row r="20" spans="1:25" s="130" customFormat="1" ht="27.95" customHeight="1">
      <c r="A20" s="137">
        <v>17</v>
      </c>
      <c r="B20" s="182" t="s">
        <v>438</v>
      </c>
      <c r="C20" s="323"/>
      <c r="D20" s="324"/>
      <c r="E20" s="145" t="s">
        <v>194</v>
      </c>
      <c r="F20" s="144" t="s">
        <v>195</v>
      </c>
      <c r="G20" s="139" t="s">
        <v>439</v>
      </c>
      <c r="H20" s="145" t="s">
        <v>440</v>
      </c>
      <c r="I20" s="145" t="s">
        <v>197</v>
      </c>
      <c r="J20" s="141" t="s">
        <v>198</v>
      </c>
      <c r="K20" s="142" t="s">
        <v>441</v>
      </c>
      <c r="L20" s="145"/>
      <c r="M20" s="16" t="s">
        <v>441</v>
      </c>
      <c r="N20" s="143" t="s">
        <v>433</v>
      </c>
      <c r="O20" s="206" t="s">
        <v>564</v>
      </c>
      <c r="P20" s="143" t="s">
        <v>200</v>
      </c>
      <c r="Q20" s="183" t="s">
        <v>201</v>
      </c>
      <c r="R20" s="24">
        <f t="shared" si="0"/>
        <v>1</v>
      </c>
      <c r="S20" s="136"/>
      <c r="T20" s="236"/>
      <c r="U20" s="237"/>
      <c r="V20" s="238"/>
      <c r="W20" s="237"/>
      <c r="X20" s="238"/>
      <c r="Y20" s="239"/>
    </row>
    <row r="21" spans="1:25" s="130" customFormat="1" ht="27.95" customHeight="1" thickBot="1">
      <c r="A21" s="137">
        <v>18</v>
      </c>
      <c r="B21" s="184" t="s">
        <v>442</v>
      </c>
      <c r="C21" s="325"/>
      <c r="D21" s="326"/>
      <c r="E21" s="185" t="s">
        <v>433</v>
      </c>
      <c r="F21" s="186" t="s">
        <v>203</v>
      </c>
      <c r="G21" s="70" t="s">
        <v>443</v>
      </c>
      <c r="H21" s="187" t="s">
        <v>432</v>
      </c>
      <c r="I21" s="187" t="s">
        <v>444</v>
      </c>
      <c r="J21" s="186" t="s">
        <v>408</v>
      </c>
      <c r="K21" s="187" t="s">
        <v>445</v>
      </c>
      <c r="L21" s="188"/>
      <c r="M21" s="186" t="s">
        <v>208</v>
      </c>
      <c r="N21" s="187" t="s">
        <v>446</v>
      </c>
      <c r="O21" s="187" t="s">
        <v>447</v>
      </c>
      <c r="P21" s="186" t="s">
        <v>448</v>
      </c>
      <c r="Q21" s="187" t="s">
        <v>449</v>
      </c>
      <c r="R21" s="24">
        <f t="shared" si="0"/>
        <v>1</v>
      </c>
      <c r="S21" s="136"/>
      <c r="T21" s="236"/>
      <c r="U21" s="237"/>
      <c r="V21" s="238"/>
      <c r="W21" s="237"/>
      <c r="X21" s="238"/>
      <c r="Y21" s="239"/>
    </row>
    <row r="22" spans="1:25" s="130" customFormat="1" ht="27.95" customHeight="1" thickBot="1">
      <c r="A22" s="137">
        <v>19</v>
      </c>
      <c r="B22" s="189" t="s">
        <v>450</v>
      </c>
      <c r="C22" s="317"/>
      <c r="D22" s="318"/>
      <c r="E22" s="166" t="s">
        <v>424</v>
      </c>
      <c r="F22" s="166" t="s">
        <v>447</v>
      </c>
      <c r="G22" s="190" t="s">
        <v>451</v>
      </c>
      <c r="H22" s="221" t="s">
        <v>452</v>
      </c>
      <c r="I22" s="166" t="s">
        <v>453</v>
      </c>
      <c r="J22" s="166" t="s">
        <v>218</v>
      </c>
      <c r="K22" s="191" t="s">
        <v>418</v>
      </c>
      <c r="L22" s="191"/>
      <c r="M22" s="191" t="s">
        <v>454</v>
      </c>
      <c r="N22" s="168" t="s">
        <v>428</v>
      </c>
      <c r="O22" s="191" t="s">
        <v>549</v>
      </c>
      <c r="P22" s="168" t="s">
        <v>455</v>
      </c>
      <c r="Q22" s="166" t="s">
        <v>413</v>
      </c>
      <c r="R22" s="24">
        <f t="shared" si="0"/>
        <v>1</v>
      </c>
      <c r="S22" s="136"/>
      <c r="T22" s="236"/>
      <c r="U22" s="237"/>
      <c r="V22" s="238"/>
      <c r="W22" s="237"/>
      <c r="X22" s="238"/>
      <c r="Y22" s="239"/>
    </row>
    <row r="23" spans="1:25" s="130" customFormat="1" ht="27.95" customHeight="1">
      <c r="A23" s="137">
        <v>20</v>
      </c>
      <c r="B23" s="192" t="s">
        <v>456</v>
      </c>
      <c r="C23" s="193" t="s">
        <v>457</v>
      </c>
      <c r="D23" s="193" t="s">
        <v>457</v>
      </c>
      <c r="E23" s="180" t="s">
        <v>458</v>
      </c>
      <c r="F23" s="180" t="s">
        <v>413</v>
      </c>
      <c r="G23" s="143" t="s">
        <v>459</v>
      </c>
      <c r="H23" s="29" t="s">
        <v>460</v>
      </c>
      <c r="I23" s="141" t="s">
        <v>461</v>
      </c>
      <c r="J23" s="141" t="s">
        <v>415</v>
      </c>
      <c r="K23" s="141" t="s">
        <v>462</v>
      </c>
      <c r="L23" s="194"/>
      <c r="M23" s="148" t="s">
        <v>446</v>
      </c>
      <c r="N23" s="141" t="s">
        <v>402</v>
      </c>
      <c r="O23" s="29" t="s">
        <v>463</v>
      </c>
      <c r="P23" s="311"/>
      <c r="Q23" s="312"/>
      <c r="R23" s="24">
        <f t="shared" si="0"/>
        <v>1</v>
      </c>
      <c r="S23" s="136"/>
      <c r="T23" s="236"/>
      <c r="U23" s="237"/>
      <c r="V23" s="238"/>
      <c r="W23" s="237"/>
      <c r="X23" s="238"/>
      <c r="Y23" s="239"/>
    </row>
    <row r="24" spans="1:25" s="130" customFormat="1" ht="27.95" customHeight="1">
      <c r="A24" s="137">
        <v>21</v>
      </c>
      <c r="B24" s="149" t="s">
        <v>464</v>
      </c>
      <c r="C24" s="195" t="s">
        <v>234</v>
      </c>
      <c r="D24" s="195" t="s">
        <v>235</v>
      </c>
      <c r="E24" s="16" t="s">
        <v>465</v>
      </c>
      <c r="F24" s="196" t="s">
        <v>466</v>
      </c>
      <c r="G24" s="141" t="s">
        <v>467</v>
      </c>
      <c r="H24" s="144" t="s">
        <v>468</v>
      </c>
      <c r="I24" s="16" t="s">
        <v>469</v>
      </c>
      <c r="J24" s="141" t="s">
        <v>546</v>
      </c>
      <c r="K24" s="145" t="s">
        <v>461</v>
      </c>
      <c r="L24" s="145"/>
      <c r="M24" s="141" t="s">
        <v>415</v>
      </c>
      <c r="N24" s="141" t="s">
        <v>470</v>
      </c>
      <c r="O24" s="144" t="s">
        <v>471</v>
      </c>
      <c r="P24" s="313"/>
      <c r="Q24" s="314"/>
      <c r="R24" s="24">
        <f t="shared" si="0"/>
        <v>1</v>
      </c>
      <c r="S24" s="136"/>
      <c r="T24" s="236"/>
      <c r="U24" s="237"/>
      <c r="V24" s="238"/>
      <c r="W24" s="237"/>
      <c r="X24" s="238"/>
      <c r="Y24" s="239"/>
    </row>
    <row r="25" spans="1:25" s="130" customFormat="1" ht="27.95" customHeight="1">
      <c r="A25" s="137">
        <v>22</v>
      </c>
      <c r="B25" s="162" t="s">
        <v>472</v>
      </c>
      <c r="C25" s="195" t="s">
        <v>243</v>
      </c>
      <c r="D25" s="195" t="s">
        <v>244</v>
      </c>
      <c r="E25" s="197" t="s">
        <v>473</v>
      </c>
      <c r="F25" s="145" t="s">
        <v>433</v>
      </c>
      <c r="G25" s="16" t="s">
        <v>392</v>
      </c>
      <c r="H25" s="196" t="s">
        <v>541</v>
      </c>
      <c r="I25" s="145" t="s">
        <v>543</v>
      </c>
      <c r="J25" s="198" t="s">
        <v>474</v>
      </c>
      <c r="K25" s="145" t="s">
        <v>409</v>
      </c>
      <c r="L25" s="198"/>
      <c r="M25" s="145" t="s">
        <v>475</v>
      </c>
      <c r="N25" s="144" t="s">
        <v>455</v>
      </c>
      <c r="O25" s="16" t="s">
        <v>476</v>
      </c>
      <c r="P25" s="313"/>
      <c r="Q25" s="314"/>
      <c r="R25" s="24">
        <f t="shared" si="0"/>
        <v>1</v>
      </c>
      <c r="S25" s="136"/>
      <c r="T25" s="236"/>
      <c r="U25" s="237"/>
      <c r="V25" s="238"/>
      <c r="W25" s="237"/>
      <c r="X25" s="238"/>
      <c r="Y25" s="239"/>
    </row>
    <row r="26" spans="1:25" s="130" customFormat="1" ht="27.95" customHeight="1" thickBot="1">
      <c r="A26" s="137">
        <v>23</v>
      </c>
      <c r="B26" s="199" t="s">
        <v>477</v>
      </c>
      <c r="C26" s="200" t="s">
        <v>253</v>
      </c>
      <c r="D26" s="200" t="s">
        <v>254</v>
      </c>
      <c r="E26" s="187" t="s">
        <v>478</v>
      </c>
      <c r="F26" s="187" t="s">
        <v>479</v>
      </c>
      <c r="G26" s="187" t="s">
        <v>447</v>
      </c>
      <c r="H26" s="186" t="s">
        <v>399</v>
      </c>
      <c r="I26" s="187" t="s">
        <v>480</v>
      </c>
      <c r="J26" s="187" t="s">
        <v>481</v>
      </c>
      <c r="K26" s="187" t="s">
        <v>426</v>
      </c>
      <c r="L26" s="201"/>
      <c r="M26" s="186" t="s">
        <v>482</v>
      </c>
      <c r="N26" s="70" t="s">
        <v>483</v>
      </c>
      <c r="O26" s="221" t="s">
        <v>537</v>
      </c>
      <c r="P26" s="315"/>
      <c r="Q26" s="316"/>
      <c r="R26" s="24">
        <f>(COUNTA(C26:Q26))/12</f>
        <v>1</v>
      </c>
      <c r="S26" s="136"/>
      <c r="T26" s="236"/>
      <c r="U26" s="237"/>
      <c r="V26" s="238"/>
      <c r="W26" s="237"/>
      <c r="X26" s="238"/>
      <c r="Y26" s="239"/>
    </row>
    <row r="27" spans="1:25" s="130" customFormat="1" ht="27.95" customHeight="1" thickBot="1">
      <c r="A27" s="202" t="s">
        <v>484</v>
      </c>
      <c r="B27" s="203" t="s">
        <v>485</v>
      </c>
      <c r="C27" s="309"/>
      <c r="D27" s="310"/>
      <c r="E27" s="29"/>
      <c r="F27" s="141"/>
      <c r="G27" s="141" t="s">
        <v>486</v>
      </c>
      <c r="H27" s="143"/>
      <c r="I27" s="141" t="s">
        <v>327</v>
      </c>
      <c r="J27" s="29"/>
      <c r="K27" s="29"/>
      <c r="L27" s="204"/>
      <c r="M27" s="141"/>
      <c r="N27" s="141"/>
      <c r="O27" s="141"/>
      <c r="P27" s="205"/>
      <c r="Q27" s="206"/>
      <c r="R27" s="24">
        <f>(COUNTA(C27:Q27))/6</f>
        <v>0.33333333333333331</v>
      </c>
      <c r="S27" s="136"/>
      <c r="T27" s="262"/>
      <c r="U27" s="263"/>
      <c r="V27" s="263"/>
      <c r="W27" s="263"/>
      <c r="X27" s="263"/>
      <c r="Y27" s="264"/>
    </row>
    <row r="28" spans="1:25" s="130" customFormat="1" ht="27.95" customHeight="1" thickBot="1">
      <c r="A28" s="207" t="s">
        <v>487</v>
      </c>
      <c r="B28" s="208" t="s">
        <v>488</v>
      </c>
      <c r="C28" s="309"/>
      <c r="D28" s="310"/>
      <c r="E28" s="141"/>
      <c r="F28" s="141"/>
      <c r="G28" s="234" t="s">
        <v>528</v>
      </c>
      <c r="H28" s="234" t="s">
        <v>542</v>
      </c>
      <c r="I28" s="141" t="s">
        <v>408</v>
      </c>
      <c r="J28" s="141" t="s">
        <v>399</v>
      </c>
      <c r="K28" s="141" t="s">
        <v>523</v>
      </c>
      <c r="L28" s="209"/>
      <c r="M28" s="141"/>
      <c r="N28" s="234" t="s">
        <v>559</v>
      </c>
      <c r="O28" s="141" t="s">
        <v>467</v>
      </c>
      <c r="P28" s="144" t="s">
        <v>489</v>
      </c>
      <c r="Q28" s="141" t="s">
        <v>490</v>
      </c>
      <c r="R28" s="24">
        <f>(COUNTA(C28:Q28))/7</f>
        <v>1.2857142857142858</v>
      </c>
      <c r="S28" s="136"/>
    </row>
    <row r="29" spans="1:25" s="130" customFormat="1" ht="9.9499999999999993" customHeight="1" thickBot="1">
      <c r="A29" s="210"/>
      <c r="B29" s="211"/>
      <c r="C29" s="211"/>
      <c r="D29" s="211"/>
      <c r="E29" s="103"/>
      <c r="F29" s="212"/>
      <c r="G29" s="213"/>
      <c r="H29" s="213"/>
      <c r="I29" s="213"/>
      <c r="J29" s="213"/>
      <c r="K29" s="103"/>
      <c r="L29" s="212"/>
      <c r="M29" s="103"/>
      <c r="N29" s="213"/>
      <c r="O29" s="212"/>
      <c r="P29" s="212"/>
      <c r="Q29" s="214"/>
      <c r="R29" s="215"/>
      <c r="S29" s="136"/>
    </row>
    <row r="30" spans="1:25" s="130" customFormat="1" ht="109.5" customHeight="1">
      <c r="A30" s="307"/>
      <c r="B30" s="242" t="s">
        <v>491</v>
      </c>
      <c r="C30" s="244"/>
      <c r="D30" s="245"/>
      <c r="E30" s="206" t="s">
        <v>503</v>
      </c>
      <c r="F30" s="216" t="s">
        <v>505</v>
      </c>
      <c r="G30" s="206" t="s">
        <v>518</v>
      </c>
      <c r="H30" s="206" t="s">
        <v>510</v>
      </c>
      <c r="I30" s="141" t="s">
        <v>531</v>
      </c>
      <c r="J30" s="143" t="s">
        <v>513</v>
      </c>
      <c r="K30" s="141" t="s">
        <v>514</v>
      </c>
      <c r="L30" s="142"/>
      <c r="M30" s="143" t="s">
        <v>515</v>
      </c>
      <c r="N30" s="217" t="s">
        <v>552</v>
      </c>
      <c r="O30" s="216" t="s">
        <v>516</v>
      </c>
      <c r="P30" s="217" t="s">
        <v>517</v>
      </c>
      <c r="Q30" s="141" t="s">
        <v>591</v>
      </c>
      <c r="R30" s="24">
        <f>(COUNTA(C30:Q30))/12</f>
        <v>1</v>
      </c>
      <c r="S30" s="136"/>
    </row>
    <row r="31" spans="1:25" s="130" customFormat="1" ht="129.94999999999999" customHeight="1">
      <c r="A31" s="308"/>
      <c r="B31" s="243"/>
      <c r="C31" s="246"/>
      <c r="D31" s="247"/>
      <c r="E31" s="218" t="s">
        <v>504</v>
      </c>
      <c r="F31" s="144" t="s">
        <v>507</v>
      </c>
      <c r="G31" s="140" t="s">
        <v>509</v>
      </c>
      <c r="H31" s="144" t="s">
        <v>511</v>
      </c>
      <c r="I31" s="231" t="s">
        <v>512</v>
      </c>
      <c r="J31" s="144" t="s">
        <v>539</v>
      </c>
      <c r="K31" s="144" t="s">
        <v>540</v>
      </c>
      <c r="L31" s="144"/>
      <c r="M31" s="144" t="s">
        <v>550</v>
      </c>
      <c r="N31" s="218" t="s">
        <v>554</v>
      </c>
      <c r="O31" s="232" t="s">
        <v>562</v>
      </c>
      <c r="P31" s="233" t="s">
        <v>596</v>
      </c>
      <c r="Q31" s="198" t="s">
        <v>590</v>
      </c>
      <c r="R31" s="215"/>
      <c r="S31" s="136"/>
    </row>
    <row r="32" spans="1:25" s="130" customFormat="1" ht="69.95" customHeight="1" thickBot="1">
      <c r="A32" s="219"/>
      <c r="B32" s="184" t="s">
        <v>492</v>
      </c>
      <c r="C32" s="248"/>
      <c r="D32" s="249"/>
      <c r="E32" s="220" t="s">
        <v>493</v>
      </c>
      <c r="F32" s="221" t="s">
        <v>508</v>
      </c>
      <c r="G32" s="186" t="s">
        <v>519</v>
      </c>
      <c r="H32" s="186" t="s">
        <v>494</v>
      </c>
      <c r="I32" s="187" t="s">
        <v>495</v>
      </c>
      <c r="J32" s="186" t="s">
        <v>496</v>
      </c>
      <c r="K32" s="186" t="s">
        <v>497</v>
      </c>
      <c r="L32" s="188"/>
      <c r="M32" s="186" t="s">
        <v>498</v>
      </c>
      <c r="N32" s="187" t="s">
        <v>499</v>
      </c>
      <c r="O32" s="166" t="s">
        <v>500</v>
      </c>
      <c r="P32" s="222" t="s">
        <v>501</v>
      </c>
      <c r="Q32" s="222" t="s">
        <v>502</v>
      </c>
      <c r="R32" s="24">
        <f>(COUNTA(F32:P32))/10</f>
        <v>1</v>
      </c>
      <c r="S32" s="136"/>
      <c r="V32" s="128"/>
      <c r="W32" s="128"/>
      <c r="X32" s="128"/>
      <c r="Y32" s="128"/>
    </row>
    <row r="33" spans="1:27" ht="9.9499999999999993" customHeight="1">
      <c r="A33" s="223"/>
      <c r="B33" s="223"/>
      <c r="C33" s="224"/>
      <c r="D33" s="224"/>
      <c r="O33" s="226"/>
      <c r="S33" s="136"/>
      <c r="AA33" s="130"/>
    </row>
    <row r="34" spans="1:27" ht="21" customHeight="1">
      <c r="B34" s="228"/>
      <c r="C34" s="228"/>
      <c r="D34" s="128"/>
      <c r="L34" s="128"/>
      <c r="R34" s="128"/>
    </row>
    <row r="35" spans="1:27" ht="45.75" customHeight="1">
      <c r="B35" s="228"/>
      <c r="C35" s="228"/>
      <c r="D35" s="128"/>
      <c r="L35" s="128"/>
      <c r="R35" s="128"/>
    </row>
    <row r="36" spans="1:27" ht="27.95" customHeight="1">
      <c r="B36" s="228"/>
      <c r="C36" s="228"/>
      <c r="D36" s="128"/>
      <c r="L36" s="128"/>
      <c r="R36" s="128"/>
    </row>
    <row r="37" spans="1:27" ht="27.95" customHeight="1">
      <c r="B37" s="228"/>
      <c r="C37" s="228"/>
      <c r="D37" s="128"/>
      <c r="L37" s="128"/>
      <c r="R37" s="128"/>
    </row>
    <row r="38" spans="1:27" ht="42" customHeight="1">
      <c r="B38" s="128"/>
      <c r="C38" s="128"/>
      <c r="D38" s="128"/>
      <c r="L38" s="128"/>
      <c r="R38" s="128"/>
    </row>
    <row r="39" spans="1:27" ht="9.9499999999999993" customHeight="1">
      <c r="D39" s="128"/>
      <c r="L39" s="128"/>
      <c r="R39" s="128"/>
    </row>
    <row r="40" spans="1:27" ht="27.95" customHeight="1">
      <c r="A40" s="230"/>
      <c r="B40" s="230"/>
      <c r="C40" s="230"/>
      <c r="D40" s="128"/>
      <c r="L40" s="128"/>
      <c r="R40" s="128"/>
    </row>
    <row r="41" spans="1:27" ht="27.95" customHeight="1">
      <c r="A41" s="230"/>
      <c r="B41" s="230"/>
      <c r="C41" s="230"/>
      <c r="D41" s="128"/>
      <c r="L41" s="128"/>
      <c r="R41" s="128"/>
    </row>
    <row r="42" spans="1:27" ht="27.95" customHeight="1">
      <c r="A42" s="230"/>
      <c r="B42" s="230"/>
      <c r="C42" s="230"/>
      <c r="D42" s="128"/>
      <c r="L42" s="128"/>
      <c r="R42" s="128"/>
    </row>
    <row r="43" spans="1:27" ht="27.95" customHeight="1">
      <c r="A43" s="230"/>
      <c r="B43" s="230"/>
      <c r="C43" s="230"/>
      <c r="D43" s="128"/>
      <c r="L43" s="128"/>
      <c r="R43" s="128"/>
    </row>
    <row r="44" spans="1:27" ht="27.95" customHeight="1">
      <c r="A44" s="230"/>
      <c r="B44" s="230"/>
      <c r="C44" s="230"/>
      <c r="D44" s="128"/>
      <c r="L44" s="128"/>
      <c r="R44" s="128"/>
    </row>
    <row r="45" spans="1:27">
      <c r="A45" s="230"/>
      <c r="B45" s="230"/>
      <c r="C45" s="230"/>
      <c r="D45" s="128"/>
      <c r="L45" s="128"/>
      <c r="R45" s="128"/>
    </row>
    <row r="46" spans="1:27">
      <c r="A46" s="230"/>
      <c r="B46" s="230"/>
      <c r="C46" s="230"/>
      <c r="D46" s="128"/>
      <c r="L46" s="128"/>
      <c r="R46" s="128"/>
    </row>
    <row r="47" spans="1:27">
      <c r="A47" s="230"/>
      <c r="B47" s="230"/>
      <c r="C47" s="230"/>
      <c r="D47" s="128"/>
      <c r="L47" s="128"/>
      <c r="R47" s="128"/>
    </row>
    <row r="48" spans="1:27">
      <c r="A48" s="230"/>
      <c r="B48" s="230"/>
      <c r="C48" s="230"/>
      <c r="D48" s="128"/>
      <c r="L48" s="128"/>
      <c r="R48" s="128"/>
    </row>
    <row r="49" spans="1:18">
      <c r="A49" s="230"/>
      <c r="B49" s="230"/>
      <c r="C49" s="230"/>
      <c r="D49" s="128"/>
      <c r="L49" s="128"/>
      <c r="R49" s="128"/>
    </row>
    <row r="50" spans="1:18">
      <c r="A50" s="230"/>
      <c r="B50" s="230"/>
      <c r="C50" s="230"/>
      <c r="D50" s="128"/>
      <c r="L50" s="128"/>
      <c r="R50" s="128"/>
    </row>
    <row r="51" spans="1:18" ht="9.9499999999999993" customHeight="1">
      <c r="D51" s="128"/>
      <c r="L51" s="128"/>
      <c r="R51" s="128"/>
    </row>
    <row r="52" spans="1:18">
      <c r="D52" s="128"/>
      <c r="L52" s="128"/>
      <c r="R52" s="128"/>
    </row>
    <row r="53" spans="1:18" ht="30" customHeight="1">
      <c r="D53" s="128"/>
      <c r="L53" s="128"/>
      <c r="R53" s="128"/>
    </row>
    <row r="54" spans="1:18" ht="30" customHeight="1">
      <c r="D54" s="128"/>
      <c r="L54" s="128"/>
      <c r="R54" s="128"/>
    </row>
    <row r="55" spans="1:18" ht="69.95" customHeight="1">
      <c r="D55" s="128"/>
      <c r="L55" s="128"/>
      <c r="R55" s="128"/>
    </row>
    <row r="56" spans="1:18" ht="30" customHeight="1">
      <c r="D56" s="128"/>
      <c r="L56" s="128"/>
      <c r="R56" s="128"/>
    </row>
    <row r="57" spans="1:18" ht="30" customHeight="1">
      <c r="D57" s="128"/>
      <c r="L57" s="128"/>
      <c r="R57" s="128"/>
    </row>
    <row r="58" spans="1:18">
      <c r="D58" s="128"/>
      <c r="L58" s="128"/>
      <c r="R58" s="128"/>
    </row>
    <row r="59" spans="1:18">
      <c r="D59" s="128"/>
      <c r="L59" s="128"/>
      <c r="R59" s="128"/>
    </row>
    <row r="60" spans="1:18">
      <c r="D60" s="128"/>
      <c r="L60" s="128"/>
      <c r="R60" s="128"/>
    </row>
    <row r="61" spans="1:18">
      <c r="D61" s="128"/>
      <c r="L61" s="128"/>
      <c r="R61" s="128"/>
    </row>
    <row r="62" spans="1:18">
      <c r="D62" s="128"/>
      <c r="L62" s="128"/>
      <c r="R62" s="128"/>
    </row>
    <row r="63" spans="1:18">
      <c r="H63" s="130"/>
      <c r="I63" s="130"/>
      <c r="J63" s="130"/>
    </row>
  </sheetData>
  <mergeCells count="83">
    <mergeCell ref="A1:Q1"/>
    <mergeCell ref="A2:Q2"/>
    <mergeCell ref="T3:Y4"/>
    <mergeCell ref="C4:D9"/>
    <mergeCell ref="T5:U5"/>
    <mergeCell ref="V5:W5"/>
    <mergeCell ref="X5:Y5"/>
    <mergeCell ref="T6:U6"/>
    <mergeCell ref="V6:W6"/>
    <mergeCell ref="X6:Y6"/>
    <mergeCell ref="T7:U7"/>
    <mergeCell ref="V7:W7"/>
    <mergeCell ref="X7:Y7"/>
    <mergeCell ref="T8:U8"/>
    <mergeCell ref="V8:W8"/>
    <mergeCell ref="X8:Y8"/>
    <mergeCell ref="T9:U9"/>
    <mergeCell ref="V9:W9"/>
    <mergeCell ref="X9:Y9"/>
    <mergeCell ref="P10:Q13"/>
    <mergeCell ref="T10:U10"/>
    <mergeCell ref="V10:W10"/>
    <mergeCell ref="X10:Y10"/>
    <mergeCell ref="T11:U11"/>
    <mergeCell ref="V11:W11"/>
    <mergeCell ref="X11:Y11"/>
    <mergeCell ref="T12:U12"/>
    <mergeCell ref="V12:W12"/>
    <mergeCell ref="X12:Y12"/>
    <mergeCell ref="T13:U13"/>
    <mergeCell ref="V13:W13"/>
    <mergeCell ref="X13:Y13"/>
    <mergeCell ref="C14:D14"/>
    <mergeCell ref="T14:U14"/>
    <mergeCell ref="V14:W14"/>
    <mergeCell ref="X14:Y14"/>
    <mergeCell ref="C15:D21"/>
    <mergeCell ref="E15:H15"/>
    <mergeCell ref="T15:U15"/>
    <mergeCell ref="V15:W15"/>
    <mergeCell ref="X15:Y15"/>
    <mergeCell ref="T16:U16"/>
    <mergeCell ref="V16:W16"/>
    <mergeCell ref="X16:Y16"/>
    <mergeCell ref="T17:U17"/>
    <mergeCell ref="V17:W17"/>
    <mergeCell ref="X17:Y17"/>
    <mergeCell ref="T19:U19"/>
    <mergeCell ref="V19:W19"/>
    <mergeCell ref="X19:Y19"/>
    <mergeCell ref="T18:U18"/>
    <mergeCell ref="V18:W18"/>
    <mergeCell ref="X18:Y18"/>
    <mergeCell ref="T20:U20"/>
    <mergeCell ref="V20:W20"/>
    <mergeCell ref="X20:Y20"/>
    <mergeCell ref="T21:U21"/>
    <mergeCell ref="V21:W21"/>
    <mergeCell ref="X21:Y21"/>
    <mergeCell ref="C22:D22"/>
    <mergeCell ref="T22:U22"/>
    <mergeCell ref="V22:W22"/>
    <mergeCell ref="X22:Y22"/>
    <mergeCell ref="X26:Y26"/>
    <mergeCell ref="X27:Y27"/>
    <mergeCell ref="P23:Q26"/>
    <mergeCell ref="T23:U23"/>
    <mergeCell ref="V23:W23"/>
    <mergeCell ref="X23:Y23"/>
    <mergeCell ref="T24:U24"/>
    <mergeCell ref="V24:W24"/>
    <mergeCell ref="X24:Y24"/>
    <mergeCell ref="T25:U25"/>
    <mergeCell ref="V25:W25"/>
    <mergeCell ref="X25:Y25"/>
    <mergeCell ref="A30:A31"/>
    <mergeCell ref="B30:B31"/>
    <mergeCell ref="C30:D32"/>
    <mergeCell ref="T26:U26"/>
    <mergeCell ref="V26:W26"/>
    <mergeCell ref="C27:D28"/>
    <mergeCell ref="T27:U27"/>
    <mergeCell ref="V27:W27"/>
  </mergeCells>
  <phoneticPr fontId="3" type="noConversion"/>
  <pageMargins left="0.7" right="0.7" top="0.75" bottom="0.75" header="0.3" footer="0.3"/>
  <pageSetup paperSize="9" scale="34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12.01</vt:lpstr>
      <vt:lpstr>12.02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cp:lastPrinted>2025-12-02T07:14:48Z</cp:lastPrinted>
  <dcterms:created xsi:type="dcterms:W3CDTF">2025-12-01T23:08:44Z</dcterms:created>
  <dcterms:modified xsi:type="dcterms:W3CDTF">2025-12-02T07:48:42Z</dcterms:modified>
</cp:coreProperties>
</file>