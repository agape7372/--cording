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28800" windowHeight="11955" activeTab="1"/>
  </bookViews>
  <sheets>
    <sheet name="12.1" sheetId="16" r:id="rId1"/>
    <sheet name="12.2" sheetId="1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7" i="17" l="1"/>
  <c r="R28" i="17"/>
  <c r="R26" i="17"/>
  <c r="R24" i="17"/>
  <c r="R23" i="17"/>
  <c r="R22" i="17"/>
  <c r="R21" i="17"/>
  <c r="R20" i="17"/>
  <c r="R19" i="17"/>
  <c r="R17" i="17"/>
  <c r="R16" i="17"/>
  <c r="R15" i="17"/>
  <c r="R14" i="17"/>
  <c r="R13" i="17"/>
  <c r="R12" i="17"/>
  <c r="R11" i="17"/>
  <c r="R10" i="17"/>
  <c r="R9" i="17"/>
  <c r="R7" i="17"/>
  <c r="R6" i="17"/>
  <c r="R5" i="17"/>
  <c r="R4" i="17"/>
  <c r="R3" i="17" l="1"/>
  <c r="S36" i="16"/>
  <c r="R28" i="16"/>
  <c r="R26" i="16"/>
  <c r="R24" i="16"/>
  <c r="R23" i="16"/>
  <c r="R22" i="16"/>
  <c r="R21" i="16"/>
  <c r="R20" i="16"/>
  <c r="R19" i="16"/>
  <c r="R17" i="16"/>
  <c r="R16" i="16"/>
  <c r="R15" i="16"/>
  <c r="R14" i="16"/>
  <c r="R13" i="16"/>
  <c r="R12" i="16"/>
  <c r="R11" i="16"/>
  <c r="R10" i="16"/>
  <c r="R9" i="16"/>
  <c r="R7" i="16"/>
  <c r="R6" i="16"/>
  <c r="R5" i="16"/>
  <c r="R4" i="16"/>
  <c r="R3" i="16" l="1"/>
</calcChain>
</file>

<file path=xl/sharedStrings.xml><?xml version="1.0" encoding="utf-8"?>
<sst xmlns="http://schemas.openxmlformats.org/spreadsheetml/2006/main" count="926" uniqueCount="721">
  <si>
    <t>8:30~
9:00</t>
  </si>
  <si>
    <t>9:05~
9:35</t>
  </si>
  <si>
    <t>9:40~
10:10</t>
  </si>
  <si>
    <t>10:15~
10:45</t>
  </si>
  <si>
    <t>10:50~
11:20</t>
  </si>
  <si>
    <t>11:25~
11:55</t>
  </si>
  <si>
    <t>12:00~ 
12:30</t>
  </si>
  <si>
    <t>점심</t>
  </si>
  <si>
    <t>13:30~
14:00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</si>
  <si>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</si>
  <si>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</si>
  <si>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</si>
  <si>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</si>
  <si>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</si>
  <si>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</si>
  <si>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</t>
  </si>
  <si>
    <t>단축근무</t>
  </si>
  <si>
    <t>재활센터 시간표     2023. 10. 31 (화)</t>
    <phoneticPr fontId="62" type="noConversion"/>
  </si>
  <si>
    <t xml:space="preserve">         시간      치료사</t>
    <phoneticPr fontId="62" type="noConversion"/>
  </si>
  <si>
    <t>7:30~
8:00</t>
    <phoneticPr fontId="62" type="noConversion"/>
  </si>
  <si>
    <t>8:00~
8:30</t>
    <phoneticPr fontId="62" type="noConversion"/>
  </si>
  <si>
    <t>8:30~
9:00</t>
    <phoneticPr fontId="62" type="noConversion"/>
  </si>
  <si>
    <t>10:15~
10:45</t>
    <phoneticPr fontId="62" type="noConversion"/>
  </si>
  <si>
    <t>11:25~
11:55</t>
    <phoneticPr fontId="62" type="noConversion"/>
  </si>
  <si>
    <t>12:00~
12:30</t>
    <phoneticPr fontId="62" type="noConversion"/>
  </si>
  <si>
    <t>13:30~
14:00</t>
    <phoneticPr fontId="62" type="noConversion"/>
  </si>
  <si>
    <t>최지영</t>
    <phoneticPr fontId="62" type="noConversion"/>
  </si>
  <si>
    <t>RM이정례3</t>
    <phoneticPr fontId="60" type="noConversion"/>
  </si>
  <si>
    <t>RG오병찬</t>
    <phoneticPr fontId="60" type="noConversion"/>
  </si>
  <si>
    <t>N유기분</t>
    <phoneticPr fontId="60" type="noConversion"/>
  </si>
  <si>
    <t>RM배희숙</t>
    <phoneticPr fontId="60" type="noConversion"/>
  </si>
  <si>
    <t>RM전효식</t>
    <phoneticPr fontId="60" type="noConversion"/>
  </si>
  <si>
    <t>RM조남선</t>
    <phoneticPr fontId="60" type="noConversion"/>
  </si>
  <si>
    <t>RG김귀례2</t>
    <phoneticPr fontId="60" type="noConversion"/>
  </si>
  <si>
    <t>RM이정임4</t>
    <phoneticPr fontId="60" type="noConversion"/>
  </si>
  <si>
    <t>RG이두현</t>
    <phoneticPr fontId="60" type="noConversion"/>
  </si>
  <si>
    <t>RG서정욱2</t>
    <phoneticPr fontId="60" type="noConversion"/>
  </si>
  <si>
    <t>RM서대성</t>
    <phoneticPr fontId="60" type="noConversion"/>
  </si>
  <si>
    <t>RM윤미기자</t>
    <phoneticPr fontId="60" type="noConversion"/>
  </si>
  <si>
    <t>* 신환</t>
  </si>
  <si>
    <t>서지현</t>
    <phoneticPr fontId="62" type="noConversion"/>
  </si>
  <si>
    <t>RM이재용2</t>
    <phoneticPr fontId="60" type="noConversion"/>
  </si>
  <si>
    <t>N김명숙19</t>
    <phoneticPr fontId="60" type="noConversion"/>
  </si>
  <si>
    <t>RN이강은</t>
    <phoneticPr fontId="60" type="noConversion"/>
  </si>
  <si>
    <t>N변종구</t>
    <phoneticPr fontId="60" type="noConversion"/>
  </si>
  <si>
    <t>N주현수2</t>
    <phoneticPr fontId="60" type="noConversion"/>
  </si>
  <si>
    <t>최옥자님 (RG10,RA2,MM4)
김철기님 (비사용? 척수회복기? 월요일 체크 후 오더 변경 예정) RG6,RA6,MM4</t>
    <phoneticPr fontId="60" type="noConversion"/>
  </si>
  <si>
    <t>전지원</t>
    <phoneticPr fontId="62" type="noConversion"/>
  </si>
  <si>
    <t>N김주식</t>
    <phoneticPr fontId="60" type="noConversion"/>
  </si>
  <si>
    <t>RN송진영</t>
    <phoneticPr fontId="60" type="noConversion"/>
  </si>
  <si>
    <t>RN서대성</t>
    <phoneticPr fontId="60" type="noConversion"/>
  </si>
  <si>
    <t>N유용진</t>
    <phoneticPr fontId="60" type="noConversion"/>
  </si>
  <si>
    <t>배서현</t>
    <phoneticPr fontId="62" type="noConversion"/>
  </si>
  <si>
    <t>N이재남4</t>
    <phoneticPr fontId="60" type="noConversion"/>
  </si>
  <si>
    <t>RG권병호</t>
    <phoneticPr fontId="60" type="noConversion"/>
  </si>
  <si>
    <t>N신옥남</t>
    <phoneticPr fontId="60" type="noConversion"/>
  </si>
  <si>
    <t>RM정명자5</t>
  </si>
  <si>
    <t>RG박복덕</t>
  </si>
  <si>
    <t>N이영휘</t>
    <phoneticPr fontId="62" type="noConversion"/>
  </si>
  <si>
    <t>N이수길</t>
    <phoneticPr fontId="62" type="noConversion"/>
  </si>
  <si>
    <t>이다한
(연차)</t>
    <phoneticPr fontId="60" type="noConversion"/>
  </si>
  <si>
    <t>RM송진영</t>
    <phoneticPr fontId="60" type="noConversion"/>
  </si>
  <si>
    <t>김혜민</t>
    <phoneticPr fontId="60" type="noConversion"/>
  </si>
  <si>
    <t>N곽홍기</t>
    <phoneticPr fontId="60" type="noConversion"/>
  </si>
  <si>
    <t>* 변경사항</t>
    <phoneticPr fontId="62" type="noConversion"/>
  </si>
  <si>
    <t>공혜빈</t>
    <phoneticPr fontId="62" type="noConversion"/>
  </si>
  <si>
    <t>RM박미정4</t>
    <phoneticPr fontId="60" type="noConversion"/>
  </si>
  <si>
    <t>박지원</t>
    <phoneticPr fontId="62" type="noConversion"/>
  </si>
  <si>
    <t>N김지윤7</t>
    <phoneticPr fontId="62" type="noConversion"/>
  </si>
  <si>
    <t>N윤동석2</t>
    <phoneticPr fontId="60" type="noConversion"/>
  </si>
  <si>
    <t>RN조남선</t>
    <phoneticPr fontId="60" type="noConversion"/>
  </si>
  <si>
    <t>N장광청</t>
    <phoneticPr fontId="60" type="noConversion"/>
  </si>
  <si>
    <t>RG한순근</t>
    <phoneticPr fontId="60" type="noConversion"/>
  </si>
  <si>
    <t>권도희</t>
    <phoneticPr fontId="62" type="noConversion"/>
  </si>
  <si>
    <t>RM이강은</t>
    <phoneticPr fontId="60" type="noConversion"/>
  </si>
  <si>
    <t>N이명덕</t>
    <phoneticPr fontId="60" type="noConversion"/>
  </si>
  <si>
    <t>N오치영</t>
    <phoneticPr fontId="60" type="noConversion"/>
  </si>
  <si>
    <t>N유해진</t>
    <phoneticPr fontId="60" type="noConversion"/>
  </si>
  <si>
    <t>김은채</t>
    <phoneticPr fontId="62" type="noConversion"/>
  </si>
  <si>
    <t>RM정명자5</t>
    <phoneticPr fontId="60" type="noConversion"/>
  </si>
  <si>
    <t>RG윤현숙3</t>
    <phoneticPr fontId="60" type="noConversion"/>
  </si>
  <si>
    <t>홍유진</t>
    <phoneticPr fontId="60" type="noConversion"/>
  </si>
  <si>
    <t>RG박복덕</t>
    <phoneticPr fontId="60" type="noConversion"/>
  </si>
  <si>
    <t>조해인</t>
    <phoneticPr fontId="60" type="noConversion"/>
  </si>
  <si>
    <t>간호간병</t>
    <phoneticPr fontId="60" type="noConversion"/>
  </si>
  <si>
    <t>RA박복덕</t>
    <phoneticPr fontId="60" type="noConversion"/>
  </si>
  <si>
    <t>RD서정욱2</t>
    <phoneticPr fontId="60" type="noConversion"/>
  </si>
  <si>
    <t>RD권병호</t>
    <phoneticPr fontId="60" type="noConversion"/>
  </si>
  <si>
    <t>김경옥</t>
    <phoneticPr fontId="62" type="noConversion"/>
  </si>
  <si>
    <t>RD서정욱2</t>
  </si>
  <si>
    <t>H박경원2</t>
    <phoneticPr fontId="60" type="noConversion"/>
  </si>
  <si>
    <t>RA이두현</t>
    <phoneticPr fontId="60" type="noConversion"/>
  </si>
  <si>
    <t>C유용진
C이재남4</t>
    <phoneticPr fontId="60" type="noConversion"/>
  </si>
  <si>
    <t>정지우</t>
    <phoneticPr fontId="62" type="noConversion"/>
  </si>
  <si>
    <t>RS송진영</t>
    <phoneticPr fontId="60" type="noConversion"/>
  </si>
  <si>
    <t>RA정명자5</t>
    <phoneticPr fontId="60" type="noConversion"/>
  </si>
  <si>
    <t>RA서정욱2</t>
    <phoneticPr fontId="60" type="noConversion"/>
  </si>
  <si>
    <t>김유정
(연차)</t>
    <phoneticPr fontId="60" type="noConversion"/>
  </si>
  <si>
    <t>정유진</t>
    <phoneticPr fontId="62" type="noConversion"/>
  </si>
  <si>
    <t>단축근무</t>
    <phoneticPr fontId="62" type="noConversion"/>
  </si>
  <si>
    <t>RD이정례3</t>
    <phoneticPr fontId="60" type="noConversion"/>
  </si>
  <si>
    <t>RS박미정4</t>
    <phoneticPr fontId="60" type="noConversion"/>
  </si>
  <si>
    <t>* 퇴원 및 HOLD</t>
    <phoneticPr fontId="60" type="noConversion"/>
  </si>
  <si>
    <t>양은주</t>
    <phoneticPr fontId="62" type="noConversion"/>
  </si>
  <si>
    <t>CA이명덕</t>
  </si>
  <si>
    <t>D정진월</t>
    <phoneticPr fontId="60" type="noConversion"/>
  </si>
  <si>
    <t>RA김영한2</t>
    <phoneticPr fontId="60" type="noConversion"/>
  </si>
  <si>
    <t>C변종구
C김지윤7</t>
    <phoneticPr fontId="60" type="noConversion"/>
  </si>
  <si>
    <t>RA서대성</t>
    <phoneticPr fontId="60" type="noConversion"/>
  </si>
  <si>
    <t>C김명숙19
C곽홍기</t>
    <phoneticPr fontId="60" type="noConversion"/>
  </si>
  <si>
    <t xml:space="preserve">오연숙님 채남순님 </t>
    <phoneticPr fontId="60" type="noConversion"/>
  </si>
  <si>
    <t>김소희</t>
    <phoneticPr fontId="60" type="noConversion"/>
  </si>
  <si>
    <t>C전용대</t>
    <phoneticPr fontId="60" type="noConversion"/>
  </si>
  <si>
    <t>D정창래2</t>
    <phoneticPr fontId="60" type="noConversion"/>
  </si>
  <si>
    <t>C주현수2
C유기분</t>
    <phoneticPr fontId="60" type="noConversion"/>
  </si>
  <si>
    <t>D곽홍기</t>
    <phoneticPr fontId="60" type="noConversion"/>
  </si>
  <si>
    <t>C오치영
C이수길</t>
    <phoneticPr fontId="60" type="noConversion"/>
  </si>
  <si>
    <t>서한별</t>
    <phoneticPr fontId="62" type="noConversion"/>
  </si>
  <si>
    <t>C정진월</t>
    <phoneticPr fontId="60" type="noConversion"/>
  </si>
  <si>
    <t>C정규설</t>
  </si>
  <si>
    <t>RD이재용2</t>
    <phoneticPr fontId="60" type="noConversion"/>
  </si>
  <si>
    <t>RA김철기</t>
    <phoneticPr fontId="60" type="noConversion"/>
  </si>
  <si>
    <t>RA윤현숙3</t>
  </si>
  <si>
    <t>RA박미정4</t>
    <phoneticPr fontId="60" type="noConversion"/>
  </si>
  <si>
    <t>RA한순근</t>
    <phoneticPr fontId="60" type="noConversion"/>
  </si>
  <si>
    <t>계장</t>
    <phoneticPr fontId="60" type="noConversion"/>
  </si>
  <si>
    <t>김우주</t>
  </si>
  <si>
    <t>RA이정임4</t>
    <phoneticPr fontId="60" type="noConversion"/>
  </si>
  <si>
    <t>* 당일시간변경</t>
    <phoneticPr fontId="62" type="noConversion"/>
  </si>
  <si>
    <t>김선영</t>
    <phoneticPr fontId="60" type="noConversion"/>
  </si>
  <si>
    <t>RM김영한2</t>
  </si>
  <si>
    <t>RN배희숙</t>
    <phoneticPr fontId="60" type="noConversion"/>
  </si>
  <si>
    <t>RN박미정4</t>
    <phoneticPr fontId="60" type="noConversion"/>
  </si>
  <si>
    <t>RN윤미기자</t>
    <phoneticPr fontId="60" type="noConversion"/>
  </si>
  <si>
    <t>RM이강은</t>
    <phoneticPr fontId="60" type="noConversion"/>
  </si>
  <si>
    <t>임지승</t>
    <phoneticPr fontId="62" type="noConversion"/>
  </si>
  <si>
    <t>강시내</t>
    <phoneticPr fontId="62" type="noConversion"/>
  </si>
  <si>
    <t>F김복묵
F김주식
F이수길
F김지윤7
F오치영
F유기분</t>
    <phoneticPr fontId="62" type="noConversion"/>
  </si>
  <si>
    <t xml:space="preserve">
F송영연
F전용대
F유용진
</t>
    <phoneticPr fontId="62" type="noConversion"/>
  </si>
  <si>
    <t>F윤동석2
F유영만
F정창래2</t>
    <phoneticPr fontId="62" type="noConversion"/>
  </si>
  <si>
    <t>F김봉예
F이동열
F이영임
F김명숙19</t>
    <phoneticPr fontId="62" type="noConversion"/>
  </si>
  <si>
    <t>F오정아
F박경원2
F신옥남
F홍우표2</t>
    <phoneticPr fontId="62" type="noConversion"/>
  </si>
  <si>
    <t>단축근무</t>
    <phoneticPr fontId="60" type="noConversion"/>
  </si>
  <si>
    <t>김효진
(무급휴직)</t>
    <phoneticPr fontId="62" type="noConversion"/>
  </si>
  <si>
    <t>MM 변경 미희망 :  없음</t>
    <phoneticPr fontId="60" type="noConversion"/>
  </si>
  <si>
    <t>8개 빔</t>
    <phoneticPr fontId="60" type="noConversion"/>
  </si>
  <si>
    <t>추가</t>
    <phoneticPr fontId="62" type="noConversion"/>
  </si>
  <si>
    <t>NDT</t>
    <phoneticPr fontId="62" type="noConversion"/>
  </si>
  <si>
    <t>N김진현2</t>
    <phoneticPr fontId="62" type="noConversion"/>
  </si>
  <si>
    <t>N이영임
N조태은</t>
    <phoneticPr fontId="62" type="noConversion"/>
  </si>
  <si>
    <t>N송영연
N장광청</t>
    <phoneticPr fontId="62" type="noConversion"/>
  </si>
  <si>
    <t>N전용대
N정규설</t>
    <phoneticPr fontId="62" type="noConversion"/>
  </si>
  <si>
    <t>N정진월</t>
    <phoneticPr fontId="62" type="noConversion"/>
  </si>
  <si>
    <t>N김문식3
N신인섭</t>
    <phoneticPr fontId="62" type="noConversion"/>
  </si>
  <si>
    <t>N김복묵
N오정아</t>
    <phoneticPr fontId="62" type="noConversion"/>
  </si>
  <si>
    <t>N이순희5
N이동열</t>
    <phoneticPr fontId="60" type="noConversion"/>
  </si>
  <si>
    <t>N정창래2
N박경원2</t>
    <phoneticPr fontId="62" type="noConversion"/>
  </si>
  <si>
    <t>N김주식</t>
    <phoneticPr fontId="60" type="noConversion"/>
  </si>
  <si>
    <t>N김봉예
N유영만</t>
    <phoneticPr fontId="60" type="noConversion"/>
  </si>
  <si>
    <t xml:space="preserve">
</t>
    <phoneticPr fontId="62" type="noConversion"/>
  </si>
  <si>
    <t xml:space="preserve">N홍우표2
</t>
    <phoneticPr fontId="60" type="noConversion"/>
  </si>
  <si>
    <t>MM박복덕</t>
    <phoneticPr fontId="60" type="noConversion"/>
  </si>
  <si>
    <r>
      <rPr>
        <u/>
        <sz val="10"/>
        <rFont val="돋움"/>
        <family val="3"/>
        <charset val="129"/>
      </rPr>
      <t>N이명덕</t>
    </r>
    <r>
      <rPr>
        <sz val="10"/>
        <rFont val="돋움"/>
        <family val="3"/>
        <charset val="129"/>
      </rPr>
      <t xml:space="preserve">
</t>
    </r>
    <phoneticPr fontId="60" type="noConversion"/>
  </si>
  <si>
    <t>CA</t>
    <phoneticPr fontId="62" type="noConversion"/>
  </si>
  <si>
    <t>CA정진월</t>
    <phoneticPr fontId="62" type="noConversion"/>
  </si>
  <si>
    <t>CA홍우표</t>
    <phoneticPr fontId="60" type="noConversion"/>
  </si>
  <si>
    <t>CA이명덕</t>
    <phoneticPr fontId="60" type="noConversion"/>
  </si>
  <si>
    <t>CA이순희5</t>
    <phoneticPr fontId="62" type="noConversion"/>
  </si>
  <si>
    <t>D</t>
    <phoneticPr fontId="62" type="noConversion"/>
  </si>
  <si>
    <t>D정창래2
D이순희5
D오정아</t>
    <phoneticPr fontId="60" type="noConversion"/>
  </si>
  <si>
    <r>
      <t xml:space="preserve">D김문식3
</t>
    </r>
    <r>
      <rPr>
        <u/>
        <sz val="10"/>
        <rFont val="돋움"/>
        <family val="3"/>
        <charset val="129"/>
      </rPr>
      <t>D정창래2</t>
    </r>
    <phoneticPr fontId="62" type="noConversion"/>
  </si>
  <si>
    <t>D이명덕</t>
    <phoneticPr fontId="62" type="noConversion"/>
  </si>
  <si>
    <t xml:space="preserve">
D홍우표2
D오정아</t>
    <phoneticPr fontId="60" type="noConversion"/>
  </si>
  <si>
    <t xml:space="preserve">D김복묵
</t>
    <phoneticPr fontId="60" type="noConversion"/>
  </si>
  <si>
    <t>D유영만
D곽홍기
D이영임</t>
    <phoneticPr fontId="62" type="noConversion"/>
  </si>
  <si>
    <t xml:space="preserve">
D이영임
D윤영섭</t>
    <phoneticPr fontId="62" type="noConversion"/>
  </si>
  <si>
    <t xml:space="preserve">
D유해진</t>
    <phoneticPr fontId="62" type="noConversion"/>
  </si>
  <si>
    <r>
      <t xml:space="preserve">D김복묵
</t>
    </r>
    <r>
      <rPr>
        <u/>
        <sz val="10"/>
        <rFont val="돋움"/>
        <family val="3"/>
        <charset val="129"/>
      </rPr>
      <t>D정진월</t>
    </r>
    <phoneticPr fontId="62" type="noConversion"/>
  </si>
  <si>
    <t>D김문식3</t>
    <phoneticPr fontId="60" type="noConversion"/>
  </si>
  <si>
    <t xml:space="preserve">
D유영만</t>
    <phoneticPr fontId="62" type="noConversion"/>
  </si>
  <si>
    <t>C</t>
    <phoneticPr fontId="62" type="noConversion"/>
  </si>
  <si>
    <t xml:space="preserve">
C신인섭</t>
    <phoneticPr fontId="62" type="noConversion"/>
  </si>
  <si>
    <t>C박경원2
C이순희5
C조태은</t>
    <phoneticPr fontId="62" type="noConversion"/>
  </si>
  <si>
    <t>C이동열
C윤동석2</t>
    <phoneticPr fontId="60" type="noConversion"/>
  </si>
  <si>
    <t xml:space="preserve">
C장광청</t>
    <phoneticPr fontId="62" type="noConversion"/>
  </si>
  <si>
    <r>
      <t xml:space="preserve">
</t>
    </r>
    <r>
      <rPr>
        <u/>
        <sz val="10"/>
        <rFont val="돋움"/>
        <family val="3"/>
        <charset val="129"/>
      </rPr>
      <t>C정진월</t>
    </r>
    <phoneticPr fontId="62" type="noConversion"/>
  </si>
  <si>
    <t>C김문식3</t>
    <phoneticPr fontId="62" type="noConversion"/>
  </si>
  <si>
    <r>
      <t xml:space="preserve">C정창래2
C이명덕
</t>
    </r>
    <r>
      <rPr>
        <u/>
        <sz val="10"/>
        <rFont val="돋움"/>
        <family val="3"/>
        <charset val="129"/>
      </rPr>
      <t>C전용대</t>
    </r>
    <phoneticPr fontId="62" type="noConversion"/>
  </si>
  <si>
    <r>
      <t xml:space="preserve">C이영임
</t>
    </r>
    <r>
      <rPr>
        <u/>
        <sz val="10"/>
        <rFont val="돋움"/>
        <family val="3"/>
        <charset val="129"/>
      </rPr>
      <t>C정규설</t>
    </r>
    <r>
      <rPr>
        <sz val="10"/>
        <rFont val="돋움"/>
        <family val="3"/>
        <charset val="129"/>
      </rPr>
      <t xml:space="preserve">
C김진현2</t>
    </r>
    <phoneticPr fontId="60" type="noConversion"/>
  </si>
  <si>
    <t>C홍우표2</t>
    <phoneticPr fontId="62" type="noConversion"/>
  </si>
  <si>
    <t>C유영만
C김복묵</t>
    <phoneticPr fontId="62" type="noConversion"/>
  </si>
  <si>
    <t xml:space="preserve">C송영연
C김봉예
</t>
    <phoneticPr fontId="62" type="noConversion"/>
  </si>
  <si>
    <t>10:50~
11:20</t>
    <phoneticPr fontId="62" type="noConversion"/>
  </si>
  <si>
    <t>11:25~
11:55</t>
    <phoneticPr fontId="62" type="noConversion"/>
  </si>
  <si>
    <t>13:30~
14:00</t>
    <phoneticPr fontId="62" type="noConversion"/>
  </si>
  <si>
    <t>16:25~
16:55</t>
    <phoneticPr fontId="62" type="noConversion"/>
  </si>
  <si>
    <t>17:00~
17:30</t>
    <phoneticPr fontId="62" type="noConversion"/>
  </si>
  <si>
    <t>통증</t>
    <phoneticPr fontId="62" type="noConversion"/>
  </si>
  <si>
    <t>한순근
오치영</t>
    <phoneticPr fontId="60" type="noConversion"/>
  </si>
  <si>
    <t>언어</t>
    <phoneticPr fontId="62" type="noConversion"/>
  </si>
  <si>
    <t>주현수2
정창래2(A)</t>
    <phoneticPr fontId="60" type="noConversion"/>
  </si>
  <si>
    <t xml:space="preserve">
김주식</t>
    <phoneticPr fontId="60" type="noConversion"/>
  </si>
  <si>
    <t>이두현</t>
    <phoneticPr fontId="60" type="noConversion"/>
  </si>
  <si>
    <t>스케쥴 특이 사항 :  없음</t>
    <phoneticPr fontId="60" type="noConversion"/>
  </si>
  <si>
    <t>로봇 /
 RG2-R</t>
    <phoneticPr fontId="62" type="noConversion"/>
  </si>
  <si>
    <t>이정례(A)</t>
    <phoneticPr fontId="60" type="noConversion"/>
  </si>
  <si>
    <t xml:space="preserve">김봉예(A)
오정아(B)
</t>
    <phoneticPr fontId="60" type="noConversion"/>
  </si>
  <si>
    <t xml:space="preserve">오정아(A)
</t>
    <phoneticPr fontId="60" type="noConversion"/>
  </si>
  <si>
    <t>오정아(A)</t>
    <phoneticPr fontId="60" type="noConversion"/>
  </si>
  <si>
    <t xml:space="preserve">
윤동석2(B)</t>
    <phoneticPr fontId="60" type="noConversion"/>
  </si>
  <si>
    <t>주현수2
김복묵(A)
이정임4</t>
    <phoneticPr fontId="60" type="noConversion"/>
  </si>
  <si>
    <t>2층 도수</t>
    <phoneticPr fontId="62" type="noConversion"/>
  </si>
  <si>
    <t>김정자20</t>
    <phoneticPr fontId="60" type="noConversion"/>
  </si>
  <si>
    <t>이흥식(A)</t>
    <phoneticPr fontId="60" type="noConversion"/>
  </si>
  <si>
    <t>이흥식(B)</t>
    <phoneticPr fontId="60" type="noConversion"/>
  </si>
  <si>
    <t>전산화인지</t>
    <phoneticPr fontId="62" type="noConversion"/>
  </si>
  <si>
    <t>수중</t>
    <phoneticPr fontId="62" type="noConversion"/>
  </si>
  <si>
    <t>주현수2</t>
    <phoneticPr fontId="60" type="noConversion"/>
  </si>
  <si>
    <t>12:00~
12:30</t>
  </si>
  <si>
    <t>김용하</t>
  </si>
  <si>
    <t>RN이정임4</t>
    <phoneticPr fontId="60" type="noConversion"/>
  </si>
  <si>
    <t>RG최옥자(3)</t>
    <phoneticPr fontId="60" type="noConversion"/>
  </si>
  <si>
    <t>RG윤현숙3(3)</t>
    <phoneticPr fontId="60" type="noConversion"/>
  </si>
  <si>
    <t>RG김철기(3)</t>
    <phoneticPr fontId="60" type="noConversion"/>
  </si>
  <si>
    <t>RA오병찬(3)</t>
    <phoneticPr fontId="60" type="noConversion"/>
  </si>
  <si>
    <t>RA한순근(3)</t>
    <phoneticPr fontId="60" type="noConversion"/>
  </si>
  <si>
    <t>RG김철기(3)</t>
    <phoneticPr fontId="60" type="noConversion"/>
  </si>
  <si>
    <t>문희연</t>
    <phoneticPr fontId="60" type="noConversion"/>
  </si>
  <si>
    <t>RA김철기(3)</t>
    <phoneticPr fontId="60" type="noConversion"/>
  </si>
  <si>
    <t>RA김철기(3)</t>
    <phoneticPr fontId="60" type="noConversion"/>
  </si>
  <si>
    <t xml:space="preserve"> RG최옥자
(임수민T)</t>
    <phoneticPr fontId="60" type="noConversion"/>
  </si>
  <si>
    <t>박종규</t>
    <phoneticPr fontId="60" type="noConversion"/>
  </si>
  <si>
    <t>CA김진학</t>
    <phoneticPr fontId="60" type="noConversion"/>
  </si>
  <si>
    <t xml:space="preserve">
RA이두현</t>
    <phoneticPr fontId="60" type="noConversion"/>
  </si>
  <si>
    <t>RA정명자5</t>
    <phoneticPr fontId="60" type="noConversion"/>
  </si>
  <si>
    <t>RA오병찬</t>
    <phoneticPr fontId="60" type="noConversion"/>
  </si>
  <si>
    <t>F김진학
F정규설
F변종구</t>
    <phoneticPr fontId="62" type="noConversion"/>
  </si>
  <si>
    <r>
      <t xml:space="preserve">RM이재용2 10:15 -&gt; 8:30 
N유영만 8:30 -&gt; 10:15
</t>
    </r>
    <r>
      <rPr>
        <sz val="11"/>
        <color theme="1"/>
        <rFont val="맑은 고딕"/>
        <family val="2"/>
        <charset val="129"/>
        <scheme val="minor"/>
      </rPr>
      <t>김진학님</t>
    </r>
    <r>
      <rPr>
        <sz val="11"/>
        <color theme="1"/>
        <rFont val="맑은 고딕"/>
        <family val="2"/>
        <charset val="129"/>
        <scheme val="minor"/>
      </rPr>
      <t xml:space="preserve"> N 14:05 </t>
    </r>
    <r>
      <rPr>
        <sz val="11"/>
        <color theme="1"/>
        <rFont val="맑은 고딕"/>
        <family val="2"/>
        <charset val="129"/>
        <scheme val="minor"/>
      </rPr>
      <t>→</t>
    </r>
    <r>
      <rPr>
        <sz val="11"/>
        <color theme="1"/>
        <rFont val="맑은 고딕"/>
        <family val="2"/>
        <charset val="129"/>
        <scheme val="minor"/>
      </rPr>
      <t xml:space="preserve"> 14:40
</t>
    </r>
    <r>
      <rPr>
        <sz val="11"/>
        <color theme="1"/>
        <rFont val="맑은 고딕"/>
        <family val="2"/>
        <charset val="129"/>
        <scheme val="minor"/>
      </rPr>
      <t>전용대님</t>
    </r>
    <r>
      <rPr>
        <sz val="11"/>
        <color theme="1"/>
        <rFont val="맑은 고딕"/>
        <family val="2"/>
        <charset val="129"/>
        <scheme val="minor"/>
      </rPr>
      <t xml:space="preserve"> N 15:15 </t>
    </r>
    <r>
      <rPr>
        <sz val="11"/>
        <color theme="1"/>
        <rFont val="맑은 고딕"/>
        <family val="2"/>
        <charset val="129"/>
        <scheme val="minor"/>
      </rPr>
      <t>→</t>
    </r>
    <r>
      <rPr>
        <sz val="11"/>
        <color theme="1"/>
        <rFont val="맑은 고딕"/>
        <family val="2"/>
        <charset val="129"/>
        <scheme val="minor"/>
      </rPr>
      <t xml:space="preserve"> 14:40
이영휘님 FES 09:40 → 13:30 / N 09:05 → 09:40 / DV 13:30 → 09:05
이다한T 대체 : 2층, 6층
김유정T 대체 : 6층</t>
    </r>
    <phoneticPr fontId="60" type="noConversion"/>
  </si>
  <si>
    <t>RM정명자5</t>
    <phoneticPr fontId="60" type="noConversion"/>
  </si>
  <si>
    <t>* 오더 추가</t>
    <phoneticPr fontId="60" type="noConversion"/>
  </si>
  <si>
    <t>송영연(평)</t>
    <phoneticPr fontId="60" type="noConversion"/>
  </si>
  <si>
    <t>RA1김영한2(평)</t>
    <phoneticPr fontId="60" type="noConversion"/>
  </si>
  <si>
    <t>RG1최옥자7(평)</t>
    <phoneticPr fontId="60" type="noConversion"/>
  </si>
  <si>
    <t>장광청(평)</t>
    <phoneticPr fontId="60" type="noConversion"/>
  </si>
  <si>
    <t>이순희5(평)</t>
    <phoneticPr fontId="60" type="noConversion"/>
  </si>
  <si>
    <t>김명숙19(평)</t>
    <phoneticPr fontId="60" type="noConversion"/>
  </si>
  <si>
    <t>오치영(평)</t>
    <phoneticPr fontId="60" type="noConversion"/>
  </si>
  <si>
    <t>윤동석2(평)</t>
    <phoneticPr fontId="60" type="noConversion"/>
  </si>
  <si>
    <t>RM윤미기자</t>
    <phoneticPr fontId="60" type="noConversion"/>
  </si>
  <si>
    <t>RM윤미기자</t>
    <phoneticPr fontId="60" type="noConversion"/>
  </si>
  <si>
    <t xml:space="preserve">
MM권병호
MM이두현</t>
    <phoneticPr fontId="60" type="noConversion"/>
  </si>
  <si>
    <t>M장광청
M김복묵
M오정아
M정규설
TT박경원2
M이동열</t>
    <phoneticPr fontId="62" type="noConversion"/>
  </si>
  <si>
    <t xml:space="preserve">
MM배희숙
MM윤현숙3
</t>
    <phoneticPr fontId="60" type="noConversion"/>
  </si>
  <si>
    <t xml:space="preserve">M유영만
M정창래2
M김지윤7
M오치영
M신옥남
</t>
    <phoneticPr fontId="62" type="noConversion"/>
  </si>
  <si>
    <t xml:space="preserve">
</t>
    <phoneticPr fontId="60" type="noConversion"/>
  </si>
  <si>
    <t>RM송진영</t>
    <phoneticPr fontId="60" type="noConversion"/>
  </si>
  <si>
    <t>유기분(평)</t>
    <phoneticPr fontId="60" type="noConversion"/>
  </si>
  <si>
    <t>김주식(평)</t>
    <phoneticPr fontId="60" type="noConversion"/>
  </si>
  <si>
    <t>정진월(평)</t>
    <phoneticPr fontId="60" type="noConversion"/>
  </si>
  <si>
    <t>이흥식(평)</t>
    <phoneticPr fontId="60" type="noConversion"/>
  </si>
  <si>
    <t>김복묵(평)</t>
    <phoneticPr fontId="60" type="noConversion"/>
  </si>
  <si>
    <t>오정아(평)</t>
    <phoneticPr fontId="62" type="noConversion"/>
  </si>
  <si>
    <t>이동열(평)</t>
    <phoneticPr fontId="60" type="noConversion"/>
  </si>
  <si>
    <t>RM조남선</t>
    <phoneticPr fontId="60" type="noConversion"/>
  </si>
  <si>
    <t>RM조남선</t>
    <phoneticPr fontId="60" type="noConversion"/>
  </si>
  <si>
    <t xml:space="preserve">MM전효식
MM서정욱2
</t>
    <phoneticPr fontId="60" type="noConversion"/>
  </si>
  <si>
    <r>
      <t>M김문식3
M김봉예</t>
    </r>
    <r>
      <rPr>
        <sz val="10"/>
        <color theme="1"/>
        <rFont val="돋움"/>
        <family val="3"/>
        <charset val="129"/>
      </rPr>
      <t xml:space="preserve">
M김명숙19
M이명덕
M이순희5
M김진학
M정진월</t>
    </r>
    <phoneticPr fontId="62" type="noConversion"/>
  </si>
  <si>
    <t>박경원2(평)</t>
    <phoneticPr fontId="60" type="noConversion"/>
  </si>
  <si>
    <t>김문식3(평)</t>
    <phoneticPr fontId="60" type="noConversion"/>
  </si>
  <si>
    <t>김진현2(평)</t>
    <phoneticPr fontId="60" type="noConversion"/>
  </si>
  <si>
    <t>RM1배희숙(평)</t>
    <phoneticPr fontId="60" type="noConversion"/>
  </si>
  <si>
    <t>정규설(평)</t>
    <phoneticPr fontId="60" type="noConversion"/>
  </si>
  <si>
    <t>RG한순근</t>
    <phoneticPr fontId="60" type="noConversion"/>
  </si>
  <si>
    <t xml:space="preserve">M이수길
M이영휘
M변종구
M신인섭
G박경원2
M이재남4
</t>
    <phoneticPr fontId="62" type="noConversion"/>
  </si>
  <si>
    <t>유기분(평)</t>
    <phoneticPr fontId="60" type="noConversion"/>
  </si>
  <si>
    <t>RD1김귀례2(평)</t>
    <phoneticPr fontId="60" type="noConversion"/>
  </si>
  <si>
    <t>RS1이정임4(평)</t>
    <phoneticPr fontId="60" type="noConversion"/>
  </si>
  <si>
    <t>RA1조남선(평)</t>
    <phoneticPr fontId="60" type="noConversion"/>
  </si>
  <si>
    <t>RA1배희숙(평)</t>
    <phoneticPr fontId="60" type="noConversion"/>
  </si>
  <si>
    <t>유영만(평)</t>
    <phoneticPr fontId="60" type="noConversion"/>
  </si>
  <si>
    <t>RG1이두현(평)</t>
    <phoneticPr fontId="60" type="noConversion"/>
  </si>
  <si>
    <t>조태은(평)</t>
    <phoneticPr fontId="60" type="noConversion"/>
  </si>
  <si>
    <t>이순희5(평)</t>
    <phoneticPr fontId="60" type="noConversion"/>
  </si>
  <si>
    <t>장광청(평)</t>
    <phoneticPr fontId="60" type="noConversion"/>
  </si>
  <si>
    <t>김복묵(평)</t>
    <phoneticPr fontId="60" type="noConversion"/>
  </si>
  <si>
    <t>RM이정례3</t>
    <phoneticPr fontId="60" type="noConversion"/>
  </si>
  <si>
    <t>RM이정례3</t>
    <phoneticPr fontId="60" type="noConversion"/>
  </si>
  <si>
    <t>RG1서정욱2(평)</t>
    <phoneticPr fontId="60" type="noConversion"/>
  </si>
  <si>
    <t>RA1서정욱2(평)</t>
    <phoneticPr fontId="60" type="noConversion"/>
  </si>
  <si>
    <t>이재남4(평)</t>
    <phoneticPr fontId="60" type="noConversion"/>
  </si>
  <si>
    <t>이영임(평)</t>
    <phoneticPr fontId="60" type="noConversion"/>
  </si>
  <si>
    <t>RM1조남선(평)</t>
    <phoneticPr fontId="60" type="noConversion"/>
  </si>
  <si>
    <t xml:space="preserve">C이영휘
</t>
    <phoneticPr fontId="60" type="noConversion"/>
  </si>
  <si>
    <t>신인섭(평)</t>
    <phoneticPr fontId="60" type="noConversion"/>
  </si>
  <si>
    <t>RG1권병호(평)</t>
    <phoneticPr fontId="60" type="noConversion"/>
  </si>
  <si>
    <t>김봉예(평)</t>
    <phoneticPr fontId="60" type="noConversion"/>
  </si>
  <si>
    <t>이수길(평)</t>
    <phoneticPr fontId="60" type="noConversion"/>
  </si>
  <si>
    <t>이명덕(평)</t>
    <phoneticPr fontId="60" type="noConversion"/>
  </si>
  <si>
    <t>RG1한순근(평)</t>
    <phoneticPr fontId="60" type="noConversion"/>
  </si>
  <si>
    <t>주현수2(평)</t>
    <phoneticPr fontId="62" type="noConversion"/>
  </si>
  <si>
    <t>변종구(평)</t>
    <phoneticPr fontId="60" type="noConversion"/>
  </si>
  <si>
    <t>M김주식
M송영연
M유기분
M조태은
M김진현2
M홍우표2
M이영임</t>
    <phoneticPr fontId="62" type="noConversion"/>
  </si>
  <si>
    <t xml:space="preserve">
MM이정임4
</t>
    <phoneticPr fontId="60" type="noConversion"/>
  </si>
  <si>
    <t>RG최옥자7</t>
    <phoneticPr fontId="62" type="noConversion"/>
  </si>
  <si>
    <t>RN1전효식(평)</t>
    <phoneticPr fontId="60" type="noConversion"/>
  </si>
  <si>
    <t>RG1박복덕(평)</t>
    <phoneticPr fontId="62" type="noConversion"/>
  </si>
  <si>
    <t>RM1이재용2(평)</t>
    <phoneticPr fontId="60" type="noConversion"/>
  </si>
  <si>
    <t>F이명덕
F이재남4
F김진현2</t>
    <phoneticPr fontId="62" type="noConversion"/>
  </si>
  <si>
    <t xml:space="preserve">MM이강은
MM서대성S
</t>
    <phoneticPr fontId="60" type="noConversion"/>
  </si>
  <si>
    <t>M전용대C
M곽홍기</t>
    <phoneticPr fontId="62" type="noConversion"/>
  </si>
  <si>
    <t xml:space="preserve">
MM박미정4
</t>
    <phoneticPr fontId="60" type="noConversion"/>
  </si>
  <si>
    <t>신옥남(평)</t>
    <phoneticPr fontId="60" type="noConversion"/>
  </si>
  <si>
    <t>이영임(평)</t>
    <phoneticPr fontId="60" type="noConversion"/>
  </si>
  <si>
    <t>RA1이두현(평)</t>
    <phoneticPr fontId="60" type="noConversion"/>
  </si>
  <si>
    <t>이영휘(평)</t>
    <phoneticPr fontId="60" type="noConversion"/>
  </si>
  <si>
    <t>전용대(평)</t>
    <phoneticPr fontId="60" type="noConversion"/>
  </si>
  <si>
    <t>조태은(평)</t>
    <phoneticPr fontId="60" type="noConversion"/>
  </si>
  <si>
    <t>RN1이정례3(평)</t>
    <phoneticPr fontId="60" type="noConversion"/>
  </si>
  <si>
    <t>유용진(평)</t>
    <phoneticPr fontId="60" type="noConversion"/>
  </si>
  <si>
    <t>이흥식(평)</t>
    <phoneticPr fontId="60" type="noConversion"/>
  </si>
  <si>
    <t>송영연(평)</t>
    <phoneticPr fontId="60" type="noConversion"/>
  </si>
  <si>
    <t>RM이재용2</t>
    <phoneticPr fontId="60" type="noConversion"/>
  </si>
  <si>
    <t>RM이재용2</t>
    <phoneticPr fontId="60" type="noConversion"/>
  </si>
  <si>
    <t xml:space="preserve">M김복묵
M송영연
M윤동석2
M신옥남
M곽홍기
M김진학
M주현수2
</t>
    <phoneticPr fontId="62" type="noConversion"/>
  </si>
  <si>
    <r>
      <t>MM이강은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MM배희숙</t>
    </r>
    <r>
      <rPr>
        <sz val="10"/>
        <rFont val="돋움"/>
        <family val="3"/>
        <charset val="129"/>
      </rPr>
      <t xml:space="preserve">
</t>
    </r>
    <phoneticPr fontId="60" type="noConversion"/>
  </si>
  <si>
    <t>RA1서대성(평)</t>
    <phoneticPr fontId="60" type="noConversion"/>
  </si>
  <si>
    <t xml:space="preserve"> O7주현수2</t>
    <phoneticPr fontId="60" type="noConversion"/>
  </si>
  <si>
    <t>RM1윤미기자(평)</t>
    <phoneticPr fontId="60" type="noConversion"/>
  </si>
  <si>
    <t>M이명덕
M이영휘
M장광청
M김주식
M유영만</t>
    <phoneticPr fontId="60" type="noConversion"/>
  </si>
  <si>
    <r>
      <t>MM정명자5
MM이정임4C
MM전효식C</t>
    </r>
    <r>
      <rPr>
        <sz val="10"/>
        <color theme="1"/>
        <rFont val="돋움"/>
        <family val="3"/>
        <charset val="129"/>
      </rPr>
      <t xml:space="preserve">
MM김귀례2
</t>
    </r>
    <phoneticPr fontId="60" type="noConversion"/>
  </si>
  <si>
    <t>F장광청
F신인섭
F정진월
F이영휘</t>
    <phoneticPr fontId="62" type="noConversion"/>
  </si>
  <si>
    <t>F조태은
F이순희5
F곽홍기
F주현수2</t>
    <phoneticPr fontId="62" type="noConversion"/>
  </si>
  <si>
    <t>RG1김귀례2(평)</t>
    <phoneticPr fontId="60" type="noConversion"/>
  </si>
  <si>
    <t>정진월(평)</t>
    <phoneticPr fontId="60" type="noConversion"/>
  </si>
  <si>
    <t>RM1이강은(평)</t>
    <phoneticPr fontId="60" type="noConversion"/>
  </si>
  <si>
    <t xml:space="preserve">H7오정아
</t>
    <phoneticPr fontId="60" type="noConversion"/>
  </si>
  <si>
    <t>RM1박미정4(평)</t>
    <phoneticPr fontId="60" type="noConversion"/>
  </si>
  <si>
    <t>RA1이재용2(평)</t>
    <phoneticPr fontId="60" type="noConversion"/>
  </si>
  <si>
    <t>김진현2(평)</t>
    <phoneticPr fontId="60" type="noConversion"/>
  </si>
  <si>
    <t>이재남4(평)</t>
    <phoneticPr fontId="62" type="noConversion"/>
  </si>
  <si>
    <t>이동열(평)</t>
    <phoneticPr fontId="60" type="noConversion"/>
  </si>
  <si>
    <t>정창래2(평)</t>
    <phoneticPr fontId="60" type="noConversion"/>
  </si>
  <si>
    <t>정규설(평)</t>
    <phoneticPr fontId="60" type="noConversion"/>
  </si>
  <si>
    <t>RD1윤미기자(평)</t>
    <phoneticPr fontId="60" type="noConversion"/>
  </si>
  <si>
    <t>RS이강은</t>
    <phoneticPr fontId="60" type="noConversion"/>
  </si>
  <si>
    <t>RS1전효식(평)</t>
    <phoneticPr fontId="60" type="noConversion"/>
  </si>
  <si>
    <t>RA1윤현숙3(평)</t>
    <phoneticPr fontId="60" type="noConversion"/>
  </si>
  <si>
    <t>RA1박미정4(평)</t>
    <phoneticPr fontId="60" type="noConversion"/>
  </si>
  <si>
    <t>이수길(평)</t>
    <phoneticPr fontId="60" type="noConversion"/>
  </si>
  <si>
    <t>김지윤7(평)</t>
    <phoneticPr fontId="60" type="noConversion"/>
  </si>
  <si>
    <t>RA1한순근(평)</t>
    <phoneticPr fontId="60" type="noConversion"/>
  </si>
  <si>
    <t>RA윤현숙3</t>
    <phoneticPr fontId="60" type="noConversion"/>
  </si>
  <si>
    <t xml:space="preserve">
M정규설
M김진현2
M이수길
M오정아
M조태은</t>
    <phoneticPr fontId="62" type="noConversion"/>
  </si>
  <si>
    <r>
      <t>MM서대성</t>
    </r>
    <r>
      <rPr>
        <sz val="10"/>
        <rFont val="돋움"/>
        <family val="3"/>
        <charset val="129"/>
      </rPr>
      <t xml:space="preserve">
</t>
    </r>
    <phoneticPr fontId="60" type="noConversion"/>
  </si>
  <si>
    <t>김봉예(평)</t>
    <phoneticPr fontId="60" type="noConversion"/>
  </si>
  <si>
    <t>RA1송진영(평)</t>
    <phoneticPr fontId="60" type="noConversion"/>
  </si>
  <si>
    <t>R윤동석2</t>
    <phoneticPr fontId="62" type="noConversion"/>
  </si>
  <si>
    <t>RM1정명자5(평)</t>
    <phoneticPr fontId="60" type="noConversion"/>
  </si>
  <si>
    <t>박경원2(평)</t>
    <phoneticPr fontId="62" type="noConversion"/>
  </si>
  <si>
    <t>RM1김영한2(평)</t>
    <phoneticPr fontId="60" type="noConversion"/>
  </si>
  <si>
    <t>신인섭(평)</t>
    <phoneticPr fontId="60" type="noConversion"/>
  </si>
  <si>
    <t>김문식3(평)</t>
    <phoneticPr fontId="62" type="noConversion"/>
  </si>
  <si>
    <t>정창래2(평)</t>
    <phoneticPr fontId="60" type="noConversion"/>
  </si>
  <si>
    <t>신옥남(평)</t>
    <phoneticPr fontId="60" type="noConversion"/>
  </si>
  <si>
    <t>RA1정명자5(평)</t>
    <phoneticPr fontId="60" type="noConversion"/>
  </si>
  <si>
    <t>곽홍기(평)</t>
    <phoneticPr fontId="60" type="noConversion"/>
  </si>
  <si>
    <t>RA조남선</t>
    <phoneticPr fontId="60" type="noConversion"/>
  </si>
  <si>
    <t>오치영(평)</t>
    <phoneticPr fontId="60" type="noConversion"/>
  </si>
  <si>
    <t>RG1윤현숙3 (평)</t>
    <phoneticPr fontId="60" type="noConversion"/>
  </si>
  <si>
    <t>V이산옥
V김인기3</t>
    <phoneticPr fontId="60" type="noConversion"/>
  </si>
  <si>
    <t>V홍우표2
V이영휘
V황춘자</t>
    <phoneticPr fontId="60" type="noConversion"/>
  </si>
  <si>
    <t>V이순희5
V손재영</t>
    <phoneticPr fontId="60" type="noConversion"/>
  </si>
  <si>
    <t>RA1이정례3(평)</t>
    <phoneticPr fontId="60" type="noConversion"/>
  </si>
  <si>
    <t>RN1김철기(평)</t>
    <phoneticPr fontId="60" type="noConversion"/>
  </si>
  <si>
    <t>주현수2(평)</t>
    <phoneticPr fontId="60" type="noConversion"/>
  </si>
  <si>
    <t>유용진(평)</t>
    <phoneticPr fontId="60" type="noConversion"/>
  </si>
  <si>
    <t>윤동석2(평)</t>
    <phoneticPr fontId="60" type="noConversion"/>
  </si>
  <si>
    <t>D유해진</t>
    <phoneticPr fontId="60" type="noConversion"/>
  </si>
  <si>
    <t>V유해진</t>
    <phoneticPr fontId="60" type="noConversion"/>
  </si>
  <si>
    <t>오정아(평)</t>
    <phoneticPr fontId="60" type="noConversion"/>
  </si>
  <si>
    <t xml:space="preserve">유기분님 F1개 삭제 / 시간표 다시
김진학님 오전 시간 변경 / 시간표 다시
정창래2님 오후시간 변경 / 시간표 다시
윤현숙3님 RA2삭제 RG2추가 시간변경 / 시간표 다시
서대성님 오전시간변경 / 시간표 다시
이재남4님 오전 변경 / 시간표 다시
유기분님 오전 변경 / 시간표 다시
주현수2님 수중치료 D-&gt;A로 변경 / 시간표 다시
이정임4님 오전 오후 RG2R 시간 변경 / 시간표 다시 
이재용2님 오후 시간 변경 / 시간표 다시
윤현숙3님 통증 종결 / 시간표 다시
한순근님 RA4삭제 RG4추가
조남선님 RA2삭제 RM2추가
오병찬님 RA2삭제 RG2추가
권병호님 RD2삭제 / RG2추가 오전오후 기구종류 변경 
</t>
    <phoneticPr fontId="60" type="noConversion"/>
  </si>
  <si>
    <t>V이명덕</t>
    <phoneticPr fontId="60" type="noConversion"/>
  </si>
  <si>
    <t>RA1최옥자7(평)</t>
    <phoneticPr fontId="60" type="noConversion"/>
  </si>
  <si>
    <t>곽홍기(평)</t>
    <phoneticPr fontId="60" type="noConversion"/>
  </si>
  <si>
    <t>RM1서대성(평)</t>
    <phoneticPr fontId="60" type="noConversion"/>
  </si>
  <si>
    <t>이명덕(평)</t>
    <phoneticPr fontId="60" type="noConversion"/>
  </si>
  <si>
    <t>김지윤7(평)</t>
    <phoneticPr fontId="60" type="noConversion"/>
  </si>
  <si>
    <t xml:space="preserve">MM서정욱2
MM이두현
</t>
    <phoneticPr fontId="60" type="noConversion"/>
  </si>
  <si>
    <r>
      <t xml:space="preserve">
MM권병호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
</t>
    </r>
    <phoneticPr fontId="60" type="noConversion"/>
  </si>
  <si>
    <t>M김봉예
M김지윤7
M정창래2
M이재남4
M신인섭
M이동열
M이영임
M이순희5
M정진월</t>
    <phoneticPr fontId="62" type="noConversion"/>
  </si>
  <si>
    <t>M김문식3
M오치영
M유용진
M유기분
M전용대
M홍우표2
G박경원2</t>
    <phoneticPr fontId="62" type="noConversion"/>
  </si>
  <si>
    <t>홍우표2(평)</t>
    <phoneticPr fontId="60" type="noConversion"/>
  </si>
  <si>
    <t xml:space="preserve">
M김명숙19
M유용진
M윤동석2
</t>
    <phoneticPr fontId="62" type="noConversion"/>
  </si>
  <si>
    <t>재활센터 시간표     2023. 10. 31 (화)</t>
    <phoneticPr fontId="62" type="noConversion"/>
  </si>
  <si>
    <t xml:space="preserve">         시간      치료사</t>
    <phoneticPr fontId="62" type="noConversion"/>
  </si>
  <si>
    <t>7:30~
8:00</t>
    <phoneticPr fontId="62" type="noConversion"/>
  </si>
  <si>
    <t>8:00~
8:30</t>
    <phoneticPr fontId="62" type="noConversion"/>
  </si>
  <si>
    <t>8:30~
9:00</t>
    <phoneticPr fontId="62" type="noConversion"/>
  </si>
  <si>
    <t>10:15~
10:45</t>
    <phoneticPr fontId="62" type="noConversion"/>
  </si>
  <si>
    <t>11:25~
11:55</t>
    <phoneticPr fontId="62" type="noConversion"/>
  </si>
  <si>
    <t>12:00~
12:30</t>
    <phoneticPr fontId="62" type="noConversion"/>
  </si>
  <si>
    <t>13:30~
14:00</t>
    <phoneticPr fontId="62" type="noConversion"/>
  </si>
  <si>
    <t>최지영</t>
    <phoneticPr fontId="62" type="noConversion"/>
  </si>
  <si>
    <t>RM이정례3</t>
    <phoneticPr fontId="60" type="noConversion"/>
  </si>
  <si>
    <t>RG오병찬</t>
    <phoneticPr fontId="60" type="noConversion"/>
  </si>
  <si>
    <t>N유기분</t>
    <phoneticPr fontId="60" type="noConversion"/>
  </si>
  <si>
    <t>RM배희숙</t>
    <phoneticPr fontId="60" type="noConversion"/>
  </si>
  <si>
    <t>RM전효식</t>
    <phoneticPr fontId="60" type="noConversion"/>
  </si>
  <si>
    <t>RM조남선</t>
    <phoneticPr fontId="60" type="noConversion"/>
  </si>
  <si>
    <t>RG김귀례2</t>
    <phoneticPr fontId="60" type="noConversion"/>
  </si>
  <si>
    <t>RG이두현</t>
    <phoneticPr fontId="60" type="noConversion"/>
  </si>
  <si>
    <t>RG서정욱2</t>
    <phoneticPr fontId="60" type="noConversion"/>
  </si>
  <si>
    <t>RM윤미기자</t>
    <phoneticPr fontId="60" type="noConversion"/>
  </si>
  <si>
    <t>서지현</t>
    <phoneticPr fontId="62" type="noConversion"/>
  </si>
  <si>
    <t>N김명숙19</t>
    <phoneticPr fontId="60" type="noConversion"/>
  </si>
  <si>
    <t>RM이재용2</t>
    <phoneticPr fontId="60" type="noConversion"/>
  </si>
  <si>
    <t>RN이강은</t>
    <phoneticPr fontId="60" type="noConversion"/>
  </si>
  <si>
    <t>RG최옥자7</t>
    <phoneticPr fontId="60" type="noConversion"/>
  </si>
  <si>
    <t>RM배희숙</t>
    <phoneticPr fontId="60" type="noConversion"/>
  </si>
  <si>
    <t>N주현수2</t>
    <phoneticPr fontId="60" type="noConversion"/>
  </si>
  <si>
    <t>RM전효식</t>
    <phoneticPr fontId="60" type="noConversion"/>
  </si>
  <si>
    <t>전지원</t>
    <phoneticPr fontId="62" type="noConversion"/>
  </si>
  <si>
    <t>RG최옥자7</t>
  </si>
  <si>
    <t>N김주식</t>
    <phoneticPr fontId="60" type="noConversion"/>
  </si>
  <si>
    <t>RN송진영</t>
    <phoneticPr fontId="60" type="noConversion"/>
  </si>
  <si>
    <t>N이영임</t>
    <phoneticPr fontId="60" type="noConversion"/>
  </si>
  <si>
    <t>RN서대성</t>
    <phoneticPr fontId="60" type="noConversion"/>
  </si>
  <si>
    <t>RM김영한2</t>
    <phoneticPr fontId="60" type="noConversion"/>
  </si>
  <si>
    <t>N김문식3</t>
    <phoneticPr fontId="62" type="noConversion"/>
  </si>
  <si>
    <t>N신인섭</t>
    <phoneticPr fontId="60" type="noConversion"/>
  </si>
  <si>
    <t>N유용진</t>
    <phoneticPr fontId="60" type="noConversion"/>
  </si>
  <si>
    <t>배서현</t>
    <phoneticPr fontId="62" type="noConversion"/>
  </si>
  <si>
    <t>N이동열</t>
    <phoneticPr fontId="60" type="noConversion"/>
  </si>
  <si>
    <t>N이재남4</t>
    <phoneticPr fontId="60" type="noConversion"/>
  </si>
  <si>
    <t>N김봉예</t>
    <phoneticPr fontId="60" type="noConversion"/>
  </si>
  <si>
    <t>N신옥남</t>
    <phoneticPr fontId="60" type="noConversion"/>
  </si>
  <si>
    <t>N박경원2</t>
    <phoneticPr fontId="62" type="noConversion"/>
  </si>
  <si>
    <t>N이영휘</t>
    <phoneticPr fontId="62" type="noConversion"/>
  </si>
  <si>
    <t>N이수길</t>
    <phoneticPr fontId="62" type="noConversion"/>
  </si>
  <si>
    <t>이다한
(연차)</t>
    <phoneticPr fontId="60" type="noConversion"/>
  </si>
  <si>
    <t>김혜민</t>
    <phoneticPr fontId="60" type="noConversion"/>
  </si>
  <si>
    <t>RN전효식</t>
    <phoneticPr fontId="60" type="noConversion"/>
  </si>
  <si>
    <t>RG박복덕</t>
    <phoneticPr fontId="62" type="noConversion"/>
  </si>
  <si>
    <t>N윤영섭</t>
    <phoneticPr fontId="62" type="noConversion"/>
  </si>
  <si>
    <t>N곽홍기</t>
    <phoneticPr fontId="60" type="noConversion"/>
  </si>
  <si>
    <t>RM송진영</t>
    <phoneticPr fontId="60" type="noConversion"/>
  </si>
  <si>
    <t>* 변경사항</t>
    <phoneticPr fontId="62" type="noConversion"/>
  </si>
  <si>
    <t>공혜빈</t>
    <phoneticPr fontId="62" type="noConversion"/>
  </si>
  <si>
    <t>N조태은</t>
    <phoneticPr fontId="60" type="noConversion"/>
  </si>
  <si>
    <t>RM서대성</t>
    <phoneticPr fontId="60" type="noConversion"/>
  </si>
  <si>
    <t>RG권병호</t>
    <phoneticPr fontId="60" type="noConversion"/>
  </si>
  <si>
    <t>N이흥식</t>
    <phoneticPr fontId="60" type="noConversion"/>
  </si>
  <si>
    <t>N송영연</t>
    <phoneticPr fontId="60" type="noConversion"/>
  </si>
  <si>
    <t>RM박미정4</t>
    <phoneticPr fontId="60" type="noConversion"/>
  </si>
  <si>
    <t>곽홍기님 통증 종결 시간 표 다시
최옥자7님 1:30 5층 -&gt;3층 선생님 진행</t>
    <phoneticPr fontId="60" type="noConversion"/>
  </si>
  <si>
    <t>박지원</t>
    <phoneticPr fontId="62" type="noConversion"/>
  </si>
  <si>
    <t>N김지윤7</t>
    <phoneticPr fontId="62" type="noConversion"/>
  </si>
  <si>
    <t>N윤동석2</t>
    <phoneticPr fontId="60" type="noConversion"/>
  </si>
  <si>
    <t>RN조남선</t>
    <phoneticPr fontId="60" type="noConversion"/>
  </si>
  <si>
    <t>N장광청</t>
    <phoneticPr fontId="60" type="noConversion"/>
  </si>
  <si>
    <t>N김복묵</t>
    <phoneticPr fontId="60" type="noConversion"/>
  </si>
  <si>
    <t>RG한순근</t>
    <phoneticPr fontId="60" type="noConversion"/>
  </si>
  <si>
    <t>권도희</t>
    <phoneticPr fontId="62" type="noConversion"/>
  </si>
  <si>
    <t>N이수길</t>
    <phoneticPr fontId="60" type="noConversion"/>
  </si>
  <si>
    <t>RM이강은</t>
    <phoneticPr fontId="60" type="noConversion"/>
  </si>
  <si>
    <t>N이명덕</t>
    <phoneticPr fontId="60" type="noConversion"/>
  </si>
  <si>
    <t>N정진월</t>
    <phoneticPr fontId="60" type="noConversion"/>
  </si>
  <si>
    <t>N유해진</t>
    <phoneticPr fontId="60" type="noConversion"/>
  </si>
  <si>
    <t>김은채</t>
    <phoneticPr fontId="62" type="noConversion"/>
  </si>
  <si>
    <t>N정규설</t>
    <phoneticPr fontId="60" type="noConversion"/>
  </si>
  <si>
    <t>RG윤현숙3</t>
    <phoneticPr fontId="60" type="noConversion"/>
  </si>
  <si>
    <t>N홍우표2</t>
    <phoneticPr fontId="60" type="noConversion"/>
  </si>
  <si>
    <t>N김진현2</t>
    <phoneticPr fontId="60" type="noConversion"/>
  </si>
  <si>
    <t>N이재남4</t>
    <phoneticPr fontId="62" type="noConversion"/>
  </si>
  <si>
    <t>N김지윤7</t>
    <phoneticPr fontId="60" type="noConversion"/>
  </si>
  <si>
    <t>홍유진</t>
    <phoneticPr fontId="60" type="noConversion"/>
  </si>
  <si>
    <t>RG박복덕</t>
    <phoneticPr fontId="60" type="noConversion"/>
  </si>
  <si>
    <t>N이순희5</t>
    <phoneticPr fontId="60" type="noConversion"/>
  </si>
  <si>
    <t>N정창래2</t>
    <phoneticPr fontId="60" type="noConversion"/>
  </si>
  <si>
    <t>RG윤현숙3</t>
    <phoneticPr fontId="60" type="noConversion"/>
  </si>
  <si>
    <t>조해인</t>
    <phoneticPr fontId="60" type="noConversion"/>
  </si>
  <si>
    <t>간호간병</t>
    <phoneticPr fontId="60" type="noConversion"/>
  </si>
  <si>
    <t>RD김귀례2</t>
    <phoneticPr fontId="60" type="noConversion"/>
  </si>
  <si>
    <t>RA조남선</t>
    <phoneticPr fontId="60" type="noConversion"/>
  </si>
  <si>
    <t>RA박복덕</t>
    <phoneticPr fontId="60" type="noConversion"/>
  </si>
  <si>
    <t>RA배희숙</t>
    <phoneticPr fontId="60" type="noConversion"/>
  </si>
  <si>
    <t>CA전용대</t>
    <phoneticPr fontId="60" type="noConversion"/>
  </si>
  <si>
    <t>RD서정욱2</t>
    <phoneticPr fontId="60" type="noConversion"/>
  </si>
  <si>
    <t>RD권병호</t>
    <phoneticPr fontId="60" type="noConversion"/>
  </si>
  <si>
    <t>CA정창래2</t>
    <phoneticPr fontId="60" type="noConversion"/>
  </si>
  <si>
    <t>김경옥</t>
    <phoneticPr fontId="62" type="noConversion"/>
  </si>
  <si>
    <t>CA송영연</t>
    <phoneticPr fontId="60" type="noConversion"/>
  </si>
  <si>
    <t>D정진월</t>
    <phoneticPr fontId="60" type="noConversion"/>
  </si>
  <si>
    <t>RA최옥자7</t>
  </si>
  <si>
    <t>CA유기분</t>
    <phoneticPr fontId="60" type="noConversion"/>
  </si>
  <si>
    <t>H박경원2</t>
    <phoneticPr fontId="60" type="noConversion"/>
  </si>
  <si>
    <t>RA이두현</t>
    <phoneticPr fontId="60" type="noConversion"/>
  </si>
  <si>
    <t>C유용진
C이재남4</t>
    <phoneticPr fontId="60" type="noConversion"/>
  </si>
  <si>
    <t>RA이재용2</t>
    <phoneticPr fontId="60" type="noConversion"/>
  </si>
  <si>
    <t>CA유용진</t>
    <phoneticPr fontId="60" type="noConversion"/>
  </si>
  <si>
    <t>CA윤동석2</t>
    <phoneticPr fontId="60" type="noConversion"/>
  </si>
  <si>
    <t>정지우</t>
    <phoneticPr fontId="62" type="noConversion"/>
  </si>
  <si>
    <t>CA장광청</t>
    <phoneticPr fontId="60" type="noConversion"/>
  </si>
  <si>
    <t>CA오정아</t>
    <phoneticPr fontId="62" type="noConversion"/>
  </si>
  <si>
    <t>RS송진영</t>
    <phoneticPr fontId="60" type="noConversion"/>
  </si>
  <si>
    <t>CA이영임</t>
    <phoneticPr fontId="60" type="noConversion"/>
  </si>
  <si>
    <t>CA정규설</t>
  </si>
  <si>
    <t>RD윤미기자</t>
    <phoneticPr fontId="60" type="noConversion"/>
  </si>
  <si>
    <t>RA정명자5</t>
    <phoneticPr fontId="60" type="noConversion"/>
  </si>
  <si>
    <t>RA서정욱2</t>
    <phoneticPr fontId="60" type="noConversion"/>
  </si>
  <si>
    <t>CA곽홍기</t>
    <phoneticPr fontId="60" type="noConversion"/>
  </si>
  <si>
    <t>김유정
(연차)</t>
    <phoneticPr fontId="60" type="noConversion"/>
  </si>
  <si>
    <t>정유진</t>
    <phoneticPr fontId="62" type="noConversion"/>
  </si>
  <si>
    <t>단축근무</t>
    <phoneticPr fontId="62" type="noConversion"/>
  </si>
  <si>
    <t>CA김복묵</t>
    <phoneticPr fontId="60" type="noConversion"/>
  </si>
  <si>
    <t>RD이정례3</t>
    <phoneticPr fontId="60" type="noConversion"/>
  </si>
  <si>
    <t>CA조태은</t>
    <phoneticPr fontId="60" type="noConversion"/>
  </si>
  <si>
    <t>CA주현수2</t>
    <phoneticPr fontId="62" type="noConversion"/>
  </si>
  <si>
    <t>CA이영휘</t>
    <phoneticPr fontId="60" type="noConversion"/>
  </si>
  <si>
    <t>RS박미정4</t>
    <phoneticPr fontId="60" type="noConversion"/>
  </si>
  <si>
    <t>CA이동열</t>
    <phoneticPr fontId="60" type="noConversion"/>
  </si>
  <si>
    <t>CA신옥남</t>
    <phoneticPr fontId="60" type="noConversion"/>
  </si>
  <si>
    <t>* 퇴원 및 HOLD</t>
    <phoneticPr fontId="60" type="noConversion"/>
  </si>
  <si>
    <t>양은주</t>
    <phoneticPr fontId="62" type="noConversion"/>
  </si>
  <si>
    <t>RA김영한2</t>
    <phoneticPr fontId="60" type="noConversion"/>
  </si>
  <si>
    <t>C변종구
C김지윤7</t>
    <phoneticPr fontId="60" type="noConversion"/>
  </si>
  <si>
    <t>RA서대성</t>
    <phoneticPr fontId="60" type="noConversion"/>
  </si>
  <si>
    <t>CA김진현2</t>
    <phoneticPr fontId="60" type="noConversion"/>
  </si>
  <si>
    <t>C이영휘
C윤영섭</t>
    <phoneticPr fontId="60" type="noConversion"/>
  </si>
  <si>
    <t>CA신인섭</t>
    <phoneticPr fontId="60" type="noConversion"/>
  </si>
  <si>
    <t>CA김봉예</t>
  </si>
  <si>
    <t>RA송진영</t>
    <phoneticPr fontId="60" type="noConversion"/>
  </si>
  <si>
    <t>김철기님 3 -&gt;6층 입원
3층 hold
서대성님 1시~저녁 hold</t>
    <phoneticPr fontId="60" type="noConversion"/>
  </si>
  <si>
    <t>김소희</t>
    <phoneticPr fontId="60" type="noConversion"/>
  </si>
  <si>
    <t>C전용대</t>
    <phoneticPr fontId="60" type="noConversion"/>
  </si>
  <si>
    <t>D정창래2</t>
    <phoneticPr fontId="60" type="noConversion"/>
  </si>
  <si>
    <t>C주현수2
C유기분</t>
    <phoneticPr fontId="60" type="noConversion"/>
  </si>
  <si>
    <t>CA이흥식</t>
    <phoneticPr fontId="60" type="noConversion"/>
  </si>
  <si>
    <t>CA박경원2</t>
    <phoneticPr fontId="60" type="noConversion"/>
  </si>
  <si>
    <t>CA김문식3</t>
    <phoneticPr fontId="60" type="noConversion"/>
  </si>
  <si>
    <t>D곽홍기</t>
    <phoneticPr fontId="60" type="noConversion"/>
  </si>
  <si>
    <t>CA변종구</t>
    <phoneticPr fontId="60" type="noConversion"/>
  </si>
  <si>
    <t>서한별</t>
    <phoneticPr fontId="62" type="noConversion"/>
  </si>
  <si>
    <t>C정진월</t>
    <phoneticPr fontId="60" type="noConversion"/>
  </si>
  <si>
    <t>RS이강은</t>
    <phoneticPr fontId="60" type="noConversion"/>
  </si>
  <si>
    <t>RS전효식</t>
    <phoneticPr fontId="60" type="noConversion"/>
  </si>
  <si>
    <t>RD이재용2</t>
    <phoneticPr fontId="60" type="noConversion"/>
  </si>
  <si>
    <t>C유해진
C신옥남</t>
    <phoneticPr fontId="60" type="noConversion"/>
  </si>
  <si>
    <t>RA박미정4</t>
    <phoneticPr fontId="60" type="noConversion"/>
  </si>
  <si>
    <t>CA이수길</t>
    <phoneticPr fontId="60" type="noConversion"/>
  </si>
  <si>
    <t>CA김지윤7</t>
    <phoneticPr fontId="60" type="noConversion"/>
  </si>
  <si>
    <t>RA한순근</t>
    <phoneticPr fontId="60" type="noConversion"/>
  </si>
  <si>
    <t>계장</t>
    <phoneticPr fontId="60" type="noConversion"/>
  </si>
  <si>
    <t>RA이정임4</t>
    <phoneticPr fontId="60" type="noConversion"/>
  </si>
  <si>
    <t>CA이재남4</t>
  </si>
  <si>
    <t>RA이정례3</t>
  </si>
  <si>
    <t>* 당일시간변경</t>
    <phoneticPr fontId="62" type="noConversion"/>
  </si>
  <si>
    <t>김선영</t>
    <phoneticPr fontId="60" type="noConversion"/>
  </si>
  <si>
    <t>RN배희숙</t>
    <phoneticPr fontId="60" type="noConversion"/>
  </si>
  <si>
    <t>RN박미정4</t>
    <phoneticPr fontId="60" type="noConversion"/>
  </si>
  <si>
    <t>RN윤미기자</t>
    <phoneticPr fontId="60" type="noConversion"/>
  </si>
  <si>
    <t>RN이정례3</t>
    <phoneticPr fontId="60" type="noConversion"/>
  </si>
  <si>
    <t>N오정아</t>
    <phoneticPr fontId="60" type="noConversion"/>
  </si>
  <si>
    <r>
      <t xml:space="preserve">F유해진 12:00 -&gt; 10:50
RG김귀례2 10:15 -&gt; 8:30 
N정규설 8:30 -&gt; 10:15
N윤영섭 9:40 -&gt; 9:05 
RM정명자5 9:05 -&gt; 9:40
</t>
    </r>
    <r>
      <rPr>
        <sz val="11"/>
        <color theme="1"/>
        <rFont val="맑은 고딕"/>
        <family val="2"/>
        <charset val="129"/>
        <scheme val="minor"/>
      </rPr>
      <t>서대성님</t>
    </r>
    <r>
      <rPr>
        <sz val="11"/>
        <color theme="1"/>
        <rFont val="맑은 고딕"/>
        <family val="2"/>
        <charset val="129"/>
        <scheme val="minor"/>
      </rPr>
      <t xml:space="preserve"> RM 12:00 </t>
    </r>
    <r>
      <rPr>
        <sz val="11"/>
        <color theme="1"/>
        <rFont val="맑은 고딕"/>
        <family val="2"/>
        <charset val="129"/>
        <scheme val="minor"/>
      </rPr>
      <t>→</t>
    </r>
    <r>
      <rPr>
        <sz val="11"/>
        <color theme="1"/>
        <rFont val="맑은 고딕"/>
        <family val="2"/>
        <charset val="129"/>
        <scheme val="minor"/>
      </rPr>
      <t xml:space="preserve"> 10:15
</t>
    </r>
    <r>
      <rPr>
        <sz val="11"/>
        <color theme="1"/>
        <rFont val="맑은 고딕"/>
        <family val="2"/>
        <charset val="129"/>
        <scheme val="minor"/>
      </rPr>
      <t>박복덕님</t>
    </r>
    <r>
      <rPr>
        <sz val="11"/>
        <color theme="1"/>
        <rFont val="맑은 고딕"/>
        <family val="2"/>
        <charset val="129"/>
        <scheme val="minor"/>
      </rPr>
      <t xml:space="preserve"> RA 11:25 </t>
    </r>
    <r>
      <rPr>
        <sz val="11"/>
        <color theme="1"/>
        <rFont val="맑은 고딕"/>
        <family val="2"/>
        <charset val="129"/>
        <scheme val="minor"/>
      </rPr>
      <t>→</t>
    </r>
    <r>
      <rPr>
        <sz val="11"/>
        <color theme="1"/>
        <rFont val="맑은 고딕"/>
        <family val="2"/>
        <charset val="129"/>
        <scheme val="minor"/>
      </rPr>
      <t xml:space="preserve"> 15:50
유영만님 CA 14:40 → 15:15
이영휘님 N 09:05 → 08:30
이다한T 대체 : 2층,6층,소아
김유정T 대체 : 6층,소아</t>
    </r>
    <phoneticPr fontId="60" type="noConversion"/>
  </si>
  <si>
    <t>임지승</t>
    <phoneticPr fontId="62" type="noConversion"/>
  </si>
  <si>
    <t>강시내</t>
    <phoneticPr fontId="62" type="noConversion"/>
  </si>
  <si>
    <t>F김진학
F정규설
F이영휘
F변종구</t>
    <phoneticPr fontId="62" type="noConversion"/>
  </si>
  <si>
    <t xml:space="preserve">
F송영연
F전용대
F유용진
F유해진
</t>
    <phoneticPr fontId="62" type="noConversion"/>
  </si>
  <si>
    <t>F윤동석2
F유영만
F정창래2</t>
    <phoneticPr fontId="62" type="noConversion"/>
  </si>
  <si>
    <t>F이명덕
F이재남4
F김진현2</t>
    <phoneticPr fontId="62" type="noConversion"/>
  </si>
  <si>
    <t>F장광청
F신인섭
F정진월
F유해진</t>
    <phoneticPr fontId="62" type="noConversion"/>
  </si>
  <si>
    <t>F김봉예
F이동열
F이영임
F김명숙19</t>
    <phoneticPr fontId="62" type="noConversion"/>
  </si>
  <si>
    <t>F오정아
F박경원2
F신옥남
F홍우표2</t>
    <phoneticPr fontId="62" type="noConversion"/>
  </si>
  <si>
    <t>단축근무</t>
    <phoneticPr fontId="60" type="noConversion"/>
  </si>
  <si>
    <t>김효진
(무급휴직)</t>
    <phoneticPr fontId="62" type="noConversion"/>
  </si>
  <si>
    <t>MM 변경 미희망 :  없음</t>
    <phoneticPr fontId="60" type="noConversion"/>
  </si>
  <si>
    <t>추가</t>
    <phoneticPr fontId="62" type="noConversion"/>
  </si>
  <si>
    <t>NDT</t>
    <phoneticPr fontId="62" type="noConversion"/>
  </si>
  <si>
    <t>N김진현2
N정규설</t>
    <phoneticPr fontId="62" type="noConversion"/>
  </si>
  <si>
    <t>N이영임
N조태은</t>
    <phoneticPr fontId="62" type="noConversion"/>
  </si>
  <si>
    <t>N송영연
N장광청</t>
    <phoneticPr fontId="62" type="noConversion"/>
  </si>
  <si>
    <t xml:space="preserve">N전용대
</t>
    <phoneticPr fontId="62" type="noConversion"/>
  </si>
  <si>
    <t>N정진월</t>
    <phoneticPr fontId="62" type="noConversion"/>
  </si>
  <si>
    <t>N김문식3
N신인섭</t>
    <phoneticPr fontId="62" type="noConversion"/>
  </si>
  <si>
    <t>N김복묵
N오정아</t>
    <phoneticPr fontId="62" type="noConversion"/>
  </si>
  <si>
    <t>N이순희5
N이동열</t>
    <phoneticPr fontId="60" type="noConversion"/>
  </si>
  <si>
    <t>N정창래2
N박경원2</t>
    <phoneticPr fontId="62" type="noConversion"/>
  </si>
  <si>
    <t>N김봉예
N유영만</t>
    <phoneticPr fontId="60" type="noConversion"/>
  </si>
  <si>
    <t xml:space="preserve">
</t>
    <phoneticPr fontId="62" type="noConversion"/>
  </si>
  <si>
    <t xml:space="preserve">N홍우표2
</t>
    <phoneticPr fontId="60" type="noConversion"/>
  </si>
  <si>
    <t>MM박복덕</t>
    <phoneticPr fontId="60" type="noConversion"/>
  </si>
  <si>
    <r>
      <rPr>
        <u/>
        <sz val="10"/>
        <rFont val="돋움"/>
        <family val="3"/>
        <charset val="129"/>
      </rPr>
      <t>N이명덕</t>
    </r>
    <r>
      <rPr>
        <sz val="10"/>
        <rFont val="돋움"/>
        <family val="3"/>
        <charset val="129"/>
      </rPr>
      <t xml:space="preserve">
</t>
    </r>
    <phoneticPr fontId="60" type="noConversion"/>
  </si>
  <si>
    <t>CA</t>
    <phoneticPr fontId="62" type="noConversion"/>
  </si>
  <si>
    <t>CA정진월</t>
    <phoneticPr fontId="62" type="noConversion"/>
  </si>
  <si>
    <t>CA홍우표</t>
    <phoneticPr fontId="60" type="noConversion"/>
  </si>
  <si>
    <t>CA이명덕</t>
    <phoneticPr fontId="60" type="noConversion"/>
  </si>
  <si>
    <t>CA이순희5</t>
    <phoneticPr fontId="62" type="noConversion"/>
  </si>
  <si>
    <t>D</t>
    <phoneticPr fontId="62" type="noConversion"/>
  </si>
  <si>
    <t>D정창래2
D이순희5
D오정아</t>
    <phoneticPr fontId="60" type="noConversion"/>
  </si>
  <si>
    <r>
      <t xml:space="preserve">D김문식3
D이명덕
</t>
    </r>
    <r>
      <rPr>
        <u/>
        <sz val="10"/>
        <rFont val="돋움"/>
        <family val="3"/>
        <charset val="129"/>
      </rPr>
      <t>D정창래2</t>
    </r>
    <phoneticPr fontId="62" type="noConversion"/>
  </si>
  <si>
    <t xml:space="preserve">
D홍우표2
D오정아</t>
    <phoneticPr fontId="60" type="noConversion"/>
  </si>
  <si>
    <t xml:space="preserve">D김복묵
</t>
    <phoneticPr fontId="60" type="noConversion"/>
  </si>
  <si>
    <t>D유영만
D곽홍기
D이영임</t>
    <phoneticPr fontId="62" type="noConversion"/>
  </si>
  <si>
    <t xml:space="preserve">
D이영임
D윤영섭</t>
    <phoneticPr fontId="62" type="noConversion"/>
  </si>
  <si>
    <t xml:space="preserve">
D유해진</t>
    <phoneticPr fontId="62" type="noConversion"/>
  </si>
  <si>
    <r>
      <t xml:space="preserve">D김복묵
</t>
    </r>
    <r>
      <rPr>
        <u/>
        <sz val="10"/>
        <rFont val="돋움"/>
        <family val="3"/>
        <charset val="129"/>
      </rPr>
      <t>D정진월</t>
    </r>
    <phoneticPr fontId="62" type="noConversion"/>
  </si>
  <si>
    <t>D김문식3</t>
    <phoneticPr fontId="60" type="noConversion"/>
  </si>
  <si>
    <t xml:space="preserve">
D유영만</t>
    <phoneticPr fontId="62" type="noConversion"/>
  </si>
  <si>
    <t>C</t>
    <phoneticPr fontId="62" type="noConversion"/>
  </si>
  <si>
    <t xml:space="preserve">
C신인섭</t>
    <phoneticPr fontId="62" type="noConversion"/>
  </si>
  <si>
    <t>C박경원2
C이순희5
C조태은</t>
    <phoneticPr fontId="62" type="noConversion"/>
  </si>
  <si>
    <t>C이동열
C윤동석2</t>
    <phoneticPr fontId="60" type="noConversion"/>
  </si>
  <si>
    <t xml:space="preserve">
C장광청</t>
    <phoneticPr fontId="62" type="noConversion"/>
  </si>
  <si>
    <r>
      <t xml:space="preserve">
</t>
    </r>
    <r>
      <rPr>
        <u/>
        <sz val="10"/>
        <rFont val="돋움"/>
        <family val="3"/>
        <charset val="129"/>
      </rPr>
      <t>C정진월</t>
    </r>
    <phoneticPr fontId="62" type="noConversion"/>
  </si>
  <si>
    <t>C김문식3</t>
    <phoneticPr fontId="62" type="noConversion"/>
  </si>
  <si>
    <r>
      <t xml:space="preserve">C정창래2
C이명덕
</t>
    </r>
    <r>
      <rPr>
        <u/>
        <sz val="10"/>
        <rFont val="돋움"/>
        <family val="3"/>
        <charset val="129"/>
      </rPr>
      <t>C전용대</t>
    </r>
    <phoneticPr fontId="62" type="noConversion"/>
  </si>
  <si>
    <r>
      <t xml:space="preserve">C이영임
</t>
    </r>
    <r>
      <rPr>
        <u/>
        <sz val="10"/>
        <rFont val="돋움"/>
        <family val="3"/>
        <charset val="129"/>
      </rPr>
      <t>C정규설</t>
    </r>
    <r>
      <rPr>
        <sz val="10"/>
        <rFont val="돋움"/>
        <family val="3"/>
        <charset val="129"/>
      </rPr>
      <t xml:space="preserve">
C김진현2</t>
    </r>
    <phoneticPr fontId="60" type="noConversion"/>
  </si>
  <si>
    <t>C홍우표2</t>
    <phoneticPr fontId="62" type="noConversion"/>
  </si>
  <si>
    <t>C유영만
C김복묵</t>
    <phoneticPr fontId="62" type="noConversion"/>
  </si>
  <si>
    <t xml:space="preserve">C송영연
C김봉예
</t>
    <phoneticPr fontId="62" type="noConversion"/>
  </si>
  <si>
    <t>8:30~
9:00</t>
    <phoneticPr fontId="62" type="noConversion"/>
  </si>
  <si>
    <t>10:15~
10:45</t>
    <phoneticPr fontId="62" type="noConversion"/>
  </si>
  <si>
    <t>10:50~
11:20</t>
    <phoneticPr fontId="62" type="noConversion"/>
  </si>
  <si>
    <t>11:25~
11:55</t>
    <phoneticPr fontId="62" type="noConversion"/>
  </si>
  <si>
    <t>16:25~
16:55</t>
    <phoneticPr fontId="62" type="noConversion"/>
  </si>
  <si>
    <t>17:00~
17:30</t>
    <phoneticPr fontId="62" type="noConversion"/>
  </si>
  <si>
    <t>통증</t>
    <phoneticPr fontId="62" type="noConversion"/>
  </si>
  <si>
    <t>한순근
오치영</t>
    <phoneticPr fontId="60" type="noConversion"/>
  </si>
  <si>
    <t>언어</t>
    <phoneticPr fontId="62" type="noConversion"/>
  </si>
  <si>
    <t>주현수2
정창래2(A)</t>
    <phoneticPr fontId="60" type="noConversion"/>
  </si>
  <si>
    <t xml:space="preserve">
김주식</t>
    <phoneticPr fontId="60" type="noConversion"/>
  </si>
  <si>
    <t>이두현</t>
    <phoneticPr fontId="60" type="noConversion"/>
  </si>
  <si>
    <t>스케쥴 특이 사항 :  없음</t>
    <phoneticPr fontId="60" type="noConversion"/>
  </si>
  <si>
    <t>로봇 /
 RG2-R</t>
    <phoneticPr fontId="62" type="noConversion"/>
  </si>
  <si>
    <t>이정례(A)</t>
    <phoneticPr fontId="60" type="noConversion"/>
  </si>
  <si>
    <t xml:space="preserve">오정아(A)
</t>
    <phoneticPr fontId="60" type="noConversion"/>
  </si>
  <si>
    <t>오정아(A)</t>
    <phoneticPr fontId="60" type="noConversion"/>
  </si>
  <si>
    <t xml:space="preserve">
윤동석2(B)</t>
    <phoneticPr fontId="60" type="noConversion"/>
  </si>
  <si>
    <t>주현수2
김복묵(A)
이정임4</t>
    <phoneticPr fontId="60" type="noConversion"/>
  </si>
  <si>
    <t>2층 도수</t>
    <phoneticPr fontId="62" type="noConversion"/>
  </si>
  <si>
    <t>김정자20</t>
    <phoneticPr fontId="60" type="noConversion"/>
  </si>
  <si>
    <t>이흥식(A)</t>
    <phoneticPr fontId="60" type="noConversion"/>
  </si>
  <si>
    <t>전산화인지</t>
    <phoneticPr fontId="62" type="noConversion"/>
  </si>
  <si>
    <t>수중</t>
    <phoneticPr fontId="62" type="noConversion"/>
  </si>
  <si>
    <t>주현수2</t>
    <phoneticPr fontId="60" type="noConversion"/>
  </si>
  <si>
    <t>RN이정임4</t>
    <phoneticPr fontId="60" type="noConversion"/>
  </si>
  <si>
    <t>RG최옥자7(3)</t>
  </si>
  <si>
    <t>RG윤현숙3(3)</t>
    <phoneticPr fontId="60" type="noConversion"/>
  </si>
  <si>
    <t>RA오병찬(3)</t>
    <phoneticPr fontId="60" type="noConversion"/>
  </si>
  <si>
    <t>RA한순근(3)</t>
    <phoneticPr fontId="60" type="noConversion"/>
  </si>
  <si>
    <t>문희연</t>
    <phoneticPr fontId="60" type="noConversion"/>
  </si>
  <si>
    <t>RA이두현</t>
    <phoneticPr fontId="60" type="noConversion"/>
  </si>
  <si>
    <t>RA한순근</t>
    <phoneticPr fontId="60" type="noConversion"/>
  </si>
  <si>
    <t xml:space="preserve"> RG최옥자7</t>
  </si>
  <si>
    <t>박종규</t>
    <phoneticPr fontId="60" type="noConversion"/>
  </si>
  <si>
    <t>CA김진학</t>
    <phoneticPr fontId="60" type="noConversion"/>
  </si>
  <si>
    <t xml:space="preserve">
RA이두현</t>
    <phoneticPr fontId="60" type="noConversion"/>
  </si>
  <si>
    <t>RD권병호</t>
    <phoneticPr fontId="60" type="noConversion"/>
  </si>
  <si>
    <t>RA오병찬</t>
    <phoneticPr fontId="60" type="noConversion"/>
  </si>
  <si>
    <t>RA한순근</t>
    <phoneticPr fontId="60" type="noConversion"/>
  </si>
  <si>
    <t>3층 재활센터 차팅확인지     2025. 12. 01 (월)</t>
    <phoneticPr fontId="62" type="noConversion"/>
  </si>
  <si>
    <t>3층 재활센터 차팅확인지     2025. 12. 02 (화)</t>
    <phoneticPr fontId="62" type="noConversion"/>
  </si>
  <si>
    <t>RM정명자5</t>
    <phoneticPr fontId="60" type="noConversion"/>
  </si>
  <si>
    <t>M장광청
M김복묵
M오정아
M정규설
TT박경원2
M이동열</t>
    <phoneticPr fontId="62" type="noConversion"/>
  </si>
  <si>
    <t xml:space="preserve">
MM배희숙
MM윤현숙3
</t>
    <phoneticPr fontId="60" type="noConversion"/>
  </si>
  <si>
    <t>RA조남선</t>
    <phoneticPr fontId="60" type="noConversion"/>
  </si>
  <si>
    <t>윤영섭(평)</t>
    <phoneticPr fontId="60" type="noConversion"/>
  </si>
  <si>
    <t>RG한순근</t>
    <phoneticPr fontId="60" type="noConversion"/>
  </si>
  <si>
    <t>N최진형</t>
    <phoneticPr fontId="60" type="noConversion"/>
  </si>
  <si>
    <t>유해진(평)</t>
    <phoneticPr fontId="60" type="noConversion"/>
  </si>
  <si>
    <t xml:space="preserve">M유영만
M정창래2
M김지윤7
M신옥남
</t>
    <phoneticPr fontId="62" type="noConversion"/>
  </si>
  <si>
    <t>RM이재용2</t>
    <phoneticPr fontId="60" type="noConversion"/>
  </si>
  <si>
    <t>N7오정아</t>
    <phoneticPr fontId="60" type="noConversion"/>
  </si>
  <si>
    <t>RM윤미기자</t>
    <phoneticPr fontId="60" type="noConversion"/>
  </si>
  <si>
    <t>RM윤미기자</t>
    <phoneticPr fontId="60" type="noConversion"/>
  </si>
  <si>
    <t>통합</t>
    <phoneticPr fontId="60" type="noConversion"/>
  </si>
  <si>
    <t xml:space="preserve">RS이정임4
</t>
    <phoneticPr fontId="60" type="noConversion"/>
  </si>
  <si>
    <t>D이순희5</t>
    <phoneticPr fontId="60" type="noConversion"/>
  </si>
  <si>
    <r>
      <t xml:space="preserve">
M김봉예</t>
    </r>
    <r>
      <rPr>
        <sz val="10"/>
        <rFont val="돋움"/>
        <family val="3"/>
        <charset val="129"/>
      </rPr>
      <t xml:space="preserve">
M윤영섭</t>
    </r>
    <r>
      <rPr>
        <sz val="10"/>
        <color theme="1"/>
        <rFont val="돋움"/>
        <family val="3"/>
        <charset val="129"/>
      </rPr>
      <t xml:space="preserve">
M이명덕
M이순희5
M김진학
M정진월</t>
    </r>
    <phoneticPr fontId="62" type="noConversion"/>
  </si>
  <si>
    <t xml:space="preserve">MM이강은
MM서대성
</t>
    <phoneticPr fontId="60" type="noConversion"/>
  </si>
  <si>
    <t>M김주식
M송영연
M유기분
M조태은
M김진현2
M유해진
M홍우표2
M이영임</t>
    <phoneticPr fontId="62" type="noConversion"/>
  </si>
  <si>
    <t>F김복묵
F김주식
F이수길
F김지윤7
F유기분</t>
    <phoneticPr fontId="62" type="noConversion"/>
  </si>
  <si>
    <t>C곽홍기</t>
    <phoneticPr fontId="60" type="noConversion"/>
  </si>
  <si>
    <t>M전용대
M곽홍기
M유해진</t>
    <phoneticPr fontId="62" type="noConversion"/>
  </si>
  <si>
    <t xml:space="preserve">M이수길
M이영휘
M신인섭
G박경원2
M이재남4
</t>
    <phoneticPr fontId="62" type="noConversion"/>
  </si>
  <si>
    <t>RM1이정임4(평)</t>
    <phoneticPr fontId="60" type="noConversion"/>
  </si>
  <si>
    <t>N유기분</t>
    <phoneticPr fontId="60" type="noConversion"/>
  </si>
  <si>
    <t>통합</t>
    <phoneticPr fontId="60" type="noConversion"/>
  </si>
  <si>
    <t>RM송진영</t>
    <phoneticPr fontId="60" type="noConversion"/>
  </si>
  <si>
    <t xml:space="preserve">(RM2)
김선영T- 이강은님 RM1(15:30-15:45)
(RM5)
김우주계장 - 서정욱2님 평가오더(MMSE,CDR,HAND없음 /  
조해인T- 서정욱2님 RD2(14:05-14:35)
최지영T-T서정욱2님 RG2(14:40-15:10)
공혜빈T - 서대성 RM2 (09:05-09:35) 
임지승T - 서대성 MM2(14:40-15:10)
임지승T - 서정욱2 RM5(15:50-16:20)
양은주T- 서대성 RA1(09:55-10:10)
김소희T-유기분 C오더(08:45-09:00) / 정창래2 D오더(08:00-08:30)
강시내T - 유기분 F오더(10:15-10:45)
정지우T - 서정욱2 RA1 (15:30-15:45)
(RM7) 
김혜민T - 박복덕RG1 (09:40-09:55) 
홍유진T - 박복덕 RG2 (10:15-10:45), RG2 (13:30-14:00)
최지영T- 배희숙 RM1(09:40-09:55) 
배서현T - 박복덕 RG2 (14:40-15:10)
(RM8)
김헤민T - 최옥자7  RG2 (12:00-12:30)
배서현T - 최옥자 RG1 (09:55-10:10)/
김우주계장 - 황춘자 v1 (10:15~10:45)
전지원T- 조남선님 RM2(15:50-16:20)
(RM9)
정유진T - 이영휘님 평가오더(MMSE, MBI 없음)
</t>
    <phoneticPr fontId="60" type="noConversion"/>
  </si>
  <si>
    <t>D이영휘</t>
    <phoneticPr fontId="60" type="noConversion"/>
  </si>
  <si>
    <t>V이영휘</t>
    <phoneticPr fontId="60" type="noConversion"/>
  </si>
  <si>
    <t>고영희2(평)</t>
    <phoneticPr fontId="62" type="noConversion"/>
  </si>
  <si>
    <t>RM이정임4</t>
    <phoneticPr fontId="60" type="noConversion"/>
  </si>
  <si>
    <t>RG김귀례2</t>
    <phoneticPr fontId="60" type="noConversion"/>
  </si>
  <si>
    <t>M이명덕
M이영휘
M장광청
M유영만</t>
    <phoneticPr fontId="60" type="noConversion"/>
  </si>
  <si>
    <t xml:space="preserve">
MM이정임4
MM전효식
</t>
    <phoneticPr fontId="60" type="noConversion"/>
  </si>
  <si>
    <t>F조태은
F이순희5
F윤영섭
F곽홍기
F주현수2</t>
    <phoneticPr fontId="62" type="noConversion"/>
  </si>
  <si>
    <t>C이수길</t>
    <phoneticPr fontId="60" type="noConversion"/>
  </si>
  <si>
    <t>H7윤동석2</t>
    <phoneticPr fontId="62" type="noConversion"/>
  </si>
  <si>
    <t>RA1이강은(평)</t>
    <phoneticPr fontId="60" type="noConversion"/>
  </si>
  <si>
    <t>D윤영섭</t>
    <phoneticPr fontId="60" type="noConversion"/>
  </si>
  <si>
    <t>N정창래2</t>
    <phoneticPr fontId="60" type="noConversion"/>
  </si>
  <si>
    <t xml:space="preserve">MM전효식
MM서정욱2
</t>
    <phoneticPr fontId="60" type="noConversion"/>
  </si>
  <si>
    <t>MM김귀례2</t>
    <phoneticPr fontId="60" type="noConversion"/>
  </si>
  <si>
    <t xml:space="preserve">
M기상우
M유용진
M윤동석2
</t>
    <phoneticPr fontId="62" type="noConversion"/>
  </si>
  <si>
    <r>
      <t>MM이강은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MM배희숙</t>
    </r>
    <r>
      <rPr>
        <sz val="10"/>
        <rFont val="돋움"/>
        <family val="3"/>
        <charset val="129"/>
      </rPr>
      <t xml:space="preserve">
</t>
    </r>
    <phoneticPr fontId="60" type="noConversion"/>
  </si>
  <si>
    <t xml:space="preserve">
</t>
    <phoneticPr fontId="60" type="noConversion"/>
  </si>
  <si>
    <t xml:space="preserve">
M정규설
M김진현2
M이수길
M오정아
M조태은</t>
    <phoneticPr fontId="62" type="noConversion"/>
  </si>
  <si>
    <r>
      <t xml:space="preserve">
MM권병호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MM조남선
</t>
    </r>
    <phoneticPr fontId="60" type="noConversion"/>
  </si>
  <si>
    <t xml:space="preserve">
MM박미정4
</t>
    <phoneticPr fontId="60" type="noConversion"/>
  </si>
  <si>
    <t>M김봉예
M김지윤7
M정창래2
M이재남4
M신인섭
M이동열
M이영임
M이순희5
M정진월</t>
    <phoneticPr fontId="62" type="noConversion"/>
  </si>
  <si>
    <t xml:space="preserve">
MM이두현</t>
    <phoneticPr fontId="60" type="noConversion"/>
  </si>
  <si>
    <t>D이명덕</t>
    <phoneticPr fontId="60" type="noConversion"/>
  </si>
  <si>
    <t xml:space="preserve">&lt;RM9&gt;
전문 김복묵님 작업 - C1, A1(정유진T: 9:40-9:50, 9:50-10:10)
&lt;RM2&gt;
회복기 연장 윤영섭님 운동 - ROM (김은채T)
회복기 연장 윤영섭님 작업 - hand,cdr,phq-9 (조해인T)
회복기 이정임4님 운동 - ROM (최지영T)
회복기 이강은님 작업 - phq-9,cdr, mmse, hand (김우주계장)
(RM5)
김우주계장 - 12/1 서정욱2님 평가오더(HAND없음)
김소희-전문 유기분님 C오더(08:45-09:00)  
김혜민T - 송진영님 RM2 (15:50-16:20)
&lt;RM1&gt;
홍유진T - 전문재활 유해진님 평가오더(ROM, MMT, BBS)
&lt;RM8&gt;
회복기 조남선님 운동 - RM2 (15:50 - 16:20)
</t>
    <phoneticPr fontId="60" type="noConversion"/>
  </si>
  <si>
    <t>M김문식3
M유용진
M유기분
M전용대
M홍우표2
G박경원2</t>
    <phoneticPr fontId="62" type="noConversion"/>
  </si>
  <si>
    <t xml:space="preserve">MM서정욱2
</t>
    <phoneticPr fontId="60" type="noConversion"/>
  </si>
  <si>
    <t>V유해진</t>
    <phoneticPr fontId="60" type="noConversion"/>
  </si>
  <si>
    <t>RG최옥자7</t>
    <phoneticPr fontId="60" type="noConversion"/>
  </si>
  <si>
    <t>V윤영섭
V이명덕</t>
    <phoneticPr fontId="60" type="noConversion"/>
  </si>
  <si>
    <t>V이순희5
V홍우표2</t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</si>
</sst>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94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"/>
      <name val="돋움"/>
      <family val="2"/>
      <charset val="129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.5"/>
      <color rgb="FF000000"/>
      <name val="굴림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b/>
      <sz val="10"/>
      <name val="굴림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10"/>
      <color theme="0"/>
      <name val="돋움"/>
      <family val="3"/>
      <charset val="129"/>
    </font>
    <font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u/>
      <sz val="1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10"/>
      <color rgb="FF00B05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b/>
      <u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4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12">
    <xf numFmtId="0" fontId="0" fillId="0" borderId="0">
      <alignment vertical="center"/>
    </xf>
    <xf numFmtId="0" fontId="58" fillId="0" borderId="0">
      <alignment vertical="center"/>
    </xf>
    <xf numFmtId="0" fontId="65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65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13">
    <xf numFmtId="0" fontId="0" fillId="0" borderId="0" xfId="0">
      <alignment vertical="center"/>
    </xf>
    <xf numFmtId="0" fontId="66" fillId="0" borderId="1" xfId="2" applyFont="1" applyFill="1" applyBorder="1" applyAlignment="1">
      <alignment horizontal="center" vertical="center" wrapText="1"/>
    </xf>
    <xf numFmtId="0" fontId="66" fillId="0" borderId="10" xfId="2" applyFont="1" applyFill="1" applyBorder="1" applyAlignment="1">
      <alignment horizontal="center" vertical="center" wrapText="1"/>
    </xf>
    <xf numFmtId="0" fontId="66" fillId="0" borderId="11" xfId="2" applyFont="1" applyFill="1" applyBorder="1" applyAlignment="1">
      <alignment horizontal="center" vertical="center" wrapText="1"/>
    </xf>
    <xf numFmtId="0" fontId="68" fillId="4" borderId="1" xfId="2" applyFont="1" applyFill="1" applyBorder="1" applyAlignment="1">
      <alignment horizontal="center" vertical="center" wrapText="1"/>
    </xf>
    <xf numFmtId="0" fontId="66" fillId="0" borderId="11" xfId="2" applyFont="1" applyFill="1" applyBorder="1" applyAlignment="1">
      <alignment horizontal="center" vertical="center"/>
    </xf>
    <xf numFmtId="0" fontId="66" fillId="0" borderId="10" xfId="2" applyFont="1" applyFill="1" applyBorder="1" applyAlignment="1">
      <alignment horizontal="center" vertical="center"/>
    </xf>
    <xf numFmtId="0" fontId="66" fillId="0" borderId="31" xfId="2" applyFont="1" applyFill="1" applyBorder="1" applyAlignment="1">
      <alignment horizontal="center" vertical="center" wrapText="1"/>
    </xf>
    <xf numFmtId="0" fontId="66" fillId="0" borderId="37" xfId="2" applyFont="1" applyFill="1" applyBorder="1" applyAlignment="1">
      <alignment horizontal="center" vertical="center" wrapText="1"/>
    </xf>
    <xf numFmtId="0" fontId="66" fillId="0" borderId="1" xfId="2" applyNumberFormat="1" applyFont="1" applyFill="1" applyBorder="1" applyAlignment="1" applyProtection="1">
      <alignment horizontal="center" vertical="center" wrapText="1"/>
    </xf>
    <xf numFmtId="0" fontId="86" fillId="4" borderId="1" xfId="2" applyFont="1" applyFill="1" applyBorder="1" applyAlignment="1">
      <alignment horizontal="center" vertical="center" wrapText="1"/>
    </xf>
    <xf numFmtId="176" fontId="76" fillId="0" borderId="0" xfId="396" applyNumberFormat="1" applyFont="1" applyFill="1" applyBorder="1" applyAlignment="1" applyProtection="1">
      <alignment horizontal="center" vertical="center" wrapText="1"/>
    </xf>
    <xf numFmtId="0" fontId="61" fillId="0" borderId="2" xfId="400" applyNumberFormat="1" applyFont="1" applyFill="1" applyBorder="1" applyAlignment="1" applyProtection="1">
      <alignment horizontal="center" vertical="center"/>
    </xf>
    <xf numFmtId="0" fontId="5" fillId="0" borderId="0" xfId="399">
      <alignment vertical="center"/>
    </xf>
    <xf numFmtId="0" fontId="5" fillId="0" borderId="0" xfId="399" applyAlignment="1">
      <alignment vertical="center"/>
    </xf>
    <xf numFmtId="0" fontId="5" fillId="0" borderId="0" xfId="399" applyAlignment="1">
      <alignment vertical="top"/>
    </xf>
    <xf numFmtId="0" fontId="61" fillId="0" borderId="0" xfId="400" applyNumberFormat="1" applyFont="1" applyFill="1" applyBorder="1" applyAlignment="1" applyProtection="1">
      <alignment horizontal="center" vertical="center"/>
    </xf>
    <xf numFmtId="0" fontId="59" fillId="2" borderId="1" xfId="399" applyNumberFormat="1" applyFont="1" applyFill="1" applyBorder="1" applyAlignment="1" applyProtection="1">
      <alignment horizontal="center" vertical="center"/>
    </xf>
    <xf numFmtId="0" fontId="59" fillId="2" borderId="1" xfId="399" applyNumberFormat="1" applyFont="1" applyFill="1" applyBorder="1" applyAlignment="1" applyProtection="1">
      <alignment horizontal="left" vertical="center" wrapText="1"/>
    </xf>
    <xf numFmtId="0" fontId="59" fillId="2" borderId="1" xfId="399" applyNumberFormat="1" applyFont="1" applyFill="1" applyBorder="1" applyAlignment="1" applyProtection="1">
      <alignment horizontal="center" vertical="center" wrapText="1"/>
    </xf>
    <xf numFmtId="0" fontId="59" fillId="2" borderId="10" xfId="399" applyNumberFormat="1" applyFont="1" applyFill="1" applyBorder="1" applyAlignment="1" applyProtection="1">
      <alignment horizontal="center" vertical="center" wrapText="1"/>
    </xf>
    <xf numFmtId="0" fontId="64" fillId="2" borderId="10" xfId="399" applyNumberFormat="1" applyFont="1" applyFill="1" applyBorder="1" applyAlignment="1" applyProtection="1">
      <alignment horizontal="center" vertical="center"/>
    </xf>
    <xf numFmtId="0" fontId="59" fillId="0" borderId="10" xfId="399" applyNumberFormat="1" applyFont="1" applyFill="1" applyBorder="1" applyAlignment="1" applyProtection="1">
      <alignment horizontal="center" vertical="center"/>
    </xf>
    <xf numFmtId="0" fontId="71" fillId="0" borderId="11" xfId="399" applyNumberFormat="1" applyFont="1" applyFill="1" applyBorder="1" applyAlignment="1" applyProtection="1">
      <alignment horizontal="center" vertical="center" wrapText="1"/>
    </xf>
    <xf numFmtId="0" fontId="76" fillId="0" borderId="16" xfId="399" applyNumberFormat="1" applyFont="1" applyFill="1" applyBorder="1" applyAlignment="1" applyProtection="1">
      <alignment horizontal="center" vertical="center" wrapText="1"/>
    </xf>
    <xf numFmtId="0" fontId="76" fillId="0" borderId="10" xfId="399" applyNumberFormat="1" applyFont="1" applyFill="1" applyBorder="1" applyAlignment="1" applyProtection="1">
      <alignment horizontal="center" vertical="center" wrapText="1"/>
    </xf>
    <xf numFmtId="0" fontId="76" fillId="0" borderId="1" xfId="399" applyNumberFormat="1" applyFont="1" applyFill="1" applyBorder="1" applyAlignment="1" applyProtection="1">
      <alignment horizontal="center" vertical="center" wrapText="1"/>
    </xf>
    <xf numFmtId="0" fontId="76" fillId="0" borderId="11" xfId="399" applyNumberFormat="1" applyFont="1" applyFill="1" applyBorder="1" applyAlignment="1" applyProtection="1">
      <alignment horizontal="center" vertical="center" wrapText="1"/>
    </xf>
    <xf numFmtId="0" fontId="66" fillId="0" borderId="16" xfId="399" applyNumberFormat="1" applyFont="1" applyFill="1" applyBorder="1" applyAlignment="1" applyProtection="1">
      <alignment horizontal="center" vertical="center"/>
    </xf>
    <xf numFmtId="9" fontId="76" fillId="0" borderId="0" xfId="393" applyFont="1" applyFill="1" applyBorder="1" applyAlignment="1" applyProtection="1">
      <alignment horizontal="center" vertical="center" wrapText="1"/>
    </xf>
    <xf numFmtId="0" fontId="5" fillId="0" borderId="0" xfId="399" applyAlignment="1">
      <alignment horizontal="center" vertical="center"/>
    </xf>
    <xf numFmtId="0" fontId="5" fillId="0" borderId="0" xfId="399" applyFill="1">
      <alignment vertical="center"/>
    </xf>
    <xf numFmtId="0" fontId="5" fillId="0" borderId="0" xfId="399" applyFill="1" applyAlignment="1">
      <alignment vertical="top"/>
    </xf>
    <xf numFmtId="0" fontId="76" fillId="0" borderId="10" xfId="399" applyFont="1" applyFill="1" applyBorder="1" applyAlignment="1">
      <alignment horizontal="center" vertical="center"/>
    </xf>
    <xf numFmtId="0" fontId="66" fillId="0" borderId="1" xfId="399" applyNumberFormat="1" applyFont="1" applyFill="1" applyBorder="1" applyAlignment="1" applyProtection="1">
      <alignment horizontal="center" vertical="center" wrapText="1"/>
    </xf>
    <xf numFmtId="0" fontId="66" fillId="0" borderId="1" xfId="399" applyFont="1" applyFill="1" applyBorder="1" applyAlignment="1">
      <alignment horizontal="center" vertical="center" wrapText="1"/>
    </xf>
    <xf numFmtId="0" fontId="66" fillId="0" borderId="11" xfId="399" applyNumberFormat="1" applyFont="1" applyFill="1" applyBorder="1" applyAlignment="1" applyProtection="1">
      <alignment horizontal="center" vertical="center" wrapText="1"/>
    </xf>
    <xf numFmtId="0" fontId="68" fillId="0" borderId="1" xfId="399" applyFont="1" applyFill="1" applyBorder="1" applyAlignment="1">
      <alignment horizontal="center" vertical="center"/>
    </xf>
    <xf numFmtId="0" fontId="76" fillId="0" borderId="11" xfId="399" applyFont="1" applyFill="1" applyBorder="1" applyAlignment="1">
      <alignment horizontal="center" vertical="center"/>
    </xf>
    <xf numFmtId="0" fontId="67" fillId="0" borderId="10" xfId="399" applyNumberFormat="1" applyFont="1" applyFill="1" applyBorder="1" applyAlignment="1" applyProtection="1">
      <alignment horizontal="center" vertical="center" wrapText="1"/>
    </xf>
    <xf numFmtId="0" fontId="66" fillId="0" borderId="1" xfId="399" applyFont="1" applyFill="1" applyBorder="1" applyAlignment="1">
      <alignment horizontal="center" vertical="center"/>
    </xf>
    <xf numFmtId="0" fontId="66" fillId="0" borderId="16" xfId="399" applyFont="1" applyFill="1" applyBorder="1" applyAlignment="1">
      <alignment horizontal="center" vertical="center" wrapText="1"/>
    </xf>
    <xf numFmtId="0" fontId="67" fillId="0" borderId="16" xfId="399" applyNumberFormat="1" applyFont="1" applyFill="1" applyBorder="1" applyAlignment="1" applyProtection="1">
      <alignment horizontal="center" vertical="center" wrapText="1"/>
    </xf>
    <xf numFmtId="0" fontId="66" fillId="5" borderId="1" xfId="399" applyFont="1" applyFill="1" applyBorder="1" applyAlignment="1">
      <alignment horizontal="center" vertical="center" wrapText="1"/>
    </xf>
    <xf numFmtId="0" fontId="66" fillId="0" borderId="11" xfId="399" applyFont="1" applyFill="1" applyBorder="1" applyAlignment="1">
      <alignment horizontal="center" vertical="center" wrapText="1"/>
    </xf>
    <xf numFmtId="0" fontId="67" fillId="4" borderId="16" xfId="399" applyNumberFormat="1" applyFont="1" applyFill="1" applyBorder="1" applyAlignment="1" applyProtection="1">
      <alignment horizontal="center" vertical="center" wrapText="1"/>
    </xf>
    <xf numFmtId="0" fontId="80" fillId="4" borderId="1" xfId="399" applyNumberFormat="1" applyFont="1" applyFill="1" applyBorder="1" applyAlignment="1" applyProtection="1">
      <alignment horizontal="center" vertical="center" wrapText="1"/>
    </xf>
    <xf numFmtId="0" fontId="67" fillId="0" borderId="16" xfId="2" applyNumberFormat="1" applyFont="1" applyFill="1" applyBorder="1" applyAlignment="1" applyProtection="1">
      <alignment horizontal="center" vertical="center" wrapText="1"/>
    </xf>
    <xf numFmtId="0" fontId="66" fillId="0" borderId="10" xfId="399" applyNumberFormat="1" applyFont="1" applyFill="1" applyBorder="1" applyAlignment="1" applyProtection="1">
      <alignment horizontal="center" vertical="center" wrapText="1"/>
    </xf>
    <xf numFmtId="0" fontId="66" fillId="0" borderId="31" xfId="399" applyFont="1" applyFill="1" applyBorder="1" applyAlignment="1">
      <alignment horizontal="center" vertical="center" wrapText="1"/>
    </xf>
    <xf numFmtId="0" fontId="66" fillId="0" borderId="10" xfId="399" applyFont="1" applyFill="1" applyBorder="1" applyAlignment="1">
      <alignment horizontal="center" vertical="center" wrapText="1"/>
    </xf>
    <xf numFmtId="0" fontId="66" fillId="0" borderId="31" xfId="399" applyNumberFormat="1" applyFont="1" applyFill="1" applyBorder="1" applyAlignment="1" applyProtection="1">
      <alignment horizontal="center" vertical="center" wrapText="1"/>
    </xf>
    <xf numFmtId="0" fontId="76" fillId="0" borderId="34" xfId="399" applyFont="1" applyFill="1" applyBorder="1" applyAlignment="1">
      <alignment horizontal="center" vertical="center"/>
    </xf>
    <xf numFmtId="0" fontId="71" fillId="0" borderId="34" xfId="399" applyNumberFormat="1" applyFont="1" applyFill="1" applyBorder="1" applyAlignment="1" applyProtection="1">
      <alignment horizontal="center" vertical="center" wrapText="1"/>
    </xf>
    <xf numFmtId="0" fontId="87" fillId="0" borderId="34" xfId="399" applyNumberFormat="1" applyFont="1" applyFill="1" applyBorder="1" applyAlignment="1" applyProtection="1">
      <alignment horizontal="center" vertical="center" wrapText="1"/>
    </xf>
    <xf numFmtId="0" fontId="66" fillId="0" borderId="34" xfId="399" applyNumberFormat="1" applyFont="1" applyFill="1" applyBorder="1" applyAlignment="1" applyProtection="1">
      <alignment horizontal="center" vertical="center" wrapText="1"/>
    </xf>
    <xf numFmtId="0" fontId="66" fillId="0" borderId="11" xfId="399" applyFont="1" applyFill="1" applyBorder="1" applyAlignment="1">
      <alignment horizontal="center" vertical="center"/>
    </xf>
    <xf numFmtId="0" fontId="66" fillId="0" borderId="34" xfId="2" applyFont="1" applyFill="1" applyBorder="1" applyAlignment="1">
      <alignment horizontal="center" vertical="center" wrapText="1"/>
    </xf>
    <xf numFmtId="0" fontId="66" fillId="0" borderId="34" xfId="399" applyFont="1" applyFill="1" applyBorder="1" applyAlignment="1">
      <alignment horizontal="center" vertical="center"/>
    </xf>
    <xf numFmtId="9" fontId="76" fillId="0" borderId="2" xfId="393" applyFont="1" applyFill="1" applyBorder="1" applyAlignment="1" applyProtection="1">
      <alignment horizontal="center" vertical="center" wrapText="1"/>
    </xf>
    <xf numFmtId="0" fontId="76" fillId="0" borderId="16" xfId="399" applyFont="1" applyFill="1" applyBorder="1" applyAlignment="1">
      <alignment horizontal="center" vertical="center"/>
    </xf>
    <xf numFmtId="0" fontId="67" fillId="0" borderId="1" xfId="399" applyFont="1" applyFill="1" applyBorder="1" applyAlignment="1">
      <alignment horizontal="center" vertical="center" wrapText="1"/>
    </xf>
    <xf numFmtId="0" fontId="87" fillId="0" borderId="1" xfId="399" applyNumberFormat="1" applyFont="1" applyFill="1" applyBorder="1" applyAlignment="1" applyProtection="1">
      <alignment horizontal="center" vertical="center" wrapText="1"/>
    </xf>
    <xf numFmtId="0" fontId="67" fillId="0" borderId="1" xfId="399" applyNumberFormat="1" applyFont="1" applyFill="1" applyBorder="1" applyAlignment="1" applyProtection="1">
      <alignment horizontal="center" vertical="center" wrapText="1"/>
    </xf>
    <xf numFmtId="0" fontId="66" fillId="0" borderId="3" xfId="399" applyFont="1" applyFill="1" applyBorder="1" applyAlignment="1">
      <alignment horizontal="center" vertical="center"/>
    </xf>
    <xf numFmtId="0" fontId="66" fillId="0" borderId="9" xfId="399" applyNumberFormat="1" applyFont="1" applyFill="1" applyBorder="1" applyAlignment="1" applyProtection="1">
      <alignment horizontal="center" vertical="center" wrapText="1"/>
    </xf>
    <xf numFmtId="0" fontId="76" fillId="0" borderId="31" xfId="399" applyFont="1" applyFill="1" applyBorder="1" applyAlignment="1">
      <alignment horizontal="center" vertical="center"/>
    </xf>
    <xf numFmtId="0" fontId="67" fillId="0" borderId="31" xfId="2" applyNumberFormat="1" applyFont="1" applyFill="1" applyBorder="1" applyAlignment="1" applyProtection="1">
      <alignment horizontal="center" vertical="center" wrapText="1"/>
    </xf>
    <xf numFmtId="0" fontId="87" fillId="0" borderId="31" xfId="399" applyNumberFormat="1" applyFont="1" applyFill="1" applyBorder="1" applyAlignment="1" applyProtection="1">
      <alignment horizontal="center" vertical="center" wrapText="1"/>
    </xf>
    <xf numFmtId="0" fontId="87" fillId="0" borderId="10" xfId="399" applyNumberFormat="1" applyFont="1" applyFill="1" applyBorder="1" applyAlignment="1" applyProtection="1">
      <alignment horizontal="center" vertical="center" wrapText="1"/>
    </xf>
    <xf numFmtId="0" fontId="68" fillId="0" borderId="10" xfId="399" applyFont="1" applyFill="1" applyBorder="1" applyAlignment="1">
      <alignment horizontal="center" vertical="center"/>
    </xf>
    <xf numFmtId="0" fontId="66" fillId="0" borderId="31" xfId="399" applyFont="1" applyFill="1" applyBorder="1" applyAlignment="1">
      <alignment horizontal="center" vertical="center"/>
    </xf>
    <xf numFmtId="0" fontId="66" fillId="0" borderId="31" xfId="2" applyFont="1" applyFill="1" applyBorder="1" applyAlignment="1">
      <alignment horizontal="center" vertical="center"/>
    </xf>
    <xf numFmtId="0" fontId="67" fillId="0" borderId="11" xfId="399" applyNumberFormat="1" applyFont="1" applyFill="1" applyBorder="1" applyAlignment="1" applyProtection="1">
      <alignment horizontal="center" vertical="center" wrapText="1"/>
    </xf>
    <xf numFmtId="0" fontId="68" fillId="0" borderId="34" xfId="399" applyFont="1" applyBorder="1" applyAlignment="1">
      <alignment horizontal="center" vertical="center"/>
    </xf>
    <xf numFmtId="0" fontId="68" fillId="0" borderId="34" xfId="399" applyFont="1" applyFill="1" applyBorder="1" applyAlignment="1">
      <alignment horizontal="center" vertical="center"/>
    </xf>
    <xf numFmtId="0" fontId="66" fillId="0" borderId="11" xfId="2" applyNumberFormat="1" applyFont="1" applyFill="1" applyBorder="1" applyAlignment="1" applyProtection="1">
      <alignment horizontal="center" vertical="center" wrapText="1"/>
    </xf>
    <xf numFmtId="0" fontId="76" fillId="0" borderId="1" xfId="399" applyFont="1" applyFill="1" applyBorder="1" applyAlignment="1">
      <alignment horizontal="center" vertical="center"/>
    </xf>
    <xf numFmtId="0" fontId="67" fillId="4" borderId="10" xfId="399" applyNumberFormat="1" applyFont="1" applyFill="1" applyBorder="1" applyAlignment="1" applyProtection="1">
      <alignment horizontal="center" vertical="center" wrapText="1"/>
    </xf>
    <xf numFmtId="0" fontId="67" fillId="0" borderId="31" xfId="399" applyFont="1" applyFill="1" applyBorder="1" applyAlignment="1">
      <alignment horizontal="center" vertical="center" wrapText="1"/>
    </xf>
    <xf numFmtId="0" fontId="81" fillId="6" borderId="29" xfId="399" applyFont="1" applyFill="1" applyBorder="1" applyAlignment="1">
      <alignment horizontal="center" vertical="center" wrapText="1"/>
    </xf>
    <xf numFmtId="0" fontId="66" fillId="0" borderId="34" xfId="399" applyFont="1" applyFill="1" applyBorder="1" applyAlignment="1">
      <alignment horizontal="center" vertical="center" wrapText="1"/>
    </xf>
    <xf numFmtId="0" fontId="66" fillId="0" borderId="16" xfId="399" applyNumberFormat="1" applyFont="1" applyFill="1" applyBorder="1" applyAlignment="1" applyProtection="1">
      <alignment horizontal="center" vertical="center" wrapText="1"/>
    </xf>
    <xf numFmtId="0" fontId="89" fillId="0" borderId="34" xfId="399" applyNumberFormat="1" applyFont="1" applyFill="1" applyBorder="1" applyAlignment="1" applyProtection="1">
      <alignment horizontal="center" vertical="center"/>
    </xf>
    <xf numFmtId="0" fontId="71" fillId="0" borderId="34" xfId="399" applyFont="1" applyFill="1" applyBorder="1" applyAlignment="1">
      <alignment horizontal="center" vertical="center" wrapText="1"/>
    </xf>
    <xf numFmtId="17" fontId="5" fillId="0" borderId="0" xfId="399" applyNumberFormat="1" applyAlignment="1">
      <alignment vertical="top"/>
    </xf>
    <xf numFmtId="0" fontId="76" fillId="0" borderId="31" xfId="399" applyNumberFormat="1" applyFont="1" applyFill="1" applyBorder="1" applyAlignment="1" applyProtection="1">
      <alignment horizontal="center" vertical="center"/>
    </xf>
    <xf numFmtId="0" fontId="71" fillId="0" borderId="31" xfId="399" applyFont="1" applyFill="1" applyBorder="1" applyAlignment="1">
      <alignment horizontal="center" vertical="center" wrapText="1"/>
    </xf>
    <xf numFmtId="0" fontId="76" fillId="0" borderId="16" xfId="399" applyNumberFormat="1" applyFont="1" applyFill="1" applyBorder="1" applyAlignment="1" applyProtection="1">
      <alignment horizontal="center" vertical="center"/>
    </xf>
    <xf numFmtId="0" fontId="71" fillId="0" borderId="16" xfId="399" applyFont="1" applyFill="1" applyBorder="1" applyAlignment="1">
      <alignment horizontal="center" vertical="center" wrapText="1"/>
    </xf>
    <xf numFmtId="0" fontId="71" fillId="0" borderId="2" xfId="399" applyFont="1" applyFill="1" applyBorder="1" applyAlignment="1">
      <alignment horizontal="center" vertical="center" wrapText="1"/>
    </xf>
    <xf numFmtId="0" fontId="71" fillId="0" borderId="17" xfId="399" applyFont="1" applyFill="1" applyBorder="1" applyAlignment="1">
      <alignment horizontal="center" vertical="center" wrapText="1"/>
    </xf>
    <xf numFmtId="0" fontId="66" fillId="0" borderId="37" xfId="399" applyNumberFormat="1" applyFont="1" applyFill="1" applyBorder="1" applyAlignment="1" applyProtection="1">
      <alignment horizontal="center" vertical="center" wrapText="1"/>
    </xf>
    <xf numFmtId="0" fontId="66" fillId="0" borderId="37" xfId="399" applyFont="1" applyFill="1" applyBorder="1" applyAlignment="1">
      <alignment horizontal="center" vertical="center" wrapText="1"/>
    </xf>
    <xf numFmtId="0" fontId="66" fillId="0" borderId="37" xfId="399" applyFont="1" applyFill="1" applyBorder="1" applyAlignment="1">
      <alignment horizontal="center" vertical="center"/>
    </xf>
    <xf numFmtId="0" fontId="82" fillId="0" borderId="37" xfId="2" applyFont="1" applyFill="1" applyBorder="1" applyAlignment="1">
      <alignment horizontal="center" vertical="center" wrapText="1"/>
    </xf>
    <xf numFmtId="0" fontId="82" fillId="0" borderId="37" xfId="399" applyFont="1" applyFill="1" applyBorder="1" applyAlignment="1">
      <alignment horizontal="center" vertical="center" wrapText="1"/>
    </xf>
    <xf numFmtId="0" fontId="68" fillId="0" borderId="1" xfId="399" applyNumberFormat="1" applyFont="1" applyFill="1" applyBorder="1" applyAlignment="1" applyProtection="1">
      <alignment horizontal="center" vertical="center" wrapText="1"/>
    </xf>
    <xf numFmtId="0" fontId="68" fillId="0" borderId="11" xfId="399" applyFont="1" applyFill="1" applyBorder="1" applyAlignment="1">
      <alignment horizontal="center" vertical="center" wrapText="1"/>
    </xf>
    <xf numFmtId="0" fontId="85" fillId="0" borderId="0" xfId="399" applyFont="1">
      <alignment vertical="center"/>
    </xf>
    <xf numFmtId="0" fontId="85" fillId="0" borderId="0" xfId="399" applyFont="1" applyAlignment="1">
      <alignment vertical="top"/>
    </xf>
    <xf numFmtId="0" fontId="68" fillId="0" borderId="11" xfId="399" applyNumberFormat="1" applyFont="1" applyFill="1" applyBorder="1" applyAlignment="1" applyProtection="1">
      <alignment horizontal="center" vertical="center" wrapText="1"/>
    </xf>
    <xf numFmtId="0" fontId="76" fillId="0" borderId="31" xfId="399" applyFont="1" applyBorder="1" applyAlignment="1">
      <alignment horizontal="center" vertical="center"/>
    </xf>
    <xf numFmtId="0" fontId="67" fillId="0" borderId="31" xfId="399" applyNumberFormat="1" applyFont="1" applyFill="1" applyBorder="1" applyAlignment="1" applyProtection="1">
      <alignment horizontal="center" vertical="center" wrapText="1"/>
    </xf>
    <xf numFmtId="0" fontId="66" fillId="0" borderId="10" xfId="399" applyFont="1" applyFill="1" applyBorder="1" applyAlignment="1">
      <alignment horizontal="center" vertical="center"/>
    </xf>
    <xf numFmtId="0" fontId="81" fillId="6" borderId="31" xfId="399" applyNumberFormat="1" applyFont="1" applyFill="1" applyBorder="1" applyAlignment="1" applyProtection="1">
      <alignment horizontal="center" vertical="center" wrapText="1"/>
    </xf>
    <xf numFmtId="0" fontId="67" fillId="7" borderId="37" xfId="399" applyNumberFormat="1" applyFont="1" applyFill="1" applyBorder="1" applyAlignment="1" applyProtection="1">
      <alignment horizontal="center" vertical="center" wrapText="1"/>
    </xf>
    <xf numFmtId="0" fontId="5" fillId="7" borderId="0" xfId="399" applyFill="1">
      <alignment vertical="center"/>
    </xf>
    <xf numFmtId="0" fontId="5" fillId="7" borderId="27" xfId="399" applyFill="1" applyBorder="1">
      <alignment vertical="center"/>
    </xf>
    <xf numFmtId="0" fontId="76" fillId="0" borderId="5" xfId="399" applyFont="1" applyFill="1" applyBorder="1" applyAlignment="1">
      <alignment horizontal="center" vertical="center"/>
    </xf>
    <xf numFmtId="0" fontId="71" fillId="0" borderId="17" xfId="399" applyNumberFormat="1" applyFont="1" applyFill="1" applyBorder="1" applyAlignment="1" applyProtection="1">
      <alignment horizontal="center" vertical="center" wrapText="1"/>
    </xf>
    <xf numFmtId="0" fontId="90" fillId="0" borderId="32" xfId="399" applyNumberFormat="1" applyFont="1" applyFill="1" applyBorder="1" applyAlignment="1" applyProtection="1">
      <alignment vertical="center" wrapText="1"/>
    </xf>
    <xf numFmtId="0" fontId="90" fillId="0" borderId="40" xfId="399" applyNumberFormat="1" applyFont="1" applyFill="1" applyBorder="1" applyAlignment="1" applyProtection="1">
      <alignment vertical="center" wrapText="1"/>
    </xf>
    <xf numFmtId="0" fontId="73" fillId="0" borderId="0" xfId="399" applyNumberFormat="1" applyFont="1" applyFill="1" applyBorder="1" applyAlignment="1" applyProtection="1">
      <alignment horizontal="center" vertical="center"/>
    </xf>
    <xf numFmtId="0" fontId="74" fillId="0" borderId="0" xfId="399" applyFont="1" applyFill="1" applyBorder="1" applyAlignment="1">
      <alignment horizontal="center" vertical="center" wrapText="1"/>
    </xf>
    <xf numFmtId="0" fontId="74" fillId="0" borderId="47" xfId="399" applyFont="1" applyFill="1" applyBorder="1" applyAlignment="1">
      <alignment horizontal="center" vertical="center" wrapText="1"/>
    </xf>
    <xf numFmtId="0" fontId="59" fillId="2" borderId="54" xfId="399" applyNumberFormat="1" applyFont="1" applyFill="1" applyBorder="1" applyAlignment="1" applyProtection="1">
      <alignment horizontal="center" vertical="center" wrapText="1"/>
    </xf>
    <xf numFmtId="0" fontId="64" fillId="2" borderId="22" xfId="399" applyNumberFormat="1" applyFont="1" applyFill="1" applyBorder="1" applyAlignment="1" applyProtection="1">
      <alignment horizontal="center" vertical="center" wrapText="1"/>
    </xf>
    <xf numFmtId="0" fontId="64" fillId="2" borderId="19" xfId="399" applyNumberFormat="1" applyFont="1" applyFill="1" applyBorder="1" applyAlignment="1" applyProtection="1">
      <alignment horizontal="center" vertical="center" wrapText="1"/>
    </xf>
    <xf numFmtId="0" fontId="64" fillId="2" borderId="19" xfId="399" applyNumberFormat="1" applyFont="1" applyFill="1" applyBorder="1" applyAlignment="1" applyProtection="1">
      <alignment horizontal="center" vertical="center"/>
    </xf>
    <xf numFmtId="0" fontId="64" fillId="2" borderId="50" xfId="399" applyNumberFormat="1" applyFont="1" applyFill="1" applyBorder="1" applyAlignment="1" applyProtection="1">
      <alignment horizontal="center" vertical="center" wrapText="1"/>
    </xf>
    <xf numFmtId="0" fontId="83" fillId="0" borderId="0" xfId="400" applyFont="1" applyFill="1" applyBorder="1" applyAlignment="1">
      <alignment horizontal="center" vertical="center" wrapText="1"/>
    </xf>
    <xf numFmtId="0" fontId="77" fillId="0" borderId="0" xfId="399" applyFont="1" applyFill="1" applyBorder="1" applyAlignment="1">
      <alignment horizontal="center" vertical="center" wrapText="1"/>
    </xf>
    <xf numFmtId="0" fontId="78" fillId="0" borderId="0" xfId="399" applyFont="1" applyFill="1" applyAlignment="1">
      <alignment vertical="center" wrapText="1"/>
    </xf>
    <xf numFmtId="0" fontId="5" fillId="0" borderId="0" xfId="399" applyFill="1" applyAlignment="1">
      <alignment vertical="center"/>
    </xf>
    <xf numFmtId="0" fontId="5" fillId="0" borderId="0" xfId="399" applyAlignment="1">
      <alignment vertical="center" wrapText="1"/>
    </xf>
    <xf numFmtId="0" fontId="66" fillId="0" borderId="1" xfId="399" applyFont="1" applyBorder="1" applyAlignment="1">
      <alignment horizontal="center" vertical="center" wrapText="1"/>
    </xf>
    <xf numFmtId="0" fontId="66" fillId="0" borderId="1" xfId="399" applyFont="1" applyBorder="1" applyAlignment="1">
      <alignment horizontal="center" vertical="center"/>
    </xf>
    <xf numFmtId="0" fontId="84" fillId="0" borderId="1" xfId="399" applyFont="1" applyBorder="1" applyAlignment="1">
      <alignment horizontal="center" vertical="center" wrapText="1"/>
    </xf>
    <xf numFmtId="0" fontId="91" fillId="0" borderId="0" xfId="399" applyNumberFormat="1" applyFont="1" applyFill="1" applyBorder="1" applyAlignment="1" applyProtection="1">
      <alignment horizontal="center" vertical="center" wrapText="1"/>
    </xf>
    <xf numFmtId="0" fontId="66" fillId="0" borderId="0" xfId="400" applyFont="1" applyFill="1" applyBorder="1" applyAlignment="1">
      <alignment horizontal="left" vertical="top" wrapText="1"/>
    </xf>
    <xf numFmtId="0" fontId="66" fillId="3" borderId="44" xfId="399" applyFont="1" applyFill="1" applyBorder="1" applyAlignment="1">
      <alignment horizontal="center" vertical="center" wrapText="1"/>
    </xf>
    <xf numFmtId="0" fontId="72" fillId="0" borderId="0" xfId="399" applyFont="1">
      <alignment vertical="center"/>
    </xf>
    <xf numFmtId="0" fontId="84" fillId="0" borderId="1" xfId="399" applyFont="1" applyBorder="1" applyAlignment="1">
      <alignment horizontal="center" vertical="center"/>
    </xf>
    <xf numFmtId="0" fontId="73" fillId="0" borderId="0" xfId="400" applyNumberFormat="1" applyFont="1" applyFill="1" applyBorder="1" applyAlignment="1" applyProtection="1">
      <alignment horizontal="left" vertical="top" wrapText="1"/>
    </xf>
    <xf numFmtId="0" fontId="78" fillId="0" borderId="0" xfId="399" applyFont="1" applyFill="1" applyAlignment="1">
      <alignment horizontal="center" vertical="center"/>
    </xf>
    <xf numFmtId="0" fontId="66" fillId="0" borderId="0" xfId="399" applyFont="1" applyAlignment="1">
      <alignment horizontal="center" vertical="center" wrapText="1"/>
    </xf>
    <xf numFmtId="0" fontId="66" fillId="3" borderId="45" xfId="399" applyFont="1" applyFill="1" applyBorder="1" applyAlignment="1">
      <alignment horizontal="center" vertical="center" wrapText="1"/>
    </xf>
    <xf numFmtId="0" fontId="66" fillId="0" borderId="20" xfId="399" applyFont="1" applyBorder="1" applyAlignment="1">
      <alignment horizontal="center" vertical="center"/>
    </xf>
    <xf numFmtId="0" fontId="92" fillId="0" borderId="0" xfId="400" applyFont="1" applyFill="1" applyAlignment="1">
      <alignment horizontal="left" vertical="top"/>
    </xf>
    <xf numFmtId="0" fontId="85" fillId="0" borderId="0" xfId="399" applyFont="1" applyAlignment="1">
      <alignment vertical="center"/>
    </xf>
    <xf numFmtId="0" fontId="5" fillId="0" borderId="41" xfId="399" applyBorder="1" applyAlignment="1">
      <alignment vertical="center" wrapText="1"/>
    </xf>
    <xf numFmtId="0" fontId="59" fillId="2" borderId="21" xfId="399" applyNumberFormat="1" applyFont="1" applyFill="1" applyBorder="1" applyAlignment="1" applyProtection="1">
      <alignment horizontal="center" vertical="center" wrapText="1"/>
    </xf>
    <xf numFmtId="0" fontId="59" fillId="2" borderId="19" xfId="399" applyNumberFormat="1" applyFont="1" applyFill="1" applyBorder="1" applyAlignment="1" applyProtection="1">
      <alignment horizontal="center" vertical="center" wrapText="1"/>
    </xf>
    <xf numFmtId="0" fontId="59" fillId="2" borderId="22" xfId="399" applyNumberFormat="1" applyFont="1" applyFill="1" applyBorder="1" applyAlignment="1" applyProtection="1">
      <alignment horizontal="center" vertical="center" wrapText="1"/>
    </xf>
    <xf numFmtId="0" fontId="59" fillId="2" borderId="56" xfId="399" applyNumberFormat="1" applyFont="1" applyFill="1" applyBorder="1" applyAlignment="1" applyProtection="1">
      <alignment horizontal="center" vertical="center" wrapText="1"/>
    </xf>
    <xf numFmtId="0" fontId="59" fillId="2" borderId="50" xfId="400" applyNumberFormat="1" applyFont="1" applyFill="1" applyBorder="1" applyAlignment="1" applyProtection="1">
      <alignment horizontal="center" vertical="center" wrapText="1"/>
    </xf>
    <xf numFmtId="0" fontId="59" fillId="2" borderId="50" xfId="399" applyNumberFormat="1" applyFont="1" applyFill="1" applyBorder="1" applyAlignment="1" applyProtection="1">
      <alignment horizontal="center" vertical="center" wrapText="1"/>
    </xf>
    <xf numFmtId="0" fontId="68" fillId="0" borderId="44" xfId="399" applyFont="1" applyBorder="1" applyAlignment="1">
      <alignment horizontal="center" vertical="center" wrapText="1"/>
    </xf>
    <xf numFmtId="0" fontId="68" fillId="0" borderId="25" xfId="399" applyFont="1" applyFill="1" applyBorder="1" applyAlignment="1">
      <alignment horizontal="center" vertical="center" wrapText="1"/>
    </xf>
    <xf numFmtId="0" fontId="68" fillId="0" borderId="11" xfId="399" applyFont="1" applyBorder="1" applyAlignment="1">
      <alignment horizontal="center" vertical="center"/>
    </xf>
    <xf numFmtId="0" fontId="68" fillId="0" borderId="11" xfId="399" applyFont="1" applyFill="1" applyBorder="1" applyAlignment="1">
      <alignment horizontal="center" vertical="center"/>
    </xf>
    <xf numFmtId="0" fontId="68" fillId="0" borderId="11" xfId="399" applyFont="1" applyBorder="1" applyAlignment="1">
      <alignment horizontal="center" vertical="center" wrapText="1"/>
    </xf>
    <xf numFmtId="0" fontId="66" fillId="0" borderId="11" xfId="399" applyFont="1" applyBorder="1" applyAlignment="1">
      <alignment horizontal="center" vertical="center"/>
    </xf>
    <xf numFmtId="0" fontId="68" fillId="0" borderId="25" xfId="399" applyFont="1" applyBorder="1" applyAlignment="1">
      <alignment horizontal="center" vertical="center"/>
    </xf>
    <xf numFmtId="0" fontId="68" fillId="0" borderId="57" xfId="400" applyFont="1" applyFill="1" applyBorder="1" applyAlignment="1">
      <alignment horizontal="center" vertical="center"/>
    </xf>
    <xf numFmtId="0" fontId="68" fillId="0" borderId="57" xfId="399" applyFont="1" applyFill="1" applyBorder="1" applyAlignment="1">
      <alignment horizontal="center" vertical="center"/>
    </xf>
    <xf numFmtId="0" fontId="68" fillId="0" borderId="58" xfId="399" applyFont="1" applyBorder="1" applyAlignment="1">
      <alignment horizontal="center" vertical="center" wrapText="1"/>
    </xf>
    <xf numFmtId="0" fontId="68" fillId="0" borderId="9" xfId="399" applyFont="1" applyBorder="1" applyAlignment="1">
      <alignment horizontal="center" vertical="center"/>
    </xf>
    <xf numFmtId="0" fontId="68" fillId="0" borderId="1" xfId="399" applyFont="1" applyBorder="1" applyAlignment="1">
      <alignment horizontal="center" vertical="center"/>
    </xf>
    <xf numFmtId="0" fontId="68" fillId="0" borderId="1" xfId="399" applyFont="1" applyFill="1" applyBorder="1" applyAlignment="1">
      <alignment horizontal="center" vertical="center" wrapText="1"/>
    </xf>
    <xf numFmtId="0" fontId="68" fillId="0" borderId="43" xfId="400" applyFont="1" applyFill="1" applyBorder="1" applyAlignment="1">
      <alignment horizontal="center" vertical="center"/>
    </xf>
    <xf numFmtId="0" fontId="68" fillId="0" borderId="43" xfId="399" applyFont="1" applyFill="1" applyBorder="1" applyAlignment="1">
      <alignment horizontal="center" vertical="center"/>
    </xf>
    <xf numFmtId="0" fontId="68" fillId="0" borderId="1" xfId="399" applyFont="1" applyBorder="1" applyAlignment="1">
      <alignment horizontal="center" vertical="center" wrapText="1"/>
    </xf>
    <xf numFmtId="0" fontId="68" fillId="0" borderId="43" xfId="400" applyFont="1" applyFill="1" applyBorder="1" applyAlignment="1">
      <alignment horizontal="center" vertical="center" wrapText="1"/>
    </xf>
    <xf numFmtId="0" fontId="68" fillId="0" borderId="43" xfId="399" applyFont="1" applyFill="1" applyBorder="1" applyAlignment="1">
      <alignment horizontal="center" vertical="center" wrapText="1"/>
    </xf>
    <xf numFmtId="0" fontId="5" fillId="0" borderId="0" xfId="399" applyAlignment="1">
      <alignment horizontal="center" vertical="top"/>
    </xf>
    <xf numFmtId="0" fontId="68" fillId="0" borderId="45" xfId="399" applyFont="1" applyBorder="1" applyAlignment="1">
      <alignment horizontal="center" vertical="center" wrapText="1"/>
    </xf>
    <xf numFmtId="0" fontId="68" fillId="0" borderId="24" xfId="399" applyFont="1" applyBorder="1" applyAlignment="1">
      <alignment horizontal="center" vertical="center"/>
    </xf>
    <xf numFmtId="0" fontId="68" fillId="0" borderId="20" xfId="399" applyFont="1" applyBorder="1" applyAlignment="1">
      <alignment horizontal="center" vertical="center"/>
    </xf>
    <xf numFmtId="0" fontId="68" fillId="0" borderId="20" xfId="399" applyFont="1" applyFill="1" applyBorder="1" applyAlignment="1">
      <alignment horizontal="center" vertical="center"/>
    </xf>
    <xf numFmtId="0" fontId="68" fillId="0" borderId="46" xfId="400" applyFont="1" applyFill="1" applyBorder="1" applyAlignment="1">
      <alignment horizontal="center" vertical="center"/>
    </xf>
    <xf numFmtId="0" fontId="68" fillId="0" borderId="46" xfId="399" applyFont="1" applyFill="1" applyBorder="1" applyAlignment="1">
      <alignment horizontal="center" vertical="center"/>
    </xf>
    <xf numFmtId="0" fontId="5" fillId="0" borderId="0" xfId="400" applyAlignment="1">
      <alignment vertical="center" wrapText="1"/>
    </xf>
    <xf numFmtId="0" fontId="68" fillId="0" borderId="49" xfId="399" applyFont="1" applyBorder="1" applyAlignment="1">
      <alignment vertical="center" wrapText="1"/>
    </xf>
    <xf numFmtId="0" fontId="76" fillId="2" borderId="19" xfId="399" applyNumberFormat="1" applyFont="1" applyFill="1" applyBorder="1" applyAlignment="1" applyProtection="1">
      <alignment horizontal="center" vertical="center" wrapText="1"/>
    </xf>
    <xf numFmtId="0" fontId="66" fillId="2" borderId="19" xfId="399" applyNumberFormat="1" applyFont="1" applyFill="1" applyBorder="1" applyAlignment="1" applyProtection="1">
      <alignment horizontal="center" vertical="center"/>
    </xf>
    <xf numFmtId="0" fontId="76" fillId="2" borderId="50" xfId="400" applyNumberFormat="1" applyFont="1" applyFill="1" applyBorder="1" applyAlignment="1" applyProtection="1">
      <alignment horizontal="center" vertical="center" wrapText="1"/>
    </xf>
    <xf numFmtId="0" fontId="0" fillId="0" borderId="0" xfId="399" applyFont="1" applyAlignment="1">
      <alignment vertical="center" wrapText="1"/>
    </xf>
    <xf numFmtId="0" fontId="5" fillId="0" borderId="44" xfId="399" applyFont="1" applyBorder="1" applyAlignment="1">
      <alignment horizontal="center" vertical="center" wrapText="1"/>
    </xf>
    <xf numFmtId="0" fontId="66" fillId="0" borderId="1" xfId="402" applyNumberFormat="1" applyFont="1" applyFill="1" applyBorder="1" applyAlignment="1" applyProtection="1">
      <alignment horizontal="center" vertical="center" wrapText="1"/>
    </xf>
    <xf numFmtId="0" fontId="66" fillId="0" borderId="1" xfId="402" applyFont="1" applyFill="1" applyBorder="1" applyAlignment="1">
      <alignment horizontal="center" vertical="center" wrapText="1"/>
    </xf>
    <xf numFmtId="0" fontId="5" fillId="0" borderId="43" xfId="400" applyFill="1" applyBorder="1" applyAlignment="1">
      <alignment horizontal="center" vertical="center"/>
    </xf>
    <xf numFmtId="0" fontId="66" fillId="0" borderId="11" xfId="402" applyNumberFormat="1" applyFont="1" applyFill="1" applyBorder="1" applyAlignment="1" applyProtection="1">
      <alignment horizontal="center" vertical="center" wrapText="1"/>
    </xf>
    <xf numFmtId="0" fontId="66" fillId="0" borderId="10" xfId="399" applyFont="1" applyBorder="1" applyAlignment="1">
      <alignment horizontal="center" vertical="center"/>
    </xf>
    <xf numFmtId="0" fontId="66" fillId="0" borderId="10" xfId="399" applyFont="1" applyBorder="1" applyAlignment="1">
      <alignment horizontal="center" vertical="center" wrapText="1"/>
    </xf>
    <xf numFmtId="0" fontId="84" fillId="0" borderId="10" xfId="399" applyFont="1" applyBorder="1" applyAlignment="1">
      <alignment horizontal="center" vertical="center" wrapText="1"/>
    </xf>
    <xf numFmtId="0" fontId="5" fillId="0" borderId="59" xfId="400" applyFill="1" applyBorder="1" applyAlignment="1">
      <alignment horizontal="center" vertical="center"/>
    </xf>
    <xf numFmtId="0" fontId="5" fillId="0" borderId="20" xfId="399" applyBorder="1">
      <alignment vertical="center"/>
    </xf>
    <xf numFmtId="0" fontId="68" fillId="5" borderId="20" xfId="399" applyFont="1" applyFill="1" applyBorder="1" applyAlignment="1">
      <alignment horizontal="center" vertical="center"/>
    </xf>
    <xf numFmtId="0" fontId="5" fillId="0" borderId="20" xfId="399" applyFont="1" applyFill="1" applyBorder="1">
      <alignment vertical="center"/>
    </xf>
    <xf numFmtId="0" fontId="5" fillId="0" borderId="20" xfId="399" applyFont="1" applyFill="1" applyBorder="1" applyAlignment="1">
      <alignment horizontal="center" vertical="center"/>
    </xf>
    <xf numFmtId="0" fontId="72" fillId="0" borderId="20" xfId="399" applyFont="1" applyBorder="1">
      <alignment vertical="center"/>
    </xf>
    <xf numFmtId="0" fontId="5" fillId="0" borderId="46" xfId="400" applyFill="1" applyBorder="1" applyAlignment="1">
      <alignment horizontal="center" vertical="center"/>
    </xf>
    <xf numFmtId="0" fontId="5" fillId="0" borderId="0" xfId="400" applyFill="1">
      <alignment vertical="center"/>
    </xf>
    <xf numFmtId="0" fontId="68" fillId="5" borderId="20" xfId="399" applyFont="1" applyFill="1" applyBorder="1" applyAlignment="1">
      <alignment horizontal="center" vertical="center" wrapText="1"/>
    </xf>
    <xf numFmtId="0" fontId="66" fillId="5" borderId="1" xfId="399" applyFont="1" applyFill="1" applyBorder="1" applyAlignment="1">
      <alignment horizontal="center" vertical="center"/>
    </xf>
    <xf numFmtId="0" fontId="68" fillId="0" borderId="0" xfId="399" applyFont="1" applyFill="1" applyAlignment="1">
      <alignment horizontal="center" vertical="center" wrapText="1"/>
    </xf>
    <xf numFmtId="0" fontId="68" fillId="5" borderId="31" xfId="399" applyFont="1" applyFill="1" applyBorder="1" applyAlignment="1">
      <alignment horizontal="center" vertical="center"/>
    </xf>
    <xf numFmtId="0" fontId="63" fillId="2" borderId="1" xfId="396" applyNumberFormat="1" applyFont="1" applyFill="1" applyBorder="1" applyAlignment="1" applyProtection="1">
      <alignment horizontal="center" vertical="center" wrapText="1"/>
    </xf>
    <xf numFmtId="0" fontId="86" fillId="4" borderId="1" xfId="399" applyNumberFormat="1" applyFont="1" applyFill="1" applyBorder="1" applyAlignment="1" applyProtection="1">
      <alignment horizontal="center" vertical="center" wrapText="1"/>
    </xf>
    <xf numFmtId="0" fontId="86" fillId="4" borderId="1" xfId="399" applyFont="1" applyFill="1" applyBorder="1" applyAlignment="1">
      <alignment horizontal="center" vertical="center"/>
    </xf>
    <xf numFmtId="0" fontId="68" fillId="4" borderId="1" xfId="399" applyNumberFormat="1" applyFont="1" applyFill="1" applyBorder="1" applyAlignment="1" applyProtection="1">
      <alignment horizontal="center" vertical="center" wrapText="1"/>
    </xf>
    <xf numFmtId="0" fontId="80" fillId="4" borderId="1" xfId="399" applyFont="1" applyFill="1" applyBorder="1" applyAlignment="1">
      <alignment horizontal="center" vertical="center" wrapText="1"/>
    </xf>
    <xf numFmtId="0" fontId="68" fillId="4" borderId="10" xfId="399" applyNumberFormat="1" applyFont="1" applyFill="1" applyBorder="1" applyAlignment="1" applyProtection="1">
      <alignment horizontal="center" vertical="center" wrapText="1"/>
    </xf>
    <xf numFmtId="0" fontId="68" fillId="4" borderId="0" xfId="399" applyFont="1" applyFill="1" applyAlignment="1">
      <alignment horizontal="center" vertical="center"/>
    </xf>
    <xf numFmtId="0" fontId="68" fillId="4" borderId="1" xfId="399" applyFont="1" applyFill="1" applyBorder="1" applyAlignment="1">
      <alignment horizontal="center" vertical="center" wrapText="1"/>
    </xf>
    <xf numFmtId="0" fontId="86" fillId="4" borderId="11" xfId="399" applyNumberFormat="1" applyFont="1" applyFill="1" applyBorder="1" applyAlignment="1" applyProtection="1">
      <alignment horizontal="center" vertical="center" wrapText="1"/>
    </xf>
    <xf numFmtId="0" fontId="66" fillId="3" borderId="10" xfId="2" applyFont="1" applyFill="1" applyBorder="1" applyAlignment="1">
      <alignment horizontal="center" vertical="center" wrapText="1"/>
    </xf>
    <xf numFmtId="0" fontId="66" fillId="3" borderId="10" xfId="399" applyFont="1" applyFill="1" applyBorder="1" applyAlignment="1">
      <alignment horizontal="center" vertical="center" wrapText="1"/>
    </xf>
    <xf numFmtId="0" fontId="69" fillId="0" borderId="31" xfId="399" applyFont="1" applyFill="1" applyBorder="1" applyAlignment="1">
      <alignment horizontal="center" vertical="center" wrapText="1"/>
    </xf>
    <xf numFmtId="0" fontId="66" fillId="3" borderId="11" xfId="399" applyNumberFormat="1" applyFont="1" applyFill="1" applyBorder="1" applyAlignment="1" applyProtection="1">
      <alignment horizontal="center" vertical="center" wrapText="1"/>
    </xf>
    <xf numFmtId="0" fontId="68" fillId="3" borderId="1" xfId="399" applyFont="1" applyFill="1" applyBorder="1" applyAlignment="1">
      <alignment horizontal="center" vertical="center"/>
    </xf>
    <xf numFmtId="0" fontId="66" fillId="3" borderId="1" xfId="399" applyNumberFormat="1" applyFont="1" applyFill="1" applyBorder="1" applyAlignment="1" applyProtection="1">
      <alignment horizontal="center" vertical="center" wrapText="1"/>
    </xf>
    <xf numFmtId="0" fontId="66" fillId="3" borderId="1" xfId="399" applyFont="1" applyFill="1" applyBorder="1" applyAlignment="1">
      <alignment horizontal="center" vertical="center" wrapText="1"/>
    </xf>
    <xf numFmtId="0" fontId="68" fillId="3" borderId="11" xfId="399" applyNumberFormat="1" applyFont="1" applyFill="1" applyBorder="1" applyAlignment="1" applyProtection="1">
      <alignment horizontal="center" vertical="center" wrapText="1"/>
    </xf>
    <xf numFmtId="0" fontId="66" fillId="3" borderId="18" xfId="399" applyFont="1" applyFill="1" applyBorder="1" applyAlignment="1">
      <alignment horizontal="center" vertical="center" wrapText="1"/>
    </xf>
    <xf numFmtId="0" fontId="66" fillId="3" borderId="11" xfId="399" applyFont="1" applyFill="1" applyBorder="1" applyAlignment="1">
      <alignment horizontal="center" vertical="center"/>
    </xf>
    <xf numFmtId="0" fontId="66" fillId="3" borderId="31" xfId="399" applyFont="1" applyFill="1" applyBorder="1" applyAlignment="1">
      <alignment horizontal="center" vertical="center" wrapText="1"/>
    </xf>
    <xf numFmtId="0" fontId="76" fillId="3" borderId="16" xfId="399" applyNumberFormat="1" applyFont="1" applyFill="1" applyBorder="1" applyAlignment="1" applyProtection="1">
      <alignment horizontal="center" vertical="center" wrapText="1"/>
    </xf>
    <xf numFmtId="0" fontId="68" fillId="3" borderId="1" xfId="399" applyNumberFormat="1" applyFont="1" applyFill="1" applyBorder="1" applyAlignment="1" applyProtection="1">
      <alignment horizontal="center" vertical="center" wrapText="1"/>
    </xf>
    <xf numFmtId="0" fontId="66" fillId="3" borderId="16" xfId="399" applyNumberFormat="1" applyFont="1" applyFill="1" applyBorder="1" applyAlignment="1" applyProtection="1">
      <alignment horizontal="center" vertical="center" wrapText="1"/>
    </xf>
    <xf numFmtId="0" fontId="61" fillId="0" borderId="2" xfId="408" applyNumberFormat="1" applyFont="1" applyFill="1" applyBorder="1" applyAlignment="1" applyProtection="1">
      <alignment horizontal="center" vertical="center"/>
    </xf>
    <xf numFmtId="0" fontId="2" fillId="0" borderId="0" xfId="407">
      <alignment vertical="center"/>
    </xf>
    <xf numFmtId="0" fontId="2" fillId="0" borderId="0" xfId="407" applyAlignment="1">
      <alignment vertical="center"/>
    </xf>
    <xf numFmtId="0" fontId="2" fillId="0" borderId="0" xfId="407" applyAlignment="1">
      <alignment vertical="top"/>
    </xf>
    <xf numFmtId="0" fontId="61" fillId="0" borderId="0" xfId="408" applyNumberFormat="1" applyFont="1" applyFill="1" applyBorder="1" applyAlignment="1" applyProtection="1">
      <alignment horizontal="center" vertical="center"/>
    </xf>
    <xf numFmtId="0" fontId="59" fillId="2" borderId="1" xfId="407" applyNumberFormat="1" applyFont="1" applyFill="1" applyBorder="1" applyAlignment="1" applyProtection="1">
      <alignment horizontal="center" vertical="center"/>
    </xf>
    <xf numFmtId="0" fontId="59" fillId="2" borderId="1" xfId="407" applyNumberFormat="1" applyFont="1" applyFill="1" applyBorder="1" applyAlignment="1" applyProtection="1">
      <alignment horizontal="left" vertical="center" wrapText="1"/>
    </xf>
    <xf numFmtId="0" fontId="59" fillId="2" borderId="1" xfId="407" applyNumberFormat="1" applyFont="1" applyFill="1" applyBorder="1" applyAlignment="1" applyProtection="1">
      <alignment horizontal="center" vertical="center" wrapText="1"/>
    </xf>
    <xf numFmtId="0" fontId="59" fillId="2" borderId="10" xfId="407" applyNumberFormat="1" applyFont="1" applyFill="1" applyBorder="1" applyAlignment="1" applyProtection="1">
      <alignment horizontal="center" vertical="center" wrapText="1"/>
    </xf>
    <xf numFmtId="0" fontId="64" fillId="2" borderId="10" xfId="407" applyNumberFormat="1" applyFont="1" applyFill="1" applyBorder="1" applyAlignment="1" applyProtection="1">
      <alignment horizontal="center" vertical="center"/>
    </xf>
    <xf numFmtId="176" fontId="76" fillId="0" borderId="0" xfId="409" applyNumberFormat="1" applyFont="1" applyFill="1" applyBorder="1" applyAlignment="1" applyProtection="1">
      <alignment horizontal="center" vertical="center" wrapText="1"/>
    </xf>
    <xf numFmtId="0" fontId="59" fillId="0" borderId="10" xfId="407" applyNumberFormat="1" applyFont="1" applyFill="1" applyBorder="1" applyAlignment="1" applyProtection="1">
      <alignment horizontal="center" vertical="center"/>
    </xf>
    <xf numFmtId="0" fontId="71" fillId="0" borderId="11" xfId="407" applyNumberFormat="1" applyFont="1" applyFill="1" applyBorder="1" applyAlignment="1" applyProtection="1">
      <alignment horizontal="center" vertical="center" wrapText="1"/>
    </xf>
    <xf numFmtId="0" fontId="76" fillId="0" borderId="16" xfId="407" applyNumberFormat="1" applyFont="1" applyFill="1" applyBorder="1" applyAlignment="1" applyProtection="1">
      <alignment horizontal="center" vertical="center" wrapText="1"/>
    </xf>
    <xf numFmtId="0" fontId="76" fillId="0" borderId="10" xfId="407" applyNumberFormat="1" applyFont="1" applyFill="1" applyBorder="1" applyAlignment="1" applyProtection="1">
      <alignment horizontal="center" vertical="center" wrapText="1"/>
    </xf>
    <xf numFmtId="0" fontId="76" fillId="0" borderId="1" xfId="407" applyNumberFormat="1" applyFont="1" applyFill="1" applyBorder="1" applyAlignment="1" applyProtection="1">
      <alignment horizontal="center" vertical="center" wrapText="1"/>
    </xf>
    <xf numFmtId="0" fontId="76" fillId="0" borderId="11" xfId="407" applyNumberFormat="1" applyFont="1" applyFill="1" applyBorder="1" applyAlignment="1" applyProtection="1">
      <alignment horizontal="center" vertical="center" wrapText="1"/>
    </xf>
    <xf numFmtId="0" fontId="66" fillId="0" borderId="16" xfId="407" applyNumberFormat="1" applyFont="1" applyFill="1" applyBorder="1" applyAlignment="1" applyProtection="1">
      <alignment horizontal="center" vertical="center"/>
    </xf>
    <xf numFmtId="0" fontId="2" fillId="0" borderId="0" xfId="407" applyAlignment="1">
      <alignment horizontal="center" vertical="center"/>
    </xf>
    <xf numFmtId="0" fontId="2" fillId="0" borderId="0" xfId="407" applyFill="1">
      <alignment vertical="center"/>
    </xf>
    <xf numFmtId="0" fontId="2" fillId="0" borderId="0" xfId="407" applyFill="1" applyAlignment="1">
      <alignment vertical="top"/>
    </xf>
    <xf numFmtId="0" fontId="76" fillId="0" borderId="10" xfId="407" applyFont="1" applyFill="1" applyBorder="1" applyAlignment="1">
      <alignment horizontal="center" vertical="center"/>
    </xf>
    <xf numFmtId="0" fontId="68" fillId="0" borderId="1" xfId="407" applyFont="1" applyFill="1" applyBorder="1" applyAlignment="1">
      <alignment horizontal="center" vertical="center"/>
    </xf>
    <xf numFmtId="0" fontId="66" fillId="0" borderId="1" xfId="407" applyNumberFormat="1" applyFont="1" applyFill="1" applyBorder="1" applyAlignment="1" applyProtection="1">
      <alignment horizontal="center" vertical="center" wrapText="1"/>
    </xf>
    <xf numFmtId="0" fontId="66" fillId="0" borderId="11" xfId="407" applyNumberFormat="1" applyFont="1" applyFill="1" applyBorder="1" applyAlignment="1" applyProtection="1">
      <alignment horizontal="center" vertical="center" wrapText="1"/>
    </xf>
    <xf numFmtId="0" fontId="66" fillId="0" borderId="1" xfId="407" applyFont="1" applyFill="1" applyBorder="1" applyAlignment="1">
      <alignment horizontal="center" vertical="center" wrapText="1"/>
    </xf>
    <xf numFmtId="0" fontId="76" fillId="0" borderId="11" xfId="407" applyFont="1" applyFill="1" applyBorder="1" applyAlignment="1">
      <alignment horizontal="center" vertical="center"/>
    </xf>
    <xf numFmtId="0" fontId="67" fillId="0" borderId="10" xfId="407" applyNumberFormat="1" applyFont="1" applyFill="1" applyBorder="1" applyAlignment="1" applyProtection="1">
      <alignment horizontal="center" vertical="center" wrapText="1"/>
    </xf>
    <xf numFmtId="0" fontId="66" fillId="0" borderId="10" xfId="407" applyFont="1" applyFill="1" applyBorder="1" applyAlignment="1">
      <alignment horizontal="center" vertical="center" wrapText="1"/>
    </xf>
    <xf numFmtId="0" fontId="66" fillId="0" borderId="1" xfId="407" applyFont="1" applyFill="1" applyBorder="1" applyAlignment="1">
      <alignment horizontal="center" vertical="center"/>
    </xf>
    <xf numFmtId="0" fontId="66" fillId="0" borderId="16" xfId="407" applyFont="1" applyFill="1" applyBorder="1" applyAlignment="1">
      <alignment horizontal="center" vertical="center" wrapText="1"/>
    </xf>
    <xf numFmtId="0" fontId="67" fillId="0" borderId="16" xfId="407" applyNumberFormat="1" applyFont="1" applyFill="1" applyBorder="1" applyAlignment="1" applyProtection="1">
      <alignment horizontal="center" vertical="center" wrapText="1"/>
    </xf>
    <xf numFmtId="0" fontId="66" fillId="0" borderId="11" xfId="407" applyFont="1" applyFill="1" applyBorder="1" applyAlignment="1">
      <alignment horizontal="center" vertical="center" wrapText="1"/>
    </xf>
    <xf numFmtId="0" fontId="67" fillId="4" borderId="16" xfId="407" applyNumberFormat="1" applyFont="1" applyFill="1" applyBorder="1" applyAlignment="1" applyProtection="1">
      <alignment horizontal="center" vertical="center" wrapText="1"/>
    </xf>
    <xf numFmtId="0" fontId="68" fillId="4" borderId="1" xfId="407" applyNumberFormat="1" applyFont="1" applyFill="1" applyBorder="1" applyAlignment="1" applyProtection="1">
      <alignment horizontal="center" vertical="center" wrapText="1"/>
    </xf>
    <xf numFmtId="0" fontId="86" fillId="4" borderId="1" xfId="407" applyNumberFormat="1" applyFont="1" applyFill="1" applyBorder="1" applyAlignment="1" applyProtection="1">
      <alignment horizontal="center" vertical="center" wrapText="1"/>
    </xf>
    <xf numFmtId="0" fontId="68" fillId="4" borderId="1" xfId="407" applyFont="1" applyFill="1" applyBorder="1" applyAlignment="1">
      <alignment horizontal="center" vertical="center"/>
    </xf>
    <xf numFmtId="0" fontId="66" fillId="0" borderId="10" xfId="407" applyNumberFormat="1" applyFont="1" applyFill="1" applyBorder="1" applyAlignment="1" applyProtection="1">
      <alignment horizontal="center" vertical="center" wrapText="1"/>
    </xf>
    <xf numFmtId="0" fontId="66" fillId="0" borderId="31" xfId="407" applyFont="1" applyFill="1" applyBorder="1" applyAlignment="1">
      <alignment horizontal="center" vertical="center" wrapText="1"/>
    </xf>
    <xf numFmtId="0" fontId="66" fillId="0" borderId="31" xfId="407" applyNumberFormat="1" applyFont="1" applyFill="1" applyBorder="1" applyAlignment="1" applyProtection="1">
      <alignment horizontal="center" vertical="center" wrapText="1"/>
    </xf>
    <xf numFmtId="0" fontId="76" fillId="0" borderId="34" xfId="407" applyFont="1" applyFill="1" applyBorder="1" applyAlignment="1">
      <alignment horizontal="center" vertical="center"/>
    </xf>
    <xf numFmtId="0" fontId="71" fillId="0" borderId="34" xfId="407" applyNumberFormat="1" applyFont="1" applyFill="1" applyBorder="1" applyAlignment="1" applyProtection="1">
      <alignment horizontal="center" vertical="center" wrapText="1"/>
    </xf>
    <xf numFmtId="0" fontId="87" fillId="0" borderId="34" xfId="407" applyNumberFormat="1" applyFont="1" applyFill="1" applyBorder="1" applyAlignment="1" applyProtection="1">
      <alignment horizontal="center" vertical="center" wrapText="1"/>
    </xf>
    <xf numFmtId="0" fontId="66" fillId="0" borderId="34" xfId="407" applyNumberFormat="1" applyFont="1" applyFill="1" applyBorder="1" applyAlignment="1" applyProtection="1">
      <alignment horizontal="center" vertical="center" wrapText="1"/>
    </xf>
    <xf numFmtId="0" fontId="66" fillId="0" borderId="11" xfId="407" applyFont="1" applyFill="1" applyBorder="1" applyAlignment="1">
      <alignment horizontal="center" vertical="center"/>
    </xf>
    <xf numFmtId="0" fontId="66" fillId="0" borderId="34" xfId="407" applyFont="1" applyFill="1" applyBorder="1" applyAlignment="1">
      <alignment horizontal="center" vertical="center"/>
    </xf>
    <xf numFmtId="0" fontId="76" fillId="0" borderId="16" xfId="407" applyFont="1" applyFill="1" applyBorder="1" applyAlignment="1">
      <alignment horizontal="center" vertical="center"/>
    </xf>
    <xf numFmtId="0" fontId="67" fillId="0" borderId="1" xfId="407" applyFont="1" applyFill="1" applyBorder="1" applyAlignment="1">
      <alignment horizontal="center" vertical="center" wrapText="1"/>
    </xf>
    <xf numFmtId="0" fontId="87" fillId="0" borderId="1" xfId="407" applyNumberFormat="1" applyFont="1" applyFill="1" applyBorder="1" applyAlignment="1" applyProtection="1">
      <alignment horizontal="center" vertical="center" wrapText="1"/>
    </xf>
    <xf numFmtId="0" fontId="67" fillId="0" borderId="1" xfId="407" applyNumberFormat="1" applyFont="1" applyFill="1" applyBorder="1" applyAlignment="1" applyProtection="1">
      <alignment horizontal="center" vertical="center" wrapText="1"/>
    </xf>
    <xf numFmtId="0" fontId="66" fillId="0" borderId="9" xfId="407" applyNumberFormat="1" applyFont="1" applyFill="1" applyBorder="1" applyAlignment="1" applyProtection="1">
      <alignment horizontal="center" vertical="center" wrapText="1"/>
    </xf>
    <xf numFmtId="0" fontId="76" fillId="0" borderId="31" xfId="407" applyFont="1" applyFill="1" applyBorder="1" applyAlignment="1">
      <alignment horizontal="center" vertical="center"/>
    </xf>
    <xf numFmtId="0" fontId="87" fillId="0" borderId="31" xfId="407" applyNumberFormat="1" applyFont="1" applyFill="1" applyBorder="1" applyAlignment="1" applyProtection="1">
      <alignment horizontal="center" vertical="center" wrapText="1"/>
    </xf>
    <xf numFmtId="0" fontId="87" fillId="0" borderId="10" xfId="407" applyNumberFormat="1" applyFont="1" applyFill="1" applyBorder="1" applyAlignment="1" applyProtection="1">
      <alignment horizontal="center" vertical="center" wrapText="1"/>
    </xf>
    <xf numFmtId="0" fontId="68" fillId="0" borderId="10" xfId="407" applyFont="1" applyFill="1" applyBorder="1" applyAlignment="1">
      <alignment horizontal="center" vertical="center"/>
    </xf>
    <xf numFmtId="0" fontId="66" fillId="0" borderId="31" xfId="407" applyFont="1" applyFill="1" applyBorder="1" applyAlignment="1">
      <alignment horizontal="center" vertical="center"/>
    </xf>
    <xf numFmtId="0" fontId="67" fillId="0" borderId="11" xfId="407" applyNumberFormat="1" applyFont="1" applyFill="1" applyBorder="1" applyAlignment="1" applyProtection="1">
      <alignment horizontal="center" vertical="center" wrapText="1"/>
    </xf>
    <xf numFmtId="0" fontId="68" fillId="0" borderId="34" xfId="407" applyFont="1" applyBorder="1" applyAlignment="1">
      <alignment horizontal="center" vertical="center"/>
    </xf>
    <xf numFmtId="0" fontId="68" fillId="0" borderId="34" xfId="407" applyFont="1" applyFill="1" applyBorder="1" applyAlignment="1">
      <alignment horizontal="center" vertical="center"/>
    </xf>
    <xf numFmtId="0" fontId="76" fillId="0" borderId="1" xfId="407" applyFont="1" applyFill="1" applyBorder="1" applyAlignment="1">
      <alignment horizontal="center" vertical="center"/>
    </xf>
    <xf numFmtId="0" fontId="67" fillId="4" borderId="10" xfId="407" applyNumberFormat="1" applyFont="1" applyFill="1" applyBorder="1" applyAlignment="1" applyProtection="1">
      <alignment horizontal="center" vertical="center" wrapText="1"/>
    </xf>
    <xf numFmtId="0" fontId="68" fillId="4" borderId="1" xfId="407" applyFont="1" applyFill="1" applyBorder="1" applyAlignment="1">
      <alignment horizontal="center" vertical="center" wrapText="1"/>
    </xf>
    <xf numFmtId="0" fontId="68" fillId="4" borderId="10" xfId="407" applyNumberFormat="1" applyFont="1" applyFill="1" applyBorder="1" applyAlignment="1" applyProtection="1">
      <alignment horizontal="center" vertical="center" wrapText="1"/>
    </xf>
    <xf numFmtId="0" fontId="80" fillId="4" borderId="1" xfId="407" applyNumberFormat="1" applyFont="1" applyFill="1" applyBorder="1" applyAlignment="1" applyProtection="1">
      <alignment horizontal="center" vertical="center" wrapText="1"/>
    </xf>
    <xf numFmtId="0" fontId="86" fillId="4" borderId="10" xfId="407" applyNumberFormat="1" applyFont="1" applyFill="1" applyBorder="1" applyAlignment="1" applyProtection="1">
      <alignment horizontal="center" vertical="center" wrapText="1"/>
    </xf>
    <xf numFmtId="0" fontId="86" fillId="4" borderId="0" xfId="407" applyFont="1" applyFill="1" applyAlignment="1">
      <alignment horizontal="center" vertical="center"/>
    </xf>
    <xf numFmtId="0" fontId="68" fillId="4" borderId="11" xfId="407" applyNumberFormat="1" applyFont="1" applyFill="1" applyBorder="1" applyAlignment="1" applyProtection="1">
      <alignment horizontal="center" vertical="center" wrapText="1"/>
    </xf>
    <xf numFmtId="0" fontId="67" fillId="0" borderId="31" xfId="407" applyFont="1" applyFill="1" applyBorder="1" applyAlignment="1">
      <alignment horizontal="center" vertical="center" wrapText="1"/>
    </xf>
    <xf numFmtId="0" fontId="81" fillId="6" borderId="29" xfId="407" applyFont="1" applyFill="1" applyBorder="1" applyAlignment="1">
      <alignment horizontal="center" vertical="center" wrapText="1"/>
    </xf>
    <xf numFmtId="0" fontId="66" fillId="0" borderId="18" xfId="407" applyFont="1" applyFill="1" applyBorder="1" applyAlignment="1">
      <alignment horizontal="center" vertical="center" wrapText="1"/>
    </xf>
    <xf numFmtId="0" fontId="66" fillId="0" borderId="34" xfId="407" applyFont="1" applyFill="1" applyBorder="1" applyAlignment="1">
      <alignment horizontal="center" vertical="center" wrapText="1"/>
    </xf>
    <xf numFmtId="0" fontId="66" fillId="0" borderId="16" xfId="407" applyNumberFormat="1" applyFont="1" applyFill="1" applyBorder="1" applyAlignment="1" applyProtection="1">
      <alignment horizontal="center" vertical="center" wrapText="1"/>
    </xf>
    <xf numFmtId="0" fontId="89" fillId="0" borderId="34" xfId="407" applyNumberFormat="1" applyFont="1" applyFill="1" applyBorder="1" applyAlignment="1" applyProtection="1">
      <alignment horizontal="center" vertical="center"/>
    </xf>
    <xf numFmtId="0" fontId="71" fillId="0" borderId="34" xfId="407" applyFont="1" applyFill="1" applyBorder="1" applyAlignment="1">
      <alignment horizontal="center" vertical="center" wrapText="1"/>
    </xf>
    <xf numFmtId="0" fontId="67" fillId="0" borderId="34" xfId="407" applyFont="1" applyFill="1" applyBorder="1" applyAlignment="1">
      <alignment horizontal="center" vertical="center" wrapText="1"/>
    </xf>
    <xf numFmtId="17" fontId="2" fillId="0" borderId="0" xfId="407" applyNumberFormat="1" applyAlignment="1">
      <alignment vertical="top"/>
    </xf>
    <xf numFmtId="0" fontId="76" fillId="0" borderId="31" xfId="407" applyNumberFormat="1" applyFont="1" applyFill="1" applyBorder="1" applyAlignment="1" applyProtection="1">
      <alignment horizontal="center" vertical="center"/>
    </xf>
    <xf numFmtId="0" fontId="71" fillId="0" borderId="31" xfId="407" applyFont="1" applyFill="1" applyBorder="1" applyAlignment="1">
      <alignment horizontal="center" vertical="center" wrapText="1"/>
    </xf>
    <xf numFmtId="0" fontId="76" fillId="0" borderId="16" xfId="407" applyNumberFormat="1" applyFont="1" applyFill="1" applyBorder="1" applyAlignment="1" applyProtection="1">
      <alignment horizontal="center" vertical="center"/>
    </xf>
    <xf numFmtId="0" fontId="71" fillId="0" borderId="16" xfId="407" applyFont="1" applyFill="1" applyBorder="1" applyAlignment="1">
      <alignment horizontal="center" vertical="center" wrapText="1"/>
    </xf>
    <xf numFmtId="0" fontId="71" fillId="0" borderId="2" xfId="407" applyFont="1" applyFill="1" applyBorder="1" applyAlignment="1">
      <alignment horizontal="center" vertical="center" wrapText="1"/>
    </xf>
    <xf numFmtId="0" fontId="71" fillId="0" borderId="17" xfId="407" applyFont="1" applyFill="1" applyBorder="1" applyAlignment="1">
      <alignment horizontal="center" vertical="center" wrapText="1"/>
    </xf>
    <xf numFmtId="0" fontId="66" fillId="0" borderId="37" xfId="407" applyNumberFormat="1" applyFont="1" applyFill="1" applyBorder="1" applyAlignment="1" applyProtection="1">
      <alignment horizontal="center" vertical="center" wrapText="1"/>
    </xf>
    <xf numFmtId="0" fontId="66" fillId="0" borderId="37" xfId="407" applyFont="1" applyFill="1" applyBorder="1" applyAlignment="1">
      <alignment horizontal="center" vertical="center" wrapText="1"/>
    </xf>
    <xf numFmtId="0" fontId="66" fillId="0" borderId="37" xfId="407" applyFont="1" applyFill="1" applyBorder="1" applyAlignment="1">
      <alignment horizontal="center" vertical="center"/>
    </xf>
    <xf numFmtId="0" fontId="82" fillId="0" borderId="37" xfId="407" applyFont="1" applyFill="1" applyBorder="1" applyAlignment="1">
      <alignment horizontal="center" vertical="center" wrapText="1"/>
    </xf>
    <xf numFmtId="0" fontId="68" fillId="0" borderId="11" xfId="407" applyNumberFormat="1" applyFont="1" applyFill="1" applyBorder="1" applyAlignment="1" applyProtection="1">
      <alignment horizontal="center" vertical="center" wrapText="1"/>
    </xf>
    <xf numFmtId="0" fontId="68" fillId="0" borderId="1" xfId="407" applyNumberFormat="1" applyFont="1" applyFill="1" applyBorder="1" applyAlignment="1" applyProtection="1">
      <alignment horizontal="center" vertical="center" wrapText="1"/>
    </xf>
    <xf numFmtId="0" fontId="68" fillId="0" borderId="11" xfId="407" applyFont="1" applyFill="1" applyBorder="1" applyAlignment="1">
      <alignment horizontal="center" vertical="center" wrapText="1"/>
    </xf>
    <xf numFmtId="0" fontId="85" fillId="0" borderId="0" xfId="407" applyFont="1">
      <alignment vertical="center"/>
    </xf>
    <xf numFmtId="0" fontId="85" fillId="0" borderId="0" xfId="407" applyFont="1" applyAlignment="1">
      <alignment vertical="top"/>
    </xf>
    <xf numFmtId="0" fontId="76" fillId="0" borderId="31" xfId="407" applyFont="1" applyBorder="1" applyAlignment="1">
      <alignment horizontal="center" vertical="center"/>
    </xf>
    <xf numFmtId="0" fontId="67" fillId="0" borderId="31" xfId="407" applyNumberFormat="1" applyFont="1" applyFill="1" applyBorder="1" applyAlignment="1" applyProtection="1">
      <alignment horizontal="center" vertical="center" wrapText="1"/>
    </xf>
    <xf numFmtId="0" fontId="66" fillId="0" borderId="10" xfId="407" applyFont="1" applyFill="1" applyBorder="1" applyAlignment="1">
      <alignment horizontal="center" vertical="center"/>
    </xf>
    <xf numFmtId="0" fontId="81" fillId="6" borderId="31" xfId="407" applyNumberFormat="1" applyFont="1" applyFill="1" applyBorder="1" applyAlignment="1" applyProtection="1">
      <alignment horizontal="center" vertical="center" wrapText="1"/>
    </xf>
    <xf numFmtId="0" fontId="67" fillId="7" borderId="37" xfId="407" applyNumberFormat="1" applyFont="1" applyFill="1" applyBorder="1" applyAlignment="1" applyProtection="1">
      <alignment horizontal="center" vertical="center" wrapText="1"/>
    </xf>
    <xf numFmtId="0" fontId="2" fillId="7" borderId="0" xfId="407" applyFill="1">
      <alignment vertical="center"/>
    </xf>
    <xf numFmtId="0" fontId="2" fillId="7" borderId="27" xfId="407" applyFill="1" applyBorder="1">
      <alignment vertical="center"/>
    </xf>
    <xf numFmtId="0" fontId="76" fillId="0" borderId="5" xfId="407" applyFont="1" applyFill="1" applyBorder="1" applyAlignment="1">
      <alignment horizontal="center" vertical="center"/>
    </xf>
    <xf numFmtId="0" fontId="71" fillId="0" borderId="17" xfId="407" applyNumberFormat="1" applyFont="1" applyFill="1" applyBorder="1" applyAlignment="1" applyProtection="1">
      <alignment horizontal="center" vertical="center" wrapText="1"/>
    </xf>
    <xf numFmtId="0" fontId="90" fillId="0" borderId="32" xfId="407" applyNumberFormat="1" applyFont="1" applyFill="1" applyBorder="1" applyAlignment="1" applyProtection="1">
      <alignment vertical="center" wrapText="1"/>
    </xf>
    <xf numFmtId="0" fontId="90" fillId="0" borderId="40" xfId="407" applyNumberFormat="1" applyFont="1" applyFill="1" applyBorder="1" applyAlignment="1" applyProtection="1">
      <alignment vertical="center" wrapText="1"/>
    </xf>
    <xf numFmtId="0" fontId="73" fillId="0" borderId="0" xfId="407" applyNumberFormat="1" applyFont="1" applyFill="1" applyBorder="1" applyAlignment="1" applyProtection="1">
      <alignment horizontal="center" vertical="center"/>
    </xf>
    <xf numFmtId="0" fontId="74" fillId="0" borderId="0" xfId="407" applyFont="1" applyFill="1" applyBorder="1" applyAlignment="1">
      <alignment horizontal="center" vertical="center" wrapText="1"/>
    </xf>
    <xf numFmtId="0" fontId="74" fillId="0" borderId="47" xfId="407" applyFont="1" applyFill="1" applyBorder="1" applyAlignment="1">
      <alignment horizontal="center" vertical="center" wrapText="1"/>
    </xf>
    <xf numFmtId="0" fontId="59" fillId="2" borderId="54" xfId="407" applyNumberFormat="1" applyFont="1" applyFill="1" applyBorder="1" applyAlignment="1" applyProtection="1">
      <alignment horizontal="center" vertical="center" wrapText="1"/>
    </xf>
    <xf numFmtId="0" fontId="64" fillId="2" borderId="22" xfId="407" applyNumberFormat="1" applyFont="1" applyFill="1" applyBorder="1" applyAlignment="1" applyProtection="1">
      <alignment horizontal="center" vertical="center" wrapText="1"/>
    </xf>
    <xf numFmtId="0" fontId="64" fillId="2" borderId="19" xfId="407" applyNumberFormat="1" applyFont="1" applyFill="1" applyBorder="1" applyAlignment="1" applyProtection="1">
      <alignment horizontal="center" vertical="center" wrapText="1"/>
    </xf>
    <xf numFmtId="0" fontId="64" fillId="2" borderId="19" xfId="407" applyNumberFormat="1" applyFont="1" applyFill="1" applyBorder="1" applyAlignment="1" applyProtection="1">
      <alignment horizontal="center" vertical="center"/>
    </xf>
    <xf numFmtId="0" fontId="64" fillId="2" borderId="50" xfId="407" applyNumberFormat="1" applyFont="1" applyFill="1" applyBorder="1" applyAlignment="1" applyProtection="1">
      <alignment horizontal="center" vertical="center" wrapText="1"/>
    </xf>
    <xf numFmtId="0" fontId="83" fillId="0" borderId="0" xfId="408" applyFont="1" applyFill="1" applyBorder="1" applyAlignment="1">
      <alignment horizontal="center" vertical="center" wrapText="1"/>
    </xf>
    <xf numFmtId="0" fontId="77" fillId="0" borderId="0" xfId="407" applyFont="1" applyFill="1" applyBorder="1" applyAlignment="1">
      <alignment horizontal="center" vertical="center" wrapText="1"/>
    </xf>
    <xf numFmtId="0" fontId="78" fillId="0" borderId="0" xfId="407" applyFont="1" applyFill="1" applyAlignment="1">
      <alignment vertical="center" wrapText="1"/>
    </xf>
    <xf numFmtId="0" fontId="2" fillId="0" borderId="0" xfId="407" applyAlignment="1">
      <alignment vertical="center" wrapText="1"/>
    </xf>
    <xf numFmtId="0" fontId="66" fillId="0" borderId="1" xfId="407" applyFont="1" applyBorder="1" applyAlignment="1">
      <alignment horizontal="center" vertical="center" wrapText="1"/>
    </xf>
    <xf numFmtId="0" fontId="66" fillId="0" borderId="1" xfId="407" applyFont="1" applyBorder="1" applyAlignment="1">
      <alignment horizontal="center" vertical="center"/>
    </xf>
    <xf numFmtId="0" fontId="84" fillId="0" borderId="1" xfId="407" applyFont="1" applyBorder="1" applyAlignment="1">
      <alignment horizontal="center" vertical="center" wrapText="1"/>
    </xf>
    <xf numFmtId="0" fontId="91" fillId="0" borderId="0" xfId="407" applyNumberFormat="1" applyFont="1" applyFill="1" applyBorder="1" applyAlignment="1" applyProtection="1">
      <alignment horizontal="center" vertical="center" wrapText="1"/>
    </xf>
    <xf numFmtId="0" fontId="66" fillId="0" borderId="0" xfId="408" applyFont="1" applyFill="1" applyBorder="1" applyAlignment="1">
      <alignment horizontal="left" vertical="top" wrapText="1"/>
    </xf>
    <xf numFmtId="0" fontId="66" fillId="3" borderId="44" xfId="407" applyFont="1" applyFill="1" applyBorder="1" applyAlignment="1">
      <alignment horizontal="center" vertical="center" wrapText="1"/>
    </xf>
    <xf numFmtId="0" fontId="72" fillId="0" borderId="0" xfId="407" applyFont="1">
      <alignment vertical="center"/>
    </xf>
    <xf numFmtId="0" fontId="84" fillId="0" borderId="1" xfId="407" applyFont="1" applyBorder="1" applyAlignment="1">
      <alignment horizontal="center" vertical="center"/>
    </xf>
    <xf numFmtId="0" fontId="73" fillId="0" borderId="0" xfId="408" applyNumberFormat="1" applyFont="1" applyFill="1" applyBorder="1" applyAlignment="1" applyProtection="1">
      <alignment horizontal="left" vertical="top" wrapText="1"/>
    </xf>
    <xf numFmtId="0" fontId="78" fillId="0" borderId="0" xfId="407" applyFont="1" applyFill="1" applyAlignment="1">
      <alignment horizontal="center" vertical="center"/>
    </xf>
    <xf numFmtId="0" fontId="66" fillId="0" borderId="0" xfId="407" applyFont="1" applyAlignment="1">
      <alignment horizontal="center" vertical="center" wrapText="1"/>
    </xf>
    <xf numFmtId="0" fontId="66" fillId="3" borderId="45" xfId="407" applyFont="1" applyFill="1" applyBorder="1" applyAlignment="1">
      <alignment horizontal="center" vertical="center" wrapText="1"/>
    </xf>
    <xf numFmtId="0" fontId="66" fillId="0" borderId="20" xfId="407" applyFont="1" applyBorder="1" applyAlignment="1">
      <alignment horizontal="center" vertical="center"/>
    </xf>
    <xf numFmtId="0" fontId="92" fillId="0" borderId="0" xfId="408" applyFont="1" applyFill="1" applyAlignment="1">
      <alignment horizontal="left" vertical="top"/>
    </xf>
    <xf numFmtId="0" fontId="85" fillId="0" borderId="0" xfId="407" applyFont="1" applyAlignment="1">
      <alignment vertical="center"/>
    </xf>
    <xf numFmtId="0" fontId="2" fillId="0" borderId="41" xfId="407" applyBorder="1" applyAlignment="1">
      <alignment vertical="center" wrapText="1"/>
    </xf>
    <xf numFmtId="0" fontId="59" fillId="2" borderId="21" xfId="407" applyNumberFormat="1" applyFont="1" applyFill="1" applyBorder="1" applyAlignment="1" applyProtection="1">
      <alignment horizontal="center" vertical="center" wrapText="1"/>
    </xf>
    <xf numFmtId="0" fontId="59" fillId="2" borderId="19" xfId="407" applyNumberFormat="1" applyFont="1" applyFill="1" applyBorder="1" applyAlignment="1" applyProtection="1">
      <alignment horizontal="center" vertical="center" wrapText="1"/>
    </xf>
    <xf numFmtId="0" fontId="59" fillId="2" borderId="22" xfId="407" applyNumberFormat="1" applyFont="1" applyFill="1" applyBorder="1" applyAlignment="1" applyProtection="1">
      <alignment horizontal="center" vertical="center" wrapText="1"/>
    </xf>
    <xf numFmtId="0" fontId="59" fillId="2" borderId="56" xfId="407" applyNumberFormat="1" applyFont="1" applyFill="1" applyBorder="1" applyAlignment="1" applyProtection="1">
      <alignment horizontal="center" vertical="center" wrapText="1"/>
    </xf>
    <xf numFmtId="0" fontId="59" fillId="2" borderId="50" xfId="408" applyNumberFormat="1" applyFont="1" applyFill="1" applyBorder="1" applyAlignment="1" applyProtection="1">
      <alignment horizontal="center" vertical="center" wrapText="1"/>
    </xf>
    <xf numFmtId="0" fontId="59" fillId="2" borderId="50" xfId="407" applyNumberFormat="1" applyFont="1" applyFill="1" applyBorder="1" applyAlignment="1" applyProtection="1">
      <alignment horizontal="center" vertical="center" wrapText="1"/>
    </xf>
    <xf numFmtId="0" fontId="68" fillId="0" borderId="44" xfId="407" applyFont="1" applyBorder="1" applyAlignment="1">
      <alignment horizontal="center" vertical="center" wrapText="1"/>
    </xf>
    <xf numFmtId="0" fontId="68" fillId="0" borderId="25" xfId="407" applyFont="1" applyFill="1" applyBorder="1" applyAlignment="1">
      <alignment horizontal="center" vertical="center" wrapText="1"/>
    </xf>
    <xf numFmtId="0" fontId="68" fillId="0" borderId="11" xfId="407" applyFont="1" applyBorder="1" applyAlignment="1">
      <alignment horizontal="center" vertical="center"/>
    </xf>
    <xf numFmtId="0" fontId="68" fillId="0" borderId="11" xfId="407" applyFont="1" applyFill="1" applyBorder="1" applyAlignment="1">
      <alignment horizontal="center" vertical="center"/>
    </xf>
    <xf numFmtId="0" fontId="68" fillId="0" borderId="11" xfId="407" applyFont="1" applyBorder="1" applyAlignment="1">
      <alignment horizontal="center" vertical="center" wrapText="1"/>
    </xf>
    <xf numFmtId="0" fontId="66" fillId="0" borderId="11" xfId="407" applyFont="1" applyBorder="1" applyAlignment="1">
      <alignment horizontal="center" vertical="center"/>
    </xf>
    <xf numFmtId="0" fontId="68" fillId="0" borderId="25" xfId="407" applyFont="1" applyBorder="1" applyAlignment="1">
      <alignment horizontal="center" vertical="center"/>
    </xf>
    <xf numFmtId="0" fontId="68" fillId="0" borderId="57" xfId="408" applyFont="1" applyFill="1" applyBorder="1" applyAlignment="1">
      <alignment horizontal="center" vertical="center"/>
    </xf>
    <xf numFmtId="0" fontId="68" fillId="0" borderId="57" xfId="407" applyFont="1" applyFill="1" applyBorder="1" applyAlignment="1">
      <alignment horizontal="center" vertical="center"/>
    </xf>
    <xf numFmtId="0" fontId="68" fillId="0" borderId="58" xfId="407" applyFont="1" applyBorder="1" applyAlignment="1">
      <alignment horizontal="center" vertical="center" wrapText="1"/>
    </xf>
    <xf numFmtId="0" fontId="68" fillId="0" borderId="9" xfId="407" applyFont="1" applyBorder="1" applyAlignment="1">
      <alignment horizontal="center" vertical="center"/>
    </xf>
    <xf numFmtId="0" fontId="68" fillId="0" borderId="1" xfId="407" applyFont="1" applyBorder="1" applyAlignment="1">
      <alignment horizontal="center" vertical="center"/>
    </xf>
    <xf numFmtId="0" fontId="68" fillId="0" borderId="1" xfId="407" applyFont="1" applyFill="1" applyBorder="1" applyAlignment="1">
      <alignment horizontal="center" vertical="center" wrapText="1"/>
    </xf>
    <xf numFmtId="0" fontId="68" fillId="0" borderId="43" xfId="408" applyFont="1" applyFill="1" applyBorder="1" applyAlignment="1">
      <alignment horizontal="center" vertical="center"/>
    </xf>
    <xf numFmtId="0" fontId="68" fillId="0" borderId="43" xfId="407" applyFont="1" applyFill="1" applyBorder="1" applyAlignment="1">
      <alignment horizontal="center" vertical="center"/>
    </xf>
    <xf numFmtId="0" fontId="68" fillId="0" borderId="1" xfId="407" applyFont="1" applyBorder="1" applyAlignment="1">
      <alignment horizontal="center" vertical="center" wrapText="1"/>
    </xf>
    <xf numFmtId="0" fontId="68" fillId="0" borderId="43" xfId="408" applyFont="1" applyFill="1" applyBorder="1" applyAlignment="1">
      <alignment horizontal="center" vertical="center" wrapText="1"/>
    </xf>
    <xf numFmtId="0" fontId="68" fillId="0" borderId="43" xfId="407" applyFont="1" applyFill="1" applyBorder="1" applyAlignment="1">
      <alignment horizontal="center" vertical="center" wrapText="1"/>
    </xf>
    <xf numFmtId="0" fontId="2" fillId="0" borderId="0" xfId="407" applyAlignment="1">
      <alignment horizontal="center" vertical="top"/>
    </xf>
    <xf numFmtId="0" fontId="68" fillId="0" borderId="45" xfId="407" applyFont="1" applyBorder="1" applyAlignment="1">
      <alignment horizontal="center" vertical="center" wrapText="1"/>
    </xf>
    <xf numFmtId="0" fontId="68" fillId="0" borderId="24" xfId="407" applyFont="1" applyBorder="1" applyAlignment="1">
      <alignment horizontal="center" vertical="center"/>
    </xf>
    <xf numFmtId="0" fontId="68" fillId="0" borderId="20" xfId="407" applyFont="1" applyBorder="1" applyAlignment="1">
      <alignment horizontal="center" vertical="center"/>
    </xf>
    <xf numFmtId="0" fontId="68" fillId="0" borderId="20" xfId="407" applyFont="1" applyFill="1" applyBorder="1" applyAlignment="1">
      <alignment horizontal="center" vertical="center"/>
    </xf>
    <xf numFmtId="0" fontId="68" fillId="0" borderId="46" xfId="408" applyFont="1" applyFill="1" applyBorder="1" applyAlignment="1">
      <alignment horizontal="center" vertical="center"/>
    </xf>
    <xf numFmtId="0" fontId="68" fillId="0" borderId="46" xfId="407" applyFont="1" applyFill="1" applyBorder="1" applyAlignment="1">
      <alignment horizontal="center" vertical="center"/>
    </xf>
    <xf numFmtId="0" fontId="2" fillId="0" borderId="0" xfId="408" applyAlignment="1">
      <alignment vertical="center" wrapText="1"/>
    </xf>
    <xf numFmtId="0" fontId="68" fillId="0" borderId="49" xfId="407" applyFont="1" applyBorder="1" applyAlignment="1">
      <alignment vertical="center" wrapText="1"/>
    </xf>
    <xf numFmtId="0" fontId="76" fillId="2" borderId="19" xfId="407" applyNumberFormat="1" applyFont="1" applyFill="1" applyBorder="1" applyAlignment="1" applyProtection="1">
      <alignment horizontal="center" vertical="center" wrapText="1"/>
    </xf>
    <xf numFmtId="0" fontId="66" fillId="2" borderId="19" xfId="407" applyNumberFormat="1" applyFont="1" applyFill="1" applyBorder="1" applyAlignment="1" applyProtection="1">
      <alignment horizontal="center" vertical="center"/>
    </xf>
    <xf numFmtId="0" fontId="76" fillId="2" borderId="50" xfId="408" applyNumberFormat="1" applyFont="1" applyFill="1" applyBorder="1" applyAlignment="1" applyProtection="1">
      <alignment horizontal="center" vertical="center" wrapText="1"/>
    </xf>
    <xf numFmtId="0" fontId="0" fillId="0" borderId="0" xfId="407" applyFont="1" applyAlignment="1">
      <alignment vertical="center" wrapText="1"/>
    </xf>
    <xf numFmtId="0" fontId="2" fillId="0" borderId="44" xfId="407" applyFont="1" applyBorder="1" applyAlignment="1">
      <alignment horizontal="center" vertical="center" wrapText="1"/>
    </xf>
    <xf numFmtId="0" fontId="66" fillId="0" borderId="1" xfId="411" applyNumberFormat="1" applyFont="1" applyFill="1" applyBorder="1" applyAlignment="1" applyProtection="1">
      <alignment horizontal="center" vertical="center" wrapText="1"/>
    </xf>
    <xf numFmtId="0" fontId="66" fillId="0" borderId="1" xfId="411" applyFont="1" applyFill="1" applyBorder="1" applyAlignment="1">
      <alignment horizontal="center" vertical="center" wrapText="1"/>
    </xf>
    <xf numFmtId="0" fontId="2" fillId="0" borderId="43" xfId="408" applyFill="1" applyBorder="1" applyAlignment="1">
      <alignment horizontal="center" vertical="center"/>
    </xf>
    <xf numFmtId="0" fontId="66" fillId="0" borderId="11" xfId="411" applyNumberFormat="1" applyFont="1" applyFill="1" applyBorder="1" applyAlignment="1" applyProtection="1">
      <alignment horizontal="center" vertical="center" wrapText="1"/>
    </xf>
    <xf numFmtId="0" fontId="66" fillId="0" borderId="10" xfId="407" applyFont="1" applyBorder="1" applyAlignment="1">
      <alignment horizontal="center" vertical="center"/>
    </xf>
    <xf numFmtId="0" fontId="66" fillId="0" borderId="10" xfId="407" applyFont="1" applyBorder="1" applyAlignment="1">
      <alignment horizontal="center" vertical="center" wrapText="1"/>
    </xf>
    <xf numFmtId="0" fontId="84" fillId="0" borderId="10" xfId="407" applyFont="1" applyBorder="1" applyAlignment="1">
      <alignment horizontal="center" vertical="center" wrapText="1"/>
    </xf>
    <xf numFmtId="0" fontId="2" fillId="0" borderId="59" xfId="408" applyFill="1" applyBorder="1" applyAlignment="1">
      <alignment horizontal="center" vertical="center"/>
    </xf>
    <xf numFmtId="0" fontId="2" fillId="0" borderId="20" xfId="407" applyBorder="1">
      <alignment vertical="center"/>
    </xf>
    <xf numFmtId="0" fontId="68" fillId="5" borderId="20" xfId="407" applyFont="1" applyFill="1" applyBorder="1" applyAlignment="1">
      <alignment horizontal="center" vertical="center"/>
    </xf>
    <xf numFmtId="0" fontId="2" fillId="0" borderId="20" xfId="407" applyFont="1" applyFill="1" applyBorder="1">
      <alignment vertical="center"/>
    </xf>
    <xf numFmtId="0" fontId="2" fillId="0" borderId="20" xfId="407" applyFont="1" applyFill="1" applyBorder="1" applyAlignment="1">
      <alignment horizontal="center" vertical="center"/>
    </xf>
    <xf numFmtId="0" fontId="72" fillId="0" borderId="20" xfId="407" applyFont="1" applyBorder="1">
      <alignment vertical="center"/>
    </xf>
    <xf numFmtId="0" fontId="2" fillId="0" borderId="46" xfId="408" applyFill="1" applyBorder="1" applyAlignment="1">
      <alignment horizontal="center" vertical="center"/>
    </xf>
    <xf numFmtId="0" fontId="2" fillId="0" borderId="0" xfId="408" applyFill="1">
      <alignment vertical="center"/>
    </xf>
    <xf numFmtId="0" fontId="66" fillId="5" borderId="1" xfId="407" applyFont="1" applyFill="1" applyBorder="1" applyAlignment="1">
      <alignment horizontal="center" vertical="center" wrapText="1"/>
    </xf>
    <xf numFmtId="0" fontId="68" fillId="5" borderId="20" xfId="407" applyFont="1" applyFill="1" applyBorder="1" applyAlignment="1">
      <alignment horizontal="center" vertical="center" wrapText="1"/>
    </xf>
    <xf numFmtId="0" fontId="66" fillId="5" borderId="1" xfId="407" applyFont="1" applyFill="1" applyBorder="1" applyAlignment="1">
      <alignment horizontal="center" vertical="center"/>
    </xf>
    <xf numFmtId="0" fontId="68" fillId="0" borderId="0" xfId="407" applyFont="1" applyFill="1" applyAlignment="1">
      <alignment horizontal="center" vertical="center" wrapText="1"/>
    </xf>
    <xf numFmtId="0" fontId="68" fillId="5" borderId="31" xfId="407" applyFont="1" applyFill="1" applyBorder="1" applyAlignment="1">
      <alignment horizontal="center" vertical="center"/>
    </xf>
    <xf numFmtId="0" fontId="63" fillId="2" borderId="1" xfId="409" applyNumberFormat="1" applyFont="1" applyFill="1" applyBorder="1" applyAlignment="1" applyProtection="1">
      <alignment horizontal="center" vertical="center" wrapText="1"/>
    </xf>
    <xf numFmtId="0" fontId="66" fillId="3" borderId="1" xfId="407" applyNumberFormat="1" applyFont="1" applyFill="1" applyBorder="1" applyAlignment="1" applyProtection="1">
      <alignment horizontal="center" vertical="center" wrapText="1"/>
    </xf>
    <xf numFmtId="0" fontId="66" fillId="3" borderId="1" xfId="407" applyFont="1" applyFill="1" applyBorder="1" applyAlignment="1">
      <alignment horizontal="center" vertical="center" wrapText="1"/>
    </xf>
    <xf numFmtId="0" fontId="69" fillId="0" borderId="34" xfId="399" applyFont="1" applyFill="1" applyBorder="1" applyAlignment="1">
      <alignment horizontal="center" vertical="center" wrapText="1"/>
    </xf>
    <xf numFmtId="0" fontId="66" fillId="0" borderId="34" xfId="407" applyNumberFormat="1" applyFont="1" applyFill="1" applyBorder="1" applyAlignment="1" applyProtection="1">
      <alignment horizontal="center" wrapText="1"/>
    </xf>
    <xf numFmtId="0" fontId="66" fillId="3" borderId="11" xfId="407" applyNumberFormat="1" applyFont="1" applyFill="1" applyBorder="1" applyAlignment="1" applyProtection="1">
      <alignment horizontal="center" vertical="center" wrapText="1"/>
    </xf>
    <xf numFmtId="0" fontId="66" fillId="3" borderId="3" xfId="407" applyFont="1" applyFill="1" applyBorder="1" applyAlignment="1">
      <alignment horizontal="center" vertical="center" wrapText="1"/>
    </xf>
    <xf numFmtId="0" fontId="66" fillId="3" borderId="31" xfId="407" applyNumberFormat="1" applyFont="1" applyFill="1" applyBorder="1" applyAlignment="1" applyProtection="1">
      <alignment horizontal="center" vertical="center" wrapText="1"/>
    </xf>
    <xf numFmtId="0" fontId="93" fillId="0" borderId="1" xfId="2" applyFont="1" applyFill="1" applyBorder="1" applyAlignment="1">
      <alignment horizontal="center" vertical="center" wrapText="1"/>
    </xf>
    <xf numFmtId="0" fontId="66" fillId="3" borderId="10" xfId="407" applyNumberFormat="1" applyFont="1" applyFill="1" applyBorder="1" applyAlignment="1" applyProtection="1">
      <alignment horizontal="center" vertical="center" wrapText="1"/>
    </xf>
    <xf numFmtId="0" fontId="66" fillId="3" borderId="16" xfId="407" applyNumberFormat="1" applyFont="1" applyFill="1" applyBorder="1" applyAlignment="1" applyProtection="1">
      <alignment horizontal="center" vertical="center" wrapText="1"/>
    </xf>
    <xf numFmtId="0" fontId="61" fillId="0" borderId="51" xfId="399" applyNumberFormat="1" applyFont="1" applyFill="1" applyBorder="1" applyAlignment="1" applyProtection="1">
      <alignment horizontal="center" vertical="center"/>
    </xf>
    <xf numFmtId="0" fontId="61" fillId="0" borderId="52" xfId="399" applyNumberFormat="1" applyFont="1" applyFill="1" applyBorder="1" applyAlignment="1" applyProtection="1">
      <alignment horizontal="center" vertical="center"/>
    </xf>
    <xf numFmtId="0" fontId="61" fillId="0" borderId="53" xfId="399" applyNumberFormat="1" applyFont="1" applyFill="1" applyBorder="1" applyAlignment="1" applyProtection="1">
      <alignment horizontal="center" vertical="center"/>
    </xf>
    <xf numFmtId="0" fontId="61" fillId="0" borderId="1" xfId="399" applyNumberFormat="1" applyFont="1" applyFill="1" applyBorder="1" applyAlignment="1" applyProtection="1">
      <alignment horizontal="center" vertical="center"/>
    </xf>
    <xf numFmtId="0" fontId="71" fillId="0" borderId="1" xfId="399" applyNumberFormat="1" applyFont="1" applyFill="1" applyBorder="1" applyAlignment="1" applyProtection="1">
      <alignment horizontal="center" vertical="center"/>
    </xf>
    <xf numFmtId="0" fontId="5" fillId="0" borderId="0" xfId="399" applyAlignment="1">
      <alignment horizontal="center" vertical="center"/>
    </xf>
    <xf numFmtId="0" fontId="5" fillId="0" borderId="13" xfId="399" applyBorder="1" applyAlignment="1">
      <alignment horizontal="center" vertical="center"/>
    </xf>
    <xf numFmtId="0" fontId="59" fillId="0" borderId="23" xfId="399" applyNumberFormat="1" applyFont="1" applyFill="1" applyBorder="1" applyAlignment="1" applyProtection="1">
      <alignment horizontal="center" vertical="center" wrapText="1"/>
    </xf>
    <xf numFmtId="0" fontId="59" fillId="0" borderId="15" xfId="399" applyNumberFormat="1" applyFont="1" applyFill="1" applyBorder="1" applyAlignment="1" applyProtection="1">
      <alignment horizontal="center" vertical="center" wrapText="1"/>
    </xf>
    <xf numFmtId="0" fontId="59" fillId="0" borderId="2" xfId="399" applyNumberFormat="1" applyFont="1" applyFill="1" applyBorder="1" applyAlignment="1" applyProtection="1">
      <alignment horizontal="center" vertical="center" wrapText="1"/>
    </xf>
    <xf numFmtId="0" fontId="59" fillId="0" borderId="17" xfId="399" applyNumberFormat="1" applyFont="1" applyFill="1" applyBorder="1" applyAlignment="1" applyProtection="1">
      <alignment horizontal="center" vertical="center" wrapText="1"/>
    </xf>
    <xf numFmtId="0" fontId="59" fillId="0" borderId="35" xfId="399" applyNumberFormat="1" applyFont="1" applyFill="1" applyBorder="1" applyAlignment="1" applyProtection="1">
      <alignment horizontal="center" vertical="center" wrapText="1"/>
    </xf>
    <xf numFmtId="0" fontId="59" fillId="0" borderId="36" xfId="399" applyNumberFormat="1" applyFont="1" applyFill="1" applyBorder="1" applyAlignment="1" applyProtection="1">
      <alignment horizontal="center" vertical="center" wrapText="1"/>
    </xf>
    <xf numFmtId="0" fontId="70" fillId="0" borderId="26" xfId="401" applyFont="1" applyBorder="1" applyAlignment="1">
      <alignment horizontal="left" vertical="center" wrapText="1"/>
    </xf>
    <xf numFmtId="0" fontId="70" fillId="0" borderId="27" xfId="401" applyFont="1" applyBorder="1" applyAlignment="1">
      <alignment horizontal="left" vertical="center" wrapText="1"/>
    </xf>
    <xf numFmtId="0" fontId="70" fillId="0" borderId="28" xfId="401" applyFont="1" applyBorder="1" applyAlignment="1">
      <alignment horizontal="left" vertical="center" wrapText="1"/>
    </xf>
    <xf numFmtId="0" fontId="70" fillId="0" borderId="4" xfId="401" applyFont="1" applyBorder="1" applyAlignment="1">
      <alignment horizontal="left" vertical="top" wrapText="1"/>
    </xf>
    <xf numFmtId="0" fontId="70" fillId="0" borderId="5" xfId="401" applyFont="1" applyBorder="1" applyAlignment="1">
      <alignment horizontal="left" vertical="top" wrapText="1"/>
    </xf>
    <xf numFmtId="0" fontId="70" fillId="0" borderId="6" xfId="401" applyFont="1" applyBorder="1" applyAlignment="1">
      <alignment horizontal="left" vertical="top" wrapText="1"/>
    </xf>
    <xf numFmtId="0" fontId="70" fillId="0" borderId="7" xfId="401" applyFont="1" applyBorder="1" applyAlignment="1">
      <alignment horizontal="left" vertical="top" wrapText="1"/>
    </xf>
    <xf numFmtId="0" fontId="70" fillId="0" borderId="0" xfId="401" applyFont="1" applyBorder="1" applyAlignment="1">
      <alignment horizontal="left" vertical="top" wrapText="1"/>
    </xf>
    <xf numFmtId="0" fontId="70" fillId="0" borderId="8" xfId="401" applyFont="1" applyBorder="1" applyAlignment="1">
      <alignment horizontal="left" vertical="top" wrapText="1"/>
    </xf>
    <xf numFmtId="0" fontId="70" fillId="0" borderId="12" xfId="401" applyFont="1" applyBorder="1" applyAlignment="1">
      <alignment horizontal="left" vertical="top" wrapText="1"/>
    </xf>
    <xf numFmtId="0" fontId="70" fillId="0" borderId="13" xfId="401" applyFont="1" applyBorder="1" applyAlignment="1">
      <alignment horizontal="left" vertical="top" wrapText="1"/>
    </xf>
    <xf numFmtId="0" fontId="70" fillId="0" borderId="14" xfId="401" applyFont="1" applyBorder="1" applyAlignment="1">
      <alignment horizontal="left" vertical="top" wrapText="1"/>
    </xf>
    <xf numFmtId="0" fontId="79" fillId="0" borderId="4" xfId="401" applyFont="1" applyBorder="1" applyAlignment="1">
      <alignment horizontal="left" vertical="top" wrapText="1"/>
    </xf>
    <xf numFmtId="0" fontId="79" fillId="0" borderId="5" xfId="401" applyFont="1" applyBorder="1" applyAlignment="1">
      <alignment horizontal="left" vertical="top" wrapText="1"/>
    </xf>
    <xf numFmtId="0" fontId="79" fillId="0" borderId="6" xfId="401" applyFont="1" applyBorder="1" applyAlignment="1">
      <alignment horizontal="left" vertical="top" wrapText="1"/>
    </xf>
    <xf numFmtId="0" fontId="79" fillId="0" borderId="7" xfId="401" applyFont="1" applyBorder="1" applyAlignment="1">
      <alignment horizontal="left" vertical="top" wrapText="1"/>
    </xf>
    <xf numFmtId="0" fontId="79" fillId="0" borderId="0" xfId="401" applyFont="1" applyBorder="1" applyAlignment="1">
      <alignment horizontal="left" vertical="top" wrapText="1"/>
    </xf>
    <xf numFmtId="0" fontId="79" fillId="0" borderId="8" xfId="401" applyFont="1" applyBorder="1" applyAlignment="1">
      <alignment horizontal="left" vertical="top" wrapText="1"/>
    </xf>
    <xf numFmtId="0" fontId="79" fillId="0" borderId="12" xfId="401" applyFont="1" applyBorder="1" applyAlignment="1">
      <alignment horizontal="left" vertical="top" wrapText="1"/>
    </xf>
    <xf numFmtId="0" fontId="79" fillId="0" borderId="13" xfId="401" applyFont="1" applyBorder="1" applyAlignment="1">
      <alignment horizontal="left" vertical="top" wrapText="1"/>
    </xf>
    <xf numFmtId="0" fontId="79" fillId="0" borderId="14" xfId="401" applyFont="1" applyBorder="1" applyAlignment="1">
      <alignment horizontal="left" vertical="top" wrapText="1"/>
    </xf>
    <xf numFmtId="0" fontId="87" fillId="0" borderId="32" xfId="399" applyNumberFormat="1" applyFont="1" applyFill="1" applyBorder="1" applyAlignment="1" applyProtection="1">
      <alignment horizontal="center" vertical="center" wrapText="1"/>
    </xf>
    <xf numFmtId="0" fontId="87" fillId="0" borderId="33" xfId="399" applyNumberFormat="1" applyFont="1" applyFill="1" applyBorder="1" applyAlignment="1" applyProtection="1">
      <alignment horizontal="center" vertical="center" wrapText="1"/>
    </xf>
    <xf numFmtId="0" fontId="87" fillId="0" borderId="2" xfId="399" applyNumberFormat="1" applyFont="1" applyFill="1" applyBorder="1" applyAlignment="1" applyProtection="1">
      <alignment horizontal="center" vertical="center" wrapText="1"/>
    </xf>
    <xf numFmtId="0" fontId="87" fillId="0" borderId="17" xfId="399" applyNumberFormat="1" applyFont="1" applyFill="1" applyBorder="1" applyAlignment="1" applyProtection="1">
      <alignment horizontal="center" vertical="center" wrapText="1"/>
    </xf>
    <xf numFmtId="0" fontId="87" fillId="0" borderId="35" xfId="399" applyNumberFormat="1" applyFont="1" applyFill="1" applyBorder="1" applyAlignment="1" applyProtection="1">
      <alignment horizontal="center" vertical="center" wrapText="1"/>
    </xf>
    <xf numFmtId="0" fontId="87" fillId="0" borderId="36" xfId="399" applyNumberFormat="1" applyFont="1" applyFill="1" applyBorder="1" applyAlignment="1" applyProtection="1">
      <alignment horizontal="center" vertical="center" wrapText="1"/>
    </xf>
    <xf numFmtId="0" fontId="81" fillId="6" borderId="3" xfId="399" applyNumberFormat="1" applyFont="1" applyFill="1" applyBorder="1" applyAlignment="1" applyProtection="1">
      <alignment horizontal="center" vertical="center" wrapText="1"/>
    </xf>
    <xf numFmtId="0" fontId="81" fillId="6" borderId="9" xfId="399" applyNumberFormat="1" applyFont="1" applyFill="1" applyBorder="1" applyAlignment="1" applyProtection="1">
      <alignment horizontal="center" vertical="center" wrapText="1"/>
    </xf>
    <xf numFmtId="0" fontId="81" fillId="6" borderId="29" xfId="399" applyFont="1" applyFill="1" applyBorder="1" applyAlignment="1">
      <alignment horizontal="center" vertical="center"/>
    </xf>
    <xf numFmtId="0" fontId="81" fillId="6" borderId="30" xfId="399" applyFont="1" applyFill="1" applyBorder="1" applyAlignment="1">
      <alignment horizontal="center" vertical="center"/>
    </xf>
    <xf numFmtId="0" fontId="70" fillId="0" borderId="26" xfId="399" applyFont="1" applyBorder="1" applyAlignment="1">
      <alignment horizontal="left" vertical="center"/>
    </xf>
    <xf numFmtId="0" fontId="70" fillId="0" borderId="27" xfId="399" applyFont="1" applyBorder="1" applyAlignment="1">
      <alignment horizontal="left" vertical="center"/>
    </xf>
    <xf numFmtId="0" fontId="70" fillId="0" borderId="28" xfId="399" applyFont="1" applyBorder="1" applyAlignment="1">
      <alignment horizontal="left" vertical="center"/>
    </xf>
    <xf numFmtId="0" fontId="76" fillId="0" borderId="18" xfId="399" applyFont="1" applyBorder="1" applyAlignment="1">
      <alignment horizontal="center" vertical="center"/>
    </xf>
    <xf numFmtId="0" fontId="76" fillId="0" borderId="11" xfId="399" applyFont="1" applyBorder="1" applyAlignment="1">
      <alignment horizontal="center" vertical="center"/>
    </xf>
    <xf numFmtId="0" fontId="67" fillId="0" borderId="18" xfId="2" applyNumberFormat="1" applyFont="1" applyFill="1" applyBorder="1" applyAlignment="1" applyProtection="1">
      <alignment horizontal="center" vertical="center" wrapText="1"/>
    </xf>
    <xf numFmtId="0" fontId="67" fillId="0" borderId="11" xfId="2" applyNumberFormat="1" applyFont="1" applyFill="1" applyBorder="1" applyAlignment="1" applyProtection="1">
      <alignment horizontal="center" vertical="center" wrapText="1"/>
    </xf>
    <xf numFmtId="0" fontId="67" fillId="0" borderId="32" xfId="2" applyNumberFormat="1" applyFont="1" applyFill="1" applyBorder="1" applyAlignment="1" applyProtection="1">
      <alignment horizontal="center" vertical="center" wrapText="1"/>
    </xf>
    <xf numFmtId="0" fontId="67" fillId="0" borderId="33" xfId="2" applyNumberFormat="1" applyFont="1" applyFill="1" applyBorder="1" applyAlignment="1" applyProtection="1">
      <alignment horizontal="center" vertical="center" wrapText="1"/>
    </xf>
    <xf numFmtId="0" fontId="67" fillId="0" borderId="2" xfId="2" applyNumberFormat="1" applyFont="1" applyFill="1" applyBorder="1" applyAlignment="1" applyProtection="1">
      <alignment horizontal="center" vertical="center" wrapText="1"/>
    </xf>
    <xf numFmtId="0" fontId="67" fillId="0" borderId="17" xfId="2" applyNumberFormat="1" applyFont="1" applyFill="1" applyBorder="1" applyAlignment="1" applyProtection="1">
      <alignment horizontal="center" vertical="center" wrapText="1"/>
    </xf>
    <xf numFmtId="0" fontId="67" fillId="0" borderId="35" xfId="2" applyNumberFormat="1" applyFont="1" applyFill="1" applyBorder="1" applyAlignment="1" applyProtection="1">
      <alignment horizontal="center" vertical="center" wrapText="1"/>
    </xf>
    <xf numFmtId="0" fontId="67" fillId="0" borderId="36" xfId="2" applyNumberFormat="1" applyFont="1" applyFill="1" applyBorder="1" applyAlignment="1" applyProtection="1">
      <alignment horizontal="center" vertical="center" wrapText="1"/>
    </xf>
    <xf numFmtId="0" fontId="81" fillId="6" borderId="29" xfId="399" applyFont="1" applyFill="1" applyBorder="1" applyAlignment="1">
      <alignment horizontal="center" vertical="center" wrapText="1"/>
    </xf>
    <xf numFmtId="0" fontId="81" fillId="6" borderId="30" xfId="399" applyFont="1" applyFill="1" applyBorder="1" applyAlignment="1">
      <alignment horizontal="center" vertical="center" wrapText="1"/>
    </xf>
    <xf numFmtId="0" fontId="68" fillId="0" borderId="32" xfId="399" applyFont="1" applyFill="1" applyBorder="1" applyAlignment="1">
      <alignment horizontal="center" vertical="center"/>
    </xf>
    <xf numFmtId="0" fontId="68" fillId="0" borderId="33" xfId="399" applyFont="1" applyFill="1" applyBorder="1" applyAlignment="1">
      <alignment horizontal="center" vertical="center"/>
    </xf>
    <xf numFmtId="0" fontId="68" fillId="0" borderId="2" xfId="399" applyFont="1" applyFill="1" applyBorder="1" applyAlignment="1">
      <alignment horizontal="center" vertical="center"/>
    </xf>
    <xf numFmtId="0" fontId="68" fillId="0" borderId="17" xfId="399" applyFont="1" applyFill="1" applyBorder="1" applyAlignment="1">
      <alignment horizontal="center" vertical="center"/>
    </xf>
    <xf numFmtId="0" fontId="68" fillId="0" borderId="35" xfId="399" applyFont="1" applyFill="1" applyBorder="1" applyAlignment="1">
      <alignment horizontal="center" vertical="center"/>
    </xf>
    <xf numFmtId="0" fontId="68" fillId="0" borderId="36" xfId="399" applyFont="1" applyFill="1" applyBorder="1" applyAlignment="1">
      <alignment horizontal="center" vertical="center"/>
    </xf>
    <xf numFmtId="0" fontId="66" fillId="0" borderId="3" xfId="399" applyFont="1" applyBorder="1" applyAlignment="1">
      <alignment horizontal="center" vertical="center" wrapText="1"/>
    </xf>
    <xf numFmtId="0" fontId="66" fillId="0" borderId="9" xfId="399" applyFont="1" applyBorder="1" applyAlignment="1">
      <alignment horizontal="center" vertical="center" wrapText="1"/>
    </xf>
    <xf numFmtId="0" fontId="88" fillId="0" borderId="4" xfId="399" applyFont="1" applyBorder="1" applyAlignment="1">
      <alignment horizontal="left" vertical="top" wrapText="1"/>
    </xf>
    <xf numFmtId="0" fontId="88" fillId="0" borderId="5" xfId="399" applyFont="1" applyBorder="1" applyAlignment="1">
      <alignment horizontal="left" vertical="top" wrapText="1"/>
    </xf>
    <xf numFmtId="0" fontId="88" fillId="0" borderId="6" xfId="399" applyFont="1" applyBorder="1" applyAlignment="1">
      <alignment horizontal="left" vertical="top" wrapText="1"/>
    </xf>
    <xf numFmtId="0" fontId="88" fillId="0" borderId="7" xfId="399" applyFont="1" applyBorder="1" applyAlignment="1">
      <alignment horizontal="left" vertical="top" wrapText="1"/>
    </xf>
    <xf numFmtId="0" fontId="88" fillId="0" borderId="0" xfId="399" applyFont="1" applyBorder="1" applyAlignment="1">
      <alignment horizontal="left" vertical="top" wrapText="1"/>
    </xf>
    <xf numFmtId="0" fontId="88" fillId="0" borderId="8" xfId="399" applyFont="1" applyBorder="1" applyAlignment="1">
      <alignment horizontal="left" vertical="top" wrapText="1"/>
    </xf>
    <xf numFmtId="0" fontId="88" fillId="0" borderId="12" xfId="399" applyFont="1" applyBorder="1" applyAlignment="1">
      <alignment horizontal="left" vertical="top" wrapText="1"/>
    </xf>
    <xf numFmtId="0" fontId="88" fillId="0" borderId="13" xfId="399" applyFont="1" applyBorder="1" applyAlignment="1">
      <alignment horizontal="left" vertical="top" wrapText="1"/>
    </xf>
    <xf numFmtId="0" fontId="88" fillId="0" borderId="14" xfId="399" applyFont="1" applyBorder="1" applyAlignment="1">
      <alignment horizontal="left" vertical="top" wrapText="1"/>
    </xf>
    <xf numFmtId="0" fontId="71" fillId="0" borderId="32" xfId="399" applyFont="1" applyFill="1" applyBorder="1" applyAlignment="1">
      <alignment horizontal="center" vertical="center" wrapText="1"/>
    </xf>
    <xf numFmtId="0" fontId="71" fillId="0" borderId="33" xfId="399" applyFont="1" applyFill="1" applyBorder="1" applyAlignment="1">
      <alignment horizontal="center" vertical="center" wrapText="1"/>
    </xf>
    <xf numFmtId="0" fontId="71" fillId="0" borderId="35" xfId="399" applyFont="1" applyFill="1" applyBorder="1" applyAlignment="1">
      <alignment horizontal="center" vertical="center" wrapText="1"/>
    </xf>
    <xf numFmtId="0" fontId="71" fillId="0" borderId="36" xfId="399" applyFont="1" applyFill="1" applyBorder="1" applyAlignment="1">
      <alignment horizontal="center" vertical="center" wrapText="1"/>
    </xf>
    <xf numFmtId="0" fontId="3" fillId="0" borderId="4" xfId="399" applyFont="1" applyBorder="1" applyAlignment="1">
      <alignment horizontal="left" vertical="top" wrapText="1"/>
    </xf>
    <xf numFmtId="0" fontId="5" fillId="0" borderId="5" xfId="399" applyBorder="1" applyAlignment="1">
      <alignment horizontal="left" vertical="top" wrapText="1"/>
    </xf>
    <xf numFmtId="0" fontId="5" fillId="0" borderId="6" xfId="399" applyBorder="1" applyAlignment="1">
      <alignment horizontal="left" vertical="top" wrapText="1"/>
    </xf>
    <xf numFmtId="0" fontId="5" fillId="0" borderId="7" xfId="399" applyBorder="1" applyAlignment="1">
      <alignment horizontal="left" vertical="top" wrapText="1"/>
    </xf>
    <xf numFmtId="0" fontId="5" fillId="0" borderId="0" xfId="399" applyBorder="1" applyAlignment="1">
      <alignment horizontal="left" vertical="top" wrapText="1"/>
    </xf>
    <xf numFmtId="0" fontId="5" fillId="0" borderId="8" xfId="399" applyBorder="1" applyAlignment="1">
      <alignment horizontal="left" vertical="top" wrapText="1"/>
    </xf>
    <xf numFmtId="0" fontId="5" fillId="0" borderId="12" xfId="399" applyBorder="1" applyAlignment="1">
      <alignment horizontal="left" vertical="top" wrapText="1"/>
    </xf>
    <xf numFmtId="0" fontId="5" fillId="0" borderId="13" xfId="399" applyBorder="1" applyAlignment="1">
      <alignment horizontal="left" vertical="top" wrapText="1"/>
    </xf>
    <xf numFmtId="0" fontId="5" fillId="0" borderId="14" xfId="399" applyBorder="1" applyAlignment="1">
      <alignment horizontal="left" vertical="top" wrapText="1"/>
    </xf>
    <xf numFmtId="0" fontId="87" fillId="0" borderId="38" xfId="399" applyNumberFormat="1" applyFont="1" applyFill="1" applyBorder="1" applyAlignment="1" applyProtection="1">
      <alignment horizontal="center" vertical="center" wrapText="1"/>
    </xf>
    <xf numFmtId="0" fontId="87" fillId="0" borderId="39" xfId="399" applyNumberFormat="1" applyFont="1" applyFill="1" applyBorder="1" applyAlignment="1" applyProtection="1">
      <alignment horizontal="center" vertical="center" wrapText="1"/>
    </xf>
    <xf numFmtId="0" fontId="79" fillId="0" borderId="7" xfId="399" applyFont="1" applyFill="1" applyBorder="1" applyAlignment="1">
      <alignment horizontal="center" vertical="center" wrapText="1"/>
    </xf>
    <xf numFmtId="0" fontId="79" fillId="0" borderId="0" xfId="399" applyFont="1" applyFill="1" applyBorder="1" applyAlignment="1">
      <alignment horizontal="center" vertical="center" wrapText="1"/>
    </xf>
    <xf numFmtId="0" fontId="79" fillId="0" borderId="8" xfId="399" applyFont="1" applyFill="1" applyBorder="1" applyAlignment="1">
      <alignment horizontal="center" vertical="center" wrapText="1"/>
    </xf>
    <xf numFmtId="0" fontId="79" fillId="0" borderId="12" xfId="399" applyFont="1" applyFill="1" applyBorder="1" applyAlignment="1">
      <alignment horizontal="center" vertical="center" wrapText="1"/>
    </xf>
    <xf numFmtId="0" fontId="79" fillId="0" borderId="13" xfId="399" applyFont="1" applyFill="1" applyBorder="1" applyAlignment="1">
      <alignment horizontal="center" vertical="center" wrapText="1"/>
    </xf>
    <xf numFmtId="0" fontId="79" fillId="0" borderId="14" xfId="399" applyFont="1" applyFill="1" applyBorder="1" applyAlignment="1">
      <alignment horizontal="center" vertical="center" wrapText="1"/>
    </xf>
    <xf numFmtId="0" fontId="66" fillId="3" borderId="42" xfId="399" applyFont="1" applyFill="1" applyBorder="1" applyAlignment="1">
      <alignment horizontal="center" vertical="center" wrapText="1"/>
    </xf>
    <xf numFmtId="0" fontId="66" fillId="3" borderId="55" xfId="399" applyFont="1" applyFill="1" applyBorder="1" applyAlignment="1">
      <alignment horizontal="center" vertical="center" wrapText="1"/>
    </xf>
    <xf numFmtId="0" fontId="5" fillId="0" borderId="48" xfId="399" applyBorder="1" applyAlignment="1">
      <alignment horizontal="center" vertical="center"/>
    </xf>
    <xf numFmtId="0" fontId="87" fillId="0" borderId="38" xfId="407" applyNumberFormat="1" applyFont="1" applyFill="1" applyBorder="1" applyAlignment="1" applyProtection="1">
      <alignment horizontal="center" vertical="center" wrapText="1"/>
    </xf>
    <xf numFmtId="0" fontId="87" fillId="0" borderId="39" xfId="407" applyNumberFormat="1" applyFont="1" applyFill="1" applyBorder="1" applyAlignment="1" applyProtection="1">
      <alignment horizontal="center" vertical="center" wrapText="1"/>
    </xf>
    <xf numFmtId="0" fontId="79" fillId="0" borderId="7" xfId="407" applyFont="1" applyFill="1" applyBorder="1" applyAlignment="1">
      <alignment horizontal="center" vertical="center" wrapText="1"/>
    </xf>
    <xf numFmtId="0" fontId="79" fillId="0" borderId="0" xfId="407" applyFont="1" applyFill="1" applyBorder="1" applyAlignment="1">
      <alignment horizontal="center" vertical="center" wrapText="1"/>
    </xf>
    <xf numFmtId="0" fontId="79" fillId="0" borderId="8" xfId="407" applyFont="1" applyFill="1" applyBorder="1" applyAlignment="1">
      <alignment horizontal="center" vertical="center" wrapText="1"/>
    </xf>
    <xf numFmtId="0" fontId="79" fillId="0" borderId="12" xfId="407" applyFont="1" applyFill="1" applyBorder="1" applyAlignment="1">
      <alignment horizontal="center" vertical="center" wrapText="1"/>
    </xf>
    <xf numFmtId="0" fontId="79" fillId="0" borderId="13" xfId="407" applyFont="1" applyFill="1" applyBorder="1" applyAlignment="1">
      <alignment horizontal="center" vertical="center" wrapText="1"/>
    </xf>
    <xf numFmtId="0" fontId="79" fillId="0" borderId="14" xfId="407" applyFont="1" applyFill="1" applyBorder="1" applyAlignment="1">
      <alignment horizontal="center" vertical="center" wrapText="1"/>
    </xf>
    <xf numFmtId="0" fontId="66" fillId="3" borderId="42" xfId="407" applyFont="1" applyFill="1" applyBorder="1" applyAlignment="1">
      <alignment horizontal="center" vertical="center" wrapText="1"/>
    </xf>
    <xf numFmtId="0" fontId="66" fillId="3" borderId="55" xfId="407" applyFont="1" applyFill="1" applyBorder="1" applyAlignment="1">
      <alignment horizontal="center" vertical="center" wrapText="1"/>
    </xf>
    <xf numFmtId="0" fontId="2" fillId="0" borderId="48" xfId="407" applyBorder="1" applyAlignment="1">
      <alignment horizontal="center" vertical="center"/>
    </xf>
    <xf numFmtId="0" fontId="2" fillId="0" borderId="0" xfId="407" applyAlignment="1">
      <alignment horizontal="center" vertical="center"/>
    </xf>
    <xf numFmtId="0" fontId="66" fillId="0" borderId="3" xfId="407" applyFont="1" applyBorder="1" applyAlignment="1">
      <alignment horizontal="center" vertical="center" wrapText="1"/>
    </xf>
    <xf numFmtId="0" fontId="66" fillId="0" borderId="9" xfId="407" applyFont="1" applyBorder="1" applyAlignment="1">
      <alignment horizontal="center" vertical="center" wrapText="1"/>
    </xf>
    <xf numFmtId="0" fontId="70" fillId="0" borderId="26" xfId="410" applyFont="1" applyBorder="1" applyAlignment="1">
      <alignment horizontal="left" vertical="center" wrapText="1"/>
    </xf>
    <xf numFmtId="0" fontId="70" fillId="0" borderId="27" xfId="410" applyFont="1" applyBorder="1" applyAlignment="1">
      <alignment horizontal="left" vertical="center" wrapText="1"/>
    </xf>
    <xf numFmtId="0" fontId="70" fillId="0" borderId="28" xfId="410" applyFont="1" applyBorder="1" applyAlignment="1">
      <alignment horizontal="left" vertical="center" wrapText="1"/>
    </xf>
    <xf numFmtId="0" fontId="70" fillId="0" borderId="4" xfId="410" applyFont="1" applyBorder="1" applyAlignment="1">
      <alignment horizontal="left" vertical="top" wrapText="1"/>
    </xf>
    <xf numFmtId="0" fontId="70" fillId="0" borderId="5" xfId="410" applyFont="1" applyBorder="1" applyAlignment="1">
      <alignment horizontal="left" vertical="top" wrapText="1"/>
    </xf>
    <xf numFmtId="0" fontId="70" fillId="0" borderId="6" xfId="410" applyFont="1" applyBorder="1" applyAlignment="1">
      <alignment horizontal="left" vertical="top" wrapText="1"/>
    </xf>
    <xf numFmtId="0" fontId="70" fillId="0" borderId="7" xfId="410" applyFont="1" applyBorder="1" applyAlignment="1">
      <alignment horizontal="left" vertical="top" wrapText="1"/>
    </xf>
    <xf numFmtId="0" fontId="70" fillId="0" borderId="0" xfId="410" applyFont="1" applyBorder="1" applyAlignment="1">
      <alignment horizontal="left" vertical="top" wrapText="1"/>
    </xf>
    <xf numFmtId="0" fontId="70" fillId="0" borderId="8" xfId="410" applyFont="1" applyBorder="1" applyAlignment="1">
      <alignment horizontal="left" vertical="top" wrapText="1"/>
    </xf>
    <xf numFmtId="0" fontId="70" fillId="0" borderId="12" xfId="410" applyFont="1" applyBorder="1" applyAlignment="1">
      <alignment horizontal="left" vertical="top" wrapText="1"/>
    </xf>
    <xf numFmtId="0" fontId="70" fillId="0" borderId="13" xfId="410" applyFont="1" applyBorder="1" applyAlignment="1">
      <alignment horizontal="left" vertical="top" wrapText="1"/>
    </xf>
    <xf numFmtId="0" fontId="70" fillId="0" borderId="14" xfId="410" applyFont="1" applyBorder="1" applyAlignment="1">
      <alignment horizontal="left" vertical="top" wrapText="1"/>
    </xf>
    <xf numFmtId="0" fontId="68" fillId="0" borderId="32" xfId="407" applyFont="1" applyFill="1" applyBorder="1" applyAlignment="1">
      <alignment horizontal="center" vertical="center"/>
    </xf>
    <xf numFmtId="0" fontId="68" fillId="0" borderId="33" xfId="407" applyFont="1" applyFill="1" applyBorder="1" applyAlignment="1">
      <alignment horizontal="center" vertical="center"/>
    </xf>
    <xf numFmtId="0" fontId="68" fillId="0" borderId="2" xfId="407" applyFont="1" applyFill="1" applyBorder="1" applyAlignment="1">
      <alignment horizontal="center" vertical="center"/>
    </xf>
    <xf numFmtId="0" fontId="68" fillId="0" borderId="17" xfId="407" applyFont="1" applyFill="1" applyBorder="1" applyAlignment="1">
      <alignment horizontal="center" vertical="center"/>
    </xf>
    <xf numFmtId="0" fontId="68" fillId="0" borderId="35" xfId="407" applyFont="1" applyFill="1" applyBorder="1" applyAlignment="1">
      <alignment horizontal="center" vertical="center"/>
    </xf>
    <xf numFmtId="0" fontId="68" fillId="0" borderId="36" xfId="407" applyFont="1" applyFill="1" applyBorder="1" applyAlignment="1">
      <alignment horizontal="center" vertical="center"/>
    </xf>
    <xf numFmtId="0" fontId="88" fillId="0" borderId="4" xfId="407" applyFont="1" applyBorder="1" applyAlignment="1">
      <alignment horizontal="left" vertical="top" wrapText="1"/>
    </xf>
    <xf numFmtId="0" fontId="88" fillId="0" borderId="5" xfId="407" applyFont="1" applyBorder="1" applyAlignment="1">
      <alignment horizontal="left" vertical="top" wrapText="1"/>
    </xf>
    <xf numFmtId="0" fontId="88" fillId="0" borderId="6" xfId="407" applyFont="1" applyBorder="1" applyAlignment="1">
      <alignment horizontal="left" vertical="top" wrapText="1"/>
    </xf>
    <xf numFmtId="0" fontId="88" fillId="0" borderId="7" xfId="407" applyFont="1" applyBorder="1" applyAlignment="1">
      <alignment horizontal="left" vertical="top" wrapText="1"/>
    </xf>
    <xf numFmtId="0" fontId="88" fillId="0" borderId="0" xfId="407" applyFont="1" applyBorder="1" applyAlignment="1">
      <alignment horizontal="left" vertical="top" wrapText="1"/>
    </xf>
    <xf numFmtId="0" fontId="88" fillId="0" borderId="8" xfId="407" applyFont="1" applyBorder="1" applyAlignment="1">
      <alignment horizontal="left" vertical="top" wrapText="1"/>
    </xf>
    <xf numFmtId="0" fontId="88" fillId="0" borderId="12" xfId="407" applyFont="1" applyBorder="1" applyAlignment="1">
      <alignment horizontal="left" vertical="top" wrapText="1"/>
    </xf>
    <xf numFmtId="0" fontId="88" fillId="0" borderId="13" xfId="407" applyFont="1" applyBorder="1" applyAlignment="1">
      <alignment horizontal="left" vertical="top" wrapText="1"/>
    </xf>
    <xf numFmtId="0" fontId="88" fillId="0" borderId="14" xfId="407" applyFont="1" applyBorder="1" applyAlignment="1">
      <alignment horizontal="left" vertical="top" wrapText="1"/>
    </xf>
    <xf numFmtId="0" fontId="71" fillId="0" borderId="32" xfId="407" applyFont="1" applyFill="1" applyBorder="1" applyAlignment="1">
      <alignment horizontal="center" vertical="center" wrapText="1"/>
    </xf>
    <xf numFmtId="0" fontId="71" fillId="0" borderId="33" xfId="407" applyFont="1" applyFill="1" applyBorder="1" applyAlignment="1">
      <alignment horizontal="center" vertical="center" wrapText="1"/>
    </xf>
    <xf numFmtId="0" fontId="71" fillId="0" borderId="35" xfId="407" applyFont="1" applyFill="1" applyBorder="1" applyAlignment="1">
      <alignment horizontal="center" vertical="center" wrapText="1"/>
    </xf>
    <xf numFmtId="0" fontId="71" fillId="0" borderId="36" xfId="407" applyFont="1" applyFill="1" applyBorder="1" applyAlignment="1">
      <alignment horizontal="center" vertical="center" wrapText="1"/>
    </xf>
    <xf numFmtId="0" fontId="70" fillId="0" borderId="26" xfId="407" applyFont="1" applyBorder="1" applyAlignment="1">
      <alignment horizontal="left" vertical="center"/>
    </xf>
    <xf numFmtId="0" fontId="70" fillId="0" borderId="27" xfId="407" applyFont="1" applyBorder="1" applyAlignment="1">
      <alignment horizontal="left" vertical="center"/>
    </xf>
    <xf numFmtId="0" fontId="70" fillId="0" borderId="28" xfId="407" applyFont="1" applyBorder="1" applyAlignment="1">
      <alignment horizontal="left" vertical="center"/>
    </xf>
    <xf numFmtId="0" fontId="2" fillId="0" borderId="4" xfId="407" applyFont="1" applyBorder="1" applyAlignment="1">
      <alignment horizontal="left" vertical="top" wrapText="1"/>
    </xf>
    <xf numFmtId="0" fontId="2" fillId="0" borderId="5" xfId="407" applyBorder="1" applyAlignment="1">
      <alignment horizontal="left" vertical="top" wrapText="1"/>
    </xf>
    <xf numFmtId="0" fontId="2" fillId="0" borderId="6" xfId="407" applyBorder="1" applyAlignment="1">
      <alignment horizontal="left" vertical="top" wrapText="1"/>
    </xf>
    <xf numFmtId="0" fontId="2" fillId="0" borderId="7" xfId="407" applyBorder="1" applyAlignment="1">
      <alignment horizontal="left" vertical="top" wrapText="1"/>
    </xf>
    <xf numFmtId="0" fontId="2" fillId="0" borderId="0" xfId="407" applyBorder="1" applyAlignment="1">
      <alignment horizontal="left" vertical="top" wrapText="1"/>
    </xf>
    <xf numFmtId="0" fontId="2" fillId="0" borderId="8" xfId="407" applyBorder="1" applyAlignment="1">
      <alignment horizontal="left" vertical="top" wrapText="1"/>
    </xf>
    <xf numFmtId="0" fontId="2" fillId="0" borderId="12" xfId="407" applyBorder="1" applyAlignment="1">
      <alignment horizontal="left" vertical="top" wrapText="1"/>
    </xf>
    <xf numFmtId="0" fontId="2" fillId="0" borderId="13" xfId="407" applyBorder="1" applyAlignment="1">
      <alignment horizontal="left" vertical="top" wrapText="1"/>
    </xf>
    <xf numFmtId="0" fontId="2" fillId="0" borderId="14" xfId="407" applyBorder="1" applyAlignment="1">
      <alignment horizontal="left" vertical="top" wrapText="1"/>
    </xf>
    <xf numFmtId="0" fontId="76" fillId="0" borderId="18" xfId="407" applyFont="1" applyBorder="1" applyAlignment="1">
      <alignment horizontal="center" vertical="center"/>
    </xf>
    <xf numFmtId="0" fontId="76" fillId="0" borderId="11" xfId="407" applyFont="1" applyBorder="1" applyAlignment="1">
      <alignment horizontal="center" vertical="center"/>
    </xf>
    <xf numFmtId="0" fontId="81" fillId="6" borderId="29" xfId="407" applyFont="1" applyFill="1" applyBorder="1" applyAlignment="1">
      <alignment horizontal="center" vertical="center" wrapText="1"/>
    </xf>
    <xf numFmtId="0" fontId="81" fillId="6" borderId="30" xfId="407" applyFont="1" applyFill="1" applyBorder="1" applyAlignment="1">
      <alignment horizontal="center" vertical="center" wrapText="1"/>
    </xf>
    <xf numFmtId="0" fontId="79" fillId="0" borderId="4" xfId="410" applyFont="1" applyBorder="1" applyAlignment="1">
      <alignment horizontal="left" vertical="top" wrapText="1"/>
    </xf>
    <xf numFmtId="0" fontId="79" fillId="0" borderId="5" xfId="410" applyFont="1" applyBorder="1" applyAlignment="1">
      <alignment horizontal="left" vertical="top" wrapText="1"/>
    </xf>
    <xf numFmtId="0" fontId="79" fillId="0" borderId="6" xfId="410" applyFont="1" applyBorder="1" applyAlignment="1">
      <alignment horizontal="left" vertical="top" wrapText="1"/>
    </xf>
    <xf numFmtId="0" fontId="79" fillId="0" borderId="7" xfId="410" applyFont="1" applyBorder="1" applyAlignment="1">
      <alignment horizontal="left" vertical="top" wrapText="1"/>
    </xf>
    <xf numFmtId="0" fontId="79" fillId="0" borderId="0" xfId="410" applyFont="1" applyBorder="1" applyAlignment="1">
      <alignment horizontal="left" vertical="top" wrapText="1"/>
    </xf>
    <xf numFmtId="0" fontId="79" fillId="0" borderId="8" xfId="410" applyFont="1" applyBorder="1" applyAlignment="1">
      <alignment horizontal="left" vertical="top" wrapText="1"/>
    </xf>
    <xf numFmtId="0" fontId="79" fillId="0" borderId="12" xfId="410" applyFont="1" applyBorder="1" applyAlignment="1">
      <alignment horizontal="left" vertical="top" wrapText="1"/>
    </xf>
    <xf numFmtId="0" fontId="79" fillId="0" borderId="13" xfId="410" applyFont="1" applyBorder="1" applyAlignment="1">
      <alignment horizontal="left" vertical="top" wrapText="1"/>
    </xf>
    <xf numFmtId="0" fontId="79" fillId="0" borderId="14" xfId="410" applyFont="1" applyBorder="1" applyAlignment="1">
      <alignment horizontal="left" vertical="top" wrapText="1"/>
    </xf>
    <xf numFmtId="0" fontId="87" fillId="0" borderId="32" xfId="407" applyNumberFormat="1" applyFont="1" applyFill="1" applyBorder="1" applyAlignment="1" applyProtection="1">
      <alignment horizontal="center" vertical="center" wrapText="1"/>
    </xf>
    <xf numFmtId="0" fontId="87" fillId="0" borderId="33" xfId="407" applyNumberFormat="1" applyFont="1" applyFill="1" applyBorder="1" applyAlignment="1" applyProtection="1">
      <alignment horizontal="center" vertical="center" wrapText="1"/>
    </xf>
    <xf numFmtId="0" fontId="87" fillId="0" borderId="2" xfId="407" applyNumberFormat="1" applyFont="1" applyFill="1" applyBorder="1" applyAlignment="1" applyProtection="1">
      <alignment horizontal="center" vertical="center" wrapText="1"/>
    </xf>
    <xf numFmtId="0" fontId="87" fillId="0" borderId="17" xfId="407" applyNumberFormat="1" applyFont="1" applyFill="1" applyBorder="1" applyAlignment="1" applyProtection="1">
      <alignment horizontal="center" vertical="center" wrapText="1"/>
    </xf>
    <xf numFmtId="0" fontId="87" fillId="0" borderId="35" xfId="407" applyNumberFormat="1" applyFont="1" applyFill="1" applyBorder="1" applyAlignment="1" applyProtection="1">
      <alignment horizontal="center" vertical="center" wrapText="1"/>
    </xf>
    <xf numFmtId="0" fontId="87" fillId="0" borderId="36" xfId="407" applyNumberFormat="1" applyFont="1" applyFill="1" applyBorder="1" applyAlignment="1" applyProtection="1">
      <alignment horizontal="center" vertical="center" wrapText="1"/>
    </xf>
    <xf numFmtId="0" fontId="80" fillId="4" borderId="3" xfId="407" applyNumberFormat="1" applyFont="1" applyFill="1" applyBorder="1" applyAlignment="1" applyProtection="1">
      <alignment horizontal="center" vertical="center" wrapText="1"/>
    </xf>
    <xf numFmtId="0" fontId="80" fillId="4" borderId="9" xfId="407" applyNumberFormat="1" applyFont="1" applyFill="1" applyBorder="1" applyAlignment="1" applyProtection="1">
      <alignment horizontal="center" vertical="center" wrapText="1"/>
    </xf>
    <xf numFmtId="0" fontId="81" fillId="6" borderId="29" xfId="407" applyFont="1" applyFill="1" applyBorder="1" applyAlignment="1">
      <alignment horizontal="center" vertical="center"/>
    </xf>
    <xf numFmtId="0" fontId="81" fillId="6" borderId="30" xfId="407" applyFont="1" applyFill="1" applyBorder="1" applyAlignment="1">
      <alignment horizontal="center" vertical="center"/>
    </xf>
    <xf numFmtId="0" fontId="61" fillId="0" borderId="51" xfId="407" applyNumberFormat="1" applyFont="1" applyFill="1" applyBorder="1" applyAlignment="1" applyProtection="1">
      <alignment horizontal="center" vertical="center"/>
    </xf>
    <xf numFmtId="0" fontId="61" fillId="0" borderId="52" xfId="407" applyNumberFormat="1" applyFont="1" applyFill="1" applyBorder="1" applyAlignment="1" applyProtection="1">
      <alignment horizontal="center" vertical="center"/>
    </xf>
    <xf numFmtId="0" fontId="61" fillId="0" borderId="53" xfId="407" applyNumberFormat="1" applyFont="1" applyFill="1" applyBorder="1" applyAlignment="1" applyProtection="1">
      <alignment horizontal="center" vertical="center"/>
    </xf>
    <xf numFmtId="0" fontId="61" fillId="0" borderId="1" xfId="407" applyNumberFormat="1" applyFont="1" applyFill="1" applyBorder="1" applyAlignment="1" applyProtection="1">
      <alignment horizontal="center" vertical="center"/>
    </xf>
    <xf numFmtId="0" fontId="71" fillId="0" borderId="1" xfId="407" applyNumberFormat="1" applyFont="1" applyFill="1" applyBorder="1" applyAlignment="1" applyProtection="1">
      <alignment horizontal="center" vertical="center"/>
    </xf>
    <xf numFmtId="0" fontId="2" fillId="0" borderId="13" xfId="407" applyBorder="1" applyAlignment="1">
      <alignment horizontal="center" vertical="center"/>
    </xf>
    <xf numFmtId="0" fontId="59" fillId="0" borderId="23" xfId="407" applyNumberFormat="1" applyFont="1" applyFill="1" applyBorder="1" applyAlignment="1" applyProtection="1">
      <alignment horizontal="center" vertical="center" wrapText="1"/>
    </xf>
    <xf numFmtId="0" fontId="59" fillId="0" borderId="15" xfId="407" applyNumberFormat="1" applyFont="1" applyFill="1" applyBorder="1" applyAlignment="1" applyProtection="1">
      <alignment horizontal="center" vertical="center" wrapText="1"/>
    </xf>
    <xf numFmtId="0" fontId="59" fillId="0" borderId="2" xfId="407" applyNumberFormat="1" applyFont="1" applyFill="1" applyBorder="1" applyAlignment="1" applyProtection="1">
      <alignment horizontal="center" vertical="center" wrapText="1"/>
    </xf>
    <xf numFmtId="0" fontId="59" fillId="0" borderId="17" xfId="407" applyNumberFormat="1" applyFont="1" applyFill="1" applyBorder="1" applyAlignment="1" applyProtection="1">
      <alignment horizontal="center" vertical="center" wrapText="1"/>
    </xf>
    <xf numFmtId="0" fontId="59" fillId="0" borderId="35" xfId="407" applyNumberFormat="1" applyFont="1" applyFill="1" applyBorder="1" applyAlignment="1" applyProtection="1">
      <alignment horizontal="center" vertical="center" wrapText="1"/>
    </xf>
    <xf numFmtId="0" fontId="59" fillId="0" borderId="36" xfId="407" applyNumberFormat="1" applyFont="1" applyFill="1" applyBorder="1" applyAlignment="1" applyProtection="1">
      <alignment horizontal="center" vertical="center" wrapText="1"/>
    </xf>
  </cellXfs>
  <cellStyles count="412">
    <cellStyle name="백분율" xfId="393" builtinId="5"/>
    <cellStyle name="백분율 10" xfId="206"/>
    <cellStyle name="백분율 11" xfId="226"/>
    <cellStyle name="백분율 12" xfId="258"/>
    <cellStyle name="백분율 13" xfId="264"/>
    <cellStyle name="백분율 14" xfId="288"/>
    <cellStyle name="백분율 15" xfId="303"/>
    <cellStyle name="백분율 16" xfId="319"/>
    <cellStyle name="백분율 17" xfId="346"/>
    <cellStyle name="백분율 18" xfId="361"/>
    <cellStyle name="백분율 19" xfId="380"/>
    <cellStyle name="백분율 2" xfId="99"/>
    <cellStyle name="백분율 20" xfId="397"/>
    <cellStyle name="백분율 3" xfId="118"/>
    <cellStyle name="백분율 4" xfId="127"/>
    <cellStyle name="백분율 5" xfId="138"/>
    <cellStyle name="백분율 6" xfId="143"/>
    <cellStyle name="백분율 7" xfId="164"/>
    <cellStyle name="백분율 8" xfId="183"/>
    <cellStyle name="백분율 9" xfId="199"/>
    <cellStyle name="표준" xfId="0" builtinId="0"/>
    <cellStyle name="표준 10" xfId="5"/>
    <cellStyle name="표준 2" xfId="1"/>
    <cellStyle name="표준 2 10" xfId="16"/>
    <cellStyle name="표준 2 10 10" xfId="59"/>
    <cellStyle name="표준 2 10 11" xfId="61"/>
    <cellStyle name="표준 2 10 12" xfId="63"/>
    <cellStyle name="표준 2 10 13" xfId="67"/>
    <cellStyle name="표준 2 10 14" xfId="70"/>
    <cellStyle name="표준 2 10 14 2" xfId="77"/>
    <cellStyle name="표준 2 10 14 2 2" xfId="80"/>
    <cellStyle name="표준 2 10 14 2 2 2" xfId="87"/>
    <cellStyle name="표준 2 10 14 2 3" xfId="86"/>
    <cellStyle name="표준 2 10 15" xfId="74"/>
    <cellStyle name="표준 2 10 15 2" xfId="81"/>
    <cellStyle name="표준 2 10 15 2 2" xfId="88"/>
    <cellStyle name="표준 2 10 16" xfId="78"/>
    <cellStyle name="표준 2 10 17" xfId="83"/>
    <cellStyle name="표준 2 10 17 10" xfId="176"/>
    <cellStyle name="표준 2 10 17 11" xfId="189"/>
    <cellStyle name="표준 2 10 17 12" xfId="205"/>
    <cellStyle name="표준 2 10 17 12 2" xfId="216"/>
    <cellStyle name="표준 2 10 17 13" xfId="225"/>
    <cellStyle name="표준 2 10 17 13 2" xfId="241"/>
    <cellStyle name="표준 2 10 17 14" xfId="238"/>
    <cellStyle name="표준 2 10 17 15" xfId="246"/>
    <cellStyle name="표준 2 10 17 16" xfId="263"/>
    <cellStyle name="표준 2 10 17 16 2" xfId="282"/>
    <cellStyle name="표준 2 10 17 16 3" xfId="299"/>
    <cellStyle name="표준 2 10 17 16 3 2" xfId="306"/>
    <cellStyle name="표준 2 10 17 16 4" xfId="313"/>
    <cellStyle name="표준 2 10 17 16 4 2" xfId="326"/>
    <cellStyle name="표준 2 10 17 16 5" xfId="338"/>
    <cellStyle name="표준 2 10 17 16 6" xfId="353"/>
    <cellStyle name="표준 2 10 17 16 7" xfId="371"/>
    <cellStyle name="표준 2 10 17 16 8" xfId="387"/>
    <cellStyle name="표준 2 10 17 17" xfId="276"/>
    <cellStyle name="표준 2 10 17 18" xfId="291"/>
    <cellStyle name="표준 2 10 17 19" xfId="309"/>
    <cellStyle name="표준 2 10 17 2" xfId="98"/>
    <cellStyle name="표준 2 10 17 2 2" xfId="109"/>
    <cellStyle name="표준 2 10 17 20" xfId="332"/>
    <cellStyle name="표준 2 10 17 21" xfId="345"/>
    <cellStyle name="표준 2 10 17 22" xfId="350"/>
    <cellStyle name="표준 2 10 17 23" xfId="365"/>
    <cellStyle name="표준 2 10 17 24" xfId="379"/>
    <cellStyle name="표준 2 10 17 25" xfId="384"/>
    <cellStyle name="표준 2 10 17 26" xfId="396"/>
    <cellStyle name="표준 2 10 17 27" xfId="405"/>
    <cellStyle name="표준 2 10 17 28" xfId="409"/>
    <cellStyle name="표준 2 10 17 3" xfId="104"/>
    <cellStyle name="표준 2 10 17 4" xfId="120"/>
    <cellStyle name="표준 2 10 17 5" xfId="129"/>
    <cellStyle name="표준 2 10 17 5 10" xfId="284"/>
    <cellStyle name="표준 2 10 17 5 11" xfId="301"/>
    <cellStyle name="표준 2 10 17 5 12" xfId="315"/>
    <cellStyle name="표준 2 10 17 5 13" xfId="340"/>
    <cellStyle name="표준 2 10 17 5 14" xfId="355"/>
    <cellStyle name="표준 2 10 17 5 15" xfId="373"/>
    <cellStyle name="표준 2 10 17 5 16" xfId="391"/>
    <cellStyle name="표준 2 10 17 5 2" xfId="149"/>
    <cellStyle name="표준 2 10 17 5 3" xfId="159"/>
    <cellStyle name="표준 2 10 17 5 3 2" xfId="184"/>
    <cellStyle name="표준 2 10 17 5 4" xfId="181"/>
    <cellStyle name="표준 2 10 17 5 5" xfId="194"/>
    <cellStyle name="표준 2 10 17 5 6" xfId="222"/>
    <cellStyle name="표준 2 10 17 5 7" xfId="232"/>
    <cellStyle name="표준 2 10 17 5 8" xfId="253"/>
    <cellStyle name="표준 2 10 17 5 9" xfId="271"/>
    <cellStyle name="표준 2 10 17 6" xfId="137"/>
    <cellStyle name="표준 2 10 17 7" xfId="142"/>
    <cellStyle name="표준 2 10 17 7 10" xfId="297"/>
    <cellStyle name="표준 2 10 17 7 11" xfId="311"/>
    <cellStyle name="표준 2 10 17 7 12" xfId="336"/>
    <cellStyle name="표준 2 10 17 7 13" xfId="352"/>
    <cellStyle name="표준 2 10 17 7 14" xfId="369"/>
    <cellStyle name="표준 2 10 17 7 15" xfId="388"/>
    <cellStyle name="표준 2 10 17 7 2" xfId="156"/>
    <cellStyle name="표준 2 10 17 7 3" xfId="178"/>
    <cellStyle name="표준 2 10 17 7 4" xfId="191"/>
    <cellStyle name="표준 2 10 17 7 5" xfId="219"/>
    <cellStyle name="표준 2 10 17 7 6" xfId="229"/>
    <cellStyle name="표준 2 10 17 7 7" xfId="250"/>
    <cellStyle name="표준 2 10 17 7 8" xfId="268"/>
    <cellStyle name="표준 2 10 17 7 9" xfId="280"/>
    <cellStyle name="표준 2 10 17 8" xfId="154"/>
    <cellStyle name="표준 2 10 17 9" xfId="167"/>
    <cellStyle name="표준 2 10 18" xfId="90"/>
    <cellStyle name="표준 2 10 18 10" xfId="266"/>
    <cellStyle name="표준 2 10 18 11" xfId="279"/>
    <cellStyle name="표준 2 10 18 12" xfId="293"/>
    <cellStyle name="표준 2 10 18 12 2" xfId="305"/>
    <cellStyle name="표준 2 10 18 13" xfId="335"/>
    <cellStyle name="표준 2 10 18 14" xfId="357"/>
    <cellStyle name="표준 2 10 18 15" xfId="368"/>
    <cellStyle name="표준 2 10 18 16" xfId="386"/>
    <cellStyle name="표준 2 10 18 17" xfId="400"/>
    <cellStyle name="표준 2 10 18 18" xfId="404"/>
    <cellStyle name="표준 2 10 18 19" xfId="408"/>
    <cellStyle name="표준 2 10 18 2" xfId="97"/>
    <cellStyle name="표준 2 10 18 2 2" xfId="108"/>
    <cellStyle name="표준 2 10 18 3" xfId="106"/>
    <cellStyle name="표준 2 10 18 3 2" xfId="116"/>
    <cellStyle name="표준 2 10 18 3 2 2" xfId="122"/>
    <cellStyle name="표준 2 10 18 3 2 2 2" xfId="131"/>
    <cellStyle name="표준 2 10 18 4" xfId="147"/>
    <cellStyle name="표준 2 10 18 4 10" xfId="298"/>
    <cellStyle name="표준 2 10 18 4 11" xfId="312"/>
    <cellStyle name="표준 2 10 18 4 11 2" xfId="325"/>
    <cellStyle name="표준 2 10 18 4 12" xfId="337"/>
    <cellStyle name="표준 2 10 18 4 13" xfId="370"/>
    <cellStyle name="표준 2 10 18 4 14" xfId="389"/>
    <cellStyle name="표준 2 10 18 4 2" xfId="157"/>
    <cellStyle name="표준 2 10 18 4 3" xfId="179"/>
    <cellStyle name="표준 2 10 18 4 4" xfId="192"/>
    <cellStyle name="표준 2 10 18 4 5" xfId="220"/>
    <cellStyle name="표준 2 10 18 4 6" xfId="230"/>
    <cellStyle name="표준 2 10 18 4 6 2" xfId="244"/>
    <cellStyle name="표준 2 10 18 4 7" xfId="251"/>
    <cellStyle name="표준 2 10 18 4 8" xfId="269"/>
    <cellStyle name="표준 2 10 18 4 9" xfId="281"/>
    <cellStyle name="표준 2 10 18 5" xfId="169"/>
    <cellStyle name="표준 2 10 18 6" xfId="175"/>
    <cellStyle name="표준 2 10 18 7" xfId="210"/>
    <cellStyle name="표준 2 10 18 7 2" xfId="215"/>
    <cellStyle name="표준 2 10 18 8" xfId="237"/>
    <cellStyle name="표준 2 10 18 9" xfId="249"/>
    <cellStyle name="표준 2 10 19" xfId="95"/>
    <cellStyle name="표준 2 10 19 10" xfId="208"/>
    <cellStyle name="표준 2 10 19 10 2" xfId="243"/>
    <cellStyle name="표준 2 10 19 10 2 2" xfId="248"/>
    <cellStyle name="표준 2 10 19 10 2 2 2" xfId="274"/>
    <cellStyle name="표준 2 10 19 10 2 2 2 2" xfId="278"/>
    <cellStyle name="표준 2 10 19 11" xfId="240"/>
    <cellStyle name="표준 2 10 19 12" xfId="245"/>
    <cellStyle name="표준 2 10 19 13" xfId="272"/>
    <cellStyle name="표준 2 10 19 14" xfId="275"/>
    <cellStyle name="표준 2 10 19 15" xfId="290"/>
    <cellStyle name="표준 2 10 19 15 2" xfId="322"/>
    <cellStyle name="표준 2 10 19 15 2 2" xfId="334"/>
    <cellStyle name="표준 2 10 19 15 2 3" xfId="367"/>
    <cellStyle name="표준 2 10 19 16" xfId="320"/>
    <cellStyle name="표준 2 10 19 17" xfId="331"/>
    <cellStyle name="표준 2 10 19 18" xfId="362"/>
    <cellStyle name="표준 2 10 19 19" xfId="364"/>
    <cellStyle name="표준 2 10 19 2" xfId="103"/>
    <cellStyle name="표준 2 10 19 2 2" xfId="114"/>
    <cellStyle name="표준 2 10 19 20" xfId="383"/>
    <cellStyle name="표준 2 10 19 3" xfId="113"/>
    <cellStyle name="표준 2 10 19 4" xfId="119"/>
    <cellStyle name="표준 2 10 19 5" xfId="128"/>
    <cellStyle name="표준 2 10 19 6" xfId="145"/>
    <cellStyle name="표준 2 10 19 6 2" xfId="166"/>
    <cellStyle name="표준 2 10 19 6 2 2" xfId="187"/>
    <cellStyle name="표준 2 10 19 6 2 2 2" xfId="202"/>
    <cellStyle name="표준 2 10 19 7" xfId="165"/>
    <cellStyle name="표준 2 10 19 8" xfId="185"/>
    <cellStyle name="표준 2 10 19 9" xfId="200"/>
    <cellStyle name="표준 2 10 2" xfId="20"/>
    <cellStyle name="표준 2 10 2 2" xfId="28"/>
    <cellStyle name="표준 2 10 2 2 2" xfId="31"/>
    <cellStyle name="표준 2 10 2 2 2 2" xfId="39"/>
    <cellStyle name="표준 2 10 20" xfId="101"/>
    <cellStyle name="표준 2 10 20 10" xfId="212"/>
    <cellStyle name="표준 2 10 20 10 2" xfId="214"/>
    <cellStyle name="표준 2 10 20 11" xfId="233"/>
    <cellStyle name="표준 2 10 20 12" xfId="236"/>
    <cellStyle name="표준 2 10 20 13" xfId="254"/>
    <cellStyle name="표준 2 10 20 14" xfId="285"/>
    <cellStyle name="표준 2 10 20 15" xfId="295"/>
    <cellStyle name="표준 2 10 20 15 2" xfId="304"/>
    <cellStyle name="표준 2 10 20 16" xfId="316"/>
    <cellStyle name="표준 2 10 20 16 2" xfId="324"/>
    <cellStyle name="표준 2 10 20 17" xfId="341"/>
    <cellStyle name="표준 2 10 20 18" xfId="347"/>
    <cellStyle name="표준 2 10 20 19" xfId="356"/>
    <cellStyle name="표준 2 10 20 2" xfId="111"/>
    <cellStyle name="표준 2 10 20 20" xfId="374"/>
    <cellStyle name="표준 2 10 20 21" xfId="382"/>
    <cellStyle name="표준 2 10 20 22" xfId="399"/>
    <cellStyle name="표준 2 10 20 23" xfId="403"/>
    <cellStyle name="표준 2 10 20 24" xfId="407"/>
    <cellStyle name="표준 2 10 20 3" xfId="123"/>
    <cellStyle name="표준 2 10 20 4" xfId="132"/>
    <cellStyle name="표준 2 10 20 5" xfId="150"/>
    <cellStyle name="표준 2 10 20 6" xfId="160"/>
    <cellStyle name="표준 2 10 20 7" xfId="170"/>
    <cellStyle name="표준 2 10 20 8" xfId="174"/>
    <cellStyle name="표준 2 10 20 9" xfId="195"/>
    <cellStyle name="표준 2 10 20 9 2" xfId="261"/>
    <cellStyle name="표준 2 10 20 9 3" xfId="402"/>
    <cellStyle name="표준 2 10 20 9 4" xfId="411"/>
    <cellStyle name="표준 2 10 21" xfId="107"/>
    <cellStyle name="표준 2 10 22" xfId="153"/>
    <cellStyle name="표준 2 10 23" xfId="172"/>
    <cellStyle name="표준 2 10 24" xfId="188"/>
    <cellStyle name="표준 2 10 25" xfId="259"/>
    <cellStyle name="표준 2 10 26" xfId="308"/>
    <cellStyle name="표준 2 10 27" xfId="329"/>
    <cellStyle name="표준 2 10 28" xfId="349"/>
    <cellStyle name="표준 2 10 3" xfId="24"/>
    <cellStyle name="표준 2 10 3 2" xfId="35"/>
    <cellStyle name="표준 2 10 4" xfId="29"/>
    <cellStyle name="표준 2 10 4 2" xfId="38"/>
    <cellStyle name="표준 2 10 5" xfId="33"/>
    <cellStyle name="표준 2 10 6" xfId="40"/>
    <cellStyle name="표준 2 10 6 2" xfId="43"/>
    <cellStyle name="표준 2 10 6 3" xfId="50"/>
    <cellStyle name="표준 2 10 6 3 2" xfId="54"/>
    <cellStyle name="표준 2 10 6 3 2 2" xfId="57"/>
    <cellStyle name="표준 2 10 6 3 2 2 10" xfId="252"/>
    <cellStyle name="표준 2 10 6 3 2 2 11" xfId="270"/>
    <cellStyle name="표준 2 10 6 3 2 2 12" xfId="283"/>
    <cellStyle name="표준 2 10 6 3 2 2 13" xfId="300"/>
    <cellStyle name="표준 2 10 6 3 2 2 14" xfId="314"/>
    <cellStyle name="표준 2 10 6 3 2 2 15" xfId="339"/>
    <cellStyle name="표준 2 10 6 3 2 2 16" xfId="354"/>
    <cellStyle name="표준 2 10 6 3 2 2 17" xfId="372"/>
    <cellStyle name="표준 2 10 6 3 2 2 18" xfId="390"/>
    <cellStyle name="표준 2 10 6 3 2 2 2" xfId="66"/>
    <cellStyle name="표준 2 10 6 3 2 2 3" xfId="69"/>
    <cellStyle name="표준 2 10 6 3 2 2 4" xfId="148"/>
    <cellStyle name="표준 2 10 6 3 2 2 5" xfId="158"/>
    <cellStyle name="표준 2 10 6 3 2 2 6" xfId="180"/>
    <cellStyle name="표준 2 10 6 3 2 2 7" xfId="193"/>
    <cellStyle name="표준 2 10 6 3 2 2 8" xfId="221"/>
    <cellStyle name="표준 2 10 6 3 2 2 9" xfId="231"/>
    <cellStyle name="표준 2 10 7" xfId="46"/>
    <cellStyle name="표준 2 10 8" xfId="51"/>
    <cellStyle name="표준 2 10 8 2" xfId="73"/>
    <cellStyle name="표준 2 10 9" xfId="55"/>
    <cellStyle name="표준 2 11" xfId="23"/>
    <cellStyle name="표준 2 12" xfId="45"/>
    <cellStyle name="표준 2 13" xfId="89"/>
    <cellStyle name="표준 2 13 10" xfId="224"/>
    <cellStyle name="표준 2 13 11" xfId="257"/>
    <cellStyle name="표준 2 13 12" xfId="262"/>
    <cellStyle name="표준 2 13 13" xfId="287"/>
    <cellStyle name="표준 2 13 14" xfId="302"/>
    <cellStyle name="표준 2 13 15" xfId="318"/>
    <cellStyle name="표준 2 13 16" xfId="344"/>
    <cellStyle name="표준 2 13 17" xfId="360"/>
    <cellStyle name="표준 2 13 18" xfId="378"/>
    <cellStyle name="표준 2 13 19" xfId="395"/>
    <cellStyle name="표준 2 13 2" xfId="117"/>
    <cellStyle name="표준 2 13 3" xfId="126"/>
    <cellStyle name="표준 2 13 4" xfId="136"/>
    <cellStyle name="표준 2 13 5" xfId="141"/>
    <cellStyle name="표준 2 13 6" xfId="163"/>
    <cellStyle name="표준 2 13 7" xfId="182"/>
    <cellStyle name="표준 2 13 8" xfId="198"/>
    <cellStyle name="표준 2 13 9" xfId="204"/>
    <cellStyle name="표준 2 14" xfId="94"/>
    <cellStyle name="표준 2 15" xfId="135"/>
    <cellStyle name="표준 2 16" xfId="140"/>
    <cellStyle name="표준 2 17" xfId="203"/>
    <cellStyle name="표준 2 18" xfId="223"/>
    <cellStyle name="표준 2 19" xfId="343"/>
    <cellStyle name="표준 2 2" xfId="2"/>
    <cellStyle name="표준 2 20" xfId="377"/>
    <cellStyle name="표준 2 21" xfId="394"/>
    <cellStyle name="표준 2 3" xfId="4"/>
    <cellStyle name="표준 2 3 10" xfId="91"/>
    <cellStyle name="표준 2 3 11" xfId="96"/>
    <cellStyle name="표준 2 3 12" xfId="139"/>
    <cellStyle name="표준 2 3 13" xfId="144"/>
    <cellStyle name="표준 2 3 14" xfId="207"/>
    <cellStyle name="표준 2 3 15" xfId="227"/>
    <cellStyle name="표준 2 3 16" xfId="265"/>
    <cellStyle name="표준 2 3 17" xfId="348"/>
    <cellStyle name="표준 2 3 18" xfId="381"/>
    <cellStyle name="표준 2 3 19" xfId="398"/>
    <cellStyle name="표준 2 3 2" xfId="7"/>
    <cellStyle name="표준 2 3 3" xfId="9"/>
    <cellStyle name="표준 2 3 4" xfId="12"/>
    <cellStyle name="표준 2 3 5" xfId="14"/>
    <cellStyle name="표준 2 3 5 2" xfId="19"/>
    <cellStyle name="표준 2 3 6" xfId="18"/>
    <cellStyle name="표준 2 3 6 10" xfId="60"/>
    <cellStyle name="표준 2 3 6 11" xfId="62"/>
    <cellStyle name="표준 2 3 6 12" xfId="64"/>
    <cellStyle name="표준 2 3 6 13" xfId="68"/>
    <cellStyle name="표준 2 3 6 14" xfId="71"/>
    <cellStyle name="표준 2 3 6 15" xfId="76"/>
    <cellStyle name="표준 2 3 6 16" xfId="79"/>
    <cellStyle name="표준 2 3 6 17" xfId="84"/>
    <cellStyle name="표준 2 3 6 18" xfId="93"/>
    <cellStyle name="표준 2 3 6 19" xfId="105"/>
    <cellStyle name="표준 2 3 6 19 10" xfId="242"/>
    <cellStyle name="표준 2 3 6 19 11" xfId="247"/>
    <cellStyle name="표준 2 3 6 19 12" xfId="273"/>
    <cellStyle name="표준 2 3 6 19 13" xfId="277"/>
    <cellStyle name="표준 2 3 6 19 14" xfId="292"/>
    <cellStyle name="표준 2 3 6 19 15" xfId="321"/>
    <cellStyle name="표준 2 3 6 19 15 2" xfId="328"/>
    <cellStyle name="표준 2 3 6 19 16" xfId="333"/>
    <cellStyle name="표준 2 3 6 19 17" xfId="363"/>
    <cellStyle name="표준 2 3 6 19 18" xfId="366"/>
    <cellStyle name="표준 2 3 6 19 19" xfId="385"/>
    <cellStyle name="표준 2 3 6 19 2" xfId="115"/>
    <cellStyle name="표준 2 3 6 19 3" xfId="121"/>
    <cellStyle name="표준 2 3 6 19 4" xfId="130"/>
    <cellStyle name="표준 2 3 6 19 5" xfId="146"/>
    <cellStyle name="표준 2 3 6 19 6" xfId="168"/>
    <cellStyle name="표준 2 3 6 19 7" xfId="186"/>
    <cellStyle name="표준 2 3 6 19 8" xfId="201"/>
    <cellStyle name="표준 2 3 6 19 9" xfId="209"/>
    <cellStyle name="표준 2 3 6 19 9 2" xfId="218"/>
    <cellStyle name="표준 2 3 6 2" xfId="22"/>
    <cellStyle name="표준 2 3 6 20" xfId="102"/>
    <cellStyle name="표준 2 3 6 20 10" xfId="213"/>
    <cellStyle name="표준 2 3 6 20 10 2" xfId="217"/>
    <cellStyle name="표준 2 3 6 20 11" xfId="234"/>
    <cellStyle name="표준 2 3 6 20 12" xfId="239"/>
    <cellStyle name="표준 2 3 6 20 13" xfId="255"/>
    <cellStyle name="표준 2 3 6 20 14" xfId="267"/>
    <cellStyle name="표준 2 3 6 20 15" xfId="286"/>
    <cellStyle name="표준 2 3 6 20 16" xfId="296"/>
    <cellStyle name="표준 2 3 6 20 16 2" xfId="307"/>
    <cellStyle name="표준 2 3 6 20 17" xfId="317"/>
    <cellStyle name="표준 2 3 6 20 17 2" xfId="327"/>
    <cellStyle name="표준 2 3 6 20 18" xfId="342"/>
    <cellStyle name="표준 2 3 6 20 19" xfId="358"/>
    <cellStyle name="표준 2 3 6 20 2" xfId="112"/>
    <cellStyle name="표준 2 3 6 20 20" xfId="375"/>
    <cellStyle name="표준 2 3 6 20 21" xfId="401"/>
    <cellStyle name="표준 2 3 6 20 22" xfId="406"/>
    <cellStyle name="표준 2 3 6 20 23" xfId="410"/>
    <cellStyle name="표준 2 3 6 20 3" xfId="124"/>
    <cellStyle name="표준 2 3 6 20 4" xfId="133"/>
    <cellStyle name="표준 2 3 6 20 5" xfId="151"/>
    <cellStyle name="표준 2 3 6 20 6" xfId="161"/>
    <cellStyle name="표준 2 3 6 20 7" xfId="171"/>
    <cellStyle name="표준 2 3 6 20 8" xfId="177"/>
    <cellStyle name="표준 2 3 6 20 9" xfId="196"/>
    <cellStyle name="표준 2 3 6 21" xfId="155"/>
    <cellStyle name="표준 2 3 6 22" xfId="190"/>
    <cellStyle name="표준 2 3 6 23" xfId="228"/>
    <cellStyle name="표준 2 3 6 24" xfId="310"/>
    <cellStyle name="표준 2 3 6 25" xfId="351"/>
    <cellStyle name="표준 2 3 6 3" xfId="27"/>
    <cellStyle name="표준 2 3 6 4" xfId="30"/>
    <cellStyle name="표준 2 3 6 5" xfId="37"/>
    <cellStyle name="표준 2 3 6 6" xfId="42"/>
    <cellStyle name="표준 2 3 6 6 2" xfId="44"/>
    <cellStyle name="표준 2 3 6 7" xfId="49"/>
    <cellStyle name="표준 2 3 6 8" xfId="52"/>
    <cellStyle name="표준 2 3 6 9" xfId="56"/>
    <cellStyle name="표준 2 3 7" xfId="25"/>
    <cellStyle name="표준 2 3 8" xfId="36"/>
    <cellStyle name="표준 2 3 9" xfId="47"/>
    <cellStyle name="표준 2 4" xfId="6"/>
    <cellStyle name="표준 2 5" xfId="3"/>
    <cellStyle name="표준 2 5 2" xfId="15"/>
    <cellStyle name="표준 2 5 2 2" xfId="17"/>
    <cellStyle name="표준 2 5 2 2 2" xfId="21"/>
    <cellStyle name="표준 2 5 2 2 3" xfId="26"/>
    <cellStyle name="표준 2 5 2 2 4" xfId="32"/>
    <cellStyle name="표준 2 5 2 2 5" xfId="34"/>
    <cellStyle name="표준 2 5 2 2 6" xfId="41"/>
    <cellStyle name="표준 2 5 2 2 6 2" xfId="48"/>
    <cellStyle name="표준 2 5 2 2 6 2 2" xfId="53"/>
    <cellStyle name="표준 2 5 2 2 6 2 2 2" xfId="58"/>
    <cellStyle name="표준 2 5 2 2 6 2 2 3" xfId="65"/>
    <cellStyle name="표준 2 5 2 2 6 2 2 4" xfId="72"/>
    <cellStyle name="표준 2 5 2 2 6 2 2 5" xfId="75"/>
    <cellStyle name="표준 2 5 2 2 6 2 2 6" xfId="82"/>
    <cellStyle name="표준 2 5 2 2 6 2 2 6 2" xfId="85"/>
    <cellStyle name="표준 2 5 2 2 6 2 2 6 2 2" xfId="92"/>
    <cellStyle name="표준 2 5 2 2 6 2 2 6 2 2 2" xfId="100"/>
    <cellStyle name="표준 2 5 2 2 6 2 2 6 2 2 2 2" xfId="110"/>
    <cellStyle name="표준 2 5 2 2 6 2 2 6 2 2 2 2 2" xfId="125"/>
    <cellStyle name="표준 2 5 2 2 6 2 2 6 2 2 2 2 2 2" xfId="134"/>
    <cellStyle name="표준 2 5 2 2 6 2 2 6 2 2 2 2 2 2 2" xfId="152"/>
    <cellStyle name="표준 2 5 2 2 6 2 2 6 2 2 2 2 2 2 2 2" xfId="162"/>
    <cellStyle name="표준 2 5 2 2 6 2 2 6 2 2 2 2 2 2 2 2 2" xfId="173"/>
    <cellStyle name="표준 2 5 2 2 6 2 2 6 2 2 2 2 2 2 2 2 2 2" xfId="197"/>
    <cellStyle name="표준 2 5 2 2 6 2 2 6 2 2 2 2 2 2 2 2 2 2 2" xfId="211"/>
    <cellStyle name="표준 2 5 2 2 6 2 2 6 2 2 2 2 2 2 2 2 2 2 2 2" xfId="235"/>
    <cellStyle name="표준 2 5 2 2 6 2 2 6 2 2 2 2 2 2 2 2 2 2 2 2 2" xfId="256"/>
    <cellStyle name="표준 2 5 2 2 6 2 2 6 2 2 2 2 2 2 2 2 2 2 2 2 3" xfId="260"/>
    <cellStyle name="표준 2 5 2 2 6 2 2 6 2 2 2 2 2 2 2 2 2 2 2 2 3 2" xfId="289"/>
    <cellStyle name="표준 2 5 2 2 6 2 2 6 2 2 2 2 2 2 2 2 2 2 2 2 3 3" xfId="294"/>
    <cellStyle name="표준 2 5 2 2 6 2 2 6 2 2 2 2 2 2 2 2 2 2 2 2 3 4" xfId="323"/>
    <cellStyle name="표준 2 5 2 2 6 2 2 6 2 2 2 2 2 2 2 2 2 2 2 2 3 5" xfId="330"/>
    <cellStyle name="표준 2 5 2 2 6 2 2 6 2 2 2 2 2 2 2 2 2 2 2 2 3 5 2" xfId="359"/>
    <cellStyle name="표준 2 5 2 2 6 2 2 6 2 2 2 2 2 2 2 2 2 2 2 2 3 5 3" xfId="376"/>
    <cellStyle name="표준 2 5 2 2 6 2 2 6 2 2 2 2 2 2 2 2 2 2 2 2 3 5 4" xfId="392"/>
    <cellStyle name="표준 2 6" xfId="8"/>
    <cellStyle name="표준 2 7" xfId="10"/>
    <cellStyle name="표준 2 8" xfId="11"/>
    <cellStyle name="표준 2 9" xfId="1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opLeftCell="A2" zoomScale="85" zoomScaleNormal="85" zoomScalePageLayoutView="80" workbookViewId="0">
      <selection activeCell="G7" sqref="G7"/>
    </sheetView>
  </sheetViews>
  <sheetFormatPr defaultRowHeight="16.5"/>
  <cols>
    <col min="1" max="1" width="4.33203125" style="13" customWidth="1"/>
    <col min="2" max="2" width="13.33203125" style="125" customWidth="1"/>
    <col min="3" max="4" width="15.83203125" style="125" customWidth="1"/>
    <col min="5" max="11" width="15.83203125" style="13" customWidth="1"/>
    <col min="12" max="12" width="3.5" style="132" customWidth="1"/>
    <col min="13" max="17" width="15.83203125" style="13" customWidth="1"/>
    <col min="18" max="18" width="15.83203125" style="194" hidden="1" customWidth="1"/>
    <col min="19" max="19" width="15.83203125" style="13" customWidth="1"/>
    <col min="20" max="20" width="2.1640625" style="13" customWidth="1"/>
    <col min="21" max="26" width="10.83203125" style="14" customWidth="1"/>
    <col min="27" max="27" width="10" style="15" bestFit="1" customWidth="1"/>
    <col min="28" max="16384" width="9.33203125" style="13"/>
  </cols>
  <sheetData>
    <row r="1" spans="1:27" ht="16.5" hidden="1" customHeight="1">
      <c r="A1" s="421" t="s">
        <v>17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3"/>
      <c r="R1" s="12"/>
    </row>
    <row r="2" spans="1:27" ht="18" customHeight="1">
      <c r="A2" s="424" t="s">
        <v>660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16"/>
      <c r="U2" s="426"/>
      <c r="V2" s="426"/>
      <c r="W2" s="426"/>
      <c r="X2" s="426"/>
      <c r="Y2" s="426"/>
      <c r="Z2" s="426"/>
    </row>
    <row r="3" spans="1:27" ht="21" customHeight="1" thickBot="1">
      <c r="A3" s="17"/>
      <c r="B3" s="18" t="s">
        <v>18</v>
      </c>
      <c r="C3" s="19" t="s">
        <v>19</v>
      </c>
      <c r="D3" s="19" t="s">
        <v>20</v>
      </c>
      <c r="E3" s="20" t="s">
        <v>21</v>
      </c>
      <c r="F3" s="20" t="s">
        <v>1</v>
      </c>
      <c r="G3" s="19" t="s">
        <v>2</v>
      </c>
      <c r="H3" s="19" t="s">
        <v>22</v>
      </c>
      <c r="I3" s="20" t="s">
        <v>4</v>
      </c>
      <c r="J3" s="19" t="s">
        <v>23</v>
      </c>
      <c r="K3" s="19" t="s">
        <v>24</v>
      </c>
      <c r="L3" s="21" t="s">
        <v>7</v>
      </c>
      <c r="M3" s="20" t="s">
        <v>25</v>
      </c>
      <c r="N3" s="19" t="s">
        <v>9</v>
      </c>
      <c r="O3" s="19" t="s">
        <v>10</v>
      </c>
      <c r="P3" s="19" t="s">
        <v>11</v>
      </c>
      <c r="Q3" s="19" t="s">
        <v>12</v>
      </c>
      <c r="R3" s="11">
        <f>AVERAGE(R5:R30)</f>
        <v>1.024404761904762</v>
      </c>
      <c r="U3" s="427"/>
      <c r="V3" s="427"/>
      <c r="W3" s="427"/>
      <c r="X3" s="427"/>
      <c r="Y3" s="427"/>
      <c r="Z3" s="427"/>
    </row>
    <row r="4" spans="1:27" s="31" customFormat="1" ht="27.95" customHeight="1" thickBot="1">
      <c r="A4" s="22">
        <v>1</v>
      </c>
      <c r="B4" s="23" t="s">
        <v>26</v>
      </c>
      <c r="C4" s="428"/>
      <c r="D4" s="429"/>
      <c r="E4" s="24" t="s">
        <v>27</v>
      </c>
      <c r="F4" s="25" t="s">
        <v>255</v>
      </c>
      <c r="G4" s="26" t="s">
        <v>256</v>
      </c>
      <c r="H4" s="27" t="s">
        <v>270</v>
      </c>
      <c r="I4" s="25" t="s">
        <v>31</v>
      </c>
      <c r="J4" s="26" t="s">
        <v>291</v>
      </c>
      <c r="K4" s="26" t="s">
        <v>33</v>
      </c>
      <c r="L4" s="28"/>
      <c r="M4" s="25" t="s">
        <v>34</v>
      </c>
      <c r="N4" s="26" t="s">
        <v>35</v>
      </c>
      <c r="O4" s="26" t="s">
        <v>36</v>
      </c>
      <c r="P4" s="26" t="s">
        <v>384</v>
      </c>
      <c r="Q4" s="26" t="s">
        <v>38</v>
      </c>
      <c r="R4" s="29">
        <f t="shared" ref="R4:R17" si="0">(COUNTA(C4:Q4))/12</f>
        <v>1</v>
      </c>
      <c r="S4" s="30"/>
      <c r="U4" s="434" t="s">
        <v>39</v>
      </c>
      <c r="V4" s="435"/>
      <c r="W4" s="435"/>
      <c r="X4" s="435"/>
      <c r="Y4" s="435"/>
      <c r="Z4" s="436"/>
      <c r="AA4" s="32"/>
    </row>
    <row r="5" spans="1:27" s="31" customFormat="1" ht="27.95" customHeight="1">
      <c r="A5" s="33">
        <v>2</v>
      </c>
      <c r="B5" s="23" t="s">
        <v>40</v>
      </c>
      <c r="C5" s="430"/>
      <c r="D5" s="431"/>
      <c r="E5" s="212" t="s">
        <v>41</v>
      </c>
      <c r="F5" s="34" t="s">
        <v>38</v>
      </c>
      <c r="G5" s="34" t="s">
        <v>245</v>
      </c>
      <c r="H5" s="211" t="s">
        <v>279</v>
      </c>
      <c r="I5" s="35" t="s">
        <v>280</v>
      </c>
      <c r="J5" s="34" t="s">
        <v>33</v>
      </c>
      <c r="K5" s="34" t="s">
        <v>43</v>
      </c>
      <c r="L5" s="36"/>
      <c r="M5" s="213" t="s">
        <v>373</v>
      </c>
      <c r="N5" s="34" t="s">
        <v>44</v>
      </c>
      <c r="O5" s="37" t="s">
        <v>30</v>
      </c>
      <c r="P5" s="34" t="s">
        <v>374</v>
      </c>
      <c r="Q5" s="1" t="s">
        <v>31</v>
      </c>
      <c r="R5" s="29">
        <f t="shared" si="0"/>
        <v>1</v>
      </c>
      <c r="S5" s="30"/>
      <c r="U5" s="437" t="s">
        <v>46</v>
      </c>
      <c r="V5" s="438"/>
      <c r="W5" s="438"/>
      <c r="X5" s="438"/>
      <c r="Y5" s="438"/>
      <c r="Z5" s="439"/>
      <c r="AA5" s="32"/>
    </row>
    <row r="6" spans="1:27" s="31" customFormat="1" ht="27.95" customHeight="1">
      <c r="A6" s="38">
        <v>3</v>
      </c>
      <c r="B6" s="39" t="s">
        <v>47</v>
      </c>
      <c r="C6" s="430"/>
      <c r="D6" s="431"/>
      <c r="E6" s="209" t="s">
        <v>242</v>
      </c>
      <c r="F6" s="40" t="s">
        <v>257</v>
      </c>
      <c r="G6" s="34" t="s">
        <v>35</v>
      </c>
      <c r="H6" s="34" t="s">
        <v>49</v>
      </c>
      <c r="I6" s="34" t="s">
        <v>290</v>
      </c>
      <c r="J6" s="34" t="s">
        <v>50</v>
      </c>
      <c r="K6" s="34" t="s">
        <v>45</v>
      </c>
      <c r="L6" s="34"/>
      <c r="M6" s="34" t="s">
        <v>359</v>
      </c>
      <c r="N6" s="35" t="s">
        <v>361</v>
      </c>
      <c r="O6" s="35" t="s">
        <v>360</v>
      </c>
      <c r="P6" s="41" t="s">
        <v>51</v>
      </c>
      <c r="Q6" s="34" t="s">
        <v>32</v>
      </c>
      <c r="R6" s="29">
        <f t="shared" si="0"/>
        <v>1</v>
      </c>
      <c r="S6" s="30"/>
      <c r="U6" s="440"/>
      <c r="V6" s="441"/>
      <c r="W6" s="441"/>
      <c r="X6" s="441"/>
      <c r="Y6" s="441"/>
      <c r="Z6" s="442"/>
      <c r="AA6" s="32"/>
    </row>
    <row r="7" spans="1:27" s="31" customFormat="1" ht="27.75" customHeight="1">
      <c r="A7" s="38">
        <v>4</v>
      </c>
      <c r="B7" s="42" t="s">
        <v>52</v>
      </c>
      <c r="C7" s="430"/>
      <c r="D7" s="431"/>
      <c r="E7" s="34" t="s">
        <v>262</v>
      </c>
      <c r="F7" s="214" t="s">
        <v>53</v>
      </c>
      <c r="G7" s="209" t="s">
        <v>718</v>
      </c>
      <c r="H7" s="40" t="s">
        <v>294</v>
      </c>
      <c r="I7" s="44" t="s">
        <v>38</v>
      </c>
      <c r="J7" s="34" t="s">
        <v>295</v>
      </c>
      <c r="K7" s="35" t="s">
        <v>311</v>
      </c>
      <c r="L7" s="34"/>
      <c r="M7" s="35" t="s">
        <v>357</v>
      </c>
      <c r="N7" s="36" t="s">
        <v>358</v>
      </c>
      <c r="O7" s="35" t="s">
        <v>57</v>
      </c>
      <c r="P7" s="213" t="s">
        <v>58</v>
      </c>
      <c r="Q7" s="211" t="s">
        <v>59</v>
      </c>
      <c r="R7" s="29">
        <f t="shared" si="0"/>
        <v>1</v>
      </c>
      <c r="S7" s="30"/>
      <c r="U7" s="440"/>
      <c r="V7" s="441"/>
      <c r="W7" s="441"/>
      <c r="X7" s="441"/>
      <c r="Y7" s="441"/>
      <c r="Z7" s="442"/>
      <c r="AA7" s="32"/>
    </row>
    <row r="8" spans="1:27" s="31" customFormat="1" ht="24.75" thickBot="1">
      <c r="A8" s="38">
        <v>5</v>
      </c>
      <c r="B8" s="45" t="s">
        <v>60</v>
      </c>
      <c r="C8" s="430"/>
      <c r="D8" s="431"/>
      <c r="E8" s="202"/>
      <c r="F8" s="202"/>
      <c r="G8" s="203"/>
      <c r="H8" s="202"/>
      <c r="I8" s="200"/>
      <c r="J8" s="200"/>
      <c r="K8" s="200"/>
      <c r="L8" s="200"/>
      <c r="M8" s="10"/>
      <c r="N8" s="4"/>
      <c r="O8" s="46"/>
      <c r="P8" s="202"/>
      <c r="Q8" s="201"/>
      <c r="R8" s="29"/>
      <c r="S8" s="30"/>
      <c r="U8" s="443"/>
      <c r="V8" s="444"/>
      <c r="W8" s="444"/>
      <c r="X8" s="444"/>
      <c r="Y8" s="444"/>
      <c r="Z8" s="445"/>
      <c r="AA8" s="32"/>
    </row>
    <row r="9" spans="1:27" s="31" customFormat="1" ht="27.95" customHeight="1" thickBot="1">
      <c r="A9" s="33">
        <v>6</v>
      </c>
      <c r="B9" s="47" t="s">
        <v>62</v>
      </c>
      <c r="C9" s="432"/>
      <c r="D9" s="433"/>
      <c r="E9" s="34" t="s">
        <v>304</v>
      </c>
      <c r="F9" s="48" t="s">
        <v>27</v>
      </c>
      <c r="G9" s="2" t="s">
        <v>305</v>
      </c>
      <c r="H9" s="49" t="s">
        <v>56</v>
      </c>
      <c r="I9" s="49" t="s">
        <v>55</v>
      </c>
      <c r="J9" s="49" t="s">
        <v>306</v>
      </c>
      <c r="K9" s="48" t="s">
        <v>303</v>
      </c>
      <c r="L9" s="6"/>
      <c r="M9" s="48" t="s">
        <v>327</v>
      </c>
      <c r="N9" s="50" t="s">
        <v>30</v>
      </c>
      <c r="O9" s="51" t="s">
        <v>365</v>
      </c>
      <c r="P9" s="34" t="s">
        <v>29</v>
      </c>
      <c r="Q9" s="48" t="s">
        <v>61</v>
      </c>
      <c r="R9" s="29">
        <f t="shared" si="0"/>
        <v>1</v>
      </c>
      <c r="S9" s="30"/>
      <c r="U9" s="434" t="s">
        <v>64</v>
      </c>
      <c r="V9" s="435"/>
      <c r="W9" s="435"/>
      <c r="X9" s="435"/>
      <c r="Y9" s="435"/>
      <c r="Z9" s="436"/>
      <c r="AA9" s="32"/>
    </row>
    <row r="10" spans="1:27" s="31" customFormat="1" ht="27.95" customHeight="1">
      <c r="A10" s="52">
        <v>7</v>
      </c>
      <c r="B10" s="53" t="s">
        <v>65</v>
      </c>
      <c r="C10" s="54" t="s">
        <v>321</v>
      </c>
      <c r="D10" s="54" t="s">
        <v>322</v>
      </c>
      <c r="E10" s="55" t="s">
        <v>316</v>
      </c>
      <c r="F10" s="55" t="s">
        <v>37</v>
      </c>
      <c r="G10" s="55" t="s">
        <v>63</v>
      </c>
      <c r="H10" s="44" t="s">
        <v>318</v>
      </c>
      <c r="I10" s="56" t="s">
        <v>54</v>
      </c>
      <c r="J10" s="413" t="s">
        <v>668</v>
      </c>
      <c r="K10" s="57" t="s">
        <v>31</v>
      </c>
      <c r="L10" s="55"/>
      <c r="M10" s="55" t="s">
        <v>319</v>
      </c>
      <c r="N10" s="58" t="s">
        <v>320</v>
      </c>
      <c r="O10" s="36" t="s">
        <v>66</v>
      </c>
      <c r="P10" s="480"/>
      <c r="Q10" s="481"/>
      <c r="R10" s="59">
        <f t="shared" si="0"/>
        <v>1</v>
      </c>
      <c r="S10" s="30"/>
      <c r="U10" s="446" t="s">
        <v>380</v>
      </c>
      <c r="V10" s="447"/>
      <c r="W10" s="447"/>
      <c r="X10" s="447"/>
      <c r="Y10" s="447"/>
      <c r="Z10" s="448"/>
      <c r="AA10" s="32"/>
    </row>
    <row r="11" spans="1:27" s="31" customFormat="1" ht="27.95" customHeight="1">
      <c r="A11" s="60">
        <v>8</v>
      </c>
      <c r="B11" s="61" t="s">
        <v>67</v>
      </c>
      <c r="C11" s="62" t="s">
        <v>285</v>
      </c>
      <c r="D11" s="62" t="s">
        <v>286</v>
      </c>
      <c r="E11" s="34" t="s">
        <v>68</v>
      </c>
      <c r="F11" s="34" t="s">
        <v>247</v>
      </c>
      <c r="G11" s="48" t="s">
        <v>70</v>
      </c>
      <c r="H11" s="36" t="s">
        <v>283</v>
      </c>
      <c r="I11" s="34" t="s">
        <v>33</v>
      </c>
      <c r="J11" s="56" t="s">
        <v>284</v>
      </c>
      <c r="K11" s="34" t="s">
        <v>30</v>
      </c>
      <c r="L11" s="44"/>
      <c r="M11" s="37" t="s">
        <v>42</v>
      </c>
      <c r="N11" s="36" t="s">
        <v>336</v>
      </c>
      <c r="O11" s="35" t="s">
        <v>72</v>
      </c>
      <c r="P11" s="482"/>
      <c r="Q11" s="483"/>
      <c r="R11" s="59">
        <f t="shared" si="0"/>
        <v>1</v>
      </c>
      <c r="S11" s="30"/>
      <c r="U11" s="449"/>
      <c r="V11" s="450"/>
      <c r="W11" s="450"/>
      <c r="X11" s="450"/>
      <c r="Y11" s="450"/>
      <c r="Z11" s="451"/>
      <c r="AA11" s="32"/>
    </row>
    <row r="12" spans="1:27" s="31" customFormat="1" ht="27.95" customHeight="1">
      <c r="A12" s="33">
        <v>9</v>
      </c>
      <c r="B12" s="23" t="s">
        <v>73</v>
      </c>
      <c r="C12" s="62" t="s">
        <v>248</v>
      </c>
      <c r="D12" s="62" t="s">
        <v>249</v>
      </c>
      <c r="E12" s="35" t="s">
        <v>298</v>
      </c>
      <c r="F12" s="217" t="s">
        <v>72</v>
      </c>
      <c r="G12" s="34" t="s">
        <v>296</v>
      </c>
      <c r="H12" s="35" t="s">
        <v>74</v>
      </c>
      <c r="I12" s="37" t="s">
        <v>27</v>
      </c>
      <c r="J12" s="34" t="s">
        <v>297</v>
      </c>
      <c r="K12" s="34" t="s">
        <v>76</v>
      </c>
      <c r="L12" s="44"/>
      <c r="M12" s="34" t="s">
        <v>332</v>
      </c>
      <c r="N12" s="56" t="s">
        <v>333</v>
      </c>
      <c r="O12" s="36" t="s">
        <v>77</v>
      </c>
      <c r="P12" s="482"/>
      <c r="Q12" s="483"/>
      <c r="R12" s="29">
        <f t="shared" si="0"/>
        <v>1</v>
      </c>
      <c r="S12" s="30"/>
      <c r="U12" s="449"/>
      <c r="V12" s="450"/>
      <c r="W12" s="450"/>
      <c r="X12" s="450"/>
      <c r="Y12" s="450"/>
      <c r="Z12" s="451"/>
      <c r="AA12" s="32"/>
    </row>
    <row r="13" spans="1:27" s="31" customFormat="1" ht="27.75" customHeight="1">
      <c r="A13" s="33">
        <v>10</v>
      </c>
      <c r="B13" s="63" t="s">
        <v>78</v>
      </c>
      <c r="C13" s="62" t="s">
        <v>272</v>
      </c>
      <c r="D13" s="62" t="s">
        <v>72</v>
      </c>
      <c r="E13" s="34" t="s">
        <v>271</v>
      </c>
      <c r="F13" s="35" t="s">
        <v>79</v>
      </c>
      <c r="G13" s="64" t="s">
        <v>71</v>
      </c>
      <c r="H13" s="34" t="s">
        <v>33</v>
      </c>
      <c r="I13" s="65" t="s">
        <v>41</v>
      </c>
      <c r="J13" s="213" t="s">
        <v>80</v>
      </c>
      <c r="K13" s="40" t="s">
        <v>391</v>
      </c>
      <c r="L13" s="48"/>
      <c r="M13" s="48" t="s">
        <v>338</v>
      </c>
      <c r="N13" s="34" t="s">
        <v>339</v>
      </c>
      <c r="O13" s="34" t="s">
        <v>386</v>
      </c>
      <c r="P13" s="482"/>
      <c r="Q13" s="483"/>
      <c r="R13" s="29">
        <f t="shared" si="0"/>
        <v>1</v>
      </c>
      <c r="S13" s="30"/>
      <c r="U13" s="449"/>
      <c r="V13" s="450"/>
      <c r="W13" s="450"/>
      <c r="X13" s="450"/>
      <c r="Y13" s="450"/>
      <c r="Z13" s="451"/>
      <c r="AA13" s="32"/>
    </row>
    <row r="14" spans="1:27" ht="27.95" customHeight="1" thickBot="1">
      <c r="A14" s="66">
        <v>11</v>
      </c>
      <c r="B14" s="67" t="s">
        <v>81</v>
      </c>
      <c r="C14" s="68" t="s">
        <v>48</v>
      </c>
      <c r="D14" s="69" t="s">
        <v>75</v>
      </c>
      <c r="E14" s="70" t="s">
        <v>263</v>
      </c>
      <c r="F14" s="7" t="s">
        <v>264</v>
      </c>
      <c r="G14" s="51" t="s">
        <v>66</v>
      </c>
      <c r="H14" s="51" t="s">
        <v>82</v>
      </c>
      <c r="I14" s="51" t="s">
        <v>282</v>
      </c>
      <c r="J14" s="71" t="s">
        <v>300</v>
      </c>
      <c r="K14" s="48" t="s">
        <v>341</v>
      </c>
      <c r="L14" s="72"/>
      <c r="M14" s="50" t="s">
        <v>57</v>
      </c>
      <c r="N14" s="48" t="s">
        <v>368</v>
      </c>
      <c r="O14" s="48" t="s">
        <v>367</v>
      </c>
      <c r="P14" s="484"/>
      <c r="Q14" s="485"/>
      <c r="R14" s="29">
        <f t="shared" si="0"/>
        <v>1</v>
      </c>
      <c r="S14" s="30"/>
      <c r="T14" s="31"/>
      <c r="U14" s="449"/>
      <c r="V14" s="450"/>
      <c r="W14" s="450"/>
      <c r="X14" s="450"/>
      <c r="Y14" s="450"/>
      <c r="Z14" s="451"/>
    </row>
    <row r="15" spans="1:27" ht="27" customHeight="1">
      <c r="A15" s="38">
        <v>12</v>
      </c>
      <c r="B15" s="73" t="s">
        <v>83</v>
      </c>
      <c r="C15" s="455"/>
      <c r="D15" s="456"/>
      <c r="E15" s="74" t="s">
        <v>84</v>
      </c>
      <c r="F15" s="211" t="s">
        <v>275</v>
      </c>
      <c r="G15" s="36" t="s">
        <v>276</v>
      </c>
      <c r="H15" s="5" t="s">
        <v>277</v>
      </c>
      <c r="I15" s="36" t="s">
        <v>85</v>
      </c>
      <c r="J15" s="44" t="s">
        <v>278</v>
      </c>
      <c r="K15" s="55" t="s">
        <v>315</v>
      </c>
      <c r="L15" s="56"/>
      <c r="M15" s="55" t="s">
        <v>335</v>
      </c>
      <c r="N15" s="58" t="s">
        <v>86</v>
      </c>
      <c r="O15" s="75" t="s">
        <v>87</v>
      </c>
      <c r="P15" s="219" t="s">
        <v>366</v>
      </c>
      <c r="Q15" s="219" t="s">
        <v>362</v>
      </c>
      <c r="R15" s="29">
        <f t="shared" si="0"/>
        <v>1</v>
      </c>
      <c r="S15" s="30"/>
      <c r="U15" s="449"/>
      <c r="V15" s="450"/>
      <c r="W15" s="450"/>
      <c r="X15" s="450"/>
      <c r="Y15" s="450"/>
      <c r="Z15" s="451"/>
    </row>
    <row r="16" spans="1:27" ht="27.95" customHeight="1">
      <c r="A16" s="38">
        <v>13</v>
      </c>
      <c r="B16" s="73" t="s">
        <v>88</v>
      </c>
      <c r="C16" s="457"/>
      <c r="D16" s="458"/>
      <c r="E16" s="34" t="s">
        <v>240</v>
      </c>
      <c r="F16" s="56" t="s">
        <v>258</v>
      </c>
      <c r="G16" s="213" t="s">
        <v>89</v>
      </c>
      <c r="H16" s="213" t="s">
        <v>382</v>
      </c>
      <c r="I16" s="214" t="s">
        <v>274</v>
      </c>
      <c r="J16" s="34" t="s">
        <v>90</v>
      </c>
      <c r="K16" s="35" t="s">
        <v>313</v>
      </c>
      <c r="L16" s="34"/>
      <c r="M16" s="76" t="s">
        <v>92</v>
      </c>
      <c r="N16" s="1" t="s">
        <v>337</v>
      </c>
      <c r="O16" s="3" t="s">
        <v>375</v>
      </c>
      <c r="P16" s="34" t="s">
        <v>376</v>
      </c>
      <c r="Q16" s="220" t="s">
        <v>377</v>
      </c>
      <c r="R16" s="59">
        <f t="shared" si="0"/>
        <v>1</v>
      </c>
      <c r="S16" s="30"/>
      <c r="U16" s="449"/>
      <c r="V16" s="450"/>
      <c r="W16" s="450"/>
      <c r="X16" s="450"/>
      <c r="Y16" s="450"/>
      <c r="Z16" s="451"/>
    </row>
    <row r="17" spans="1:28" ht="27.95" customHeight="1">
      <c r="A17" s="77">
        <v>14</v>
      </c>
      <c r="B17" s="63" t="s">
        <v>93</v>
      </c>
      <c r="C17" s="457"/>
      <c r="D17" s="458"/>
      <c r="E17" s="40" t="s">
        <v>243</v>
      </c>
      <c r="F17" s="1" t="s">
        <v>246</v>
      </c>
      <c r="G17" s="40" t="s">
        <v>261</v>
      </c>
      <c r="H17" s="34" t="s">
        <v>123</v>
      </c>
      <c r="I17" s="40" t="s">
        <v>94</v>
      </c>
      <c r="J17" s="34" t="s">
        <v>87</v>
      </c>
      <c r="K17" s="34" t="s">
        <v>312</v>
      </c>
      <c r="L17" s="34"/>
      <c r="M17" s="35" t="s">
        <v>342</v>
      </c>
      <c r="N17" s="34" t="s">
        <v>343</v>
      </c>
      <c r="O17" s="34" t="s">
        <v>364</v>
      </c>
      <c r="P17" s="40" t="s">
        <v>96</v>
      </c>
      <c r="Q17" s="37" t="s">
        <v>383</v>
      </c>
      <c r="R17" s="59">
        <f t="shared" si="0"/>
        <v>1</v>
      </c>
      <c r="S17" s="30"/>
      <c r="U17" s="449"/>
      <c r="V17" s="450"/>
      <c r="W17" s="450"/>
      <c r="X17" s="450"/>
      <c r="Y17" s="450"/>
      <c r="Z17" s="451"/>
    </row>
    <row r="18" spans="1:28" s="31" customFormat="1" ht="27.75" customHeight="1" thickBot="1">
      <c r="A18" s="33">
        <v>15</v>
      </c>
      <c r="B18" s="78" t="s">
        <v>97</v>
      </c>
      <c r="C18" s="457"/>
      <c r="D18" s="458"/>
      <c r="E18" s="461" t="s">
        <v>16</v>
      </c>
      <c r="F18" s="462"/>
      <c r="G18" s="206"/>
      <c r="H18" s="202"/>
      <c r="I18" s="204"/>
      <c r="J18" s="200"/>
      <c r="K18" s="201"/>
      <c r="L18" s="46"/>
      <c r="M18" s="204"/>
      <c r="N18" s="4"/>
      <c r="O18" s="205"/>
      <c r="P18" s="200"/>
      <c r="Q18" s="207"/>
      <c r="R18" s="29"/>
      <c r="S18" s="30"/>
      <c r="U18" s="452"/>
      <c r="V18" s="453"/>
      <c r="W18" s="453"/>
      <c r="X18" s="453"/>
      <c r="Y18" s="453"/>
      <c r="Z18" s="454"/>
      <c r="AA18" s="32"/>
    </row>
    <row r="19" spans="1:28" ht="27.95" customHeight="1" thickBot="1">
      <c r="A19" s="66">
        <v>16</v>
      </c>
      <c r="B19" s="79" t="s">
        <v>98</v>
      </c>
      <c r="C19" s="459"/>
      <c r="D19" s="460"/>
      <c r="E19" s="463" t="s">
        <v>99</v>
      </c>
      <c r="F19" s="464"/>
      <c r="G19" s="48" t="s">
        <v>260</v>
      </c>
      <c r="H19" s="48" t="s">
        <v>100</v>
      </c>
      <c r="I19" s="51" t="s">
        <v>281</v>
      </c>
      <c r="J19" s="51" t="s">
        <v>299</v>
      </c>
      <c r="K19" s="51" t="s">
        <v>314</v>
      </c>
      <c r="L19" s="49"/>
      <c r="M19" s="51" t="s">
        <v>101</v>
      </c>
      <c r="N19" s="49" t="s">
        <v>340</v>
      </c>
      <c r="O19" s="51" t="s">
        <v>363</v>
      </c>
      <c r="P19" s="221" t="s">
        <v>385</v>
      </c>
      <c r="Q19" s="80" t="s">
        <v>99</v>
      </c>
      <c r="R19" s="29">
        <f>(COUNTA(F19:P19))/9</f>
        <v>1</v>
      </c>
      <c r="S19" s="30"/>
      <c r="U19" s="465" t="s">
        <v>102</v>
      </c>
      <c r="V19" s="466"/>
      <c r="W19" s="466"/>
      <c r="X19" s="466"/>
      <c r="Y19" s="466"/>
      <c r="Z19" s="467"/>
    </row>
    <row r="20" spans="1:28" ht="27.95" customHeight="1">
      <c r="A20" s="38">
        <v>17</v>
      </c>
      <c r="B20" s="63" t="s">
        <v>103</v>
      </c>
      <c r="C20" s="62" t="s">
        <v>104</v>
      </c>
      <c r="D20" s="62" t="s">
        <v>105</v>
      </c>
      <c r="E20" s="36" t="s">
        <v>241</v>
      </c>
      <c r="F20" s="55" t="s">
        <v>107</v>
      </c>
      <c r="G20" s="216" t="s">
        <v>108</v>
      </c>
      <c r="H20" s="81" t="s">
        <v>269</v>
      </c>
      <c r="I20" s="57" t="s">
        <v>109</v>
      </c>
      <c r="J20" s="55" t="s">
        <v>292</v>
      </c>
      <c r="K20" s="55" t="s">
        <v>293</v>
      </c>
      <c r="L20" s="81"/>
      <c r="M20" s="55" t="s">
        <v>354</v>
      </c>
      <c r="N20" s="82" t="s">
        <v>355</v>
      </c>
      <c r="O20" s="57" t="s">
        <v>356</v>
      </c>
      <c r="P20" s="480"/>
      <c r="Q20" s="481"/>
      <c r="R20" s="59">
        <f>(COUNTA(C20:Q20))/12</f>
        <v>1</v>
      </c>
      <c r="S20" s="30"/>
      <c r="U20" s="488" t="s">
        <v>110</v>
      </c>
      <c r="V20" s="489"/>
      <c r="W20" s="489"/>
      <c r="X20" s="489"/>
      <c r="Y20" s="489"/>
      <c r="Z20" s="490"/>
    </row>
    <row r="21" spans="1:28" s="31" customFormat="1" ht="27.95" customHeight="1">
      <c r="A21" s="38">
        <v>18</v>
      </c>
      <c r="B21" s="63" t="s">
        <v>111</v>
      </c>
      <c r="C21" s="62" t="s">
        <v>112</v>
      </c>
      <c r="D21" s="62" t="s">
        <v>113</v>
      </c>
      <c r="E21" s="36" t="s">
        <v>114</v>
      </c>
      <c r="F21" s="211" t="s">
        <v>244</v>
      </c>
      <c r="G21" s="35" t="s">
        <v>259</v>
      </c>
      <c r="H21" s="44" t="s">
        <v>267</v>
      </c>
      <c r="I21" s="3" t="s">
        <v>268</v>
      </c>
      <c r="J21" s="36" t="s">
        <v>115</v>
      </c>
      <c r="K21" s="36" t="s">
        <v>300</v>
      </c>
      <c r="L21" s="41"/>
      <c r="M21" s="36" t="s">
        <v>325</v>
      </c>
      <c r="N21" s="34" t="s">
        <v>116</v>
      </c>
      <c r="O21" s="3" t="s">
        <v>326</v>
      </c>
      <c r="P21" s="482"/>
      <c r="Q21" s="483"/>
      <c r="R21" s="59">
        <f>(COUNTA(C21:Q21))/12</f>
        <v>1</v>
      </c>
      <c r="S21" s="30"/>
      <c r="U21" s="491"/>
      <c r="V21" s="492"/>
      <c r="W21" s="492"/>
      <c r="X21" s="492"/>
      <c r="Y21" s="492"/>
      <c r="Z21" s="493"/>
      <c r="AA21" s="32"/>
    </row>
    <row r="22" spans="1:28" ht="27.95" customHeight="1" thickBot="1">
      <c r="A22" s="77">
        <v>19</v>
      </c>
      <c r="B22" s="63" t="s">
        <v>117</v>
      </c>
      <c r="C22" s="69" t="s">
        <v>118</v>
      </c>
      <c r="D22" s="69" t="s">
        <v>119</v>
      </c>
      <c r="E22" s="40" t="s">
        <v>344</v>
      </c>
      <c r="F22" s="34" t="s">
        <v>345</v>
      </c>
      <c r="G22" s="1" t="s">
        <v>120</v>
      </c>
      <c r="H22" s="209" t="s">
        <v>121</v>
      </c>
      <c r="I22" s="34" t="s">
        <v>346</v>
      </c>
      <c r="J22" s="48" t="s">
        <v>347</v>
      </c>
      <c r="K22" s="9" t="s">
        <v>348</v>
      </c>
      <c r="L22" s="34"/>
      <c r="M22" s="40" t="s">
        <v>349</v>
      </c>
      <c r="N22" s="34" t="s">
        <v>350</v>
      </c>
      <c r="O22" s="213" t="s">
        <v>351</v>
      </c>
      <c r="P22" s="484"/>
      <c r="Q22" s="485"/>
      <c r="R22" s="59">
        <f t="shared" ref="R22" si="1">(COUNTA(C22:Q22))/12</f>
        <v>1</v>
      </c>
      <c r="S22" s="30"/>
      <c r="U22" s="494"/>
      <c r="V22" s="495"/>
      <c r="W22" s="495"/>
      <c r="X22" s="495"/>
      <c r="Y22" s="495"/>
      <c r="Z22" s="496"/>
    </row>
    <row r="23" spans="1:28" ht="42.75" customHeight="1" thickBot="1">
      <c r="A23" s="83" t="s">
        <v>125</v>
      </c>
      <c r="B23" s="84" t="s">
        <v>126</v>
      </c>
      <c r="C23" s="497"/>
      <c r="D23" s="498"/>
      <c r="E23" s="81" t="s">
        <v>371</v>
      </c>
      <c r="F23" s="81" t="s">
        <v>127</v>
      </c>
      <c r="G23" s="81" t="s">
        <v>106</v>
      </c>
      <c r="H23" s="55" t="s">
        <v>370</v>
      </c>
      <c r="I23" s="58" t="s">
        <v>288</v>
      </c>
      <c r="J23" s="75" t="s">
        <v>289</v>
      </c>
      <c r="K23" s="81" t="s">
        <v>369</v>
      </c>
      <c r="L23" s="58"/>
      <c r="M23" s="81" t="s">
        <v>381</v>
      </c>
      <c r="N23" s="81"/>
      <c r="O23" s="81" t="s">
        <v>372</v>
      </c>
      <c r="P23" s="57" t="s">
        <v>378</v>
      </c>
      <c r="Q23" s="81" t="s">
        <v>122</v>
      </c>
      <c r="R23" s="29">
        <f>(COUNTA(C23:Q23))/7</f>
        <v>1.5714285714285714</v>
      </c>
      <c r="S23" s="31"/>
      <c r="U23" s="465" t="s">
        <v>128</v>
      </c>
      <c r="V23" s="466"/>
      <c r="W23" s="466"/>
      <c r="X23" s="466"/>
      <c r="Y23" s="466"/>
      <c r="Z23" s="467"/>
      <c r="AA23" s="85"/>
    </row>
    <row r="24" spans="1:28" ht="27.95" customHeight="1" thickBot="1">
      <c r="A24" s="86"/>
      <c r="B24" s="87" t="s">
        <v>129</v>
      </c>
      <c r="C24" s="499"/>
      <c r="D24" s="500"/>
      <c r="E24" s="51" t="s">
        <v>238</v>
      </c>
      <c r="F24" s="49" t="s">
        <v>130</v>
      </c>
      <c r="G24" s="34" t="s">
        <v>131</v>
      </c>
      <c r="H24" s="51" t="s">
        <v>80</v>
      </c>
      <c r="I24" s="2" t="s">
        <v>132</v>
      </c>
      <c r="J24" s="49" t="s">
        <v>287</v>
      </c>
      <c r="K24" s="34" t="s">
        <v>133</v>
      </c>
      <c r="L24" s="50"/>
      <c r="M24" s="71" t="s">
        <v>317</v>
      </c>
      <c r="N24" s="49" t="s">
        <v>334</v>
      </c>
      <c r="O24" s="210"/>
      <c r="P24" s="49" t="s">
        <v>134</v>
      </c>
      <c r="Q24" s="51" t="s">
        <v>379</v>
      </c>
      <c r="R24" s="29">
        <f>(COUNTA(C24:Q24))/12</f>
        <v>0.91666666666666663</v>
      </c>
      <c r="S24" s="30"/>
      <c r="U24" s="501" t="s">
        <v>237</v>
      </c>
      <c r="V24" s="502"/>
      <c r="W24" s="502"/>
      <c r="X24" s="502"/>
      <c r="Y24" s="502"/>
      <c r="Z24" s="503"/>
    </row>
    <row r="25" spans="1:28" s="31" customFormat="1" ht="9.9499999999999993" customHeight="1" thickBot="1">
      <c r="A25" s="88"/>
      <c r="B25" s="89"/>
      <c r="C25" s="90"/>
      <c r="D25" s="91"/>
      <c r="E25" s="92"/>
      <c r="F25" s="93"/>
      <c r="G25" s="92"/>
      <c r="H25" s="92"/>
      <c r="I25" s="92"/>
      <c r="J25" s="8"/>
      <c r="K25" s="92"/>
      <c r="L25" s="93"/>
      <c r="M25" s="94"/>
      <c r="N25" s="95"/>
      <c r="O25" s="96"/>
      <c r="P25" s="41"/>
      <c r="Q25" s="82"/>
      <c r="R25" s="29"/>
      <c r="S25" s="30"/>
      <c r="U25" s="504"/>
      <c r="V25" s="505"/>
      <c r="W25" s="505"/>
      <c r="X25" s="505"/>
      <c r="Y25" s="505"/>
      <c r="Z25" s="506"/>
      <c r="AA25" s="32"/>
      <c r="AB25" s="31">
        <v>7</v>
      </c>
    </row>
    <row r="26" spans="1:28" s="99" customFormat="1" ht="140.1" customHeight="1">
      <c r="A26" s="468"/>
      <c r="B26" s="470" t="s">
        <v>135</v>
      </c>
      <c r="C26" s="472"/>
      <c r="D26" s="473"/>
      <c r="E26" s="44" t="s">
        <v>309</v>
      </c>
      <c r="F26" s="36" t="s">
        <v>251</v>
      </c>
      <c r="G26" s="44" t="s">
        <v>253</v>
      </c>
      <c r="H26" s="215" t="s">
        <v>266</v>
      </c>
      <c r="I26" s="36" t="s">
        <v>273</v>
      </c>
      <c r="J26" s="36" t="s">
        <v>301</v>
      </c>
      <c r="K26" s="55" t="s">
        <v>392</v>
      </c>
      <c r="L26" s="58"/>
      <c r="M26" s="44" t="s">
        <v>323</v>
      </c>
      <c r="N26" s="97" t="s">
        <v>328</v>
      </c>
      <c r="O26" s="98" t="s">
        <v>352</v>
      </c>
      <c r="P26" s="81" t="s">
        <v>389</v>
      </c>
      <c r="Q26" s="81" t="s">
        <v>390</v>
      </c>
      <c r="R26" s="29">
        <f>(COUNTA(C26:Q26))/12</f>
        <v>1</v>
      </c>
      <c r="S26" s="31"/>
      <c r="U26" s="504"/>
      <c r="V26" s="505"/>
      <c r="W26" s="505"/>
      <c r="X26" s="505"/>
      <c r="Y26" s="505"/>
      <c r="Z26" s="506"/>
      <c r="AA26" s="100"/>
    </row>
    <row r="27" spans="1:28" s="99" customFormat="1" ht="140.1" customHeight="1">
      <c r="A27" s="469"/>
      <c r="B27" s="471"/>
      <c r="C27" s="474"/>
      <c r="D27" s="475"/>
      <c r="E27" s="2" t="s">
        <v>250</v>
      </c>
      <c r="F27" s="2" t="s">
        <v>252</v>
      </c>
      <c r="G27" s="2" t="s">
        <v>254</v>
      </c>
      <c r="H27" s="2" t="s">
        <v>265</v>
      </c>
      <c r="I27" s="2" t="s">
        <v>308</v>
      </c>
      <c r="J27" s="2" t="s">
        <v>302</v>
      </c>
      <c r="K27" s="208" t="s">
        <v>310</v>
      </c>
      <c r="L27" s="6"/>
      <c r="M27" s="2" t="s">
        <v>324</v>
      </c>
      <c r="N27" s="101" t="s">
        <v>329</v>
      </c>
      <c r="O27" s="2" t="s">
        <v>353</v>
      </c>
      <c r="P27" s="208" t="s">
        <v>388</v>
      </c>
      <c r="Q27" s="208" t="s">
        <v>387</v>
      </c>
      <c r="R27" s="29"/>
      <c r="S27" s="31"/>
      <c r="U27" s="504"/>
      <c r="V27" s="505"/>
      <c r="W27" s="505"/>
      <c r="X27" s="505"/>
      <c r="Y27" s="505"/>
      <c r="Z27" s="506"/>
      <c r="AA27" s="100"/>
    </row>
    <row r="28" spans="1:28" ht="140.1" customHeight="1" thickBot="1">
      <c r="A28" s="102"/>
      <c r="B28" s="103" t="s">
        <v>136</v>
      </c>
      <c r="C28" s="476"/>
      <c r="D28" s="477"/>
      <c r="E28" s="478" t="s">
        <v>99</v>
      </c>
      <c r="F28" s="479"/>
      <c r="G28" s="209" t="s">
        <v>236</v>
      </c>
      <c r="H28" s="51" t="s">
        <v>137</v>
      </c>
      <c r="I28" s="51" t="s">
        <v>138</v>
      </c>
      <c r="J28" s="48" t="s">
        <v>139</v>
      </c>
      <c r="K28" s="51" t="s">
        <v>307</v>
      </c>
      <c r="L28" s="104"/>
      <c r="M28" s="218" t="s">
        <v>330</v>
      </c>
      <c r="N28" s="48" t="s">
        <v>331</v>
      </c>
      <c r="O28" s="49" t="s">
        <v>140</v>
      </c>
      <c r="P28" s="48" t="s">
        <v>141</v>
      </c>
      <c r="Q28" s="105" t="s">
        <v>142</v>
      </c>
      <c r="R28" s="29">
        <f>(COUNTA(G28:Q28))/10</f>
        <v>1</v>
      </c>
      <c r="S28" s="31"/>
      <c r="T28" s="31"/>
      <c r="U28" s="507"/>
      <c r="V28" s="508"/>
      <c r="W28" s="508"/>
      <c r="X28" s="508"/>
      <c r="Y28" s="508"/>
      <c r="Z28" s="509"/>
    </row>
    <row r="29" spans="1:28" ht="27.95" customHeight="1" thickBot="1">
      <c r="A29" s="33"/>
      <c r="B29" s="106" t="s">
        <v>143</v>
      </c>
      <c r="C29" s="510"/>
      <c r="D29" s="511"/>
      <c r="E29" s="107"/>
      <c r="F29" s="107"/>
      <c r="G29" s="108"/>
      <c r="H29" s="107"/>
      <c r="I29" s="107"/>
      <c r="J29" s="108"/>
      <c r="K29" s="107"/>
      <c r="L29" s="108"/>
      <c r="M29" s="107"/>
      <c r="N29" s="108"/>
      <c r="O29" s="107"/>
      <c r="P29" s="108"/>
      <c r="Q29" s="108"/>
      <c r="R29" s="59"/>
      <c r="S29" s="31"/>
      <c r="T29" s="31"/>
      <c r="U29" s="512" t="s">
        <v>144</v>
      </c>
      <c r="V29" s="513"/>
      <c r="W29" s="513"/>
      <c r="X29" s="513"/>
      <c r="Y29" s="513"/>
      <c r="Z29" s="514"/>
      <c r="AB29" s="13" t="s">
        <v>145</v>
      </c>
    </row>
    <row r="30" spans="1:28" ht="27" customHeight="1" thickBot="1">
      <c r="A30" s="109"/>
      <c r="B30" s="110"/>
      <c r="C30" s="111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29"/>
      <c r="S30" s="31"/>
      <c r="T30" s="31"/>
      <c r="U30" s="515"/>
      <c r="V30" s="516"/>
      <c r="W30" s="516"/>
      <c r="X30" s="516"/>
      <c r="Y30" s="516"/>
      <c r="Z30" s="517"/>
    </row>
    <row r="31" spans="1:28" s="31" customFormat="1" ht="27.75" customHeight="1" thickBot="1">
      <c r="A31" s="113"/>
      <c r="B31" s="114"/>
      <c r="C31" s="115"/>
      <c r="D31" s="116" t="s">
        <v>146</v>
      </c>
      <c r="E31" s="117" t="s">
        <v>0</v>
      </c>
      <c r="F31" s="118" t="s">
        <v>1</v>
      </c>
      <c r="G31" s="118" t="s">
        <v>2</v>
      </c>
      <c r="H31" s="118" t="s">
        <v>3</v>
      </c>
      <c r="I31" s="118" t="s">
        <v>4</v>
      </c>
      <c r="J31" s="118" t="s">
        <v>5</v>
      </c>
      <c r="K31" s="118" t="s">
        <v>6</v>
      </c>
      <c r="L31" s="119" t="s">
        <v>15</v>
      </c>
      <c r="M31" s="118" t="s">
        <v>8</v>
      </c>
      <c r="N31" s="118" t="s">
        <v>9</v>
      </c>
      <c r="O31" s="118" t="s">
        <v>10</v>
      </c>
      <c r="P31" s="118" t="s">
        <v>11</v>
      </c>
      <c r="Q31" s="120" t="s">
        <v>12</v>
      </c>
      <c r="R31" s="121"/>
      <c r="S31" s="122">
        <v>27</v>
      </c>
      <c r="U31" s="465" t="s">
        <v>239</v>
      </c>
      <c r="V31" s="466"/>
      <c r="W31" s="466"/>
      <c r="X31" s="466"/>
      <c r="Y31" s="466"/>
      <c r="Z31" s="467"/>
      <c r="AA31" s="32"/>
    </row>
    <row r="32" spans="1:28" s="31" customFormat="1" ht="39.950000000000003" customHeight="1">
      <c r="A32" s="13"/>
      <c r="B32" s="125"/>
      <c r="C32" s="125"/>
      <c r="D32" s="518" t="s">
        <v>147</v>
      </c>
      <c r="E32" s="126" t="s">
        <v>148</v>
      </c>
      <c r="F32" s="126" t="s">
        <v>149</v>
      </c>
      <c r="G32" s="126" t="s">
        <v>150</v>
      </c>
      <c r="H32" s="126" t="s">
        <v>151</v>
      </c>
      <c r="I32" s="126" t="s">
        <v>152</v>
      </c>
      <c r="J32" s="126" t="s">
        <v>153</v>
      </c>
      <c r="K32" s="126" t="s">
        <v>154</v>
      </c>
      <c r="L32" s="127"/>
      <c r="M32" s="126" t="s">
        <v>155</v>
      </c>
      <c r="N32" s="126"/>
      <c r="O32" s="126" t="s">
        <v>156</v>
      </c>
      <c r="P32" s="128" t="s">
        <v>157</v>
      </c>
      <c r="Q32" s="126" t="s">
        <v>69</v>
      </c>
      <c r="R32" s="121"/>
      <c r="S32" s="129"/>
      <c r="U32" s="488" t="s">
        <v>689</v>
      </c>
      <c r="V32" s="489"/>
      <c r="W32" s="489"/>
      <c r="X32" s="489"/>
      <c r="Y32" s="489"/>
      <c r="Z32" s="490"/>
      <c r="AA32" s="32"/>
    </row>
    <row r="33" spans="1:27" s="31" customFormat="1" ht="45.75" customHeight="1">
      <c r="A33" s="13"/>
      <c r="B33" s="125"/>
      <c r="C33" s="125"/>
      <c r="D33" s="519"/>
      <c r="E33" s="127"/>
      <c r="F33" s="126" t="s">
        <v>158</v>
      </c>
      <c r="G33" s="127"/>
      <c r="H33" s="126"/>
      <c r="I33" s="127"/>
      <c r="J33" s="126" t="s">
        <v>159</v>
      </c>
      <c r="K33" s="126"/>
      <c r="L33" s="127"/>
      <c r="M33" s="126" t="s">
        <v>160</v>
      </c>
      <c r="N33" s="127" t="s">
        <v>161</v>
      </c>
      <c r="O33" s="126" t="s">
        <v>162</v>
      </c>
      <c r="P33" s="126" t="s">
        <v>161</v>
      </c>
      <c r="Q33" s="126"/>
      <c r="R33" s="130"/>
      <c r="S33" s="129">
        <v>4</v>
      </c>
      <c r="U33" s="491"/>
      <c r="V33" s="492"/>
      <c r="W33" s="492"/>
      <c r="X33" s="492"/>
      <c r="Y33" s="492"/>
      <c r="Z33" s="493"/>
      <c r="AA33" s="32"/>
    </row>
    <row r="34" spans="1:27" s="31" customFormat="1" ht="45.75" customHeight="1" thickBot="1">
      <c r="A34" s="13"/>
      <c r="B34" s="125"/>
      <c r="C34" s="125"/>
      <c r="D34" s="131" t="s">
        <v>163</v>
      </c>
      <c r="E34" s="127" t="s">
        <v>164</v>
      </c>
      <c r="F34" s="127"/>
      <c r="G34" s="127" t="s">
        <v>165</v>
      </c>
      <c r="H34" s="132"/>
      <c r="I34" s="133" t="s">
        <v>166</v>
      </c>
      <c r="J34" s="127"/>
      <c r="K34" s="127"/>
      <c r="L34" s="127"/>
      <c r="M34" s="127"/>
      <c r="N34" s="132"/>
      <c r="O34" s="127"/>
      <c r="P34" s="127"/>
      <c r="Q34" s="127" t="s">
        <v>167</v>
      </c>
      <c r="R34" s="134"/>
      <c r="S34" s="135">
        <v>19</v>
      </c>
      <c r="U34" s="494"/>
      <c r="V34" s="495"/>
      <c r="W34" s="495"/>
      <c r="X34" s="495"/>
      <c r="Y34" s="495"/>
      <c r="Z34" s="496"/>
      <c r="AA34" s="32"/>
    </row>
    <row r="35" spans="1:27" ht="39.950000000000003" customHeight="1">
      <c r="D35" s="131" t="s">
        <v>168</v>
      </c>
      <c r="E35" s="126" t="s">
        <v>169</v>
      </c>
      <c r="F35" s="126" t="s">
        <v>170</v>
      </c>
      <c r="G35" s="126" t="s">
        <v>171</v>
      </c>
      <c r="H35" s="126" t="s">
        <v>172</v>
      </c>
      <c r="I35" s="126" t="s">
        <v>173</v>
      </c>
      <c r="J35" s="126"/>
      <c r="K35" s="126" t="s">
        <v>174</v>
      </c>
      <c r="L35" s="127"/>
      <c r="M35" s="126" t="s">
        <v>175</v>
      </c>
      <c r="N35" s="126" t="s">
        <v>176</v>
      </c>
      <c r="O35" s="126" t="s">
        <v>177</v>
      </c>
      <c r="P35" s="136" t="s">
        <v>178</v>
      </c>
      <c r="Q35" s="126" t="s">
        <v>179</v>
      </c>
      <c r="R35" s="134"/>
      <c r="S35" s="135">
        <v>23</v>
      </c>
      <c r="U35" s="13"/>
      <c r="V35" s="123"/>
      <c r="W35" s="123"/>
      <c r="X35" s="123"/>
      <c r="Y35" s="123"/>
      <c r="Z35" s="124"/>
    </row>
    <row r="36" spans="1:27" s="99" customFormat="1" ht="42" customHeight="1">
      <c r="A36" s="13"/>
      <c r="B36" s="125"/>
      <c r="C36" s="125"/>
      <c r="D36" s="137" t="s">
        <v>180</v>
      </c>
      <c r="E36" s="126"/>
      <c r="F36" s="126" t="s">
        <v>181</v>
      </c>
      <c r="G36" s="126" t="s">
        <v>182</v>
      </c>
      <c r="H36" s="126" t="s">
        <v>183</v>
      </c>
      <c r="I36" s="126" t="s">
        <v>184</v>
      </c>
      <c r="J36" s="126" t="s">
        <v>185</v>
      </c>
      <c r="K36" s="126" t="s">
        <v>186</v>
      </c>
      <c r="L36" s="138"/>
      <c r="M36" s="126" t="s">
        <v>187</v>
      </c>
      <c r="N36" s="126" t="s">
        <v>188</v>
      </c>
      <c r="O36" s="126" t="s">
        <v>189</v>
      </c>
      <c r="P36" s="126" t="s">
        <v>190</v>
      </c>
      <c r="Q36" s="126" t="s">
        <v>191</v>
      </c>
      <c r="R36" s="139"/>
      <c r="S36" s="135">
        <f>S31+S33+S34+S35</f>
        <v>73</v>
      </c>
      <c r="V36" s="123"/>
      <c r="W36" s="123"/>
      <c r="X36" s="123"/>
      <c r="Y36" s="123"/>
      <c r="Z36" s="14"/>
      <c r="AA36" s="100"/>
    </row>
    <row r="37" spans="1:27" ht="42" customHeight="1"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U37" s="13"/>
      <c r="V37" s="123"/>
      <c r="W37" s="123"/>
      <c r="X37" s="123"/>
      <c r="Y37" s="123"/>
      <c r="Z37" s="140"/>
    </row>
    <row r="38" spans="1:27" ht="42" customHeight="1">
      <c r="D38" s="141"/>
      <c r="E38" s="142" t="s">
        <v>21</v>
      </c>
      <c r="F38" s="143" t="s">
        <v>1</v>
      </c>
      <c r="G38" s="143" t="s">
        <v>2</v>
      </c>
      <c r="H38" s="144" t="s">
        <v>22</v>
      </c>
      <c r="I38" s="145" t="s">
        <v>192</v>
      </c>
      <c r="J38" s="143" t="s">
        <v>193</v>
      </c>
      <c r="K38" s="143" t="s">
        <v>24</v>
      </c>
      <c r="L38" s="119"/>
      <c r="M38" s="143" t="s">
        <v>194</v>
      </c>
      <c r="N38" s="143" t="s">
        <v>9</v>
      </c>
      <c r="O38" s="145" t="s">
        <v>10</v>
      </c>
      <c r="P38" s="143" t="s">
        <v>11</v>
      </c>
      <c r="Q38" s="143" t="s">
        <v>12</v>
      </c>
      <c r="R38" s="146" t="s">
        <v>195</v>
      </c>
      <c r="S38" s="147" t="s">
        <v>196</v>
      </c>
      <c r="U38" s="13"/>
      <c r="V38" s="123"/>
      <c r="W38" s="123"/>
      <c r="X38" s="123"/>
      <c r="Y38" s="123"/>
    </row>
    <row r="39" spans="1:27" ht="39.950000000000003" customHeight="1">
      <c r="D39" s="148" t="s">
        <v>197</v>
      </c>
      <c r="E39" s="149"/>
      <c r="F39" s="150"/>
      <c r="G39" s="150"/>
      <c r="H39" s="151"/>
      <c r="I39" s="152" t="s">
        <v>198</v>
      </c>
      <c r="J39" s="150"/>
      <c r="K39" s="152"/>
      <c r="L39" s="153"/>
      <c r="M39" s="150"/>
      <c r="N39" s="150"/>
      <c r="O39" s="154"/>
      <c r="P39" s="150"/>
      <c r="Q39" s="150"/>
      <c r="R39" s="155"/>
      <c r="S39" s="156"/>
    </row>
    <row r="40" spans="1:27" ht="39.950000000000003" customHeight="1">
      <c r="D40" s="157" t="s">
        <v>199</v>
      </c>
      <c r="E40" s="158"/>
      <c r="F40" s="159"/>
      <c r="G40" s="159"/>
      <c r="H40" s="37"/>
      <c r="I40" s="160" t="s">
        <v>200</v>
      </c>
      <c r="J40" s="37"/>
      <c r="K40" s="159"/>
      <c r="L40" s="127"/>
      <c r="M40" s="160" t="s">
        <v>201</v>
      </c>
      <c r="N40" s="37"/>
      <c r="O40" s="159" t="s">
        <v>202</v>
      </c>
      <c r="P40" s="159"/>
      <c r="Q40" s="37"/>
      <c r="R40" s="161"/>
      <c r="S40" s="162"/>
      <c r="U40" s="426" t="s">
        <v>203</v>
      </c>
      <c r="V40" s="426"/>
      <c r="W40" s="426"/>
      <c r="X40" s="30"/>
      <c r="Y40" s="30"/>
      <c r="Z40" s="30"/>
    </row>
    <row r="41" spans="1:27" ht="39.950000000000003" customHeight="1">
      <c r="D41" s="148" t="s">
        <v>204</v>
      </c>
      <c r="E41" s="158"/>
      <c r="F41" s="37"/>
      <c r="G41" s="159" t="s">
        <v>205</v>
      </c>
      <c r="H41" s="160"/>
      <c r="I41" s="160" t="s">
        <v>206</v>
      </c>
      <c r="J41" s="160" t="s">
        <v>207</v>
      </c>
      <c r="K41" s="160"/>
      <c r="L41" s="40"/>
      <c r="M41" s="160" t="s">
        <v>208</v>
      </c>
      <c r="N41" s="160" t="s">
        <v>209</v>
      </c>
      <c r="O41" s="159"/>
      <c r="P41" s="37"/>
      <c r="Q41" s="163" t="s">
        <v>210</v>
      </c>
      <c r="R41" s="164"/>
      <c r="S41" s="165"/>
      <c r="U41" s="30"/>
      <c r="V41" s="30"/>
      <c r="W41" s="30"/>
      <c r="X41" s="30"/>
      <c r="Y41" s="30"/>
      <c r="Z41" s="30"/>
      <c r="AA41" s="166"/>
    </row>
    <row r="42" spans="1:27" ht="39.950000000000003" customHeight="1">
      <c r="D42" s="157" t="s">
        <v>211</v>
      </c>
      <c r="E42" s="158"/>
      <c r="F42" s="159"/>
      <c r="G42" s="159"/>
      <c r="H42" s="37"/>
      <c r="I42" s="37"/>
      <c r="J42" s="37"/>
      <c r="K42" s="159"/>
      <c r="L42" s="127"/>
      <c r="M42" s="159" t="s">
        <v>212</v>
      </c>
      <c r="N42" s="159"/>
      <c r="O42" s="159"/>
      <c r="P42" s="159"/>
      <c r="Q42" s="159" t="s">
        <v>213</v>
      </c>
      <c r="R42" s="161" t="s">
        <v>214</v>
      </c>
      <c r="S42" s="162"/>
      <c r="U42" s="30"/>
      <c r="V42" s="30"/>
      <c r="W42" s="30"/>
      <c r="X42" s="30"/>
      <c r="Y42" s="30"/>
      <c r="Z42" s="30"/>
      <c r="AA42" s="166"/>
    </row>
    <row r="43" spans="1:27" ht="39.950000000000003" customHeight="1">
      <c r="D43" s="167" t="s">
        <v>215</v>
      </c>
      <c r="E43" s="168"/>
      <c r="F43" s="169"/>
      <c r="G43" s="170"/>
      <c r="H43" s="169"/>
      <c r="I43" s="169"/>
      <c r="J43" s="169"/>
      <c r="K43" s="169"/>
      <c r="L43" s="138"/>
      <c r="M43" s="169"/>
      <c r="N43" s="169"/>
      <c r="O43" s="169"/>
      <c r="P43" s="170"/>
      <c r="Q43" s="169"/>
      <c r="R43" s="171"/>
      <c r="S43" s="172"/>
      <c r="U43" s="30"/>
      <c r="V43" s="30"/>
      <c r="W43" s="30"/>
      <c r="X43" s="30"/>
      <c r="Y43" s="30"/>
      <c r="Z43" s="30"/>
      <c r="AA43" s="166"/>
    </row>
    <row r="44" spans="1:27" ht="39.950000000000003" customHeight="1">
      <c r="C44" s="13"/>
      <c r="D44" s="167" t="s">
        <v>216</v>
      </c>
      <c r="E44" s="168"/>
      <c r="F44" s="169"/>
      <c r="G44" s="170" t="s">
        <v>217</v>
      </c>
      <c r="H44" s="169"/>
      <c r="I44" s="169"/>
      <c r="J44" s="169"/>
      <c r="K44" s="169"/>
      <c r="L44" s="138"/>
      <c r="M44" s="169"/>
      <c r="N44" s="169"/>
      <c r="O44" s="169"/>
      <c r="P44" s="170"/>
      <c r="Q44" s="169"/>
      <c r="R44" s="171"/>
      <c r="S44" s="172"/>
      <c r="U44" s="30"/>
      <c r="V44" s="30"/>
      <c r="W44" s="30"/>
      <c r="X44" s="30"/>
      <c r="Y44" s="30"/>
      <c r="Z44" s="30"/>
      <c r="AA44" s="166"/>
    </row>
    <row r="45" spans="1:27" ht="27.95" customHeight="1">
      <c r="R45" s="173"/>
      <c r="U45" s="30"/>
      <c r="V45" s="30"/>
      <c r="W45" s="30"/>
      <c r="X45" s="30"/>
      <c r="Y45" s="30"/>
      <c r="Z45" s="30"/>
      <c r="AA45" s="166"/>
    </row>
    <row r="46" spans="1:27" ht="27.95" customHeight="1">
      <c r="D46" s="174"/>
      <c r="E46" s="175" t="s">
        <v>0</v>
      </c>
      <c r="F46" s="175" t="s">
        <v>1</v>
      </c>
      <c r="G46" s="175" t="s">
        <v>2</v>
      </c>
      <c r="H46" s="175" t="s">
        <v>3</v>
      </c>
      <c r="I46" s="175" t="s">
        <v>4</v>
      </c>
      <c r="J46" s="175" t="s">
        <v>5</v>
      </c>
      <c r="K46" s="175" t="s">
        <v>218</v>
      </c>
      <c r="L46" s="176"/>
      <c r="M46" s="175" t="s">
        <v>8</v>
      </c>
      <c r="N46" s="175" t="s">
        <v>9</v>
      </c>
      <c r="O46" s="175" t="s">
        <v>10</v>
      </c>
      <c r="P46" s="175" t="s">
        <v>11</v>
      </c>
      <c r="Q46" s="175" t="s">
        <v>12</v>
      </c>
      <c r="R46" s="177" t="s">
        <v>13</v>
      </c>
      <c r="AA46" s="166"/>
    </row>
    <row r="47" spans="1:27" ht="27.95" customHeight="1">
      <c r="B47" s="178"/>
      <c r="D47" s="179" t="s">
        <v>219</v>
      </c>
      <c r="E47" s="126" t="s">
        <v>220</v>
      </c>
      <c r="F47" s="180" t="s">
        <v>221</v>
      </c>
      <c r="G47" s="126" t="s">
        <v>54</v>
      </c>
      <c r="H47" s="126"/>
      <c r="I47" s="3" t="s">
        <v>221</v>
      </c>
      <c r="J47" s="35" t="s">
        <v>74</v>
      </c>
      <c r="K47" s="126" t="s">
        <v>28</v>
      </c>
      <c r="L47" s="127"/>
      <c r="M47" s="180" t="s">
        <v>222</v>
      </c>
      <c r="N47" s="180" t="s">
        <v>223</v>
      </c>
      <c r="O47" s="181" t="s">
        <v>224</v>
      </c>
      <c r="P47" s="180" t="s">
        <v>225</v>
      </c>
      <c r="Q47" s="181" t="s">
        <v>226</v>
      </c>
      <c r="R47" s="182"/>
    </row>
    <row r="48" spans="1:27" s="132" customFormat="1" ht="27.95" customHeight="1">
      <c r="A48" s="13"/>
      <c r="B48" s="125"/>
      <c r="C48" s="125"/>
      <c r="D48" s="179" t="s">
        <v>227</v>
      </c>
      <c r="E48" s="486"/>
      <c r="F48" s="487"/>
      <c r="G48" s="180" t="s">
        <v>228</v>
      </c>
      <c r="H48" s="180" t="s">
        <v>91</v>
      </c>
      <c r="I48" s="3" t="s">
        <v>95</v>
      </c>
      <c r="J48" s="183" t="s">
        <v>229</v>
      </c>
      <c r="K48" s="181" t="s">
        <v>124</v>
      </c>
      <c r="L48" s="184"/>
      <c r="M48" s="185" t="s">
        <v>230</v>
      </c>
      <c r="N48" s="186"/>
      <c r="O48" s="185"/>
      <c r="P48" s="136"/>
      <c r="Q48" s="185"/>
      <c r="R48" s="187"/>
      <c r="S48" s="13"/>
      <c r="T48" s="13"/>
      <c r="U48" s="14"/>
      <c r="V48" s="14"/>
      <c r="W48" s="14"/>
      <c r="X48" s="14"/>
      <c r="Y48" s="14"/>
      <c r="Z48" s="14"/>
      <c r="AA48" s="15"/>
    </row>
    <row r="49" spans="1:27" s="132" customFormat="1" ht="27.95" customHeight="1">
      <c r="A49" s="13"/>
      <c r="B49" s="125"/>
      <c r="C49" s="125"/>
      <c r="D49" s="179" t="s">
        <v>231</v>
      </c>
      <c r="E49" s="188"/>
      <c r="F49" s="189" t="s">
        <v>232</v>
      </c>
      <c r="G49" s="190"/>
      <c r="H49" s="190"/>
      <c r="I49" s="191"/>
      <c r="J49" s="191"/>
      <c r="K49" s="188"/>
      <c r="L49" s="192"/>
      <c r="M49" s="188"/>
      <c r="N49" s="188"/>
      <c r="O49" s="188"/>
      <c r="P49" s="188"/>
      <c r="Q49" s="188"/>
      <c r="R49" s="193"/>
      <c r="S49" s="13"/>
      <c r="T49" s="13"/>
      <c r="U49" s="14"/>
      <c r="V49" s="14"/>
      <c r="W49" s="14"/>
      <c r="X49" s="14"/>
      <c r="Y49" s="14"/>
      <c r="Z49" s="14"/>
      <c r="AA49" s="15"/>
    </row>
    <row r="50" spans="1:27" s="132" customFormat="1" ht="39.950000000000003" customHeight="1">
      <c r="A50" s="13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M50" s="13"/>
      <c r="N50" s="13"/>
      <c r="O50" s="13"/>
      <c r="P50" s="13"/>
      <c r="Q50" s="13"/>
      <c r="R50" s="194"/>
      <c r="S50" s="13"/>
      <c r="T50" s="13"/>
      <c r="U50" s="14"/>
      <c r="V50" s="14"/>
      <c r="W50" s="14"/>
      <c r="X50" s="14"/>
      <c r="Y50" s="14"/>
      <c r="Z50" s="14"/>
      <c r="AA50" s="15"/>
    </row>
    <row r="51" spans="1:27" s="132" customFormat="1" ht="24" hidden="1" customHeight="1">
      <c r="A51" s="13"/>
      <c r="B51" s="125"/>
      <c r="C51" s="125"/>
      <c r="D51" s="125"/>
      <c r="E51" s="175" t="s">
        <v>0</v>
      </c>
      <c r="F51" s="175" t="s">
        <v>1</v>
      </c>
      <c r="G51" s="175" t="s">
        <v>2</v>
      </c>
      <c r="H51" s="175" t="s">
        <v>3</v>
      </c>
      <c r="I51" s="175" t="s">
        <v>4</v>
      </c>
      <c r="J51" s="175" t="s">
        <v>5</v>
      </c>
      <c r="K51" s="175" t="s">
        <v>218</v>
      </c>
      <c r="L51" s="176"/>
      <c r="M51" s="175" t="s">
        <v>8</v>
      </c>
      <c r="N51" s="175" t="s">
        <v>9</v>
      </c>
      <c r="O51" s="175" t="s">
        <v>10</v>
      </c>
      <c r="P51" s="175" t="s">
        <v>11</v>
      </c>
      <c r="Q51" s="175" t="s">
        <v>12</v>
      </c>
      <c r="R51" s="177" t="s">
        <v>13</v>
      </c>
      <c r="S51" s="13"/>
      <c r="T51" s="13"/>
      <c r="U51" s="14"/>
      <c r="V51" s="14"/>
      <c r="W51" s="14"/>
      <c r="X51" s="14"/>
      <c r="Y51" s="14"/>
      <c r="Z51" s="14"/>
      <c r="AA51" s="15"/>
    </row>
    <row r="52" spans="1:27" s="132" customFormat="1" ht="39.950000000000003" hidden="1" customHeight="1">
      <c r="A52" s="13"/>
      <c r="B52" s="125"/>
      <c r="C52" s="125"/>
      <c r="D52" s="179"/>
      <c r="E52" s="126"/>
      <c r="F52" s="126"/>
      <c r="G52" s="126"/>
      <c r="H52" s="126"/>
      <c r="I52" s="126"/>
      <c r="J52" s="35"/>
      <c r="K52" s="126"/>
      <c r="L52" s="127"/>
      <c r="M52" s="43" t="s">
        <v>80</v>
      </c>
      <c r="N52" s="128"/>
      <c r="O52" s="126"/>
      <c r="P52" s="136"/>
      <c r="Q52" s="126"/>
      <c r="R52" s="161"/>
      <c r="S52" s="13"/>
      <c r="T52" s="13"/>
      <c r="U52" s="14"/>
      <c r="V52" s="14"/>
      <c r="W52" s="14"/>
      <c r="X52" s="14"/>
      <c r="Y52" s="14"/>
      <c r="Z52" s="14"/>
      <c r="AA52" s="15"/>
    </row>
    <row r="53" spans="1:27" s="132" customFormat="1" ht="41.25" hidden="1" customHeight="1" thickBot="1">
      <c r="A53" s="13"/>
      <c r="B53" s="125"/>
      <c r="C53" s="125"/>
      <c r="D53" s="179"/>
      <c r="E53" s="169"/>
      <c r="F53" s="189"/>
      <c r="G53" s="170"/>
      <c r="H53" s="195" t="s">
        <v>233</v>
      </c>
      <c r="I53" s="189" t="s">
        <v>234</v>
      </c>
      <c r="J53" s="170"/>
      <c r="K53" s="196" t="s">
        <v>124</v>
      </c>
      <c r="L53" s="50"/>
      <c r="M53" s="197"/>
      <c r="N53" s="48" t="s">
        <v>87</v>
      </c>
      <c r="O53" s="198" t="s">
        <v>235</v>
      </c>
      <c r="P53" s="196" t="s">
        <v>124</v>
      </c>
      <c r="Q53" s="169"/>
      <c r="R53" s="171"/>
      <c r="S53" s="199" t="s">
        <v>14</v>
      </c>
      <c r="T53" s="13"/>
      <c r="U53" s="14"/>
      <c r="V53" s="14"/>
      <c r="W53" s="14"/>
      <c r="X53" s="14"/>
      <c r="Y53" s="14"/>
      <c r="Z53" s="14"/>
      <c r="AA53" s="15"/>
    </row>
    <row r="54" spans="1:27" s="132" customFormat="1">
      <c r="A54" s="13"/>
      <c r="B54" s="125"/>
      <c r="C54" s="125"/>
      <c r="D54" s="125"/>
      <c r="E54" s="13"/>
      <c r="F54" s="13"/>
      <c r="G54" s="13"/>
      <c r="H54" s="13"/>
      <c r="I54" s="13"/>
      <c r="J54" s="13"/>
      <c r="K54" s="13"/>
      <c r="M54" s="13"/>
      <c r="N54" s="13"/>
      <c r="O54" s="13"/>
      <c r="P54" s="13"/>
      <c r="Q54" s="13"/>
      <c r="R54" s="194"/>
      <c r="S54" s="13"/>
      <c r="T54" s="13"/>
      <c r="U54" s="14"/>
      <c r="V54" s="14"/>
      <c r="W54" s="14"/>
      <c r="X54" s="14"/>
      <c r="Y54" s="14"/>
      <c r="Z54" s="14"/>
      <c r="AA54" s="15"/>
    </row>
    <row r="66" ht="16.5" customHeight="1"/>
    <row r="68" ht="16.5" customHeight="1"/>
    <row r="70" ht="16.5" customHeight="1"/>
    <row r="72" ht="16.5" customHeight="1"/>
  </sheetData>
  <mergeCells count="30"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  <mergeCell ref="U31:Z31"/>
    <mergeCell ref="U32:Z34"/>
    <mergeCell ref="A26:A27"/>
    <mergeCell ref="B26:B27"/>
    <mergeCell ref="C26:D28"/>
    <mergeCell ref="E28:F28"/>
    <mergeCell ref="P10:Q14"/>
    <mergeCell ref="U10:Z18"/>
    <mergeCell ref="C15:D19"/>
    <mergeCell ref="E18:F18"/>
    <mergeCell ref="E19:F19"/>
    <mergeCell ref="U19:Z19"/>
    <mergeCell ref="A1:Q1"/>
    <mergeCell ref="A2:Q2"/>
    <mergeCell ref="U2:Z3"/>
    <mergeCell ref="C4:D9"/>
    <mergeCell ref="U4:Z4"/>
    <mergeCell ref="U5:Z8"/>
    <mergeCell ref="U9:Z9"/>
  </mergeCells>
  <phoneticPr fontId="60" type="noConversion"/>
  <conditionalFormatting sqref="O85:O86">
    <cfRule type="uniqueValues" dxfId="5" priority="3"/>
  </conditionalFormatting>
  <conditionalFormatting sqref="M79:M80">
    <cfRule type="uniqueValues" dxfId="4" priority="2"/>
  </conditionalFormatting>
  <conditionalFormatting sqref="N85:N86">
    <cfRule type="uniqueValues" dxfId="3" priority="1"/>
  </conditionalFormatting>
  <printOptions horizontalCentered="1"/>
  <pageMargins left="0" right="0" top="0" bottom="0" header="0" footer="0"/>
  <pageSetup paperSize="9" scale="28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abSelected="1" topLeftCell="A10" zoomScale="85" zoomScaleNormal="85" zoomScalePageLayoutView="80" workbookViewId="0">
      <selection activeCell="E23" sqref="E23"/>
    </sheetView>
  </sheetViews>
  <sheetFormatPr defaultRowHeight="16.5"/>
  <cols>
    <col min="1" max="1" width="4.33203125" style="223" customWidth="1"/>
    <col min="2" max="2" width="13.33203125" style="335" customWidth="1"/>
    <col min="3" max="4" width="15.83203125" style="335" customWidth="1"/>
    <col min="5" max="11" width="15.83203125" style="223" customWidth="1"/>
    <col min="12" max="12" width="3.5" style="342" customWidth="1"/>
    <col min="13" max="17" width="15.83203125" style="223" customWidth="1"/>
    <col min="18" max="18" width="15.83203125" style="404" hidden="1" customWidth="1"/>
    <col min="19" max="19" width="15.83203125" style="223" customWidth="1"/>
    <col min="20" max="20" width="2.1640625" style="223" customWidth="1"/>
    <col min="21" max="26" width="10.83203125" style="224" customWidth="1"/>
    <col min="27" max="27" width="10" style="225" bestFit="1" customWidth="1"/>
    <col min="28" max="16384" width="9.33203125" style="223"/>
  </cols>
  <sheetData>
    <row r="1" spans="1:27" ht="16.5" hidden="1" customHeight="1">
      <c r="A1" s="601" t="s">
        <v>393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3"/>
      <c r="R1" s="222"/>
    </row>
    <row r="2" spans="1:27" ht="18" customHeight="1">
      <c r="A2" s="604" t="s">
        <v>661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226"/>
      <c r="U2" s="532"/>
      <c r="V2" s="532"/>
      <c r="W2" s="532"/>
      <c r="X2" s="532"/>
      <c r="Y2" s="532"/>
      <c r="Z2" s="532"/>
    </row>
    <row r="3" spans="1:27" ht="21" customHeight="1" thickBot="1">
      <c r="A3" s="227"/>
      <c r="B3" s="228" t="s">
        <v>394</v>
      </c>
      <c r="C3" s="229" t="s">
        <v>395</v>
      </c>
      <c r="D3" s="229" t="s">
        <v>396</v>
      </c>
      <c r="E3" s="230" t="s">
        <v>397</v>
      </c>
      <c r="F3" s="230" t="s">
        <v>1</v>
      </c>
      <c r="G3" s="229" t="s">
        <v>2</v>
      </c>
      <c r="H3" s="229" t="s">
        <v>398</v>
      </c>
      <c r="I3" s="230" t="s">
        <v>4</v>
      </c>
      <c r="J3" s="229" t="s">
        <v>399</v>
      </c>
      <c r="K3" s="229" t="s">
        <v>400</v>
      </c>
      <c r="L3" s="231" t="s">
        <v>7</v>
      </c>
      <c r="M3" s="230" t="s">
        <v>401</v>
      </c>
      <c r="N3" s="229" t="s">
        <v>9</v>
      </c>
      <c r="O3" s="229" t="s">
        <v>10</v>
      </c>
      <c r="P3" s="229" t="s">
        <v>11</v>
      </c>
      <c r="Q3" s="229" t="s">
        <v>12</v>
      </c>
      <c r="R3" s="232">
        <f>AVERAGE(R5:R30)</f>
        <v>1.0285714285714287</v>
      </c>
      <c r="U3" s="606"/>
      <c r="V3" s="606"/>
      <c r="W3" s="606"/>
      <c r="X3" s="606"/>
      <c r="Y3" s="606"/>
      <c r="Z3" s="606"/>
    </row>
    <row r="4" spans="1:27" s="241" customFormat="1" ht="27.95" customHeight="1" thickBot="1">
      <c r="A4" s="233">
        <v>1</v>
      </c>
      <c r="B4" s="234" t="s">
        <v>402</v>
      </c>
      <c r="C4" s="607"/>
      <c r="D4" s="608"/>
      <c r="E4" s="235" t="s">
        <v>403</v>
      </c>
      <c r="F4" s="236" t="s">
        <v>688</v>
      </c>
      <c r="G4" s="237" t="s">
        <v>685</v>
      </c>
      <c r="H4" s="238" t="s">
        <v>406</v>
      </c>
      <c r="I4" s="236" t="s">
        <v>407</v>
      </c>
      <c r="J4" s="237" t="s">
        <v>408</v>
      </c>
      <c r="K4" s="245" t="s">
        <v>687</v>
      </c>
      <c r="L4" s="239"/>
      <c r="M4" s="236" t="s">
        <v>686</v>
      </c>
      <c r="N4" s="237" t="s">
        <v>410</v>
      </c>
      <c r="O4" s="237" t="s">
        <v>411</v>
      </c>
      <c r="P4" s="418" t="s">
        <v>692</v>
      </c>
      <c r="Q4" s="237" t="s">
        <v>412</v>
      </c>
      <c r="R4" s="29">
        <f t="shared" ref="R4:R17" si="0">(COUNTA(C4:Q4))/12</f>
        <v>1</v>
      </c>
      <c r="S4" s="240"/>
      <c r="U4" s="535" t="s">
        <v>39</v>
      </c>
      <c r="V4" s="536"/>
      <c r="W4" s="536"/>
      <c r="X4" s="536"/>
      <c r="Y4" s="536"/>
      <c r="Z4" s="537"/>
      <c r="AA4" s="242"/>
    </row>
    <row r="5" spans="1:27" s="241" customFormat="1" ht="27.95" customHeight="1">
      <c r="A5" s="243">
        <v>2</v>
      </c>
      <c r="B5" s="234" t="s">
        <v>413</v>
      </c>
      <c r="C5" s="609"/>
      <c r="D5" s="610"/>
      <c r="E5" s="266" t="s">
        <v>54</v>
      </c>
      <c r="F5" s="245" t="s">
        <v>412</v>
      </c>
      <c r="G5" s="245" t="s">
        <v>414</v>
      </c>
      <c r="H5" s="246" t="s">
        <v>415</v>
      </c>
      <c r="I5" s="247" t="s">
        <v>410</v>
      </c>
      <c r="J5" s="245" t="s">
        <v>33</v>
      </c>
      <c r="K5" s="245" t="s">
        <v>416</v>
      </c>
      <c r="L5" s="246"/>
      <c r="M5" s="411" t="s">
        <v>417</v>
      </c>
      <c r="N5" s="416" t="s">
        <v>79</v>
      </c>
      <c r="O5" s="244" t="s">
        <v>418</v>
      </c>
      <c r="P5" s="245" t="s">
        <v>419</v>
      </c>
      <c r="Q5" s="1" t="s">
        <v>420</v>
      </c>
      <c r="R5" s="29">
        <f t="shared" si="0"/>
        <v>1</v>
      </c>
      <c r="S5" s="240"/>
      <c r="U5" s="538"/>
      <c r="V5" s="539"/>
      <c r="W5" s="539"/>
      <c r="X5" s="539"/>
      <c r="Y5" s="539"/>
      <c r="Z5" s="540"/>
      <c r="AA5" s="242"/>
    </row>
    <row r="6" spans="1:27" s="241" customFormat="1" ht="27.95" customHeight="1">
      <c r="A6" s="248">
        <v>3</v>
      </c>
      <c r="B6" s="249" t="s">
        <v>421</v>
      </c>
      <c r="C6" s="609"/>
      <c r="D6" s="610"/>
      <c r="E6" s="250" t="s">
        <v>422</v>
      </c>
      <c r="F6" s="251" t="s">
        <v>423</v>
      </c>
      <c r="G6" s="245" t="s">
        <v>410</v>
      </c>
      <c r="H6" s="245" t="s">
        <v>424</v>
      </c>
      <c r="I6" s="245" t="s">
        <v>425</v>
      </c>
      <c r="J6" s="245" t="s">
        <v>426</v>
      </c>
      <c r="K6" s="245" t="s">
        <v>419</v>
      </c>
      <c r="L6" s="245"/>
      <c r="M6" s="245" t="s">
        <v>427</v>
      </c>
      <c r="N6" s="247" t="s">
        <v>428</v>
      </c>
      <c r="O6" s="247" t="s">
        <v>429</v>
      </c>
      <c r="P6" s="252" t="s">
        <v>430</v>
      </c>
      <c r="Q6" s="245" t="s">
        <v>408</v>
      </c>
      <c r="R6" s="29">
        <f t="shared" si="0"/>
        <v>1</v>
      </c>
      <c r="S6" s="240"/>
      <c r="U6" s="541"/>
      <c r="V6" s="542"/>
      <c r="W6" s="542"/>
      <c r="X6" s="542"/>
      <c r="Y6" s="542"/>
      <c r="Z6" s="543"/>
      <c r="AA6" s="242"/>
    </row>
    <row r="7" spans="1:27" s="241" customFormat="1" ht="27.75" customHeight="1">
      <c r="A7" s="248">
        <v>4</v>
      </c>
      <c r="B7" s="253" t="s">
        <v>431</v>
      </c>
      <c r="C7" s="609"/>
      <c r="D7" s="610"/>
      <c r="E7" s="245" t="s">
        <v>432</v>
      </c>
      <c r="F7" s="247" t="s">
        <v>433</v>
      </c>
      <c r="G7" s="250" t="s">
        <v>422</v>
      </c>
      <c r="H7" s="245" t="s">
        <v>54</v>
      </c>
      <c r="I7" s="254" t="s">
        <v>412</v>
      </c>
      <c r="J7" s="245" t="s">
        <v>434</v>
      </c>
      <c r="K7" s="247" t="s">
        <v>435</v>
      </c>
      <c r="L7" s="245"/>
      <c r="M7" s="247" t="s">
        <v>56</v>
      </c>
      <c r="N7" s="246" t="s">
        <v>436</v>
      </c>
      <c r="O7" s="247" t="s">
        <v>57</v>
      </c>
      <c r="P7" s="245" t="s">
        <v>437</v>
      </c>
      <c r="Q7" s="246" t="s">
        <v>438</v>
      </c>
      <c r="R7" s="29">
        <f t="shared" si="0"/>
        <v>1</v>
      </c>
      <c r="S7" s="240"/>
      <c r="U7" s="541"/>
      <c r="V7" s="542"/>
      <c r="W7" s="542"/>
      <c r="X7" s="542"/>
      <c r="Y7" s="542"/>
      <c r="Z7" s="543"/>
      <c r="AA7" s="242"/>
    </row>
    <row r="8" spans="1:27" s="241" customFormat="1" ht="27.75" customHeight="1" thickBot="1">
      <c r="A8" s="248">
        <v>5</v>
      </c>
      <c r="B8" s="255" t="s">
        <v>439</v>
      </c>
      <c r="C8" s="609"/>
      <c r="D8" s="610"/>
      <c r="E8" s="256"/>
      <c r="F8" s="257"/>
      <c r="G8" s="258"/>
      <c r="H8" s="256"/>
      <c r="I8" s="256"/>
      <c r="J8" s="256"/>
      <c r="K8" s="256"/>
      <c r="L8" s="256"/>
      <c r="M8" s="4"/>
      <c r="N8" s="4"/>
      <c r="O8" s="256"/>
      <c r="P8" s="256"/>
      <c r="Q8" s="258"/>
      <c r="R8" s="29"/>
      <c r="S8" s="240"/>
      <c r="U8" s="544"/>
      <c r="V8" s="545"/>
      <c r="W8" s="545"/>
      <c r="X8" s="545"/>
      <c r="Y8" s="545"/>
      <c r="Z8" s="546"/>
      <c r="AA8" s="242"/>
    </row>
    <row r="9" spans="1:27" s="241" customFormat="1" ht="27.95" customHeight="1" thickBot="1">
      <c r="A9" s="243">
        <v>6</v>
      </c>
      <c r="B9" s="47" t="s">
        <v>440</v>
      </c>
      <c r="C9" s="611"/>
      <c r="D9" s="612"/>
      <c r="E9" s="245" t="s">
        <v>441</v>
      </c>
      <c r="F9" s="259" t="s">
        <v>403</v>
      </c>
      <c r="G9" s="2" t="s">
        <v>442</v>
      </c>
      <c r="H9" s="260" t="s">
        <v>56</v>
      </c>
      <c r="I9" s="260" t="s">
        <v>435</v>
      </c>
      <c r="J9" s="260" t="s">
        <v>415</v>
      </c>
      <c r="K9" s="259" t="s">
        <v>443</v>
      </c>
      <c r="L9" s="6"/>
      <c r="M9" s="259" t="s">
        <v>412</v>
      </c>
      <c r="N9" s="250" t="s">
        <v>418</v>
      </c>
      <c r="O9" s="261" t="s">
        <v>444</v>
      </c>
      <c r="P9" s="245" t="s">
        <v>405</v>
      </c>
      <c r="Q9" s="259" t="s">
        <v>445</v>
      </c>
      <c r="R9" s="29">
        <f t="shared" si="0"/>
        <v>1</v>
      </c>
      <c r="S9" s="240"/>
      <c r="U9" s="535" t="s">
        <v>446</v>
      </c>
      <c r="V9" s="536"/>
      <c r="W9" s="536"/>
      <c r="X9" s="536"/>
      <c r="Y9" s="536"/>
      <c r="Z9" s="537"/>
      <c r="AA9" s="242"/>
    </row>
    <row r="10" spans="1:27" s="241" customFormat="1" ht="27.95" customHeight="1">
      <c r="A10" s="262">
        <v>7</v>
      </c>
      <c r="B10" s="263" t="s">
        <v>447</v>
      </c>
      <c r="C10" s="264" t="s">
        <v>671</v>
      </c>
      <c r="D10" s="264" t="s">
        <v>41</v>
      </c>
      <c r="E10" s="265" t="s">
        <v>448</v>
      </c>
      <c r="F10" s="265" t="s">
        <v>449</v>
      </c>
      <c r="G10" s="265" t="s">
        <v>444</v>
      </c>
      <c r="H10" s="254" t="s">
        <v>430</v>
      </c>
      <c r="I10" s="266" t="s">
        <v>450</v>
      </c>
      <c r="J10" s="252" t="s">
        <v>672</v>
      </c>
      <c r="K10" s="57" t="s">
        <v>420</v>
      </c>
      <c r="L10" s="265"/>
      <c r="M10" s="265" t="s">
        <v>451</v>
      </c>
      <c r="N10" s="267" t="s">
        <v>452</v>
      </c>
      <c r="O10" s="246" t="s">
        <v>453</v>
      </c>
      <c r="P10" s="547"/>
      <c r="Q10" s="548"/>
      <c r="R10" s="59">
        <f t="shared" si="0"/>
        <v>1</v>
      </c>
      <c r="S10" s="240"/>
      <c r="U10" s="582" t="s">
        <v>454</v>
      </c>
      <c r="V10" s="583"/>
      <c r="W10" s="583"/>
      <c r="X10" s="583"/>
      <c r="Y10" s="583"/>
      <c r="Z10" s="584"/>
      <c r="AA10" s="242"/>
    </row>
    <row r="11" spans="1:27" s="241" customFormat="1" ht="27.95" customHeight="1">
      <c r="A11" s="268">
        <v>8</v>
      </c>
      <c r="B11" s="269" t="s">
        <v>455</v>
      </c>
      <c r="C11" s="270" t="s">
        <v>27</v>
      </c>
      <c r="D11" s="270" t="s">
        <v>27</v>
      </c>
      <c r="E11" s="245" t="s">
        <v>456</v>
      </c>
      <c r="F11" s="245" t="s">
        <v>457</v>
      </c>
      <c r="G11" s="259" t="s">
        <v>458</v>
      </c>
      <c r="H11" s="246" t="s">
        <v>459</v>
      </c>
      <c r="I11" s="245" t="s">
        <v>409</v>
      </c>
      <c r="J11" s="266" t="s">
        <v>460</v>
      </c>
      <c r="K11" s="245" t="s">
        <v>418</v>
      </c>
      <c r="L11" s="254"/>
      <c r="M11" s="244" t="s">
        <v>414</v>
      </c>
      <c r="N11" s="246" t="s">
        <v>453</v>
      </c>
      <c r="O11" s="247" t="s">
        <v>461</v>
      </c>
      <c r="P11" s="549"/>
      <c r="Q11" s="550"/>
      <c r="R11" s="59">
        <f t="shared" si="0"/>
        <v>1</v>
      </c>
      <c r="S11" s="240"/>
      <c r="U11" s="585"/>
      <c r="V11" s="586"/>
      <c r="W11" s="586"/>
      <c r="X11" s="586"/>
      <c r="Y11" s="586"/>
      <c r="Z11" s="587"/>
      <c r="AA11" s="242"/>
    </row>
    <row r="12" spans="1:27" s="241" customFormat="1" ht="27.95" customHeight="1">
      <c r="A12" s="243">
        <v>9</v>
      </c>
      <c r="B12" s="234" t="s">
        <v>462</v>
      </c>
      <c r="C12" s="270" t="s">
        <v>673</v>
      </c>
      <c r="D12" s="270" t="s">
        <v>674</v>
      </c>
      <c r="E12" s="247" t="s">
        <v>461</v>
      </c>
      <c r="F12" s="266" t="s">
        <v>461</v>
      </c>
      <c r="G12" s="245" t="s">
        <v>463</v>
      </c>
      <c r="H12" s="247" t="s">
        <v>464</v>
      </c>
      <c r="I12" s="244" t="s">
        <v>403</v>
      </c>
      <c r="J12" s="245" t="s">
        <v>465</v>
      </c>
      <c r="K12" s="245" t="s">
        <v>255</v>
      </c>
      <c r="L12" s="254"/>
      <c r="M12" s="245" t="s">
        <v>409</v>
      </c>
      <c r="N12" s="266" t="s">
        <v>466</v>
      </c>
      <c r="O12" s="246" t="s">
        <v>467</v>
      </c>
      <c r="P12" s="549"/>
      <c r="Q12" s="550"/>
      <c r="R12" s="29">
        <f t="shared" si="0"/>
        <v>1</v>
      </c>
      <c r="S12" s="240"/>
      <c r="U12" s="585"/>
      <c r="V12" s="586"/>
      <c r="W12" s="586"/>
      <c r="X12" s="586"/>
      <c r="Y12" s="586"/>
      <c r="Z12" s="587"/>
      <c r="AA12" s="242"/>
    </row>
    <row r="13" spans="1:27" s="241" customFormat="1" ht="27.75" customHeight="1">
      <c r="A13" s="243">
        <v>10</v>
      </c>
      <c r="B13" s="271" t="s">
        <v>468</v>
      </c>
      <c r="C13" s="270" t="s">
        <v>667</v>
      </c>
      <c r="D13" s="270" t="s">
        <v>667</v>
      </c>
      <c r="E13" s="411" t="s">
        <v>409</v>
      </c>
      <c r="F13" s="412" t="s">
        <v>666</v>
      </c>
      <c r="G13" s="416" t="s">
        <v>79</v>
      </c>
      <c r="H13" s="411" t="s">
        <v>469</v>
      </c>
      <c r="I13" s="272" t="s">
        <v>415</v>
      </c>
      <c r="J13" s="245" t="s">
        <v>470</v>
      </c>
      <c r="K13" s="251" t="s">
        <v>471</v>
      </c>
      <c r="L13" s="259"/>
      <c r="M13" s="259" t="s">
        <v>472</v>
      </c>
      <c r="N13" s="245" t="s">
        <v>473</v>
      </c>
      <c r="O13" s="245" t="s">
        <v>474</v>
      </c>
      <c r="P13" s="549"/>
      <c r="Q13" s="550"/>
      <c r="R13" s="29">
        <f t="shared" si="0"/>
        <v>1</v>
      </c>
      <c r="S13" s="240"/>
      <c r="U13" s="585"/>
      <c r="V13" s="586"/>
      <c r="W13" s="586"/>
      <c r="X13" s="586"/>
      <c r="Y13" s="586"/>
      <c r="Z13" s="587"/>
      <c r="AA13" s="242"/>
    </row>
    <row r="14" spans="1:27" ht="27.95" customHeight="1" thickBot="1">
      <c r="A14" s="273">
        <v>11</v>
      </c>
      <c r="B14" s="67" t="s">
        <v>475</v>
      </c>
      <c r="C14" s="274" t="s">
        <v>423</v>
      </c>
      <c r="D14" s="275" t="s">
        <v>465</v>
      </c>
      <c r="E14" s="276" t="s">
        <v>408</v>
      </c>
      <c r="F14" s="7" t="s">
        <v>669</v>
      </c>
      <c r="G14" s="261" t="s">
        <v>453</v>
      </c>
      <c r="H14" s="261" t="s">
        <v>476</v>
      </c>
      <c r="I14" s="261" t="s">
        <v>477</v>
      </c>
      <c r="J14" s="277" t="s">
        <v>693</v>
      </c>
      <c r="K14" s="259" t="s">
        <v>478</v>
      </c>
      <c r="L14" s="72"/>
      <c r="M14" s="250" t="s">
        <v>57</v>
      </c>
      <c r="N14" s="259" t="s">
        <v>479</v>
      </c>
      <c r="O14" s="259" t="s">
        <v>702</v>
      </c>
      <c r="P14" s="551"/>
      <c r="Q14" s="552"/>
      <c r="R14" s="29">
        <f t="shared" si="0"/>
        <v>1</v>
      </c>
      <c r="S14" s="240"/>
      <c r="T14" s="241"/>
      <c r="U14" s="585"/>
      <c r="V14" s="586"/>
      <c r="W14" s="586"/>
      <c r="X14" s="586"/>
      <c r="Y14" s="586"/>
      <c r="Z14" s="587"/>
    </row>
    <row r="15" spans="1:27" ht="27" customHeight="1">
      <c r="A15" s="248">
        <v>12</v>
      </c>
      <c r="B15" s="278" t="s">
        <v>480</v>
      </c>
      <c r="C15" s="591"/>
      <c r="D15" s="592"/>
      <c r="E15" s="279" t="s">
        <v>481</v>
      </c>
      <c r="F15" s="246" t="s">
        <v>482</v>
      </c>
      <c r="G15" s="246" t="s">
        <v>486</v>
      </c>
      <c r="H15" s="5" t="s">
        <v>483</v>
      </c>
      <c r="I15" s="246" t="s">
        <v>484</v>
      </c>
      <c r="J15" s="254" t="s">
        <v>485</v>
      </c>
      <c r="K15" s="265" t="s">
        <v>675</v>
      </c>
      <c r="L15" s="266"/>
      <c r="M15" s="414" t="s">
        <v>676</v>
      </c>
      <c r="N15" s="267" t="s">
        <v>487</v>
      </c>
      <c r="O15" s="280" t="s">
        <v>488</v>
      </c>
      <c r="P15" s="235" t="s">
        <v>666</v>
      </c>
      <c r="Q15" s="235" t="s">
        <v>489</v>
      </c>
      <c r="R15" s="29">
        <f t="shared" si="0"/>
        <v>1</v>
      </c>
      <c r="S15" s="240"/>
      <c r="U15" s="585"/>
      <c r="V15" s="586"/>
      <c r="W15" s="586"/>
      <c r="X15" s="586"/>
      <c r="Y15" s="586"/>
      <c r="Z15" s="587"/>
    </row>
    <row r="16" spans="1:27" ht="27.95" customHeight="1">
      <c r="A16" s="248">
        <v>13</v>
      </c>
      <c r="B16" s="278" t="s">
        <v>490</v>
      </c>
      <c r="C16" s="593"/>
      <c r="D16" s="594"/>
      <c r="E16" s="245" t="s">
        <v>491</v>
      </c>
      <c r="F16" s="266" t="s">
        <v>492</v>
      </c>
      <c r="G16" s="245" t="s">
        <v>89</v>
      </c>
      <c r="H16" s="245" t="s">
        <v>493</v>
      </c>
      <c r="I16" s="247" t="s">
        <v>494</v>
      </c>
      <c r="J16" s="245" t="s">
        <v>495</v>
      </c>
      <c r="K16" s="247" t="s">
        <v>496</v>
      </c>
      <c r="L16" s="245"/>
      <c r="M16" s="76" t="s">
        <v>497</v>
      </c>
      <c r="N16" s="1" t="s">
        <v>498</v>
      </c>
      <c r="O16" s="3" t="s">
        <v>499</v>
      </c>
      <c r="P16" s="245" t="s">
        <v>500</v>
      </c>
      <c r="Q16" s="411" t="s">
        <v>377</v>
      </c>
      <c r="R16" s="59">
        <f t="shared" si="0"/>
        <v>1</v>
      </c>
      <c r="S16" s="240"/>
      <c r="U16" s="585"/>
      <c r="V16" s="586"/>
      <c r="W16" s="586"/>
      <c r="X16" s="586"/>
      <c r="Y16" s="586"/>
      <c r="Z16" s="587"/>
    </row>
    <row r="17" spans="1:28" ht="27.95" customHeight="1">
      <c r="A17" s="281">
        <v>14</v>
      </c>
      <c r="B17" s="271" t="s">
        <v>501</v>
      </c>
      <c r="C17" s="593"/>
      <c r="D17" s="594"/>
      <c r="E17" s="251" t="s">
        <v>502</v>
      </c>
      <c r="F17" s="1" t="s">
        <v>665</v>
      </c>
      <c r="G17" s="251" t="s">
        <v>503</v>
      </c>
      <c r="H17" s="245" t="s">
        <v>548</v>
      </c>
      <c r="I17" s="251" t="s">
        <v>504</v>
      </c>
      <c r="J17" s="245" t="s">
        <v>488</v>
      </c>
      <c r="K17" s="245" t="s">
        <v>505</v>
      </c>
      <c r="L17" s="245"/>
      <c r="M17" s="247" t="s">
        <v>506</v>
      </c>
      <c r="N17" s="245" t="s">
        <v>507</v>
      </c>
      <c r="O17" s="245" t="s">
        <v>508</v>
      </c>
      <c r="P17" s="251" t="s">
        <v>509</v>
      </c>
      <c r="Q17" s="244" t="s">
        <v>510</v>
      </c>
      <c r="R17" s="59">
        <f t="shared" si="0"/>
        <v>1</v>
      </c>
      <c r="S17" s="240"/>
      <c r="U17" s="585"/>
      <c r="V17" s="586"/>
      <c r="W17" s="586"/>
      <c r="X17" s="586"/>
      <c r="Y17" s="586"/>
      <c r="Z17" s="587"/>
    </row>
    <row r="18" spans="1:28" s="241" customFormat="1" ht="27.75" customHeight="1" thickBot="1">
      <c r="A18" s="243">
        <v>15</v>
      </c>
      <c r="B18" s="282" t="s">
        <v>511</v>
      </c>
      <c r="C18" s="593"/>
      <c r="D18" s="594"/>
      <c r="E18" s="597"/>
      <c r="F18" s="598"/>
      <c r="G18" s="283"/>
      <c r="H18" s="257"/>
      <c r="I18" s="284"/>
      <c r="J18" s="285"/>
      <c r="K18" s="258"/>
      <c r="L18" s="285"/>
      <c r="M18" s="286"/>
      <c r="N18" s="4"/>
      <c r="O18" s="287"/>
      <c r="P18" s="256"/>
      <c r="Q18" s="288"/>
      <c r="R18" s="29"/>
      <c r="S18" s="240"/>
      <c r="U18" s="588"/>
      <c r="V18" s="589"/>
      <c r="W18" s="589"/>
      <c r="X18" s="589"/>
      <c r="Y18" s="589"/>
      <c r="Z18" s="590"/>
      <c r="AA18" s="242"/>
    </row>
    <row r="19" spans="1:28" ht="27.95" customHeight="1" thickBot="1">
      <c r="A19" s="273">
        <v>16</v>
      </c>
      <c r="B19" s="289" t="s">
        <v>512</v>
      </c>
      <c r="C19" s="595"/>
      <c r="D19" s="596"/>
      <c r="E19" s="599" t="s">
        <v>513</v>
      </c>
      <c r="F19" s="600"/>
      <c r="G19" s="259" t="s">
        <v>514</v>
      </c>
      <c r="H19" s="259" t="s">
        <v>515</v>
      </c>
      <c r="I19" s="261" t="s">
        <v>516</v>
      </c>
      <c r="J19" s="261" t="s">
        <v>517</v>
      </c>
      <c r="K19" s="261" t="s">
        <v>518</v>
      </c>
      <c r="L19" s="260"/>
      <c r="M19" s="261" t="s">
        <v>519</v>
      </c>
      <c r="N19" s="260" t="s">
        <v>520</v>
      </c>
      <c r="O19" s="261" t="s">
        <v>521</v>
      </c>
      <c r="P19" s="420" t="s">
        <v>713</v>
      </c>
      <c r="Q19" s="290" t="s">
        <v>513</v>
      </c>
      <c r="R19" s="29">
        <f>(COUNTA(F19:P19))/9</f>
        <v>1</v>
      </c>
      <c r="S19" s="240"/>
      <c r="U19" s="566" t="s">
        <v>522</v>
      </c>
      <c r="V19" s="567"/>
      <c r="W19" s="567"/>
      <c r="X19" s="567"/>
      <c r="Y19" s="567"/>
      <c r="Z19" s="568"/>
    </row>
    <row r="20" spans="1:28" ht="27.95" customHeight="1">
      <c r="A20" s="248">
        <v>17</v>
      </c>
      <c r="B20" s="271" t="s">
        <v>523</v>
      </c>
      <c r="C20" s="270" t="s">
        <v>104</v>
      </c>
      <c r="D20" s="270" t="s">
        <v>492</v>
      </c>
      <c r="E20" s="246" t="s">
        <v>524</v>
      </c>
      <c r="F20" s="265" t="s">
        <v>525</v>
      </c>
      <c r="G20" s="291" t="s">
        <v>526</v>
      </c>
      <c r="H20" s="292" t="s">
        <v>527</v>
      </c>
      <c r="I20" s="57" t="s">
        <v>682</v>
      </c>
      <c r="J20" s="265" t="s">
        <v>528</v>
      </c>
      <c r="K20" s="265" t="s">
        <v>529</v>
      </c>
      <c r="L20" s="292"/>
      <c r="M20" s="265" t="s">
        <v>530</v>
      </c>
      <c r="N20" s="293" t="s">
        <v>531</v>
      </c>
      <c r="O20" s="57" t="s">
        <v>699</v>
      </c>
      <c r="P20" s="547"/>
      <c r="Q20" s="548"/>
      <c r="R20" s="59">
        <f>(COUNTA(C20:Q20))/12</f>
        <v>1</v>
      </c>
      <c r="S20" s="240"/>
      <c r="U20" s="553" t="s">
        <v>532</v>
      </c>
      <c r="V20" s="554"/>
      <c r="W20" s="554"/>
      <c r="X20" s="554"/>
      <c r="Y20" s="554"/>
      <c r="Z20" s="555"/>
    </row>
    <row r="21" spans="1:28" s="241" customFormat="1" ht="27.95" customHeight="1">
      <c r="A21" s="248">
        <v>18</v>
      </c>
      <c r="B21" s="271" t="s">
        <v>533</v>
      </c>
      <c r="C21" s="270" t="s">
        <v>534</v>
      </c>
      <c r="D21" s="270" t="s">
        <v>535</v>
      </c>
      <c r="E21" s="246" t="s">
        <v>536</v>
      </c>
      <c r="F21" s="415" t="s">
        <v>677</v>
      </c>
      <c r="G21" s="247" t="s">
        <v>537</v>
      </c>
      <c r="H21" s="254" t="s">
        <v>538</v>
      </c>
      <c r="I21" s="3" t="s">
        <v>539</v>
      </c>
      <c r="J21" s="246" t="s">
        <v>540</v>
      </c>
      <c r="K21" s="246" t="s">
        <v>541</v>
      </c>
      <c r="L21" s="252"/>
      <c r="M21" s="419" t="s">
        <v>690</v>
      </c>
      <c r="N21" s="245" t="s">
        <v>698</v>
      </c>
      <c r="O21" s="3" t="s">
        <v>326</v>
      </c>
      <c r="P21" s="549"/>
      <c r="Q21" s="550"/>
      <c r="R21" s="59">
        <f>(COUNTA(C21:Q21))/12</f>
        <v>1</v>
      </c>
      <c r="S21" s="240"/>
      <c r="U21" s="556"/>
      <c r="V21" s="557"/>
      <c r="W21" s="557"/>
      <c r="X21" s="557"/>
      <c r="Y21" s="557"/>
      <c r="Z21" s="558"/>
      <c r="AA21" s="242"/>
    </row>
    <row r="22" spans="1:28" ht="27.95" customHeight="1" thickBot="1">
      <c r="A22" s="281">
        <v>19</v>
      </c>
      <c r="B22" s="271" t="s">
        <v>542</v>
      </c>
      <c r="C22" s="275" t="s">
        <v>543</v>
      </c>
      <c r="D22" s="275" t="s">
        <v>119</v>
      </c>
      <c r="E22" s="251" t="s">
        <v>544</v>
      </c>
      <c r="F22" s="245" t="s">
        <v>545</v>
      </c>
      <c r="G22" s="1" t="s">
        <v>546</v>
      </c>
      <c r="H22" s="250" t="s">
        <v>547</v>
      </c>
      <c r="I22" s="245" t="s">
        <v>122</v>
      </c>
      <c r="J22" s="259" t="s">
        <v>548</v>
      </c>
      <c r="K22" s="9" t="s">
        <v>549</v>
      </c>
      <c r="L22" s="245"/>
      <c r="M22" s="251" t="s">
        <v>550</v>
      </c>
      <c r="N22" s="245" t="s">
        <v>551</v>
      </c>
      <c r="O22" s="411" t="s">
        <v>701</v>
      </c>
      <c r="P22" s="551"/>
      <c r="Q22" s="552"/>
      <c r="R22" s="59">
        <f t="shared" ref="R22" si="1">(COUNTA(C22:Q22))/12</f>
        <v>1</v>
      </c>
      <c r="S22" s="240"/>
      <c r="U22" s="559"/>
      <c r="V22" s="560"/>
      <c r="W22" s="560"/>
      <c r="X22" s="560"/>
      <c r="Y22" s="560"/>
      <c r="Z22" s="561"/>
    </row>
    <row r="23" spans="1:28" ht="27.95" customHeight="1" thickBot="1">
      <c r="A23" s="294" t="s">
        <v>552</v>
      </c>
      <c r="B23" s="295" t="s">
        <v>126</v>
      </c>
      <c r="C23" s="562"/>
      <c r="D23" s="563"/>
      <c r="E23" s="292" t="s">
        <v>720</v>
      </c>
      <c r="F23" s="292" t="s">
        <v>553</v>
      </c>
      <c r="G23" s="292" t="s">
        <v>524</v>
      </c>
      <c r="H23" s="265" t="s">
        <v>691</v>
      </c>
      <c r="I23" s="267" t="s">
        <v>509</v>
      </c>
      <c r="J23" s="280" t="s">
        <v>554</v>
      </c>
      <c r="K23" s="296"/>
      <c r="L23" s="267"/>
      <c r="M23" s="292" t="s">
        <v>719</v>
      </c>
      <c r="N23" s="292" t="s">
        <v>700</v>
      </c>
      <c r="O23" s="292" t="s">
        <v>555</v>
      </c>
      <c r="P23" s="57" t="s">
        <v>717</v>
      </c>
      <c r="Q23" s="292" t="s">
        <v>122</v>
      </c>
      <c r="R23" s="29">
        <f>(COUNTA(C23:Q23))/7</f>
        <v>1.5714285714285714</v>
      </c>
      <c r="S23" s="241"/>
      <c r="U23" s="566" t="s">
        <v>556</v>
      </c>
      <c r="V23" s="567"/>
      <c r="W23" s="567"/>
      <c r="X23" s="567"/>
      <c r="Y23" s="567"/>
      <c r="Z23" s="568"/>
      <c r="AA23" s="297"/>
    </row>
    <row r="24" spans="1:28" ht="27.95" customHeight="1" thickBot="1">
      <c r="A24" s="298"/>
      <c r="B24" s="299" t="s">
        <v>557</v>
      </c>
      <c r="C24" s="564"/>
      <c r="D24" s="565"/>
      <c r="E24" s="261" t="s">
        <v>662</v>
      </c>
      <c r="F24" s="260" t="s">
        <v>130</v>
      </c>
      <c r="G24" s="245" t="s">
        <v>558</v>
      </c>
      <c r="H24" s="261" t="s">
        <v>470</v>
      </c>
      <c r="I24" s="2" t="s">
        <v>559</v>
      </c>
      <c r="J24" s="260" t="s">
        <v>411</v>
      </c>
      <c r="K24" s="245" t="s">
        <v>560</v>
      </c>
      <c r="L24" s="250"/>
      <c r="M24" s="277" t="s">
        <v>561</v>
      </c>
      <c r="N24" s="2" t="s">
        <v>694</v>
      </c>
      <c r="O24" s="261" t="s">
        <v>80</v>
      </c>
      <c r="P24" s="260" t="s">
        <v>464</v>
      </c>
      <c r="Q24" s="261" t="s">
        <v>562</v>
      </c>
      <c r="R24" s="29">
        <f>(COUNTA(C24:Q24))/12</f>
        <v>1</v>
      </c>
      <c r="S24" s="240"/>
      <c r="U24" s="569" t="s">
        <v>563</v>
      </c>
      <c r="V24" s="570"/>
      <c r="W24" s="570"/>
      <c r="X24" s="570"/>
      <c r="Y24" s="570"/>
      <c r="Z24" s="571"/>
    </row>
    <row r="25" spans="1:28" s="241" customFormat="1" ht="9.9499999999999993" customHeight="1" thickBot="1">
      <c r="A25" s="300"/>
      <c r="B25" s="301"/>
      <c r="C25" s="302"/>
      <c r="D25" s="303"/>
      <c r="E25" s="304"/>
      <c r="F25" s="305"/>
      <c r="G25" s="304"/>
      <c r="H25" s="304"/>
      <c r="I25" s="304"/>
      <c r="J25" s="8"/>
      <c r="K25" s="304"/>
      <c r="L25" s="305"/>
      <c r="M25" s="306"/>
      <c r="N25" s="95"/>
      <c r="O25" s="307"/>
      <c r="P25" s="252"/>
      <c r="Q25" s="293"/>
      <c r="R25" s="29"/>
      <c r="S25" s="240"/>
      <c r="U25" s="572"/>
      <c r="V25" s="573"/>
      <c r="W25" s="573"/>
      <c r="X25" s="573"/>
      <c r="Y25" s="573"/>
      <c r="Z25" s="574"/>
      <c r="AA25" s="242"/>
      <c r="AB25" s="241">
        <v>7</v>
      </c>
    </row>
    <row r="26" spans="1:28" s="311" customFormat="1" ht="140.1" customHeight="1">
      <c r="A26" s="578"/>
      <c r="B26" s="470" t="s">
        <v>564</v>
      </c>
      <c r="C26" s="472"/>
      <c r="D26" s="473"/>
      <c r="E26" s="254" t="s">
        <v>683</v>
      </c>
      <c r="F26" s="246" t="s">
        <v>663</v>
      </c>
      <c r="G26" s="254" t="s">
        <v>670</v>
      </c>
      <c r="H26" s="308" t="s">
        <v>678</v>
      </c>
      <c r="I26" s="246" t="s">
        <v>684</v>
      </c>
      <c r="J26" s="246" t="s">
        <v>680</v>
      </c>
      <c r="K26" s="265" t="s">
        <v>705</v>
      </c>
      <c r="L26" s="267"/>
      <c r="M26" s="254" t="s">
        <v>323</v>
      </c>
      <c r="N26" s="309" t="s">
        <v>695</v>
      </c>
      <c r="O26" s="310" t="s">
        <v>708</v>
      </c>
      <c r="P26" s="292" t="s">
        <v>711</v>
      </c>
      <c r="Q26" s="292" t="s">
        <v>715</v>
      </c>
      <c r="R26" s="29">
        <f>(COUNTA(C26:Q26))/12</f>
        <v>1</v>
      </c>
      <c r="S26" s="241"/>
      <c r="U26" s="572"/>
      <c r="V26" s="573"/>
      <c r="W26" s="573"/>
      <c r="X26" s="573"/>
      <c r="Y26" s="573"/>
      <c r="Z26" s="574"/>
      <c r="AA26" s="312"/>
    </row>
    <row r="27" spans="1:28" s="311" customFormat="1" ht="140.1" customHeight="1">
      <c r="A27" s="579"/>
      <c r="B27" s="471"/>
      <c r="C27" s="474"/>
      <c r="D27" s="475"/>
      <c r="E27" s="2" t="s">
        <v>712</v>
      </c>
      <c r="F27" s="2" t="s">
        <v>664</v>
      </c>
      <c r="G27" s="2" t="s">
        <v>704</v>
      </c>
      <c r="H27" s="2" t="s">
        <v>703</v>
      </c>
      <c r="I27" s="2" t="s">
        <v>679</v>
      </c>
      <c r="J27" s="2"/>
      <c r="K27" s="2" t="s">
        <v>710</v>
      </c>
      <c r="L27" s="6"/>
      <c r="M27" s="2" t="s">
        <v>706</v>
      </c>
      <c r="N27" s="308" t="s">
        <v>696</v>
      </c>
      <c r="O27" s="2" t="s">
        <v>707</v>
      </c>
      <c r="P27" s="2" t="s">
        <v>709</v>
      </c>
      <c r="Q27" s="2" t="s">
        <v>716</v>
      </c>
      <c r="R27" s="29"/>
      <c r="S27" s="241"/>
      <c r="U27" s="572"/>
      <c r="V27" s="573"/>
      <c r="W27" s="573"/>
      <c r="X27" s="573"/>
      <c r="Y27" s="573"/>
      <c r="Z27" s="574"/>
      <c r="AA27" s="312"/>
    </row>
    <row r="28" spans="1:28" ht="140.1" customHeight="1" thickBot="1">
      <c r="A28" s="313"/>
      <c r="B28" s="314" t="s">
        <v>565</v>
      </c>
      <c r="C28" s="476"/>
      <c r="D28" s="477"/>
      <c r="E28" s="580" t="s">
        <v>513</v>
      </c>
      <c r="F28" s="581"/>
      <c r="G28" s="250" t="s">
        <v>566</v>
      </c>
      <c r="H28" s="261" t="s">
        <v>681</v>
      </c>
      <c r="I28" s="417" t="s">
        <v>567</v>
      </c>
      <c r="J28" s="259" t="s">
        <v>568</v>
      </c>
      <c r="K28" s="261" t="s">
        <v>569</v>
      </c>
      <c r="L28" s="315"/>
      <c r="M28" s="260" t="s">
        <v>570</v>
      </c>
      <c r="N28" s="259" t="s">
        <v>697</v>
      </c>
      <c r="O28" s="260" t="s">
        <v>571</v>
      </c>
      <c r="P28" s="259" t="s">
        <v>572</v>
      </c>
      <c r="Q28" s="316" t="s">
        <v>573</v>
      </c>
      <c r="R28" s="29">
        <f>(COUNTA(G28:Q28))/10</f>
        <v>1</v>
      </c>
      <c r="S28" s="241"/>
      <c r="T28" s="241"/>
      <c r="U28" s="575"/>
      <c r="V28" s="576"/>
      <c r="W28" s="576"/>
      <c r="X28" s="576"/>
      <c r="Y28" s="576"/>
      <c r="Z28" s="577"/>
    </row>
    <row r="29" spans="1:28" ht="27.95" customHeight="1" thickBot="1">
      <c r="A29" s="243"/>
      <c r="B29" s="317" t="s">
        <v>574</v>
      </c>
      <c r="C29" s="521"/>
      <c r="D29" s="522"/>
      <c r="E29" s="318"/>
      <c r="F29" s="318"/>
      <c r="G29" s="319"/>
      <c r="H29" s="318"/>
      <c r="I29" s="318"/>
      <c r="J29" s="319"/>
      <c r="K29" s="318"/>
      <c r="L29" s="319"/>
      <c r="M29" s="318"/>
      <c r="N29" s="319"/>
      <c r="O29" s="318"/>
      <c r="P29" s="319"/>
      <c r="Q29" s="319"/>
      <c r="R29" s="59"/>
      <c r="S29" s="241"/>
      <c r="T29" s="241"/>
      <c r="U29" s="523" t="s">
        <v>575</v>
      </c>
      <c r="V29" s="524"/>
      <c r="W29" s="524"/>
      <c r="X29" s="524"/>
      <c r="Y29" s="524"/>
      <c r="Z29" s="525"/>
    </row>
    <row r="30" spans="1:28" ht="27" customHeight="1" thickBot="1">
      <c r="A30" s="320"/>
      <c r="B30" s="321"/>
      <c r="C30" s="322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29"/>
      <c r="S30" s="241"/>
      <c r="T30" s="241"/>
      <c r="U30" s="526"/>
      <c r="V30" s="527"/>
      <c r="W30" s="527"/>
      <c r="X30" s="527"/>
      <c r="Y30" s="527"/>
      <c r="Z30" s="528"/>
    </row>
    <row r="31" spans="1:28" s="241" customFormat="1" ht="27.75" customHeight="1" thickBot="1">
      <c r="A31" s="324"/>
      <c r="B31" s="325"/>
      <c r="C31" s="326"/>
      <c r="D31" s="327" t="s">
        <v>576</v>
      </c>
      <c r="E31" s="328" t="s">
        <v>0</v>
      </c>
      <c r="F31" s="329" t="s">
        <v>1</v>
      </c>
      <c r="G31" s="329" t="s">
        <v>2</v>
      </c>
      <c r="H31" s="329" t="s">
        <v>3</v>
      </c>
      <c r="I31" s="329" t="s">
        <v>4</v>
      </c>
      <c r="J31" s="329" t="s">
        <v>5</v>
      </c>
      <c r="K31" s="329" t="s">
        <v>6</v>
      </c>
      <c r="L31" s="330" t="s">
        <v>15</v>
      </c>
      <c r="M31" s="329" t="s">
        <v>8</v>
      </c>
      <c r="N31" s="329" t="s">
        <v>9</v>
      </c>
      <c r="O31" s="329" t="s">
        <v>10</v>
      </c>
      <c r="P31" s="329" t="s">
        <v>11</v>
      </c>
      <c r="Q31" s="331" t="s">
        <v>12</v>
      </c>
      <c r="R31" s="332"/>
      <c r="S31" s="333"/>
      <c r="U31" s="535" t="s">
        <v>239</v>
      </c>
      <c r="V31" s="536"/>
      <c r="W31" s="536"/>
      <c r="X31" s="536"/>
      <c r="Y31" s="536"/>
      <c r="Z31" s="537"/>
      <c r="AA31" s="242"/>
    </row>
    <row r="32" spans="1:28" s="241" customFormat="1" ht="39.950000000000003" customHeight="1">
      <c r="A32" s="223"/>
      <c r="B32" s="335"/>
      <c r="C32" s="335"/>
      <c r="D32" s="529" t="s">
        <v>577</v>
      </c>
      <c r="E32" s="336" t="s">
        <v>578</v>
      </c>
      <c r="F32" s="336" t="s">
        <v>579</v>
      </c>
      <c r="G32" s="336" t="s">
        <v>580</v>
      </c>
      <c r="H32" s="336" t="s">
        <v>581</v>
      </c>
      <c r="I32" s="336" t="s">
        <v>582</v>
      </c>
      <c r="J32" s="336" t="s">
        <v>583</v>
      </c>
      <c r="K32" s="336" t="s">
        <v>584</v>
      </c>
      <c r="L32" s="337"/>
      <c r="M32" s="336" t="s">
        <v>585</v>
      </c>
      <c r="N32" s="336"/>
      <c r="O32" s="336" t="s">
        <v>586</v>
      </c>
      <c r="P32" s="338" t="s">
        <v>423</v>
      </c>
      <c r="Q32" s="336" t="s">
        <v>457</v>
      </c>
      <c r="R32" s="332"/>
      <c r="S32" s="339">
        <v>24</v>
      </c>
      <c r="U32" s="538" t="s">
        <v>714</v>
      </c>
      <c r="V32" s="539"/>
      <c r="W32" s="539"/>
      <c r="X32" s="539"/>
      <c r="Y32" s="539"/>
      <c r="Z32" s="540"/>
      <c r="AA32" s="242"/>
    </row>
    <row r="33" spans="1:27" s="241" customFormat="1" ht="45.75" customHeight="1">
      <c r="A33" s="223"/>
      <c r="B33" s="335"/>
      <c r="C33" s="335"/>
      <c r="D33" s="530"/>
      <c r="E33" s="337"/>
      <c r="F33" s="336" t="s">
        <v>587</v>
      </c>
      <c r="G33" s="337"/>
      <c r="H33" s="336"/>
      <c r="I33" s="337"/>
      <c r="J33" s="336" t="s">
        <v>588</v>
      </c>
      <c r="K33" s="336"/>
      <c r="L33" s="337"/>
      <c r="M33" s="336" t="s">
        <v>589</v>
      </c>
      <c r="N33" s="337" t="s">
        <v>590</v>
      </c>
      <c r="O33" s="336" t="s">
        <v>591</v>
      </c>
      <c r="P33" s="336" t="s">
        <v>590</v>
      </c>
      <c r="Q33" s="336"/>
      <c r="R33" s="340"/>
      <c r="S33" s="339"/>
      <c r="U33" s="541"/>
      <c r="V33" s="542"/>
      <c r="W33" s="542"/>
      <c r="X33" s="542"/>
      <c r="Y33" s="542"/>
      <c r="Z33" s="543"/>
      <c r="AA33" s="242"/>
    </row>
    <row r="34" spans="1:27" s="241" customFormat="1" ht="45.75" customHeight="1">
      <c r="A34" s="223"/>
      <c r="B34" s="335"/>
      <c r="C34" s="335"/>
      <c r="D34" s="341" t="s">
        <v>592</v>
      </c>
      <c r="E34" s="337" t="s">
        <v>593</v>
      </c>
      <c r="F34" s="337"/>
      <c r="G34" s="337" t="s">
        <v>594</v>
      </c>
      <c r="H34" s="342"/>
      <c r="I34" s="343" t="s">
        <v>595</v>
      </c>
      <c r="J34" s="337"/>
      <c r="K34" s="337"/>
      <c r="L34" s="337"/>
      <c r="M34" s="337"/>
      <c r="N34" s="342"/>
      <c r="O34" s="337"/>
      <c r="P34" s="337"/>
      <c r="Q34" s="337" t="s">
        <v>596</v>
      </c>
      <c r="R34" s="344"/>
      <c r="S34" s="345">
        <v>4</v>
      </c>
      <c r="U34" s="541"/>
      <c r="V34" s="542"/>
      <c r="W34" s="542"/>
      <c r="X34" s="542"/>
      <c r="Y34" s="542"/>
      <c r="Z34" s="543"/>
      <c r="AA34" s="242"/>
    </row>
    <row r="35" spans="1:27" ht="99.75" customHeight="1" thickBot="1">
      <c r="D35" s="341" t="s">
        <v>597</v>
      </c>
      <c r="E35" s="336" t="s">
        <v>598</v>
      </c>
      <c r="F35" s="336" t="s">
        <v>599</v>
      </c>
      <c r="G35" s="336"/>
      <c r="H35" s="336" t="s">
        <v>600</v>
      </c>
      <c r="I35" s="336" t="s">
        <v>601</v>
      </c>
      <c r="J35" s="336"/>
      <c r="K35" s="336" t="s">
        <v>602</v>
      </c>
      <c r="L35" s="337"/>
      <c r="M35" s="336" t="s">
        <v>603</v>
      </c>
      <c r="N35" s="336" t="s">
        <v>604</v>
      </c>
      <c r="O35" s="336" t="s">
        <v>605</v>
      </c>
      <c r="P35" s="346" t="s">
        <v>606</v>
      </c>
      <c r="Q35" s="336" t="s">
        <v>607</v>
      </c>
      <c r="R35" s="344"/>
      <c r="S35" s="240">
        <v>19</v>
      </c>
      <c r="U35" s="544"/>
      <c r="V35" s="545"/>
      <c r="W35" s="545"/>
      <c r="X35" s="545"/>
      <c r="Y35" s="545"/>
      <c r="Z35" s="546"/>
    </row>
    <row r="36" spans="1:27" s="311" customFormat="1" ht="42" customHeight="1">
      <c r="A36" s="223"/>
      <c r="B36" s="335"/>
      <c r="C36" s="335"/>
      <c r="D36" s="347" t="s">
        <v>608</v>
      </c>
      <c r="E36" s="336"/>
      <c r="F36" s="336" t="s">
        <v>609</v>
      </c>
      <c r="G36" s="336" t="s">
        <v>610</v>
      </c>
      <c r="H36" s="336" t="s">
        <v>611</v>
      </c>
      <c r="I36" s="336" t="s">
        <v>612</v>
      </c>
      <c r="J36" s="336" t="s">
        <v>613</v>
      </c>
      <c r="K36" s="336" t="s">
        <v>614</v>
      </c>
      <c r="L36" s="348"/>
      <c r="M36" s="336" t="s">
        <v>615</v>
      </c>
      <c r="N36" s="336" t="s">
        <v>616</v>
      </c>
      <c r="O36" s="336" t="s">
        <v>617</v>
      </c>
      <c r="P36" s="336" t="s">
        <v>618</v>
      </c>
      <c r="Q36" s="336" t="s">
        <v>619</v>
      </c>
      <c r="R36" s="349"/>
      <c r="S36" s="345">
        <v>20</v>
      </c>
      <c r="V36" s="334"/>
      <c r="W36" s="334"/>
      <c r="X36" s="334"/>
      <c r="Y36" s="334"/>
      <c r="Z36" s="224"/>
      <c r="AA36" s="312"/>
    </row>
    <row r="37" spans="1:27" ht="42" customHeight="1">
      <c r="D37" s="531"/>
      <c r="E37" s="531"/>
      <c r="F37" s="531"/>
      <c r="G37" s="531"/>
      <c r="H37" s="531"/>
      <c r="I37" s="531"/>
      <c r="J37" s="531"/>
      <c r="K37" s="531"/>
      <c r="L37" s="531"/>
      <c r="M37" s="531"/>
      <c r="N37" s="531"/>
      <c r="O37" s="531"/>
      <c r="P37" s="531"/>
      <c r="Q37" s="531"/>
      <c r="R37" s="531"/>
      <c r="S37" s="345">
        <f>S32+S34+S35+S36</f>
        <v>67</v>
      </c>
      <c r="U37" s="223"/>
      <c r="V37" s="334"/>
      <c r="W37" s="334"/>
      <c r="X37" s="334"/>
      <c r="Y37" s="334"/>
      <c r="Z37" s="350"/>
    </row>
    <row r="38" spans="1:27" ht="42" customHeight="1">
      <c r="D38" s="351"/>
      <c r="E38" s="352" t="s">
        <v>620</v>
      </c>
      <c r="F38" s="353" t="s">
        <v>1</v>
      </c>
      <c r="G38" s="353" t="s">
        <v>2</v>
      </c>
      <c r="H38" s="354" t="s">
        <v>621</v>
      </c>
      <c r="I38" s="355" t="s">
        <v>622</v>
      </c>
      <c r="J38" s="353" t="s">
        <v>623</v>
      </c>
      <c r="K38" s="353" t="s">
        <v>400</v>
      </c>
      <c r="L38" s="330"/>
      <c r="M38" s="353" t="s">
        <v>401</v>
      </c>
      <c r="N38" s="353" t="s">
        <v>9</v>
      </c>
      <c r="O38" s="355" t="s">
        <v>10</v>
      </c>
      <c r="P38" s="353" t="s">
        <v>11</v>
      </c>
      <c r="Q38" s="353" t="s">
        <v>12</v>
      </c>
      <c r="R38" s="356" t="s">
        <v>624</v>
      </c>
      <c r="S38" s="357" t="s">
        <v>625</v>
      </c>
      <c r="U38" s="223"/>
      <c r="V38" s="334"/>
      <c r="W38" s="334"/>
      <c r="X38" s="334"/>
      <c r="Y38" s="334"/>
    </row>
    <row r="39" spans="1:27" ht="39.950000000000003" customHeight="1">
      <c r="D39" s="358" t="s">
        <v>626</v>
      </c>
      <c r="E39" s="359"/>
      <c r="F39" s="360"/>
      <c r="G39" s="360"/>
      <c r="H39" s="361"/>
      <c r="I39" s="362" t="s">
        <v>627</v>
      </c>
      <c r="J39" s="360"/>
      <c r="K39" s="362"/>
      <c r="L39" s="363"/>
      <c r="M39" s="360"/>
      <c r="N39" s="360"/>
      <c r="O39" s="364"/>
      <c r="P39" s="360"/>
      <c r="Q39" s="360"/>
      <c r="R39" s="365"/>
      <c r="S39" s="366"/>
    </row>
    <row r="40" spans="1:27" ht="39.950000000000003" customHeight="1">
      <c r="D40" s="367" t="s">
        <v>628</v>
      </c>
      <c r="E40" s="368"/>
      <c r="F40" s="369"/>
      <c r="G40" s="369"/>
      <c r="H40" s="244"/>
      <c r="I40" s="370" t="s">
        <v>629</v>
      </c>
      <c r="J40" s="244"/>
      <c r="K40" s="369"/>
      <c r="L40" s="337"/>
      <c r="M40" s="370" t="s">
        <v>630</v>
      </c>
      <c r="N40" s="244"/>
      <c r="O40" s="369" t="s">
        <v>631</v>
      </c>
      <c r="P40" s="369"/>
      <c r="Q40" s="244"/>
      <c r="R40" s="371"/>
      <c r="S40" s="372"/>
      <c r="U40" s="532" t="s">
        <v>632</v>
      </c>
      <c r="V40" s="532"/>
      <c r="W40" s="532"/>
      <c r="X40" s="240"/>
      <c r="Y40" s="240"/>
      <c r="Z40" s="240"/>
    </row>
    <row r="41" spans="1:27" ht="39.950000000000003" customHeight="1">
      <c r="D41" s="358" t="s">
        <v>633</v>
      </c>
      <c r="E41" s="368"/>
      <c r="F41" s="244"/>
      <c r="G41" s="369" t="s">
        <v>634</v>
      </c>
      <c r="H41" s="370"/>
      <c r="I41" s="370" t="s">
        <v>206</v>
      </c>
      <c r="J41" s="370" t="s">
        <v>635</v>
      </c>
      <c r="K41" s="370"/>
      <c r="L41" s="251"/>
      <c r="M41" s="370" t="s">
        <v>636</v>
      </c>
      <c r="N41" s="370" t="s">
        <v>637</v>
      </c>
      <c r="O41" s="369"/>
      <c r="P41" s="244"/>
      <c r="Q41" s="373" t="s">
        <v>638</v>
      </c>
      <c r="R41" s="374"/>
      <c r="S41" s="375"/>
      <c r="U41" s="240"/>
      <c r="V41" s="240"/>
      <c r="W41" s="240"/>
      <c r="X41" s="240"/>
      <c r="Y41" s="240"/>
      <c r="Z41" s="240"/>
      <c r="AA41" s="376"/>
    </row>
    <row r="42" spans="1:27" ht="39.950000000000003" customHeight="1">
      <c r="D42" s="367" t="s">
        <v>639</v>
      </c>
      <c r="E42" s="368"/>
      <c r="F42" s="369"/>
      <c r="G42" s="369"/>
      <c r="H42" s="244"/>
      <c r="I42" s="244"/>
      <c r="J42" s="244"/>
      <c r="K42" s="369"/>
      <c r="L42" s="337"/>
      <c r="M42" s="369" t="s">
        <v>640</v>
      </c>
      <c r="N42" s="369"/>
      <c r="O42" s="369"/>
      <c r="P42" s="369"/>
      <c r="Q42" s="369" t="s">
        <v>641</v>
      </c>
      <c r="R42" s="371" t="s">
        <v>214</v>
      </c>
      <c r="S42" s="372"/>
      <c r="U42" s="240"/>
      <c r="V42" s="240"/>
      <c r="W42" s="240"/>
      <c r="X42" s="240"/>
      <c r="Y42" s="240"/>
      <c r="Z42" s="240"/>
      <c r="AA42" s="376"/>
    </row>
    <row r="43" spans="1:27" ht="39.950000000000003" customHeight="1">
      <c r="D43" s="377" t="s">
        <v>642</v>
      </c>
      <c r="E43" s="378"/>
      <c r="F43" s="379"/>
      <c r="G43" s="380"/>
      <c r="H43" s="379"/>
      <c r="I43" s="379"/>
      <c r="J43" s="379"/>
      <c r="K43" s="379"/>
      <c r="L43" s="348"/>
      <c r="M43" s="379"/>
      <c r="N43" s="379"/>
      <c r="O43" s="379"/>
      <c r="P43" s="380"/>
      <c r="Q43" s="379"/>
      <c r="R43" s="381"/>
      <c r="S43" s="382"/>
      <c r="U43" s="240"/>
      <c r="V43" s="240"/>
      <c r="W43" s="240"/>
      <c r="X43" s="240"/>
      <c r="Y43" s="240"/>
      <c r="Z43" s="240"/>
      <c r="AA43" s="376"/>
    </row>
    <row r="44" spans="1:27" ht="39.950000000000003" customHeight="1">
      <c r="C44" s="223"/>
      <c r="D44" s="377" t="s">
        <v>643</v>
      </c>
      <c r="E44" s="378"/>
      <c r="F44" s="379"/>
      <c r="G44" s="380" t="s">
        <v>644</v>
      </c>
      <c r="H44" s="379"/>
      <c r="I44" s="379"/>
      <c r="J44" s="379"/>
      <c r="K44" s="379"/>
      <c r="L44" s="348"/>
      <c r="M44" s="379"/>
      <c r="N44" s="379"/>
      <c r="O44" s="379"/>
      <c r="P44" s="380"/>
      <c r="Q44" s="379"/>
      <c r="R44" s="381"/>
      <c r="S44" s="382"/>
      <c r="U44" s="240"/>
      <c r="V44" s="240"/>
      <c r="W44" s="240"/>
      <c r="X44" s="240"/>
      <c r="Y44" s="240"/>
      <c r="Z44" s="240"/>
      <c r="AA44" s="376"/>
    </row>
    <row r="45" spans="1:27" ht="27.95" customHeight="1">
      <c r="R45" s="383"/>
      <c r="U45" s="240"/>
      <c r="V45" s="240"/>
      <c r="W45" s="240"/>
      <c r="X45" s="240"/>
      <c r="Y45" s="240"/>
      <c r="Z45" s="240"/>
      <c r="AA45" s="376"/>
    </row>
    <row r="46" spans="1:27" ht="27.95" customHeight="1">
      <c r="D46" s="384"/>
      <c r="E46" s="385" t="s">
        <v>0</v>
      </c>
      <c r="F46" s="385" t="s">
        <v>1</v>
      </c>
      <c r="G46" s="385" t="s">
        <v>2</v>
      </c>
      <c r="H46" s="385" t="s">
        <v>3</v>
      </c>
      <c r="I46" s="385" t="s">
        <v>4</v>
      </c>
      <c r="J46" s="385" t="s">
        <v>5</v>
      </c>
      <c r="K46" s="385" t="s">
        <v>218</v>
      </c>
      <c r="L46" s="386"/>
      <c r="M46" s="385" t="s">
        <v>8</v>
      </c>
      <c r="N46" s="385" t="s">
        <v>9</v>
      </c>
      <c r="O46" s="385" t="s">
        <v>10</v>
      </c>
      <c r="P46" s="385" t="s">
        <v>11</v>
      </c>
      <c r="Q46" s="385" t="s">
        <v>12</v>
      </c>
      <c r="R46" s="387" t="s">
        <v>13</v>
      </c>
      <c r="AA46" s="376"/>
    </row>
    <row r="47" spans="1:27" ht="27.95" customHeight="1">
      <c r="B47" s="388"/>
      <c r="D47" s="389" t="s">
        <v>219</v>
      </c>
      <c r="E47" s="336" t="s">
        <v>645</v>
      </c>
      <c r="F47" s="390" t="s">
        <v>646</v>
      </c>
      <c r="G47" s="336" t="s">
        <v>450</v>
      </c>
      <c r="H47" s="336"/>
      <c r="I47" s="3" t="s">
        <v>646</v>
      </c>
      <c r="J47" s="247" t="s">
        <v>464</v>
      </c>
      <c r="K47" s="336" t="s">
        <v>404</v>
      </c>
      <c r="L47" s="337"/>
      <c r="M47" s="390" t="s">
        <v>647</v>
      </c>
      <c r="N47" s="390"/>
      <c r="O47" s="391" t="s">
        <v>648</v>
      </c>
      <c r="P47" s="390" t="s">
        <v>649</v>
      </c>
      <c r="Q47" s="391"/>
      <c r="R47" s="392"/>
    </row>
    <row r="48" spans="1:27" s="342" customFormat="1" ht="27.95" customHeight="1">
      <c r="A48" s="223"/>
      <c r="B48" s="335"/>
      <c r="C48" s="335"/>
      <c r="D48" s="389" t="s">
        <v>650</v>
      </c>
      <c r="E48" s="533"/>
      <c r="F48" s="534"/>
      <c r="G48" s="390"/>
      <c r="H48" s="390" t="s">
        <v>651</v>
      </c>
      <c r="I48" s="3" t="s">
        <v>508</v>
      </c>
      <c r="J48" s="393"/>
      <c r="K48" s="391" t="s">
        <v>652</v>
      </c>
      <c r="L48" s="394"/>
      <c r="M48" s="395" t="s">
        <v>653</v>
      </c>
      <c r="N48" s="396"/>
      <c r="O48" s="395"/>
      <c r="P48" s="346"/>
      <c r="Q48" s="395"/>
      <c r="R48" s="397"/>
      <c r="S48" s="223"/>
      <c r="T48" s="223"/>
      <c r="U48" s="224"/>
      <c r="V48" s="224"/>
      <c r="W48" s="224"/>
      <c r="X48" s="224"/>
      <c r="Y48" s="224"/>
      <c r="Z48" s="224"/>
      <c r="AA48" s="225"/>
    </row>
    <row r="49" spans="1:27" s="342" customFormat="1" ht="27.95" customHeight="1">
      <c r="A49" s="223"/>
      <c r="B49" s="335"/>
      <c r="C49" s="335"/>
      <c r="D49" s="389" t="s">
        <v>654</v>
      </c>
      <c r="E49" s="398"/>
      <c r="F49" s="399" t="s">
        <v>655</v>
      </c>
      <c r="G49" s="400"/>
      <c r="H49" s="400"/>
      <c r="I49" s="401"/>
      <c r="J49" s="401"/>
      <c r="K49" s="398"/>
      <c r="L49" s="402"/>
      <c r="M49" s="398"/>
      <c r="N49" s="398"/>
      <c r="O49" s="398"/>
      <c r="P49" s="398"/>
      <c r="Q49" s="398"/>
      <c r="R49" s="403"/>
      <c r="S49" s="223"/>
      <c r="T49" s="223"/>
      <c r="U49" s="224"/>
      <c r="V49" s="224"/>
      <c r="W49" s="224"/>
      <c r="X49" s="224"/>
      <c r="Y49" s="224"/>
      <c r="Z49" s="224"/>
      <c r="AA49" s="225"/>
    </row>
    <row r="50" spans="1:27" s="342" customFormat="1" ht="39.950000000000003" customHeight="1">
      <c r="A50" s="223"/>
      <c r="B50" s="335"/>
      <c r="C50" s="335"/>
      <c r="D50" s="335"/>
      <c r="E50" s="335"/>
      <c r="F50" s="335"/>
      <c r="G50" s="335"/>
      <c r="H50" s="335"/>
      <c r="I50" s="335"/>
      <c r="J50" s="335"/>
      <c r="K50" s="335"/>
      <c r="M50" s="223"/>
      <c r="N50" s="223"/>
      <c r="O50" s="223"/>
      <c r="P50" s="223"/>
      <c r="Q50" s="223"/>
      <c r="R50" s="404"/>
      <c r="S50" s="223"/>
      <c r="T50" s="223"/>
      <c r="U50" s="224"/>
      <c r="V50" s="224"/>
      <c r="W50" s="224"/>
      <c r="X50" s="224"/>
      <c r="Y50" s="224"/>
      <c r="Z50" s="224"/>
      <c r="AA50" s="225"/>
    </row>
    <row r="51" spans="1:27" s="342" customFormat="1" ht="24" hidden="1" customHeight="1">
      <c r="A51" s="223"/>
      <c r="B51" s="335"/>
      <c r="C51" s="335"/>
      <c r="D51" s="335"/>
      <c r="E51" s="385" t="s">
        <v>0</v>
      </c>
      <c r="F51" s="385" t="s">
        <v>1</v>
      </c>
      <c r="G51" s="385" t="s">
        <v>2</v>
      </c>
      <c r="H51" s="385" t="s">
        <v>3</v>
      </c>
      <c r="I51" s="385" t="s">
        <v>4</v>
      </c>
      <c r="J51" s="385" t="s">
        <v>5</v>
      </c>
      <c r="K51" s="385" t="s">
        <v>218</v>
      </c>
      <c r="L51" s="386"/>
      <c r="M51" s="385" t="s">
        <v>8</v>
      </c>
      <c r="N51" s="385" t="s">
        <v>9</v>
      </c>
      <c r="O51" s="385" t="s">
        <v>10</v>
      </c>
      <c r="P51" s="385" t="s">
        <v>11</v>
      </c>
      <c r="Q51" s="385" t="s">
        <v>12</v>
      </c>
      <c r="R51" s="387" t="s">
        <v>13</v>
      </c>
      <c r="S51" s="223"/>
      <c r="T51" s="223"/>
      <c r="U51" s="224"/>
      <c r="V51" s="224"/>
      <c r="W51" s="224"/>
      <c r="X51" s="224"/>
      <c r="Y51" s="224"/>
      <c r="Z51" s="224"/>
      <c r="AA51" s="225"/>
    </row>
    <row r="52" spans="1:27" s="342" customFormat="1" ht="39.950000000000003" hidden="1" customHeight="1">
      <c r="A52" s="223"/>
      <c r="B52" s="335"/>
      <c r="C52" s="335"/>
      <c r="D52" s="389"/>
      <c r="E52" s="336"/>
      <c r="F52" s="336"/>
      <c r="G52" s="336"/>
      <c r="H52" s="336"/>
      <c r="I52" s="336"/>
      <c r="J52" s="247"/>
      <c r="K52" s="336"/>
      <c r="L52" s="337"/>
      <c r="M52" s="405" t="s">
        <v>470</v>
      </c>
      <c r="N52" s="338"/>
      <c r="O52" s="336"/>
      <c r="P52" s="346"/>
      <c r="Q52" s="336"/>
      <c r="R52" s="371"/>
      <c r="S52" s="223"/>
      <c r="T52" s="223"/>
      <c r="U52" s="224"/>
      <c r="V52" s="224"/>
      <c r="W52" s="224"/>
      <c r="X52" s="224"/>
      <c r="Y52" s="224"/>
      <c r="Z52" s="224"/>
      <c r="AA52" s="225"/>
    </row>
    <row r="53" spans="1:27" s="342" customFormat="1" ht="41.25" hidden="1" customHeight="1" thickBot="1">
      <c r="A53" s="223"/>
      <c r="B53" s="335"/>
      <c r="C53" s="335"/>
      <c r="D53" s="389"/>
      <c r="E53" s="379"/>
      <c r="F53" s="399"/>
      <c r="G53" s="380"/>
      <c r="H53" s="406" t="s">
        <v>656</v>
      </c>
      <c r="I53" s="399" t="s">
        <v>508</v>
      </c>
      <c r="J53" s="380"/>
      <c r="K53" s="407" t="s">
        <v>124</v>
      </c>
      <c r="L53" s="250"/>
      <c r="M53" s="408"/>
      <c r="N53" s="259" t="s">
        <v>657</v>
      </c>
      <c r="O53" s="409" t="s">
        <v>658</v>
      </c>
      <c r="P53" s="407" t="s">
        <v>659</v>
      </c>
      <c r="Q53" s="379"/>
      <c r="R53" s="381"/>
      <c r="S53" s="410" t="s">
        <v>14</v>
      </c>
      <c r="T53" s="223"/>
      <c r="U53" s="224"/>
      <c r="V53" s="224"/>
      <c r="W53" s="224"/>
      <c r="X53" s="224"/>
      <c r="Y53" s="224"/>
      <c r="Z53" s="224"/>
      <c r="AA53" s="225"/>
    </row>
    <row r="54" spans="1:27" s="342" customFormat="1">
      <c r="A54" s="223"/>
      <c r="B54" s="335"/>
      <c r="C54" s="335"/>
      <c r="D54" s="335"/>
      <c r="E54" s="223"/>
      <c r="F54" s="223"/>
      <c r="G54" s="223"/>
      <c r="H54" s="223"/>
      <c r="I54" s="223"/>
      <c r="J54" s="223"/>
      <c r="K54" s="223"/>
      <c r="M54" s="223"/>
      <c r="N54" s="223"/>
      <c r="O54" s="223"/>
      <c r="P54" s="223"/>
      <c r="Q54" s="223"/>
      <c r="R54" s="404"/>
      <c r="S54" s="223"/>
      <c r="T54" s="223"/>
      <c r="U54" s="224"/>
      <c r="V54" s="224"/>
      <c r="W54" s="224"/>
      <c r="X54" s="224"/>
      <c r="Y54" s="224"/>
      <c r="Z54" s="224"/>
      <c r="AA54" s="225"/>
    </row>
    <row r="66" ht="16.5" customHeight="1"/>
    <row r="68" ht="16.5" customHeight="1"/>
    <row r="70" ht="16.5" customHeight="1"/>
    <row r="72" ht="16.5" customHeight="1"/>
  </sheetData>
  <mergeCells count="30">
    <mergeCell ref="A1:Q1"/>
    <mergeCell ref="A2:Q2"/>
    <mergeCell ref="U2:Z3"/>
    <mergeCell ref="C4:D9"/>
    <mergeCell ref="U4:Z4"/>
    <mergeCell ref="U5:Z8"/>
    <mergeCell ref="U9:Z9"/>
    <mergeCell ref="P10:Q14"/>
    <mergeCell ref="U10:Z18"/>
    <mergeCell ref="C15:D19"/>
    <mergeCell ref="E18:F18"/>
    <mergeCell ref="E19:F19"/>
    <mergeCell ref="U19:Z19"/>
    <mergeCell ref="C23:D24"/>
    <mergeCell ref="U23:Z23"/>
    <mergeCell ref="U24:Z28"/>
    <mergeCell ref="A26:A27"/>
    <mergeCell ref="B26:B27"/>
    <mergeCell ref="C26:D28"/>
    <mergeCell ref="E28:F28"/>
    <mergeCell ref="E48:F48"/>
    <mergeCell ref="U31:Z31"/>
    <mergeCell ref="U32:Z35"/>
    <mergeCell ref="P20:Q22"/>
    <mergeCell ref="U20:Z22"/>
    <mergeCell ref="C29:D29"/>
    <mergeCell ref="U29:Z30"/>
    <mergeCell ref="D32:D33"/>
    <mergeCell ref="D37:R37"/>
    <mergeCell ref="U40:W40"/>
  </mergeCells>
  <phoneticPr fontId="60" type="noConversion"/>
  <conditionalFormatting sqref="O85:O86">
    <cfRule type="uniqueValues" dxfId="2" priority="3"/>
  </conditionalFormatting>
  <conditionalFormatting sqref="M79:M80">
    <cfRule type="uniqueValues" dxfId="1" priority="2"/>
  </conditionalFormatting>
  <conditionalFormatting sqref="N85:N86">
    <cfRule type="uniqueValues" dxfId="0" priority="1"/>
  </conditionalFormatting>
  <printOptions horizontalCentered="1"/>
  <pageMargins left="0" right="0" top="0" bottom="0" header="0" footer="0"/>
  <pageSetup paperSize="9" scale="28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12.1</vt:lpstr>
      <vt:lpstr>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2025-12-02T06:57:03Z</cp:lastPrinted>
  <dcterms:created xsi:type="dcterms:W3CDTF">2025-10-02T08:00:50Z</dcterms:created>
  <dcterms:modified xsi:type="dcterms:W3CDTF">2025-12-02T07:31:15Z</dcterms:modified>
</cp:coreProperties>
</file>