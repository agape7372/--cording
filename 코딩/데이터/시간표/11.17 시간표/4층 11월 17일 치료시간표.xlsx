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queen\Desktop\스케줄\"/>
    </mc:Choice>
  </mc:AlternateContent>
  <bookViews>
    <workbookView xWindow="0" yWindow="0" windowWidth="28800" windowHeight="12285" activeTab="11"/>
  </bookViews>
  <sheets>
    <sheet name="11월" sheetId="47" r:id="rId1"/>
    <sheet name="11.3" sheetId="46" r:id="rId2"/>
    <sheet name="11.4" sheetId="48" r:id="rId3"/>
    <sheet name="11.5" sheetId="50" r:id="rId4"/>
    <sheet name="11.6" sheetId="51" r:id="rId5"/>
    <sheet name="11.7" sheetId="52" r:id="rId6"/>
    <sheet name="11.10" sheetId="53" r:id="rId7"/>
    <sheet name="11.11" sheetId="54" r:id="rId8"/>
    <sheet name="11.12" sheetId="55" r:id="rId9"/>
    <sheet name="11.13" sheetId="56" r:id="rId10"/>
    <sheet name="11.14" sheetId="57" r:id="rId11"/>
    <sheet name="11.17" sheetId="58" r:id="rId12"/>
    <sheet name="HOLD지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58" l="1"/>
  <c r="R34" i="58"/>
  <c r="R32" i="58"/>
  <c r="R30" i="58"/>
  <c r="R29" i="58"/>
  <c r="R27" i="58"/>
  <c r="R25" i="58"/>
  <c r="R24" i="58"/>
  <c r="R23" i="58"/>
  <c r="R22" i="58"/>
  <c r="R20" i="58"/>
  <c r="R19" i="58"/>
  <c r="R18" i="58"/>
  <c r="R17" i="58"/>
  <c r="R16" i="58"/>
  <c r="R15" i="58"/>
  <c r="R14" i="58"/>
  <c r="R13" i="58"/>
  <c r="R12" i="58"/>
  <c r="R11" i="58"/>
  <c r="R9" i="58"/>
  <c r="R8" i="58"/>
  <c r="R7" i="58"/>
  <c r="R5" i="58"/>
  <c r="R4" i="58"/>
  <c r="R3" i="58" l="1"/>
  <c r="R34" i="57"/>
  <c r="R32" i="57"/>
  <c r="R30" i="57"/>
  <c r="R29" i="57"/>
  <c r="R27" i="57"/>
  <c r="R25" i="57"/>
  <c r="R24" i="57"/>
  <c r="R23" i="57"/>
  <c r="R22" i="57"/>
  <c r="R20" i="57"/>
  <c r="R19" i="57"/>
  <c r="R18" i="57"/>
  <c r="R17" i="57"/>
  <c r="R16" i="57"/>
  <c r="R15" i="57"/>
  <c r="R14" i="57"/>
  <c r="R13" i="57"/>
  <c r="R12" i="57"/>
  <c r="R11" i="57"/>
  <c r="R10" i="57"/>
  <c r="R9" i="57"/>
  <c r="R8" i="57"/>
  <c r="R6" i="57"/>
  <c r="R5" i="57"/>
  <c r="R4" i="57"/>
  <c r="R3" i="57" l="1"/>
  <c r="R34" i="56"/>
  <c r="R32" i="56"/>
  <c r="R30" i="56"/>
  <c r="R29" i="56"/>
  <c r="R27" i="56"/>
  <c r="R25" i="56"/>
  <c r="R24" i="56"/>
  <c r="R23" i="56"/>
  <c r="R22" i="56"/>
  <c r="R20" i="56"/>
  <c r="R19" i="56"/>
  <c r="R18" i="56"/>
  <c r="R17" i="56"/>
  <c r="R16" i="56"/>
  <c r="R15" i="56"/>
  <c r="R14" i="56"/>
  <c r="R13" i="56"/>
  <c r="R12" i="56"/>
  <c r="R11" i="56"/>
  <c r="R10" i="56"/>
  <c r="R9" i="56"/>
  <c r="R8" i="56"/>
  <c r="R6" i="56"/>
  <c r="R5" i="56"/>
  <c r="R4" i="56"/>
  <c r="R3" i="56" l="1"/>
  <c r="S34" i="55"/>
  <c r="S32" i="55"/>
  <c r="S30" i="55"/>
  <c r="S29" i="55"/>
  <c r="S27" i="55"/>
  <c r="S25" i="55"/>
  <c r="S24" i="55"/>
  <c r="S23" i="55"/>
  <c r="S22" i="55"/>
  <c r="S20" i="55"/>
  <c r="S19" i="55"/>
  <c r="S18" i="55"/>
  <c r="S17" i="55"/>
  <c r="S16" i="55"/>
  <c r="S15" i="55"/>
  <c r="S14" i="55"/>
  <c r="S13" i="55"/>
  <c r="S12" i="55"/>
  <c r="S11" i="55"/>
  <c r="S10" i="55"/>
  <c r="S9" i="55"/>
  <c r="S8" i="55"/>
  <c r="S6" i="55"/>
  <c r="S5" i="55"/>
  <c r="S4" i="55"/>
  <c r="S3" i="55" l="1"/>
  <c r="R34" i="54"/>
  <c r="R32" i="54"/>
  <c r="R30" i="54"/>
  <c r="R29" i="54"/>
  <c r="R27" i="54"/>
  <c r="R25" i="54"/>
  <c r="R24" i="54"/>
  <c r="R23" i="54"/>
  <c r="R22" i="54"/>
  <c r="R20" i="54"/>
  <c r="R19" i="54"/>
  <c r="R18" i="54"/>
  <c r="R17" i="54"/>
  <c r="R16" i="54"/>
  <c r="R15" i="54"/>
  <c r="R14" i="54"/>
  <c r="R13" i="54"/>
  <c r="R12" i="54"/>
  <c r="R11" i="54"/>
  <c r="R10" i="54"/>
  <c r="R9" i="54"/>
  <c r="R8" i="54"/>
  <c r="R6" i="54"/>
  <c r="R5" i="54"/>
  <c r="R4" i="54"/>
  <c r="R3" i="54" l="1"/>
  <c r="R34" i="53"/>
  <c r="R32" i="53"/>
  <c r="R30" i="53"/>
  <c r="R29" i="53"/>
  <c r="R27" i="53"/>
  <c r="R25" i="53"/>
  <c r="R24" i="53"/>
  <c r="R23" i="53"/>
  <c r="R22" i="53"/>
  <c r="R20" i="53"/>
  <c r="R19" i="53"/>
  <c r="R18" i="53"/>
  <c r="R17" i="53"/>
  <c r="R16" i="53"/>
  <c r="R15" i="53"/>
  <c r="R14" i="53"/>
  <c r="R13" i="53"/>
  <c r="R12" i="53"/>
  <c r="R11" i="53"/>
  <c r="R10" i="53"/>
  <c r="R9" i="53"/>
  <c r="R8" i="53"/>
  <c r="R6" i="53"/>
  <c r="R5" i="53"/>
  <c r="R4" i="53"/>
  <c r="R3" i="53" l="1"/>
  <c r="R34" i="52"/>
  <c r="R32" i="52"/>
  <c r="R30" i="52"/>
  <c r="R29" i="52"/>
  <c r="R27" i="52"/>
  <c r="R25" i="52"/>
  <c r="R24" i="52"/>
  <c r="R23" i="52"/>
  <c r="R22" i="52"/>
  <c r="R20" i="52"/>
  <c r="R19" i="52"/>
  <c r="R18" i="52"/>
  <c r="R17" i="52"/>
  <c r="R16" i="52"/>
  <c r="R15" i="52"/>
  <c r="R14" i="52"/>
  <c r="R13" i="52"/>
  <c r="R12" i="52"/>
  <c r="R11" i="52"/>
  <c r="R10" i="52"/>
  <c r="R9" i="52"/>
  <c r="R8" i="52"/>
  <c r="R6" i="52"/>
  <c r="R5" i="52"/>
  <c r="R4" i="52"/>
  <c r="R3" i="52" l="1"/>
  <c r="R34" i="51"/>
  <c r="R32" i="51"/>
  <c r="S30" i="51"/>
  <c r="R30" i="51"/>
  <c r="S29" i="51"/>
  <c r="R29" i="51"/>
  <c r="S28" i="51"/>
  <c r="S27" i="51"/>
  <c r="R27" i="51"/>
  <c r="S26" i="51"/>
  <c r="S25" i="51"/>
  <c r="R25" i="51"/>
  <c r="S24" i="51"/>
  <c r="R24" i="51"/>
  <c r="S23" i="51"/>
  <c r="R23" i="51"/>
  <c r="S22" i="51"/>
  <c r="R22" i="51"/>
  <c r="S20" i="51"/>
  <c r="R20" i="51"/>
  <c r="R19" i="51"/>
  <c r="S18" i="51"/>
  <c r="R18" i="51"/>
  <c r="R17" i="51"/>
  <c r="S16" i="51"/>
  <c r="R16" i="51"/>
  <c r="R15" i="51"/>
  <c r="S14" i="51"/>
  <c r="R14" i="51"/>
  <c r="S13" i="51"/>
  <c r="R13" i="51"/>
  <c r="R12" i="51"/>
  <c r="S11" i="51"/>
  <c r="R11" i="51"/>
  <c r="S10" i="51"/>
  <c r="R10" i="51"/>
  <c r="S9" i="51"/>
  <c r="R9" i="51"/>
  <c r="S8" i="51"/>
  <c r="R8" i="51"/>
  <c r="S6" i="51"/>
  <c r="R6" i="51"/>
  <c r="R5" i="51"/>
  <c r="S4" i="51"/>
  <c r="R4" i="51"/>
  <c r="R3" i="51" l="1"/>
  <c r="R34" i="50"/>
  <c r="R32" i="50"/>
  <c r="S30" i="50"/>
  <c r="R30" i="50"/>
  <c r="S29" i="50"/>
  <c r="R29" i="50"/>
  <c r="S28" i="50"/>
  <c r="S27" i="50"/>
  <c r="R27" i="50"/>
  <c r="S26" i="50"/>
  <c r="S25" i="50"/>
  <c r="R25" i="50"/>
  <c r="S24" i="50"/>
  <c r="R24" i="50"/>
  <c r="S23" i="50"/>
  <c r="R23" i="50"/>
  <c r="S22" i="50"/>
  <c r="R22" i="50"/>
  <c r="S20" i="50"/>
  <c r="R20" i="50"/>
  <c r="R19" i="50"/>
  <c r="S18" i="50"/>
  <c r="R18" i="50"/>
  <c r="R17" i="50"/>
  <c r="S16" i="50"/>
  <c r="R16" i="50"/>
  <c r="R15" i="50"/>
  <c r="S14" i="50"/>
  <c r="R14" i="50"/>
  <c r="S13" i="50"/>
  <c r="R13" i="50"/>
  <c r="R12" i="50"/>
  <c r="S11" i="50"/>
  <c r="R11" i="50"/>
  <c r="S10" i="50"/>
  <c r="R10" i="50"/>
  <c r="S9" i="50"/>
  <c r="R9" i="50"/>
  <c r="S8" i="50"/>
  <c r="R8" i="50"/>
  <c r="S6" i="50"/>
  <c r="R6" i="50"/>
  <c r="R5" i="50"/>
  <c r="S4" i="50"/>
  <c r="R4" i="50"/>
  <c r="R3" i="50" l="1"/>
  <c r="R32" i="48"/>
  <c r="R30" i="48"/>
  <c r="S28" i="48"/>
  <c r="R28" i="48"/>
  <c r="S27" i="48"/>
  <c r="R27" i="48"/>
  <c r="S26" i="48"/>
  <c r="S25" i="48"/>
  <c r="R25" i="48"/>
  <c r="S24" i="48"/>
  <c r="S23" i="48"/>
  <c r="R23" i="48"/>
  <c r="S22" i="48"/>
  <c r="R22" i="48"/>
  <c r="S21" i="48"/>
  <c r="R21" i="48"/>
  <c r="S20" i="48"/>
  <c r="R20" i="48"/>
  <c r="S19" i="48"/>
  <c r="R19" i="48"/>
  <c r="R18" i="48"/>
  <c r="S17" i="48"/>
  <c r="R17" i="48"/>
  <c r="R16" i="48"/>
  <c r="S15" i="48"/>
  <c r="R15" i="48"/>
  <c r="R14" i="48"/>
  <c r="S13" i="48"/>
  <c r="R13" i="48"/>
  <c r="S12" i="48"/>
  <c r="R12" i="48"/>
  <c r="R11" i="48"/>
  <c r="S10" i="48"/>
  <c r="R10" i="48"/>
  <c r="S9" i="48"/>
  <c r="R9" i="48"/>
  <c r="S8" i="48"/>
  <c r="R8" i="48"/>
  <c r="S7" i="48"/>
  <c r="R7" i="48"/>
  <c r="S6" i="48"/>
  <c r="R6" i="48"/>
  <c r="R5" i="48"/>
  <c r="S4" i="48"/>
  <c r="R4" i="48"/>
  <c r="R3" i="48" l="1"/>
  <c r="R33" i="47"/>
  <c r="R31" i="47"/>
  <c r="R29" i="47"/>
  <c r="R28" i="47"/>
  <c r="R26" i="47"/>
  <c r="R24" i="47"/>
  <c r="R23" i="47"/>
  <c r="R22" i="47"/>
  <c r="R21" i="47"/>
  <c r="R19" i="47"/>
  <c r="R18" i="47"/>
  <c r="R17" i="47"/>
  <c r="R16" i="47"/>
  <c r="R15" i="47"/>
  <c r="R14" i="47"/>
  <c r="R13" i="47"/>
  <c r="R12" i="47"/>
  <c r="R11" i="47"/>
  <c r="R10" i="47"/>
  <c r="R9" i="47"/>
  <c r="R8" i="47"/>
  <c r="R7" i="47"/>
  <c r="R5" i="47"/>
  <c r="R4" i="47"/>
  <c r="R3" i="47" l="1"/>
  <c r="S28" i="46"/>
  <c r="S27" i="46"/>
  <c r="S26" i="46"/>
  <c r="S25" i="46"/>
  <c r="S24" i="46"/>
  <c r="S23" i="46"/>
  <c r="S22" i="46"/>
  <c r="S21" i="46"/>
  <c r="S20" i="46"/>
  <c r="S19" i="46"/>
  <c r="S17" i="46"/>
  <c r="S15" i="46"/>
  <c r="S13" i="46"/>
  <c r="S12" i="46"/>
  <c r="S10" i="46"/>
  <c r="S9" i="46"/>
  <c r="S8" i="46"/>
  <c r="S7" i="46"/>
  <c r="S6" i="46"/>
  <c r="S4" i="46"/>
</calcChain>
</file>

<file path=xl/sharedStrings.xml><?xml version="1.0" encoding="utf-8"?>
<sst xmlns="http://schemas.openxmlformats.org/spreadsheetml/2006/main" count="5523" uniqueCount="1044">
  <si>
    <t>8:30~
9:00</t>
    <phoneticPr fontId="3" type="noConversion"/>
  </si>
  <si>
    <t>9:05~
9:35</t>
  </si>
  <si>
    <t>9:40~
10:10</t>
  </si>
  <si>
    <t>10:15~
10:45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</si>
  <si>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</si>
  <si>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</si>
  <si>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</si>
  <si>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</si>
  <si>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</si>
  <si>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</si>
  <si>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RM정태철</t>
    <phoneticPr fontId="3" type="noConversion"/>
  </si>
  <si>
    <t>N박명숙10</t>
    <phoneticPr fontId="3" type="noConversion"/>
  </si>
  <si>
    <t>N권정숙</t>
    <phoneticPr fontId="3" type="noConversion"/>
  </si>
  <si>
    <t>N최무정</t>
  </si>
  <si>
    <t>범성희</t>
    <phoneticPr fontId="3" type="noConversion"/>
  </si>
  <si>
    <t>CA권순예</t>
    <phoneticPr fontId="3" type="noConversion"/>
  </si>
  <si>
    <t>RA정농숙</t>
    <phoneticPr fontId="3" type="noConversion"/>
  </si>
  <si>
    <t>CA이묘헌</t>
    <phoneticPr fontId="3" type="noConversion"/>
  </si>
  <si>
    <t>CA조희자</t>
    <phoneticPr fontId="3" type="noConversion"/>
  </si>
  <si>
    <t>RA김진권2</t>
    <phoneticPr fontId="3" type="noConversion"/>
  </si>
  <si>
    <t>CA김태수5</t>
    <phoneticPr fontId="3" type="noConversion"/>
  </si>
  <si>
    <t>RA우병주</t>
    <phoneticPr fontId="3" type="noConversion"/>
  </si>
  <si>
    <t>CA우재천</t>
    <phoneticPr fontId="3" type="noConversion"/>
  </si>
  <si>
    <t>CA장현성</t>
    <phoneticPr fontId="3" type="noConversion"/>
  </si>
  <si>
    <t>RA채규칠</t>
    <phoneticPr fontId="3" type="noConversion"/>
  </si>
  <si>
    <t>RD정태철</t>
    <phoneticPr fontId="3" type="noConversion"/>
  </si>
  <si>
    <t>이소미</t>
    <phoneticPr fontId="3" type="noConversion"/>
  </si>
  <si>
    <t>D홍은남</t>
    <phoneticPr fontId="3" type="noConversion"/>
  </si>
  <si>
    <t>CA정상범3</t>
    <phoneticPr fontId="3" type="noConversion"/>
  </si>
  <si>
    <t>RA황춘자</t>
  </si>
  <si>
    <t>D송병태</t>
    <phoneticPr fontId="3" type="noConversion"/>
  </si>
  <si>
    <t>김유나</t>
  </si>
  <si>
    <t>10:15~
10:45</t>
  </si>
  <si>
    <t>10:50~
11:20</t>
  </si>
  <si>
    <t>11:25~
11:55</t>
  </si>
  <si>
    <t>12:00~ 
12:30</t>
  </si>
  <si>
    <t xml:space="preserve"> </t>
  </si>
  <si>
    <t>13:30~
14:00</t>
  </si>
  <si>
    <t>2층 도수</t>
    <phoneticPr fontId="3" type="noConversion"/>
  </si>
  <si>
    <t>시간표 변경사항</t>
    <phoneticPr fontId="3" type="noConversion"/>
  </si>
  <si>
    <t>당일 변경사항</t>
    <phoneticPr fontId="3" type="noConversion"/>
  </si>
  <si>
    <t xml:space="preserve">     * 신환</t>
    <phoneticPr fontId="3" type="noConversion"/>
  </si>
  <si>
    <t xml:space="preserve"> </t>
    <phoneticPr fontId="3" type="noConversion"/>
  </si>
  <si>
    <t xml:space="preserve">    * 변경사항</t>
    <phoneticPr fontId="3" type="noConversion"/>
  </si>
  <si>
    <t>RA신명숙6</t>
    <phoneticPr fontId="3" type="noConversion"/>
  </si>
  <si>
    <t>N김인기3</t>
  </si>
  <si>
    <t>N박창현3</t>
    <phoneticPr fontId="3" type="noConversion"/>
  </si>
  <si>
    <t>CA박창현3</t>
    <phoneticPr fontId="3" type="noConversion"/>
  </si>
  <si>
    <t>N강점귀
N정상범3</t>
    <phoneticPr fontId="3" type="noConversion"/>
  </si>
  <si>
    <t>C김태수5</t>
    <phoneticPr fontId="3" type="noConversion"/>
  </si>
  <si>
    <t>RA김긍회</t>
    <phoneticPr fontId="3" type="noConversion"/>
  </si>
  <si>
    <t>RS차미영3</t>
    <phoneticPr fontId="3" type="noConversion"/>
  </si>
  <si>
    <t>RA김긍회</t>
  </si>
  <si>
    <t>RM염재호</t>
    <phoneticPr fontId="3" type="noConversion"/>
  </si>
  <si>
    <t>RA염재호</t>
    <phoneticPr fontId="3" type="noConversion"/>
  </si>
  <si>
    <t>RD황춘자</t>
    <phoneticPr fontId="3" type="noConversion"/>
  </si>
  <si>
    <t>N손재영</t>
  </si>
  <si>
    <t>RG조덕선</t>
    <phoneticPr fontId="3" type="noConversion"/>
  </si>
  <si>
    <t>RA김순자20</t>
    <phoneticPr fontId="3" type="noConversion"/>
  </si>
  <si>
    <t>이혜림</t>
    <phoneticPr fontId="3" type="noConversion"/>
  </si>
  <si>
    <t>김진철4
RG2R채규칠</t>
    <phoneticPr fontId="3" type="noConversion"/>
  </si>
  <si>
    <t>RG2R황춘자</t>
  </si>
  <si>
    <t>CA이경순10</t>
    <phoneticPr fontId="3" type="noConversion"/>
  </si>
  <si>
    <t>C손재영
C이주민</t>
    <phoneticPr fontId="3" type="noConversion"/>
  </si>
  <si>
    <t>N이주민</t>
    <phoneticPr fontId="3" type="noConversion"/>
  </si>
  <si>
    <t>C정상범3</t>
  </si>
  <si>
    <t>C장덕한</t>
  </si>
  <si>
    <t>RN정태철</t>
  </si>
  <si>
    <t>RA정태철</t>
  </si>
  <si>
    <t>RD정태철</t>
  </si>
  <si>
    <t>RA맹형열</t>
    <phoneticPr fontId="3" type="noConversion"/>
  </si>
  <si>
    <t>RA이인기</t>
  </si>
  <si>
    <t>RA이인기</t>
    <phoneticPr fontId="3" type="noConversion"/>
  </si>
  <si>
    <t>G김동선</t>
  </si>
  <si>
    <t>전산화인지</t>
    <phoneticPr fontId="3" type="noConversion"/>
  </si>
  <si>
    <t>로봇 /
 RG2-R</t>
    <phoneticPr fontId="3" type="noConversion"/>
  </si>
  <si>
    <t>언어</t>
    <phoneticPr fontId="3" type="noConversion"/>
  </si>
  <si>
    <t>통증</t>
    <phoneticPr fontId="3" type="noConversion"/>
  </si>
  <si>
    <t>16:25~
16:55</t>
    <phoneticPr fontId="3" type="noConversion"/>
  </si>
  <si>
    <t>12:00~
12:30</t>
    <phoneticPr fontId="3" type="noConversion"/>
  </si>
  <si>
    <t>11:25~
11:55</t>
    <phoneticPr fontId="3" type="noConversion"/>
  </si>
  <si>
    <t>10:50~
11:20</t>
    <phoneticPr fontId="3" type="noConversion"/>
  </si>
  <si>
    <t>C강점귀</t>
    <phoneticPr fontId="3" type="noConversion"/>
  </si>
  <si>
    <t>C</t>
    <phoneticPr fontId="3" type="noConversion"/>
  </si>
  <si>
    <t>D강점귀</t>
    <phoneticPr fontId="3" type="noConversion"/>
  </si>
  <si>
    <t>D이산옥</t>
    <phoneticPr fontId="3" type="noConversion"/>
  </si>
  <si>
    <t>D</t>
    <phoneticPr fontId="3" type="noConversion"/>
  </si>
  <si>
    <t>CA강점귀</t>
    <phoneticPr fontId="3" type="noConversion"/>
  </si>
  <si>
    <t>CA</t>
    <phoneticPr fontId="3" type="noConversion"/>
  </si>
  <si>
    <t>N이산옥</t>
    <phoneticPr fontId="3" type="noConversion"/>
  </si>
  <si>
    <t>N조희자
N홍은남</t>
    <phoneticPr fontId="3" type="noConversion"/>
  </si>
  <si>
    <t>N우재천</t>
    <phoneticPr fontId="3" type="noConversion"/>
  </si>
  <si>
    <t>N최무정
N송병태</t>
    <phoneticPr fontId="3" type="noConversion"/>
  </si>
  <si>
    <t>NDT</t>
    <phoneticPr fontId="3" type="noConversion"/>
  </si>
  <si>
    <t>RD김석기2</t>
    <phoneticPr fontId="3" type="noConversion"/>
  </si>
  <si>
    <t>추가</t>
    <phoneticPr fontId="3" type="noConversion"/>
  </si>
  <si>
    <t xml:space="preserve">
단축근무
</t>
    <phoneticPr fontId="3" type="noConversion"/>
  </si>
  <si>
    <t>F이산옥
F권순예
F송병태
F강점귀</t>
    <phoneticPr fontId="3" type="noConversion"/>
  </si>
  <si>
    <t>단축근무</t>
    <phoneticPr fontId="3" type="noConversion"/>
  </si>
  <si>
    <t>최유진</t>
    <phoneticPr fontId="3" type="noConversion"/>
  </si>
  <si>
    <t>신지아</t>
    <phoneticPr fontId="3" type="noConversion"/>
  </si>
  <si>
    <t>RS김진권2</t>
    <phoneticPr fontId="3" type="noConversion"/>
  </si>
  <si>
    <t>CA김은미11</t>
    <phoneticPr fontId="3" type="noConversion"/>
  </si>
  <si>
    <t>계장</t>
    <phoneticPr fontId="3" type="noConversion"/>
  </si>
  <si>
    <t>RN김진권2</t>
    <phoneticPr fontId="3" type="noConversion"/>
  </si>
  <si>
    <t>RN채규칠</t>
    <phoneticPr fontId="3" type="noConversion"/>
  </si>
  <si>
    <t>RM우병주</t>
    <phoneticPr fontId="3" type="noConversion"/>
  </si>
  <si>
    <t>이송희</t>
    <phoneticPr fontId="3" type="noConversion"/>
  </si>
  <si>
    <t>팀장</t>
    <phoneticPr fontId="3" type="noConversion"/>
  </si>
  <si>
    <t>RS곽수열</t>
    <phoneticPr fontId="3" type="noConversion"/>
  </si>
  <si>
    <t>RA조항만</t>
    <phoneticPr fontId="3" type="noConversion"/>
  </si>
  <si>
    <t>RS염재호</t>
    <phoneticPr fontId="3" type="noConversion"/>
  </si>
  <si>
    <t>이진주</t>
    <phoneticPr fontId="3" type="noConversion"/>
  </si>
  <si>
    <t>RA곽수열</t>
    <phoneticPr fontId="3" type="noConversion"/>
  </si>
  <si>
    <t>RA조덕선</t>
    <phoneticPr fontId="3" type="noConversion"/>
  </si>
  <si>
    <t>이지원</t>
    <phoneticPr fontId="3" type="noConversion"/>
  </si>
  <si>
    <t>CA장덕한</t>
    <phoneticPr fontId="3" type="noConversion"/>
  </si>
  <si>
    <t>CA권정숙</t>
    <phoneticPr fontId="3" type="noConversion"/>
  </si>
  <si>
    <t>D이주민</t>
    <phoneticPr fontId="3" type="noConversion"/>
  </si>
  <si>
    <t>이현아</t>
    <phoneticPr fontId="3" type="noConversion"/>
  </si>
  <si>
    <t>* 당일시간변경</t>
    <phoneticPr fontId="3" type="noConversion"/>
  </si>
  <si>
    <t>D강점귀V</t>
    <phoneticPr fontId="3" type="noConversion"/>
  </si>
  <si>
    <t>CA송병태</t>
    <phoneticPr fontId="3" type="noConversion"/>
  </si>
  <si>
    <t>RS조항만</t>
    <phoneticPr fontId="3" type="noConversion"/>
  </si>
  <si>
    <t>정재희</t>
    <phoneticPr fontId="3" type="noConversion"/>
  </si>
  <si>
    <t>D손재영V</t>
    <phoneticPr fontId="11" type="noConversion"/>
  </si>
  <si>
    <t>CA이주민</t>
    <phoneticPr fontId="3" type="noConversion"/>
  </si>
  <si>
    <t>CA손재영</t>
    <phoneticPr fontId="11" type="noConversion"/>
  </si>
  <si>
    <t>CA고해봉</t>
    <phoneticPr fontId="3" type="noConversion"/>
  </si>
  <si>
    <t>RS정농숙</t>
    <phoneticPr fontId="3" type="noConversion"/>
  </si>
  <si>
    <t>정호용</t>
    <phoneticPr fontId="3" type="noConversion"/>
  </si>
  <si>
    <t>CA박명숙10</t>
    <phoneticPr fontId="3" type="noConversion"/>
  </si>
  <si>
    <t>D이산옥V</t>
    <phoneticPr fontId="3" type="noConversion"/>
  </si>
  <si>
    <t>이수연</t>
    <phoneticPr fontId="3" type="noConversion"/>
  </si>
  <si>
    <t>D손재영</t>
    <phoneticPr fontId="3" type="noConversion"/>
  </si>
  <si>
    <t>RA차미영3</t>
    <phoneticPr fontId="3" type="noConversion"/>
  </si>
  <si>
    <t>H송병태</t>
    <phoneticPr fontId="3" type="noConversion"/>
  </si>
  <si>
    <t>CA김인기3</t>
    <phoneticPr fontId="3" type="noConversion"/>
  </si>
  <si>
    <t>RS우병주</t>
    <phoneticPr fontId="3" type="noConversion"/>
  </si>
  <si>
    <t>유희주</t>
    <phoneticPr fontId="3" type="noConversion"/>
  </si>
  <si>
    <t>간호간병</t>
    <phoneticPr fontId="3" type="noConversion"/>
  </si>
  <si>
    <t>송영규</t>
    <phoneticPr fontId="3" type="noConversion"/>
  </si>
  <si>
    <t>N김은미11</t>
    <phoneticPr fontId="3" type="noConversion"/>
  </si>
  <si>
    <t>유다영</t>
    <phoneticPr fontId="3" type="noConversion"/>
  </si>
  <si>
    <t>N이경순10</t>
    <phoneticPr fontId="3" type="noConversion"/>
  </si>
  <si>
    <t>RG김긍회</t>
    <phoneticPr fontId="3" type="noConversion"/>
  </si>
  <si>
    <t>RM차미영3</t>
    <phoneticPr fontId="3" type="noConversion"/>
  </si>
  <si>
    <t>RM김진권2</t>
    <phoneticPr fontId="3" type="noConversion"/>
  </si>
  <si>
    <t>RN정농숙</t>
    <phoneticPr fontId="3" type="noConversion"/>
  </si>
  <si>
    <t>RN우병주</t>
    <phoneticPr fontId="3" type="noConversion"/>
  </si>
  <si>
    <t>RM맹형열</t>
    <phoneticPr fontId="3" type="noConversion"/>
  </si>
  <si>
    <t>RG이인기</t>
    <phoneticPr fontId="3" type="noConversion"/>
  </si>
  <si>
    <t>N강점귀</t>
    <phoneticPr fontId="3" type="noConversion"/>
  </si>
  <si>
    <t>홍민서</t>
    <phoneticPr fontId="3" type="noConversion"/>
  </si>
  <si>
    <t>RM조항만</t>
    <phoneticPr fontId="3" type="noConversion"/>
  </si>
  <si>
    <t>N김태수5</t>
    <phoneticPr fontId="3" type="noConversion"/>
  </si>
  <si>
    <t>N장현성</t>
    <phoneticPr fontId="3" type="noConversion"/>
  </si>
  <si>
    <t>RN황춘자</t>
    <phoneticPr fontId="3" type="noConversion"/>
  </si>
  <si>
    <t>RM정농숙</t>
    <phoneticPr fontId="3" type="noConversion"/>
  </si>
  <si>
    <t>RM김석기2</t>
    <phoneticPr fontId="3" type="noConversion"/>
  </si>
  <si>
    <t>채수현</t>
    <phoneticPr fontId="3" type="noConversion"/>
  </si>
  <si>
    <t>N고해봉</t>
    <phoneticPr fontId="3" type="noConversion"/>
  </si>
  <si>
    <t>N조희자</t>
    <phoneticPr fontId="3" type="noConversion"/>
  </si>
  <si>
    <t>N장덕한</t>
    <phoneticPr fontId="3" type="noConversion"/>
  </si>
  <si>
    <t>N한정완</t>
    <phoneticPr fontId="3" type="noConversion"/>
  </si>
  <si>
    <t>김용하</t>
    <phoneticPr fontId="3" type="noConversion"/>
  </si>
  <si>
    <t>* 변경사항</t>
    <phoneticPr fontId="3" type="noConversion"/>
  </si>
  <si>
    <t>N송수연2</t>
    <phoneticPr fontId="3" type="noConversion"/>
  </si>
  <si>
    <t>윤영채</t>
    <phoneticPr fontId="3" type="noConversion"/>
  </si>
  <si>
    <t>N김병철4</t>
    <phoneticPr fontId="3" type="noConversion"/>
  </si>
  <si>
    <t>N홍은남</t>
    <phoneticPr fontId="3" type="noConversion"/>
  </si>
  <si>
    <t>최현수</t>
    <phoneticPr fontId="3" type="noConversion"/>
  </si>
  <si>
    <t>RM황춘자</t>
    <phoneticPr fontId="3" type="noConversion"/>
  </si>
  <si>
    <t>RM채규칠</t>
    <phoneticPr fontId="3" type="noConversion"/>
  </si>
  <si>
    <t>RM곽수열</t>
    <phoneticPr fontId="3" type="noConversion"/>
  </si>
  <si>
    <t>윤다은</t>
    <phoneticPr fontId="3" type="noConversion"/>
  </si>
  <si>
    <t>RN맹형열</t>
    <phoneticPr fontId="3" type="noConversion"/>
  </si>
  <si>
    <t>N김인기3</t>
    <phoneticPr fontId="3" type="noConversion"/>
  </si>
  <si>
    <t>RN조항만</t>
    <phoneticPr fontId="3" type="noConversion"/>
  </si>
  <si>
    <t>N신봉호</t>
    <phoneticPr fontId="3" type="noConversion"/>
  </si>
  <si>
    <t>N한미송</t>
    <phoneticPr fontId="3" type="noConversion"/>
  </si>
  <si>
    <t>박나은</t>
    <phoneticPr fontId="3" type="noConversion"/>
  </si>
  <si>
    <t>N이묘헌</t>
    <phoneticPr fontId="11" type="noConversion"/>
  </si>
  <si>
    <t>N김진철4</t>
    <phoneticPr fontId="3" type="noConversion"/>
  </si>
  <si>
    <t>N권순예</t>
    <phoneticPr fontId="3" type="noConversion"/>
  </si>
  <si>
    <t>N고해봉</t>
    <phoneticPr fontId="3" type="noConversion"/>
  </si>
  <si>
    <t>N손재영</t>
    <phoneticPr fontId="3" type="noConversion"/>
  </si>
  <si>
    <t>전진현</t>
    <phoneticPr fontId="3" type="noConversion"/>
  </si>
  <si>
    <t>* 신환</t>
    <phoneticPr fontId="3" type="noConversion"/>
  </si>
  <si>
    <t>N정상범3</t>
    <phoneticPr fontId="3" type="noConversion"/>
  </si>
  <si>
    <t>N송병태</t>
    <phoneticPr fontId="3" type="noConversion"/>
  </si>
  <si>
    <t>RN곽수열</t>
    <phoneticPr fontId="3" type="noConversion"/>
  </si>
  <si>
    <t>장희연</t>
    <phoneticPr fontId="3" type="noConversion"/>
  </si>
  <si>
    <t>8:00~
8:30</t>
    <phoneticPr fontId="3" type="noConversion"/>
  </si>
  <si>
    <t>7:30~
8:00</t>
    <phoneticPr fontId="3" type="noConversion"/>
  </si>
  <si>
    <t xml:space="preserve">           시간    치료사</t>
    <phoneticPr fontId="3" type="noConversion"/>
  </si>
  <si>
    <t>재활센터 시간표     2023. 10. 31 (화)</t>
    <phoneticPr fontId="3" type="noConversion"/>
  </si>
  <si>
    <t>RD권영배</t>
  </si>
  <si>
    <t>RA권영배</t>
    <phoneticPr fontId="3" type="noConversion"/>
  </si>
  <si>
    <t>RN권영배</t>
    <phoneticPr fontId="3" type="noConversion"/>
  </si>
  <si>
    <t>RM권영배</t>
    <phoneticPr fontId="3" type="noConversion"/>
  </si>
  <si>
    <t>RA김진석5</t>
  </si>
  <si>
    <t>RN김진석5</t>
    <phoneticPr fontId="3" type="noConversion"/>
  </si>
  <si>
    <t>RM김진석5</t>
    <phoneticPr fontId="3" type="noConversion"/>
  </si>
  <si>
    <t>RL김진석5</t>
    <phoneticPr fontId="3" type="noConversion"/>
  </si>
  <si>
    <t>RM신명숙6</t>
    <phoneticPr fontId="3" type="noConversion"/>
  </si>
  <si>
    <t>RG김진태5</t>
    <phoneticPr fontId="3" type="noConversion"/>
  </si>
  <si>
    <t>RN김을순2</t>
    <phoneticPr fontId="3" type="noConversion"/>
  </si>
  <si>
    <t>RM김을순2</t>
    <phoneticPr fontId="3" type="noConversion"/>
  </si>
  <si>
    <t>RA김진태5</t>
    <phoneticPr fontId="3" type="noConversion"/>
  </si>
  <si>
    <t>RA김을순2</t>
    <phoneticPr fontId="3" type="noConversion"/>
  </si>
  <si>
    <t>RS김을순2</t>
    <phoneticPr fontId="3" type="noConversion"/>
  </si>
  <si>
    <t>C권순예</t>
    <phoneticPr fontId="3" type="noConversion"/>
  </si>
  <si>
    <t>N김태수5
N이묘헌</t>
    <phoneticPr fontId="3" type="noConversion"/>
  </si>
  <si>
    <t>RN염재호</t>
    <phoneticPr fontId="3" type="noConversion"/>
  </si>
  <si>
    <t>F권정숙
F장덕한
F박명숙10</t>
    <phoneticPr fontId="3" type="noConversion"/>
  </si>
  <si>
    <t>L7정화구(A)</t>
    <phoneticPr fontId="3" type="noConversion"/>
  </si>
  <si>
    <t>RN신명숙6</t>
    <phoneticPr fontId="3" type="noConversion"/>
  </si>
  <si>
    <t>RN김석기2</t>
  </si>
  <si>
    <t>CA정화구</t>
    <phoneticPr fontId="3" type="noConversion"/>
  </si>
  <si>
    <t>N정화구</t>
    <phoneticPr fontId="3" type="noConversion"/>
  </si>
  <si>
    <t>RA김석기2</t>
    <phoneticPr fontId="3" type="noConversion"/>
  </si>
  <si>
    <t>RS신명숙6</t>
    <phoneticPr fontId="3" type="noConversion"/>
  </si>
  <si>
    <t>RS김진석5</t>
    <phoneticPr fontId="3" type="noConversion"/>
  </si>
  <si>
    <t>C홍은남
C김은미11</t>
    <phoneticPr fontId="3" type="noConversion"/>
  </si>
  <si>
    <r>
      <t xml:space="preserve">C이산옥
</t>
    </r>
    <r>
      <rPr>
        <sz val="10"/>
        <color theme="1"/>
        <rFont val="돋움"/>
        <family val="3"/>
        <charset val="129"/>
      </rPr>
      <t>C이묘헌</t>
    </r>
    <phoneticPr fontId="3" type="noConversion"/>
  </si>
  <si>
    <t>CA최무정</t>
  </si>
  <si>
    <t>F우재천
F장현성
F김은미11
F이경순10</t>
    <phoneticPr fontId="3" type="noConversion"/>
  </si>
  <si>
    <t>H7정화구(B)</t>
    <phoneticPr fontId="3" type="noConversion"/>
  </si>
  <si>
    <t>N배영수</t>
  </si>
  <si>
    <t>N한미송
N배영수</t>
    <phoneticPr fontId="3" type="noConversion"/>
  </si>
  <si>
    <t>D배영수</t>
  </si>
  <si>
    <t>RA김종대2</t>
    <phoneticPr fontId="3" type="noConversion"/>
  </si>
  <si>
    <t>CA배영수</t>
  </si>
  <si>
    <t>H7맹형열D</t>
  </si>
  <si>
    <t>RM김종대2</t>
    <phoneticPr fontId="3" type="noConversion"/>
  </si>
  <si>
    <t>RG김일용</t>
  </si>
  <si>
    <t>RA김일용</t>
    <phoneticPr fontId="3" type="noConversion"/>
  </si>
  <si>
    <t>RG김일용</t>
    <phoneticPr fontId="3" type="noConversion"/>
  </si>
  <si>
    <t>W김종대2(B)</t>
  </si>
  <si>
    <t>RS김종대2</t>
  </si>
  <si>
    <t>D김병철4V</t>
    <phoneticPr fontId="3" type="noConversion"/>
  </si>
  <si>
    <t>F김태수5
F이묘헌
F김인기3
F송수연2</t>
    <phoneticPr fontId="3" type="noConversion"/>
  </si>
  <si>
    <t>RS채규칠</t>
  </si>
  <si>
    <t>RG김긍회</t>
  </si>
  <si>
    <r>
      <t xml:space="preserve">C송병태
</t>
    </r>
    <r>
      <rPr>
        <sz val="10"/>
        <color theme="1"/>
        <rFont val="돋움"/>
        <family val="3"/>
        <charset val="129"/>
      </rPr>
      <t>C조희자</t>
    </r>
    <phoneticPr fontId="3" type="noConversion"/>
  </si>
  <si>
    <t xml:space="preserve"> C최무정</t>
    <phoneticPr fontId="3" type="noConversion"/>
  </si>
  <si>
    <t>RA김순자20</t>
  </si>
  <si>
    <t xml:space="preserve"> RG한청자2</t>
    <phoneticPr fontId="3" type="noConversion"/>
  </si>
  <si>
    <t>RA한청자2</t>
    <phoneticPr fontId="3" type="noConversion"/>
  </si>
  <si>
    <t>RG2R신명숙6</t>
    <phoneticPr fontId="3" type="noConversion"/>
  </si>
  <si>
    <t>R김남규4(A)
H7김남규4(B)</t>
    <phoneticPr fontId="3" type="noConversion"/>
  </si>
  <si>
    <t>RA김남규4</t>
    <phoneticPr fontId="3" type="noConversion"/>
  </si>
  <si>
    <t>RN김남규4</t>
    <phoneticPr fontId="3" type="noConversion"/>
  </si>
  <si>
    <t>RM김남규4</t>
  </si>
  <si>
    <t>RG한청자2</t>
    <phoneticPr fontId="3" type="noConversion"/>
  </si>
  <si>
    <t>M김태수5C
M이묘헌C
M박창현3C
M송수연2C
M김은미11S</t>
    <phoneticPr fontId="3" type="noConversion"/>
  </si>
  <si>
    <t>F한미송
F박창현3
F김병철4
F이주민</t>
    <phoneticPr fontId="3" type="noConversion"/>
  </si>
  <si>
    <t>N오영환3</t>
    <phoneticPr fontId="3" type="noConversion"/>
  </si>
  <si>
    <t>F신봉호
F김진철4
F정상범3
F배영수</t>
    <phoneticPr fontId="3" type="noConversion"/>
  </si>
  <si>
    <t>CA오영환3</t>
    <phoneticPr fontId="3" type="noConversion"/>
  </si>
  <si>
    <t>RG최의숙</t>
    <phoneticPr fontId="3" type="noConversion"/>
  </si>
  <si>
    <t>RA최의숙</t>
    <phoneticPr fontId="3" type="noConversion"/>
  </si>
  <si>
    <t>CA홍은남</t>
    <phoneticPr fontId="3" type="noConversion"/>
  </si>
  <si>
    <t>M이묘헌C
M신봉호C
M손재영C
M최무정C
M배영수Tt</t>
    <phoneticPr fontId="3" type="noConversion"/>
  </si>
  <si>
    <t>RM목진구</t>
    <phoneticPr fontId="3" type="noConversion"/>
  </si>
  <si>
    <t>RN목진구</t>
    <phoneticPr fontId="3" type="noConversion"/>
  </si>
  <si>
    <t>RS목진구</t>
    <phoneticPr fontId="3" type="noConversion"/>
  </si>
  <si>
    <t>RA목진구</t>
    <phoneticPr fontId="3" type="noConversion"/>
  </si>
  <si>
    <t>N권순예
N오영환3</t>
    <phoneticPr fontId="3" type="noConversion"/>
  </si>
  <si>
    <t>C오영환3</t>
    <phoneticPr fontId="3" type="noConversion"/>
  </si>
  <si>
    <t>H7맹형열(D)
W배영수님(B)
W정화구(A)</t>
    <phoneticPr fontId="3" type="noConversion"/>
  </si>
  <si>
    <t>RD김남규4</t>
  </si>
  <si>
    <t>차미영3</t>
    <phoneticPr fontId="3" type="noConversion"/>
  </si>
  <si>
    <t>M7양덕점D</t>
    <phoneticPr fontId="3" type="noConversion"/>
  </si>
  <si>
    <t>O7양덕점D</t>
    <phoneticPr fontId="3" type="noConversion"/>
  </si>
  <si>
    <t>M우재천C
M박창현3C
M권정숙S
M송병태S
M오영환3M</t>
    <phoneticPr fontId="3" type="noConversion"/>
  </si>
  <si>
    <t>F최무정
F조희자
F한정완
F정화구</t>
    <phoneticPr fontId="3" type="noConversion"/>
  </si>
  <si>
    <t>M손재영C
M정상범3C
M박명숙10C
M장덕한C
M김인기3S
M정화구S</t>
    <phoneticPr fontId="3" type="noConversion"/>
  </si>
  <si>
    <t>M김진철4C
M이산옥C
M한정완C
M박명숙10S
M송수연2T
M김병철4Tt</t>
    <phoneticPr fontId="3" type="noConversion"/>
  </si>
  <si>
    <t>M고해봉C
M조희자C
M이경순10C
M우재천S
M오영환3Tt
M홍은남M</t>
    <phoneticPr fontId="3" type="noConversion"/>
  </si>
  <si>
    <t>M한미송C
M이주민C
G양덕점C
M권순예S
M강점귀M
M송병태Tt</t>
    <phoneticPr fontId="3" type="noConversion"/>
  </si>
  <si>
    <t>M권순예C
M김태수5S
M이주민T
M강점귀Tt</t>
    <phoneticPr fontId="3" type="noConversion"/>
  </si>
  <si>
    <t>F손재영
F오영환3</t>
    <phoneticPr fontId="3" type="noConversion"/>
  </si>
  <si>
    <t>C이경순10
C고해봉</t>
    <phoneticPr fontId="3" type="noConversion"/>
  </si>
  <si>
    <t>N오경호</t>
    <phoneticPr fontId="3" type="noConversion"/>
  </si>
  <si>
    <t>D오경호V</t>
    <phoneticPr fontId="11" type="noConversion"/>
  </si>
  <si>
    <t>CA오경호</t>
    <phoneticPr fontId="3" type="noConversion"/>
  </si>
  <si>
    <t>M한미송C
G김동선C
M김진철4S
M오경호S
M정상범3T
M배영수Tt</t>
    <phoneticPr fontId="3" type="noConversion"/>
  </si>
  <si>
    <t>M김은미11C
M권정숙C
M오경호C
M장현성S
Tt배영수Tt</t>
    <phoneticPr fontId="3" type="noConversion"/>
  </si>
  <si>
    <t>F고해봉
F오경호</t>
    <phoneticPr fontId="3" type="noConversion"/>
  </si>
  <si>
    <t>C오경호
C박창현3</t>
    <phoneticPr fontId="3" type="noConversion"/>
  </si>
  <si>
    <t>C김인기3</t>
    <phoneticPr fontId="3" type="noConversion"/>
  </si>
  <si>
    <t>RD김남규4</t>
    <phoneticPr fontId="3" type="noConversion"/>
  </si>
  <si>
    <t>RA조남옥2</t>
    <phoneticPr fontId="3" type="noConversion"/>
  </si>
  <si>
    <t>RG조남옥2</t>
    <phoneticPr fontId="3" type="noConversion"/>
  </si>
  <si>
    <t>M김인기3C
M장덕한C
M정화구C
M장현성C
M신봉호T</t>
    <phoneticPr fontId="3" type="noConversion"/>
  </si>
  <si>
    <t>M조희자C
M최무정C
M한정완C
M고해봉S
M이경순10T</t>
    <phoneticPr fontId="3" type="noConversion"/>
  </si>
  <si>
    <t>N장현성</t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</si>
  <si>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신명숙6(RG),곽수열님, 김긍회님, 차미영3, 염재호, 조덕선님(RG), 김순자20님(RG), 
                    이인기3(RG), 권영배, 김진석5, 김진태, 김을순2, 김종대2, 김일용, 한청자2(RG), 김남규4, 조남옥2(RG)
NDT : 최무정, 강점귀, 우재천, 김태수5, 조희자, 권순예, 장현성, 이산옥,  권정숙, 신봉호(거부), 홍은남, 송병태, 박명숙10, 김은미11, 이묘헌, 정상범3, 장덕한, 한미송(para), 정화구
         배영수, 오영환3
CA : 강점귀
D : 강점귀, 이산옥, 송병태, 김인기3, 배영수, 오경호
C : 최무정, 강점귀, 우재천, 김태수5, 조희자, ,권순예, 이산옥, 권정숙, 장현성, 신봉호(거부), 홍은남, 송병태, 박명숙10, 김은미11, 이묘헌, 정상범3, 장덕한, 정화구, 배영수, 오영환3</t>
    </r>
    <phoneticPr fontId="3" type="noConversion"/>
  </si>
  <si>
    <t>D오경호</t>
    <phoneticPr fontId="3" type="noConversion"/>
  </si>
  <si>
    <t>W김남규4(B)</t>
    <phoneticPr fontId="3" type="noConversion"/>
  </si>
  <si>
    <t>MM정농숙C
MM신명숙6S
MM김일용CPM
MM김석기2C</t>
    <phoneticPr fontId="3" type="noConversion"/>
  </si>
  <si>
    <t>MM김진태5C
MM한청자2CPM
MM권영배Tt
MM김남규4C
MM맹형열T
MM채규칠C</t>
    <phoneticPr fontId="3" type="noConversion"/>
  </si>
  <si>
    <t>MM김을순2C
MM맹형열C
MM김일용CPM
MM김석기2C</t>
    <phoneticPr fontId="3" type="noConversion"/>
  </si>
  <si>
    <t>RG조남옥2</t>
  </si>
  <si>
    <t>* 퇴원 및 HOLD</t>
    <phoneticPr fontId="3" type="noConversion"/>
  </si>
  <si>
    <t>N정화구</t>
  </si>
  <si>
    <r>
      <rPr>
        <u/>
        <sz val="10"/>
        <color theme="1"/>
        <rFont val="돋움"/>
        <family val="3"/>
        <charset val="129"/>
      </rPr>
      <t>N장현성</t>
    </r>
    <r>
      <rPr>
        <sz val="10"/>
        <rFont val="돋움"/>
        <family val="3"/>
        <charset val="129"/>
      </rPr>
      <t xml:space="preserve">
N김은미11</t>
    </r>
    <phoneticPr fontId="3" type="noConversion"/>
  </si>
  <si>
    <r>
      <rPr>
        <u/>
        <sz val="10"/>
        <rFont val="돋움"/>
        <family val="3"/>
        <charset val="129"/>
      </rPr>
      <t>C장덕한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C정상범3</t>
    </r>
    <phoneticPr fontId="3" type="noConversion"/>
  </si>
  <si>
    <t>C배영수</t>
  </si>
  <si>
    <t>C김태수5</t>
  </si>
  <si>
    <r>
      <rPr>
        <u/>
        <sz val="10"/>
        <color theme="1"/>
        <rFont val="돋움"/>
        <family val="3"/>
        <charset val="129"/>
      </rPr>
      <t>C장현성</t>
    </r>
    <r>
      <rPr>
        <sz val="10"/>
        <color theme="1"/>
        <rFont val="돋움"/>
        <family val="3"/>
        <charset val="129"/>
      </rPr>
      <t xml:space="preserve">
C권정숙</t>
    </r>
    <phoneticPr fontId="3" type="noConversion"/>
  </si>
  <si>
    <t>C장현성</t>
  </si>
  <si>
    <t>C박명숙10
C정화구</t>
    <phoneticPr fontId="3" type="noConversion"/>
  </si>
  <si>
    <t>C정화구</t>
  </si>
  <si>
    <t>D김인기3</t>
    <phoneticPr fontId="3" type="noConversion"/>
  </si>
  <si>
    <t>D배영수</t>
    <phoneticPr fontId="3" type="noConversion"/>
  </si>
  <si>
    <r>
      <t xml:space="preserve">MM김진권2C
</t>
    </r>
    <r>
      <rPr>
        <b/>
        <u/>
        <sz val="10"/>
        <rFont val="돋움"/>
        <family val="3"/>
        <charset val="129"/>
      </rPr>
      <t>MM김진석5C</t>
    </r>
    <r>
      <rPr>
        <sz val="10"/>
        <rFont val="돋움"/>
        <family val="3"/>
        <charset val="129"/>
      </rPr>
      <t xml:space="preserve">
MM김종대2C
MM조항만S
MM신명숙6M
MM최의숙CPM
MM차미영3C</t>
    </r>
    <phoneticPr fontId="3" type="noConversion"/>
  </si>
  <si>
    <t>RL차미영3</t>
  </si>
  <si>
    <t>RN차미영3</t>
  </si>
  <si>
    <t>4층
김순자20님 외진 오전 홀드
김진태5님 외진 오전 홀드
김종대님 외진 11:25~12:30까지 홀드</t>
    <phoneticPr fontId="3" type="noConversion"/>
  </si>
  <si>
    <r>
      <t xml:space="preserve">MM김을순2C
MM김남규4C
MM김종대2S
</t>
    </r>
    <r>
      <rPr>
        <b/>
        <sz val="10"/>
        <color rgb="FFFF0000"/>
        <rFont val="돋움"/>
        <family val="3"/>
        <charset val="129"/>
      </rPr>
      <t>MM권영배Tt</t>
    </r>
    <phoneticPr fontId="3" type="noConversion"/>
  </si>
  <si>
    <r>
      <t>MM김순자20C
MM곽수열S</t>
    </r>
    <r>
      <rPr>
        <sz val="10"/>
        <rFont val="돋움"/>
        <family val="3"/>
        <charset val="129"/>
      </rPr>
      <t xml:space="preserve">
MM조남옥2
CPM</t>
    </r>
    <phoneticPr fontId="3" type="noConversion"/>
  </si>
  <si>
    <r>
      <t xml:space="preserve">MM황춘자C
</t>
    </r>
    <r>
      <rPr>
        <b/>
        <u/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</t>
    </r>
    <r>
      <rPr>
        <b/>
        <sz val="10"/>
        <color rgb="FFFF0000"/>
        <rFont val="돋움"/>
        <family val="3"/>
        <charset val="129"/>
      </rPr>
      <t>MM정태철Tt</t>
    </r>
    <r>
      <rPr>
        <sz val="10"/>
        <rFont val="돋움"/>
        <family val="3"/>
        <charset val="129"/>
      </rPr>
      <t xml:space="preserve">
MM한청자2CPM
MM채규칠T</t>
    </r>
    <phoneticPr fontId="3" type="noConversion"/>
  </si>
  <si>
    <t>* A : 박명숙10님, 김남규4님
* B : 황춘자님, 정화구님, 김남규4님
* 추가치료 거부 : 신봉호님
* TT2대 : 10:15, 11:25, 12:00 / 코끼리6대 : 8:30</t>
    <phoneticPr fontId="3" type="noConversion"/>
  </si>
  <si>
    <t>MM권영배Tt</t>
  </si>
  <si>
    <t>MM정태철Tt</t>
  </si>
  <si>
    <t>RS맹형열</t>
  </si>
  <si>
    <t>D송병태</t>
  </si>
  <si>
    <t>D김인기3V</t>
  </si>
  <si>
    <t>CA신봉호</t>
  </si>
  <si>
    <t>CA이산옥</t>
  </si>
  <si>
    <t>RA목진구</t>
  </si>
  <si>
    <t>RA조남옥2</t>
  </si>
  <si>
    <t>RN김갑태2</t>
    <phoneticPr fontId="3" type="noConversion"/>
  </si>
  <si>
    <t>RM김갑태2</t>
    <phoneticPr fontId="3" type="noConversion"/>
  </si>
  <si>
    <t>RM김갑태2</t>
    <phoneticPr fontId="3" type="noConversion"/>
  </si>
  <si>
    <t>RA김갑태2</t>
    <phoneticPr fontId="3" type="noConversion"/>
  </si>
  <si>
    <t>RS김갑태2</t>
    <phoneticPr fontId="3" type="noConversion"/>
  </si>
  <si>
    <t>RA김갑태2</t>
    <phoneticPr fontId="3" type="noConversion"/>
  </si>
  <si>
    <r>
      <rPr>
        <b/>
        <u/>
        <sz val="10"/>
        <color theme="1"/>
        <rFont val="돋움"/>
        <family val="3"/>
        <charset val="129"/>
      </rPr>
      <t>MM우병주C</t>
    </r>
    <r>
      <rPr>
        <sz val="10"/>
        <color theme="1"/>
        <rFont val="돋움"/>
        <family val="3"/>
        <charset val="129"/>
      </rPr>
      <t xml:space="preserve">
MM목진구C
MM황춘자CPM
MM김긍회님S
MM정태철M
MM김갑태2Tt</t>
    </r>
    <phoneticPr fontId="3" type="noConversion"/>
  </si>
  <si>
    <t>MM곽수열님C
MM최의숙CPM
MM김갑태2M
MM차미영3T</t>
    <phoneticPr fontId="3" type="noConversion"/>
  </si>
  <si>
    <t>4층 재활센터 시간표     2025. 11. 3 (월)</t>
    <phoneticPr fontId="3" type="noConversion"/>
  </si>
  <si>
    <t>오성균
(연차)</t>
    <phoneticPr fontId="3" type="noConversion"/>
  </si>
  <si>
    <t>이유빈
(공가)</t>
    <phoneticPr fontId="3" type="noConversion"/>
  </si>
  <si>
    <t>C우재천
C배영수</t>
    <phoneticPr fontId="3" type="noConversion"/>
  </si>
  <si>
    <r>
      <t>MM조항만C
MM목진구C
MM정농숙S</t>
    </r>
    <r>
      <rPr>
        <sz val="10"/>
        <rFont val="돋움"/>
        <family val="3"/>
        <charset val="129"/>
      </rPr>
      <t xml:space="preserve">
MM조남옥2
CPM</t>
    </r>
    <phoneticPr fontId="3" type="noConversion"/>
  </si>
  <si>
    <t>O7박명숙10</t>
    <phoneticPr fontId="3" type="noConversion"/>
  </si>
  <si>
    <t>R김남규4</t>
    <phoneticPr fontId="3" type="noConversion"/>
  </si>
  <si>
    <r>
      <t xml:space="preserve">MM김긍회님C
</t>
    </r>
    <r>
      <rPr>
        <b/>
        <u/>
        <sz val="10"/>
        <color theme="1"/>
        <rFont val="돋움"/>
        <family val="3"/>
        <charset val="129"/>
      </rPr>
      <t>MM김진석5T</t>
    </r>
    <r>
      <rPr>
        <sz val="10"/>
        <color theme="1"/>
        <rFont val="돋움"/>
        <family val="3"/>
        <charset val="129"/>
      </rPr>
      <t xml:space="preserve">
MM이인기CPM
MM염재호S</t>
    </r>
    <phoneticPr fontId="3" type="noConversion"/>
  </si>
  <si>
    <t>MM염재호C
MM이인기CPM</t>
    <phoneticPr fontId="3" type="noConversion"/>
  </si>
  <si>
    <t>RA김진권2</t>
  </si>
  <si>
    <t>김갑태2님 RN2,RM4,MM4/RA4,RS2</t>
    <phoneticPr fontId="3" type="noConversion"/>
  </si>
  <si>
    <t>박명숙10님 통증삭제
김인기3님 H7 삭제 (10회 완료)
오경호님 FES 1회 삭제
김석기2님 회복기언어 삭제, 일대일 추가
채규칠님 회복기언어 삭제, 일대일 추가
맹형열님 8:30→10:15 시간변경
조덕선님 10:15→8:30, 8:30→10:15 시간변경
우재천님 10:15→8:30 시간변경
차미영3님 9:40→14:40, 14:40→13:30, 15:50→9:40 언어 시간변경
아침재활 치료사 변경</t>
    <phoneticPr fontId="3" type="noConversion"/>
  </si>
  <si>
    <t>재활센터 시간표     2023. 10. 31 (화)</t>
    <phoneticPr fontId="3" type="noConversion"/>
  </si>
  <si>
    <t>4층 재활센터 시간표     2025. 11.  ()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</si>
  <si>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</si>
  <si>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</si>
  <si>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</si>
  <si>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</si>
  <si>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</si>
  <si>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10:50~
11:20</t>
    <phoneticPr fontId="3" type="noConversion"/>
  </si>
  <si>
    <t>11:25~
11:55</t>
    <phoneticPr fontId="3" type="noConversion"/>
  </si>
  <si>
    <t>12:00~
12:30</t>
    <phoneticPr fontId="3" type="noConversion"/>
  </si>
  <si>
    <t>장희연</t>
    <phoneticPr fontId="3" type="noConversion"/>
  </si>
  <si>
    <t>단축근무</t>
    <phoneticPr fontId="3" type="noConversion"/>
  </si>
  <si>
    <t>N김진철4</t>
    <phoneticPr fontId="3" type="noConversion"/>
  </si>
  <si>
    <t>RG김진태5</t>
    <phoneticPr fontId="3" type="noConversion"/>
  </si>
  <si>
    <t>RN곽수열</t>
    <phoneticPr fontId="3" type="noConversion"/>
  </si>
  <si>
    <t>N송병태</t>
    <phoneticPr fontId="3" type="noConversion"/>
  </si>
  <si>
    <t>N우재천</t>
    <phoneticPr fontId="3" type="noConversion"/>
  </si>
  <si>
    <t>N오경호</t>
    <phoneticPr fontId="3" type="noConversion"/>
  </si>
  <si>
    <t>RN김남규4</t>
    <phoneticPr fontId="3" type="noConversion"/>
  </si>
  <si>
    <t>N박창현3</t>
    <phoneticPr fontId="3" type="noConversion"/>
  </si>
  <si>
    <t>N정상범3</t>
    <phoneticPr fontId="3" type="noConversion"/>
  </si>
  <si>
    <t>* 신환</t>
    <phoneticPr fontId="3" type="noConversion"/>
  </si>
  <si>
    <t>RG김순자20</t>
    <phoneticPr fontId="3" type="noConversion"/>
  </si>
  <si>
    <t>채수현</t>
    <phoneticPr fontId="3" type="noConversion"/>
  </si>
  <si>
    <t>RM정농숙</t>
    <phoneticPr fontId="3" type="noConversion"/>
  </si>
  <si>
    <t>RM김석기2</t>
    <phoneticPr fontId="3" type="noConversion"/>
  </si>
  <si>
    <t>N박명숙10</t>
    <phoneticPr fontId="3" type="noConversion"/>
  </si>
  <si>
    <t>RN황춘자</t>
    <phoneticPr fontId="3" type="noConversion"/>
  </si>
  <si>
    <t>RN염재호</t>
    <phoneticPr fontId="3" type="noConversion"/>
  </si>
  <si>
    <t>N장현성</t>
    <phoneticPr fontId="3" type="noConversion"/>
  </si>
  <si>
    <t>N김태수5</t>
    <phoneticPr fontId="3" type="noConversion"/>
  </si>
  <si>
    <t>RM조항만</t>
    <phoneticPr fontId="3" type="noConversion"/>
  </si>
  <si>
    <t>N이주민</t>
    <phoneticPr fontId="3" type="noConversion"/>
  </si>
  <si>
    <t>홍민서</t>
    <phoneticPr fontId="3" type="noConversion"/>
  </si>
  <si>
    <t>RM김석기2</t>
    <phoneticPr fontId="3" type="noConversion"/>
  </si>
  <si>
    <t>N강점귀</t>
    <phoneticPr fontId="3" type="noConversion"/>
  </si>
  <si>
    <t>RM김갑태2</t>
    <phoneticPr fontId="3" type="noConversion"/>
  </si>
  <si>
    <t>RG이인기</t>
    <phoneticPr fontId="3" type="noConversion"/>
  </si>
  <si>
    <t>RM맹형열</t>
    <phoneticPr fontId="3" type="noConversion"/>
  </si>
  <si>
    <t>RM김을순2</t>
    <phoneticPr fontId="3" type="noConversion"/>
  </si>
  <si>
    <t>N권정숙</t>
    <phoneticPr fontId="3" type="noConversion"/>
  </si>
  <si>
    <t>RN우병주</t>
    <phoneticPr fontId="3" type="noConversion"/>
  </si>
  <si>
    <t>RN정농숙</t>
    <phoneticPr fontId="3" type="noConversion"/>
  </si>
  <si>
    <t>RM염재호</t>
    <phoneticPr fontId="3" type="noConversion"/>
  </si>
  <si>
    <t>윤다은</t>
    <phoneticPr fontId="3" type="noConversion"/>
  </si>
  <si>
    <t>N이주민</t>
    <phoneticPr fontId="3" type="noConversion"/>
  </si>
  <si>
    <t>N송수연2</t>
    <phoneticPr fontId="3" type="noConversion"/>
  </si>
  <si>
    <t>RM곽수열</t>
    <phoneticPr fontId="3" type="noConversion"/>
  </si>
  <si>
    <t>RM채규칠</t>
    <phoneticPr fontId="3" type="noConversion"/>
  </si>
  <si>
    <t>M7양덕점D</t>
    <phoneticPr fontId="3" type="noConversion"/>
  </si>
  <si>
    <t>RM황춘자</t>
    <phoneticPr fontId="3" type="noConversion"/>
  </si>
  <si>
    <t>RM김진권2</t>
    <phoneticPr fontId="3" type="noConversion"/>
  </si>
  <si>
    <t>RM목진구</t>
    <phoneticPr fontId="3" type="noConversion"/>
  </si>
  <si>
    <t>이혜림</t>
    <phoneticPr fontId="3" type="noConversion"/>
  </si>
  <si>
    <t xml:space="preserve"> RG한청자2</t>
    <phoneticPr fontId="3" type="noConversion"/>
  </si>
  <si>
    <t>RM차미영3</t>
    <phoneticPr fontId="3" type="noConversion"/>
  </si>
  <si>
    <t>N오영환3</t>
    <phoneticPr fontId="3" type="noConversion"/>
  </si>
  <si>
    <t>N이경순10</t>
    <phoneticPr fontId="3" type="noConversion"/>
  </si>
  <si>
    <t>윤영채</t>
    <phoneticPr fontId="3" type="noConversion"/>
  </si>
  <si>
    <t>RM조항만</t>
    <phoneticPr fontId="3" type="noConversion"/>
  </si>
  <si>
    <t>RG최의숙</t>
    <phoneticPr fontId="3" type="noConversion"/>
  </si>
  <si>
    <t>N오경호</t>
    <phoneticPr fontId="3" type="noConversion"/>
  </si>
  <si>
    <t>RG김진태5</t>
    <phoneticPr fontId="3" type="noConversion"/>
  </si>
  <si>
    <t>N박창현3</t>
    <phoneticPr fontId="3" type="noConversion"/>
  </si>
  <si>
    <t>RM권영배</t>
    <phoneticPr fontId="3" type="noConversion"/>
  </si>
  <si>
    <t>* 변경사항</t>
    <phoneticPr fontId="3" type="noConversion"/>
  </si>
  <si>
    <t>유다영</t>
    <phoneticPr fontId="3" type="noConversion"/>
  </si>
  <si>
    <t>RG최의숙</t>
    <phoneticPr fontId="3" type="noConversion"/>
  </si>
  <si>
    <t>RM우병주</t>
    <phoneticPr fontId="3" type="noConversion"/>
  </si>
  <si>
    <t>N김은미11</t>
    <phoneticPr fontId="3" type="noConversion"/>
  </si>
  <si>
    <t>RN김갑태2</t>
    <phoneticPr fontId="3" type="noConversion"/>
  </si>
  <si>
    <t>전진현</t>
    <phoneticPr fontId="3" type="noConversion"/>
  </si>
  <si>
    <t>RM우병주</t>
    <phoneticPr fontId="3" type="noConversion"/>
  </si>
  <si>
    <t>N손재영</t>
    <phoneticPr fontId="3" type="noConversion"/>
  </si>
  <si>
    <t>N권순예</t>
    <phoneticPr fontId="3" type="noConversion"/>
  </si>
  <si>
    <t>RN김종대2</t>
    <phoneticPr fontId="3" type="noConversion"/>
  </si>
  <si>
    <t>N김진철4</t>
    <phoneticPr fontId="3" type="noConversion"/>
  </si>
  <si>
    <t>N이묘헌</t>
    <phoneticPr fontId="11" type="noConversion"/>
  </si>
  <si>
    <t>박나은</t>
    <phoneticPr fontId="3" type="noConversion"/>
  </si>
  <si>
    <t>N한미송</t>
    <phoneticPr fontId="3" type="noConversion"/>
  </si>
  <si>
    <t>N신봉호</t>
    <phoneticPr fontId="3" type="noConversion"/>
  </si>
  <si>
    <t>N김인기3</t>
    <phoneticPr fontId="3" type="noConversion"/>
  </si>
  <si>
    <t>N한정완</t>
    <phoneticPr fontId="3" type="noConversion"/>
  </si>
  <si>
    <t>RN맹형열</t>
    <phoneticPr fontId="3" type="noConversion"/>
  </si>
  <si>
    <t>최현수</t>
    <phoneticPr fontId="3" type="noConversion"/>
  </si>
  <si>
    <t>N홍은남</t>
    <phoneticPr fontId="3" type="noConversion"/>
  </si>
  <si>
    <t>RN김을순2</t>
    <phoneticPr fontId="3" type="noConversion"/>
  </si>
  <si>
    <t>N정화구</t>
    <phoneticPr fontId="3" type="noConversion"/>
  </si>
  <si>
    <t>RM목진구</t>
    <phoneticPr fontId="3" type="noConversion"/>
  </si>
  <si>
    <t>RN권영배</t>
    <phoneticPr fontId="3" type="noConversion"/>
  </si>
  <si>
    <t>RG한청자2</t>
    <phoneticPr fontId="3" type="noConversion"/>
  </si>
  <si>
    <t>송영규</t>
    <phoneticPr fontId="3" type="noConversion"/>
  </si>
  <si>
    <t>간호간병</t>
    <phoneticPr fontId="3" type="noConversion"/>
  </si>
  <si>
    <t>RG조남옥2</t>
    <phoneticPr fontId="3" type="noConversion"/>
  </si>
  <si>
    <t>범성희</t>
    <phoneticPr fontId="3" type="noConversion"/>
  </si>
  <si>
    <t>RA권영배</t>
    <phoneticPr fontId="3" type="noConversion"/>
  </si>
  <si>
    <t>CA권순예</t>
    <phoneticPr fontId="3" type="noConversion"/>
  </si>
  <si>
    <t>RA정농숙</t>
    <phoneticPr fontId="3" type="noConversion"/>
  </si>
  <si>
    <t>CA이경순10</t>
    <phoneticPr fontId="3" type="noConversion"/>
  </si>
  <si>
    <t>RS차미영3</t>
    <phoneticPr fontId="3" type="noConversion"/>
  </si>
  <si>
    <t>CA이묘헌</t>
    <phoneticPr fontId="3" type="noConversion"/>
  </si>
  <si>
    <t>RA염재호</t>
    <phoneticPr fontId="3" type="noConversion"/>
  </si>
  <si>
    <t>CA조희자</t>
    <phoneticPr fontId="3" type="noConversion"/>
  </si>
  <si>
    <t>RD정태철</t>
    <phoneticPr fontId="3" type="noConversion"/>
  </si>
  <si>
    <t>RA최의숙</t>
    <phoneticPr fontId="3" type="noConversion"/>
  </si>
  <si>
    <t>CA장현성</t>
    <phoneticPr fontId="3" type="noConversion"/>
  </si>
  <si>
    <t>이현아</t>
    <phoneticPr fontId="3" type="noConversion"/>
  </si>
  <si>
    <t>CA김태수5</t>
    <phoneticPr fontId="3" type="noConversion"/>
  </si>
  <si>
    <t>D이주민</t>
    <phoneticPr fontId="3" type="noConversion"/>
  </si>
  <si>
    <t>CA권정숙</t>
    <phoneticPr fontId="3" type="noConversion"/>
  </si>
  <si>
    <t>C김인기3</t>
    <phoneticPr fontId="3" type="noConversion"/>
  </si>
  <si>
    <t>CA장덕한</t>
    <phoneticPr fontId="3" type="noConversion"/>
  </si>
  <si>
    <t>RA이인기</t>
    <phoneticPr fontId="3" type="noConversion"/>
  </si>
  <si>
    <t>유희주</t>
    <phoneticPr fontId="3" type="noConversion"/>
  </si>
  <si>
    <t>CA오영환3</t>
    <phoneticPr fontId="3" type="noConversion"/>
  </si>
  <si>
    <t>R김남규4(A)
H7김남규4(B)</t>
    <phoneticPr fontId="3" type="noConversion"/>
  </si>
  <si>
    <t>RD김석기2</t>
    <phoneticPr fontId="3" type="noConversion"/>
  </si>
  <si>
    <t>H7정화구(B)</t>
    <phoneticPr fontId="3" type="noConversion"/>
  </si>
  <si>
    <t>RS우병주</t>
    <phoneticPr fontId="3" type="noConversion"/>
  </si>
  <si>
    <t>O7양덕점D</t>
    <phoneticPr fontId="3" type="noConversion"/>
  </si>
  <si>
    <t>CA김인기3</t>
    <phoneticPr fontId="3" type="noConversion"/>
  </si>
  <si>
    <t>H송병태</t>
    <phoneticPr fontId="3" type="noConversion"/>
  </si>
  <si>
    <t>RA차미영3</t>
    <phoneticPr fontId="3" type="noConversion"/>
  </si>
  <si>
    <t>RS목진구</t>
    <phoneticPr fontId="3" type="noConversion"/>
  </si>
  <si>
    <t>이지원</t>
    <phoneticPr fontId="3" type="noConversion"/>
  </si>
  <si>
    <t>RA김을순2</t>
    <phoneticPr fontId="3" type="noConversion"/>
  </si>
  <si>
    <t>RA곽수열</t>
    <phoneticPr fontId="3" type="noConversion"/>
  </si>
  <si>
    <t>RA김석기2</t>
    <phoneticPr fontId="3" type="noConversion"/>
  </si>
  <si>
    <t>RA조항만</t>
    <phoneticPr fontId="3" type="noConversion"/>
  </si>
  <si>
    <t>RD황춘자</t>
    <phoneticPr fontId="3" type="noConversion"/>
  </si>
  <si>
    <t>RA맹형열</t>
    <phoneticPr fontId="3" type="noConversion"/>
  </si>
  <si>
    <t>* 퇴원 및 HOLD</t>
    <phoneticPr fontId="3" type="noConversion"/>
  </si>
  <si>
    <t>정호용</t>
    <phoneticPr fontId="3" type="noConversion"/>
  </si>
  <si>
    <t>RS정농숙</t>
    <phoneticPr fontId="3" type="noConversion"/>
  </si>
  <si>
    <t>RA한청자2</t>
    <phoneticPr fontId="3" type="noConversion"/>
  </si>
  <si>
    <t>RA김진태5</t>
    <phoneticPr fontId="3" type="noConversion"/>
  </si>
  <si>
    <t>CA고해봉</t>
    <phoneticPr fontId="3" type="noConversion"/>
  </si>
  <si>
    <t>CA손재영</t>
    <phoneticPr fontId="11" type="noConversion"/>
  </si>
  <si>
    <t>C이경순10
C고해봉</t>
    <phoneticPr fontId="3" type="noConversion"/>
  </si>
  <si>
    <t>CA이주민</t>
    <phoneticPr fontId="3" type="noConversion"/>
  </si>
  <si>
    <t>CA오경호</t>
    <phoneticPr fontId="3" type="noConversion"/>
  </si>
  <si>
    <t>D손재영V</t>
    <phoneticPr fontId="11" type="noConversion"/>
  </si>
  <si>
    <t>정재희</t>
    <phoneticPr fontId="3" type="noConversion"/>
  </si>
  <si>
    <t>RA김진권2</t>
    <phoneticPr fontId="3" type="noConversion"/>
  </si>
  <si>
    <t>CA홍은남</t>
    <phoneticPr fontId="3" type="noConversion"/>
  </si>
  <si>
    <t>RS김갑태2</t>
    <phoneticPr fontId="3" type="noConversion"/>
  </si>
  <si>
    <t>C오경호
C박창현3</t>
    <phoneticPr fontId="3" type="noConversion"/>
  </si>
  <si>
    <t>RS조항만</t>
    <phoneticPr fontId="3" type="noConversion"/>
  </si>
  <si>
    <t>CA송병태</t>
    <phoneticPr fontId="3" type="noConversion"/>
  </si>
  <si>
    <t>이진주</t>
    <phoneticPr fontId="3" type="noConversion"/>
  </si>
  <si>
    <t>RA목진구</t>
    <phoneticPr fontId="3" type="noConversion"/>
  </si>
  <si>
    <t>RA조남옥2</t>
    <phoneticPr fontId="3" type="noConversion"/>
  </si>
  <si>
    <t>RS염재호</t>
    <phoneticPr fontId="3" type="noConversion"/>
  </si>
  <si>
    <t>RA김갑태2</t>
    <phoneticPr fontId="3" type="noConversion"/>
  </si>
  <si>
    <t>RS곽수열</t>
    <phoneticPr fontId="3" type="noConversion"/>
  </si>
  <si>
    <t>RA김남규4</t>
    <phoneticPr fontId="3" type="noConversion"/>
  </si>
  <si>
    <t>CA박창현3</t>
    <phoneticPr fontId="3" type="noConversion"/>
  </si>
  <si>
    <t>CA정상범3</t>
    <phoneticPr fontId="3" type="noConversion"/>
  </si>
  <si>
    <t>O7양덕점D</t>
    <phoneticPr fontId="3" type="noConversion"/>
  </si>
  <si>
    <t>* 당일시간변경</t>
    <phoneticPr fontId="3" type="noConversion"/>
  </si>
  <si>
    <t>오성균</t>
    <phoneticPr fontId="3" type="noConversion"/>
  </si>
  <si>
    <t>RS맹형열</t>
    <phoneticPr fontId="3" type="noConversion"/>
  </si>
  <si>
    <t>CA신봉호</t>
    <phoneticPr fontId="3" type="noConversion"/>
  </si>
  <si>
    <t>RA김진태5</t>
    <phoneticPr fontId="3" type="noConversion"/>
  </si>
  <si>
    <t>이수연</t>
    <phoneticPr fontId="3" type="noConversion"/>
  </si>
  <si>
    <t>RA김갑태2</t>
    <phoneticPr fontId="3" type="noConversion"/>
  </si>
  <si>
    <t>D이산옥V</t>
    <phoneticPr fontId="3" type="noConversion"/>
  </si>
  <si>
    <t>RD김남규4</t>
    <phoneticPr fontId="3" type="noConversion"/>
  </si>
  <si>
    <t>CA박명숙10</t>
    <phoneticPr fontId="3" type="noConversion"/>
  </si>
  <si>
    <t>RA김진권2</t>
    <phoneticPr fontId="3" type="noConversion"/>
  </si>
  <si>
    <t>RS김을순2</t>
    <phoneticPr fontId="3" type="noConversion"/>
  </si>
  <si>
    <t>CA정화구</t>
    <phoneticPr fontId="3" type="noConversion"/>
  </si>
  <si>
    <t>RA최의숙</t>
    <phoneticPr fontId="3" type="noConversion"/>
  </si>
  <si>
    <t>이유빈</t>
    <phoneticPr fontId="3" type="noConversion"/>
  </si>
  <si>
    <t>RA권영배</t>
    <phoneticPr fontId="3" type="noConversion"/>
  </si>
  <si>
    <t>RA맹형열</t>
    <phoneticPr fontId="3" type="noConversion"/>
  </si>
  <si>
    <t>D김인기3V</t>
    <phoneticPr fontId="3" type="noConversion"/>
  </si>
  <si>
    <t>CA이산옥</t>
    <phoneticPr fontId="3" type="noConversion"/>
  </si>
  <si>
    <t>RA조남옥2</t>
    <phoneticPr fontId="3" type="noConversion"/>
  </si>
  <si>
    <t>RA우병주</t>
    <phoneticPr fontId="3" type="noConversion"/>
  </si>
  <si>
    <t>D강점귀V</t>
    <phoneticPr fontId="3" type="noConversion"/>
  </si>
  <si>
    <t>RA김을순2</t>
    <phoneticPr fontId="3" type="noConversion"/>
  </si>
  <si>
    <t>팀장</t>
    <phoneticPr fontId="3" type="noConversion"/>
  </si>
  <si>
    <t>이송희</t>
    <phoneticPr fontId="3" type="noConversion"/>
  </si>
  <si>
    <t>RM우병주</t>
    <phoneticPr fontId="3" type="noConversion"/>
  </si>
  <si>
    <t>RN채규칠</t>
    <phoneticPr fontId="3" type="noConversion"/>
  </si>
  <si>
    <t>RG조남옥2</t>
    <phoneticPr fontId="3" type="noConversion"/>
  </si>
  <si>
    <t>RN김진권2</t>
    <phoneticPr fontId="3" type="noConversion"/>
  </si>
  <si>
    <t>계장</t>
    <phoneticPr fontId="3" type="noConversion"/>
  </si>
  <si>
    <t>CA김은미11</t>
    <phoneticPr fontId="3" type="noConversion"/>
  </si>
  <si>
    <t>RA조남옥2</t>
    <phoneticPr fontId="3" type="noConversion"/>
  </si>
  <si>
    <t>RD김석기2</t>
    <phoneticPr fontId="3" type="noConversion"/>
  </si>
  <si>
    <t>RA정농숙</t>
    <phoneticPr fontId="3" type="noConversion"/>
  </si>
  <si>
    <t>RS김진권2</t>
    <phoneticPr fontId="3" type="noConversion"/>
  </si>
  <si>
    <t>신지아</t>
    <phoneticPr fontId="3" type="noConversion"/>
  </si>
  <si>
    <t>M손재영C
M정상범3C
M박명숙10C
M장덕한C
M김인기3S
M정화구S</t>
    <phoneticPr fontId="3" type="noConversion"/>
  </si>
  <si>
    <t>M한미송C
M이주민C
G양덕점C
M권순예S
M강점귀M
M송병태Tt</t>
    <phoneticPr fontId="3" type="noConversion"/>
  </si>
  <si>
    <t>M김은미11C
M권정숙C
M오경호C
M장현성S
Tt배영수Tt</t>
    <phoneticPr fontId="3" type="noConversion"/>
  </si>
  <si>
    <t>M권순예C
M김태수5S
M이주민T
M강점귀Tt</t>
    <phoneticPr fontId="3" type="noConversion"/>
  </si>
  <si>
    <t>M우재천C
M박창현3C
M권정숙S
M송병태S
M오영환3M</t>
    <phoneticPr fontId="3" type="noConversion"/>
  </si>
  <si>
    <t>M조희자C
M최무정C
M한정완C
M고해봉S
M이경순10T</t>
    <phoneticPr fontId="3" type="noConversion"/>
  </si>
  <si>
    <t>M김인기3C
M장덕한C
M정화구C
M장현성C
M신봉호T</t>
    <phoneticPr fontId="3" type="noConversion"/>
  </si>
  <si>
    <r>
      <t xml:space="preserve">MM김긍회님C
MM김순자20C
</t>
    </r>
    <r>
      <rPr>
        <b/>
        <u/>
        <sz val="10"/>
        <color theme="1"/>
        <rFont val="돋움"/>
        <family val="3"/>
        <charset val="129"/>
      </rPr>
      <t>MM김진석5T</t>
    </r>
    <r>
      <rPr>
        <sz val="10"/>
        <color theme="1"/>
        <rFont val="돋움"/>
        <family val="3"/>
        <charset val="129"/>
      </rPr>
      <t xml:space="preserve">
MM이인기CPM
MM염재호S</t>
    </r>
    <phoneticPr fontId="3" type="noConversion"/>
  </si>
  <si>
    <t>MM염재호C
MM김진태5C
MM이인기CPM</t>
    <phoneticPr fontId="3" type="noConversion"/>
  </si>
  <si>
    <r>
      <t xml:space="preserve">MM조항만C
MM목진구C
MM정농숙S
</t>
    </r>
    <r>
      <rPr>
        <b/>
        <u/>
        <sz val="10"/>
        <color theme="1"/>
        <rFont val="돋움"/>
        <family val="3"/>
        <charset val="129"/>
      </rPr>
      <t>MM조덕선Tt</t>
    </r>
    <r>
      <rPr>
        <sz val="10"/>
        <rFont val="돋움"/>
        <family val="3"/>
        <charset val="129"/>
      </rPr>
      <t xml:space="preserve">
MM조남옥2
CPM</t>
    </r>
    <phoneticPr fontId="3" type="noConversion"/>
  </si>
  <si>
    <r>
      <t xml:space="preserve">MM황춘자C
</t>
    </r>
    <r>
      <rPr>
        <b/>
        <u/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MM정태철Tt
MM한청자2CPM
MM채규칠T</t>
    </r>
    <phoneticPr fontId="3" type="noConversion"/>
  </si>
  <si>
    <r>
      <t xml:space="preserve">MM김순자20C
MM곽수열S
</t>
    </r>
    <r>
      <rPr>
        <b/>
        <u/>
        <sz val="10"/>
        <color theme="1"/>
        <rFont val="돋움"/>
        <family val="3"/>
        <charset val="129"/>
      </rPr>
      <t>MM조덕선Tt</t>
    </r>
    <r>
      <rPr>
        <sz val="10"/>
        <rFont val="돋움"/>
        <family val="3"/>
        <charset val="129"/>
      </rPr>
      <t xml:space="preserve">
MM조남옥2
CPM</t>
    </r>
    <phoneticPr fontId="3" type="noConversion"/>
  </si>
  <si>
    <t>최유진</t>
    <phoneticPr fontId="3" type="noConversion"/>
  </si>
  <si>
    <t>단축근무</t>
    <phoneticPr fontId="3" type="noConversion"/>
  </si>
  <si>
    <t>F김태수5
F이묘헌
F김인기3
F송수연2</t>
    <phoneticPr fontId="3" type="noConversion"/>
  </si>
  <si>
    <t>F이산옥
F권순예
F송병태
F강점귀</t>
    <phoneticPr fontId="3" type="noConversion"/>
  </si>
  <si>
    <t>F우재천
F장현성
F김은미11
F이경순10</t>
    <phoneticPr fontId="3" type="noConversion"/>
  </si>
  <si>
    <t>F고해봉
F오경호</t>
    <phoneticPr fontId="3" type="noConversion"/>
  </si>
  <si>
    <t>F최무정
F조희자
F한정완
F정화구</t>
    <phoneticPr fontId="3" type="noConversion"/>
  </si>
  <si>
    <t>F신봉호
F김진철4
F정상범3
F배영수</t>
    <phoneticPr fontId="3" type="noConversion"/>
  </si>
  <si>
    <t xml:space="preserve">
단축근무
</t>
    <phoneticPr fontId="3" type="noConversion"/>
  </si>
  <si>
    <t>추가</t>
    <phoneticPr fontId="3" type="noConversion"/>
  </si>
  <si>
    <t>8:30~
9:00</t>
    <phoneticPr fontId="3" type="noConversion"/>
  </si>
  <si>
    <t>NDT</t>
    <phoneticPr fontId="3" type="noConversion"/>
  </si>
  <si>
    <t>N최무정
N송병태</t>
    <phoneticPr fontId="3" type="noConversion"/>
  </si>
  <si>
    <t>N권정숙</t>
    <phoneticPr fontId="3" type="noConversion"/>
  </si>
  <si>
    <t>N강점귀
N정상범3</t>
    <phoneticPr fontId="3" type="noConversion"/>
  </si>
  <si>
    <t>N한미송
N배영수</t>
    <phoneticPr fontId="3" type="noConversion"/>
  </si>
  <si>
    <t>CA</t>
    <phoneticPr fontId="3" type="noConversion"/>
  </si>
  <si>
    <t>D</t>
    <phoneticPr fontId="3" type="noConversion"/>
  </si>
  <si>
    <t>D오경호</t>
    <phoneticPr fontId="3" type="noConversion"/>
  </si>
  <si>
    <t>D김인기3</t>
    <phoneticPr fontId="3" type="noConversion"/>
  </si>
  <si>
    <t>D송병태</t>
    <phoneticPr fontId="3" type="noConversion"/>
  </si>
  <si>
    <t>D강점귀</t>
    <phoneticPr fontId="3" type="noConversion"/>
  </si>
  <si>
    <t>D배영수</t>
    <phoneticPr fontId="3" type="noConversion"/>
  </si>
  <si>
    <t>C</t>
    <phoneticPr fontId="3" type="noConversion"/>
  </si>
  <si>
    <t xml:space="preserve"> C최무정</t>
    <phoneticPr fontId="3" type="noConversion"/>
  </si>
  <si>
    <t>C김태수5</t>
    <phoneticPr fontId="3" type="noConversion"/>
  </si>
  <si>
    <t>C박명숙10
C정화구</t>
    <phoneticPr fontId="3" type="noConversion"/>
  </si>
  <si>
    <t>8:30~
9:00</t>
    <phoneticPr fontId="3" type="noConversion"/>
  </si>
  <si>
    <t>10:15~
10:45</t>
    <phoneticPr fontId="3" type="noConversion"/>
  </si>
  <si>
    <t>10:50~
11:20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</si>
  <si>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</si>
  <si>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</si>
  <si>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</si>
  <si>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16:25~
16:55</t>
    <phoneticPr fontId="3" type="noConversion"/>
  </si>
  <si>
    <t>통증</t>
    <phoneticPr fontId="3" type="noConversion"/>
  </si>
  <si>
    <t>언어</t>
    <phoneticPr fontId="3" type="noConversion"/>
  </si>
  <si>
    <t>L7정화구(A)</t>
    <phoneticPr fontId="3" type="noConversion"/>
  </si>
  <si>
    <t>로봇 /
 RG2-R</t>
    <phoneticPr fontId="3" type="noConversion"/>
  </si>
  <si>
    <t>R김남규4(A)
H7김남규4(B)</t>
    <phoneticPr fontId="3" type="noConversion"/>
  </si>
  <si>
    <t>김진철4
RG2R채규칠</t>
    <phoneticPr fontId="3" type="noConversion"/>
  </si>
  <si>
    <t>H7정화구(B)</t>
    <phoneticPr fontId="3" type="noConversion"/>
  </si>
  <si>
    <t>H7맹형열(D)
W배영수님(B)
W정화구(A)</t>
    <phoneticPr fontId="3" type="noConversion"/>
  </si>
  <si>
    <t>2층 도수</t>
    <phoneticPr fontId="3" type="noConversion"/>
  </si>
  <si>
    <t>전산화인지</t>
    <phoneticPr fontId="3" type="noConversion"/>
  </si>
  <si>
    <t>RA채규칠</t>
    <phoneticPr fontId="3" type="noConversion"/>
  </si>
  <si>
    <t>RA조덕선</t>
  </si>
  <si>
    <t>C배영수</t>
    <phoneticPr fontId="3" type="noConversion"/>
  </si>
  <si>
    <t>C오영환3
C우재천</t>
    <phoneticPr fontId="3" type="noConversion"/>
  </si>
  <si>
    <t>C이주민</t>
    <phoneticPr fontId="3" type="noConversion"/>
  </si>
  <si>
    <t>D손재영</t>
    <phoneticPr fontId="3" type="noConversion"/>
  </si>
  <si>
    <t>C강점귀
C손재영</t>
    <phoneticPr fontId="3" type="noConversion"/>
  </si>
  <si>
    <t>N김태수5
N이묘헌
N손재영</t>
    <phoneticPr fontId="3" type="noConversion"/>
  </si>
  <si>
    <r>
      <t xml:space="preserve">N정화구
</t>
    </r>
    <r>
      <rPr>
        <sz val="10"/>
        <color theme="1"/>
        <rFont val="돋움"/>
        <family val="3"/>
        <charset val="129"/>
      </rPr>
      <t>N장덕한</t>
    </r>
    <phoneticPr fontId="3" type="noConversion"/>
  </si>
  <si>
    <t>D이주민</t>
    <phoneticPr fontId="3" type="noConversion"/>
  </si>
  <si>
    <t>C김은미11</t>
    <phoneticPr fontId="3" type="noConversion"/>
  </si>
  <si>
    <t>C권순예
C홍은남</t>
    <phoneticPr fontId="3" type="noConversion"/>
  </si>
  <si>
    <t>D홍은남</t>
    <phoneticPr fontId="3" type="noConversion"/>
  </si>
  <si>
    <t>MM김을순2C
MM김남규4T
MM김종대2S
MM권영배Tt</t>
    <phoneticPr fontId="3" type="noConversion"/>
  </si>
  <si>
    <t>황춘자</t>
    <phoneticPr fontId="3" type="noConversion"/>
  </si>
  <si>
    <t>RG한상진</t>
    <phoneticPr fontId="3" type="noConversion"/>
  </si>
  <si>
    <t>RG한상진</t>
    <phoneticPr fontId="3" type="noConversion"/>
  </si>
  <si>
    <t>RA한상진</t>
    <phoneticPr fontId="3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</si>
  <si>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G한상진</t>
    </r>
    <phoneticPr fontId="3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</si>
  <si>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A한상진</t>
    </r>
    <phoneticPr fontId="3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</si>
  <si>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A한상진</t>
    </r>
    <phoneticPr fontId="3" type="noConversion"/>
  </si>
  <si>
    <t>MM곽수열님C
MM최의숙CPM
MM김갑태2M
MM한상진C
MM차미영3T</t>
    <phoneticPr fontId="3" type="noConversion"/>
  </si>
  <si>
    <r>
      <t xml:space="preserve">MM김진권2C
</t>
    </r>
    <r>
      <rPr>
        <b/>
        <u/>
        <sz val="10"/>
        <rFont val="돋움"/>
        <family val="3"/>
        <charset val="129"/>
      </rPr>
      <t>MM김진석5C</t>
    </r>
    <r>
      <rPr>
        <sz val="10"/>
        <rFont val="돋움"/>
        <family val="3"/>
        <charset val="129"/>
      </rPr>
      <t xml:space="preserve">
MM김종대2C
MM한상진C(B)
MM조항만S
MM신명숙6M
MM최의숙CPM
MM차미영3C</t>
    </r>
    <phoneticPr fontId="3" type="noConversion"/>
  </si>
  <si>
    <t>3층</t>
    <phoneticPr fontId="3" type="noConversion"/>
  </si>
  <si>
    <t>4층 재활센터 시간표     2025. 11. 4 (화)</t>
    <phoneticPr fontId="3" type="noConversion"/>
  </si>
  <si>
    <t>이유빈
(연차)</t>
    <phoneticPr fontId="3" type="noConversion"/>
  </si>
  <si>
    <t>RA우병주</t>
  </si>
  <si>
    <t>H7황춘자</t>
    <phoneticPr fontId="3" type="noConversion"/>
  </si>
  <si>
    <t>H7김남규4</t>
    <phoneticPr fontId="3" type="noConversion"/>
  </si>
  <si>
    <t>H7정화구</t>
    <phoneticPr fontId="3" type="noConversion"/>
  </si>
  <si>
    <t>한상진님 RG6,MM4/RA6 (월수금 오후 투석)</t>
    <phoneticPr fontId="3" type="noConversion"/>
  </si>
  <si>
    <t xml:space="preserve">손재영님 1년 경과. N1,M2,F1 / CA,D1V1
우재천님, 조덕선님 8:30↔10:15 시간변경
김남규4님 동일시간 오전기구변경
황춘자님 2주간 통증 추가 
</t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</si>
  <si>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신명숙6(RG),곽수열님, 김긍회님, 차미영3, 염재호, 조덕선님(RG), 김순자20님(RG), 
                    이인기3(RG), 권영배, 김진석5, 김진태, 김을순2, 김종대2, 김일용, 한청자2(RG), 김남규4, 조남옥2(RG), 한상진(RG)
NDT : 최무정, 강점귀, 우재천, 김태수5, 조희자, 권순예, 장현성, 이산옥,  권정숙, 신봉호(거부), 홍은남, 송병태, 박명숙10, 김은미11, 이묘헌, 정상범3, 장덕한, 한미송(para), 정화구
         배영수, 오영환3, 손재영
CA : 강점귀
D : 강점귀, 이산옥, 송병태, 김인기3, 배영수, 오경호, 손재영
C : 최무정, 강점귀, 우재천, 김태수5, 조희자, ,권순예, 이산옥, 권정숙, 장현성, 신봉호(거부), 홍은남, 송병태, 박명숙10, 김은미11, 이묘헌, 정상범3, 장덕한, 정화구, 배영수, 오영환3, 손재영</t>
    </r>
    <phoneticPr fontId="3" type="noConversion"/>
  </si>
  <si>
    <t>* A : 박명숙10님, 김남규4님
* B : 황춘자님, 정화구님, 김남규4님, 한상진(A오후 투석)
* 추가치료 거부 : 신봉호님
* TT2대 : 10:15, 11:25, 12:00 / 코끼리6대 : 8:30, 9:05, 13:30
* 3층 치료 : 11/4 시작. 3타임</t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</si>
  <si>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신명숙6(RG),곽수열님, 김긍회님, 차미영3, 염재호, 조덕선님(MM홀드, RG), 김순자20님(RG), 
                    이인기3(RG), 권영배, 김진석5, 김진태, 김을순2, 김종대2, 김일용, 한청자2(RG), 김남규4, 조남옥2(RG), RG한상진
NDT : 최무정, 강점귀, 우재천, 김태수5, 조희자, 권순예, 장현성, 이산옥,  권정숙, 신봉호(거부), 홍은남, 송병태, 박명숙10, 김은미11, 이묘헌, 정상범3, 장덕한, 한미송(para), 정화구
         배영수, 오영환3, 손재영
CA : 강점귀
D : 강점귀, 이산옥, 송병태, 김인기3, 배영수, 오경호, 손재영
C : 최무정, 강점귀, 우재천, 김태수5, 조희자, ,권순예, 이산옥, 권정숙, 장현성, 신봉호(거부), 홍은남, 송병태, 박명숙10, 김은미11, 이묘헌, 정상범3, 장덕한, 정화구, 배영수, 오영환3, 손재영</t>
    </r>
    <phoneticPr fontId="3" type="noConversion"/>
  </si>
  <si>
    <t>M고해봉C
M조희자C
M이경순10C
M우재천S
M홍은남M</t>
    <phoneticPr fontId="3" type="noConversion"/>
  </si>
  <si>
    <t>M김진철4C
M이산옥C
M한정완C
M박명숙10S
M송수연2T
M오영환3M
M김병철4Tt</t>
    <phoneticPr fontId="3" type="noConversion"/>
  </si>
  <si>
    <t>F손재영</t>
    <phoneticPr fontId="3" type="noConversion"/>
  </si>
  <si>
    <t>F권정숙
F장덕한
F박명숙10
F오영환3</t>
    <phoneticPr fontId="3" type="noConversion"/>
  </si>
  <si>
    <t>이효정</t>
    <phoneticPr fontId="3" type="noConversion"/>
  </si>
  <si>
    <t>이지은</t>
    <phoneticPr fontId="3" type="noConversion"/>
  </si>
  <si>
    <t>4층 재활센터 시간표     2025. 11. 5 (수)</t>
    <phoneticPr fontId="3" type="noConversion"/>
  </si>
  <si>
    <t>M김태수5C
M박창현3C
M송수연2C
M김은미11S</t>
    <phoneticPr fontId="3" type="noConversion"/>
  </si>
  <si>
    <t>M신봉호C
M손재영C
M최무정C
M배영수Tt</t>
    <phoneticPr fontId="3" type="noConversion"/>
  </si>
  <si>
    <t>F김태수5
F김인기3
F송수연2</t>
    <phoneticPr fontId="3" type="noConversion"/>
  </si>
  <si>
    <t>N김태수5
N손재영</t>
    <phoneticPr fontId="3" type="noConversion"/>
  </si>
  <si>
    <t>C이산옥</t>
    <phoneticPr fontId="3" type="noConversion"/>
  </si>
  <si>
    <t>유다영
(연차)</t>
    <phoneticPr fontId="3" type="noConversion"/>
  </si>
  <si>
    <t>전진현
(연차)</t>
    <phoneticPr fontId="3" type="noConversion"/>
  </si>
  <si>
    <t>최유진
(연차)</t>
    <phoneticPr fontId="3" type="noConversion"/>
  </si>
  <si>
    <t>통합관리회의</t>
  </si>
  <si>
    <t>통합관리회의</t>
    <phoneticPr fontId="3" type="noConversion"/>
  </si>
  <si>
    <t>D이주민
D송병태</t>
    <phoneticPr fontId="3" type="noConversion"/>
  </si>
  <si>
    <t>RM김남규4</t>
    <phoneticPr fontId="3" type="noConversion"/>
  </si>
  <si>
    <t>RN염재호</t>
  </si>
  <si>
    <t>N송병태</t>
  </si>
  <si>
    <t>O7박명숙10</t>
    <phoneticPr fontId="3" type="noConversion"/>
  </si>
  <si>
    <t>R김남규4</t>
    <phoneticPr fontId="3" type="noConversion"/>
  </si>
  <si>
    <t>N권순예</t>
    <phoneticPr fontId="3" type="noConversion"/>
  </si>
  <si>
    <t>RM채규칠</t>
  </si>
  <si>
    <t>M7양덕점D</t>
  </si>
  <si>
    <t>RM김진권2</t>
  </si>
  <si>
    <t>MM김을순2C
MM김남규4T
MM김종대2S</t>
    <phoneticPr fontId="3" type="noConversion"/>
  </si>
  <si>
    <r>
      <t>MM김진태5C
MM한청자2CPM</t>
    </r>
    <r>
      <rPr>
        <sz val="10"/>
        <color theme="1"/>
        <rFont val="돋움"/>
        <family val="3"/>
        <charset val="129"/>
      </rPr>
      <t xml:space="preserve">
MM김남규4C
MM맹형열T
MM채규칠C</t>
    </r>
    <phoneticPr fontId="3" type="noConversion"/>
  </si>
  <si>
    <r>
      <t xml:space="preserve">MM김진권2C
</t>
    </r>
    <r>
      <rPr>
        <b/>
        <u/>
        <sz val="10"/>
        <rFont val="돋움"/>
        <family val="3"/>
        <charset val="129"/>
      </rPr>
      <t>MM김진석5C</t>
    </r>
    <r>
      <rPr>
        <sz val="10"/>
        <rFont val="돋움"/>
        <family val="3"/>
        <charset val="129"/>
      </rPr>
      <t xml:space="preserve">
MM김종대2C</t>
    </r>
    <r>
      <rPr>
        <sz val="10"/>
        <rFont val="돋움"/>
        <family val="3"/>
        <charset val="129"/>
      </rPr>
      <t xml:space="preserve">
MM조항만S
MM신명숙6M
MM최의숙CPM
MM차미영3C</t>
    </r>
    <phoneticPr fontId="3" type="noConversion"/>
  </si>
  <si>
    <r>
      <rPr>
        <b/>
        <sz val="10"/>
        <color rgb="FFFF0000"/>
        <rFont val="돋움"/>
        <family val="3"/>
        <charset val="129"/>
      </rPr>
      <t>MM곽수열님C</t>
    </r>
    <r>
      <rPr>
        <sz val="10"/>
        <rFont val="돋움"/>
        <family val="3"/>
        <charset val="129"/>
      </rPr>
      <t xml:space="preserve">
MM최의숙CPM
MM김갑태2M
</t>
    </r>
    <r>
      <rPr>
        <b/>
        <u/>
        <sz val="1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MM차미영3T</t>
    </r>
    <phoneticPr fontId="3" type="noConversion"/>
  </si>
  <si>
    <t>* A : 박명숙10님, 김남규4님
* B : 황춘자님, 정화구님, 김남규4님, 한상진(A오후 투석)
* 추가치료 거부 : 신봉호님
* TT2대 : 10:15, 12:00 / 코끼리6대 : 8:30, 9:05
* 3층 치료 : 11/4 시작. 3타임</t>
    <phoneticPr fontId="3" type="noConversion"/>
  </si>
  <si>
    <t>* A : 박명숙10님, 김남규4님
* B : 황춘자님, 정화구님, 김남규4님, 한상진(A오후 투석)
* 추가치료 거부 : 신봉호님
* TT2대 : 10:15, 12:00 / 코끼리6대 : 8:30, 9:05
* 3층 치료 : 11/4 시작. 3타임</t>
    <phoneticPr fontId="3" type="noConversion"/>
  </si>
  <si>
    <r>
      <t xml:space="preserve">MM황춘자C
</t>
    </r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</t>
    </r>
    <r>
      <rPr>
        <b/>
        <sz val="10"/>
        <color rgb="FFFF0000"/>
        <rFont val="돋움"/>
        <family val="3"/>
        <charset val="129"/>
      </rPr>
      <t>MM정태철Tt</t>
    </r>
    <r>
      <rPr>
        <sz val="10"/>
        <rFont val="돋움"/>
        <family val="3"/>
        <charset val="129"/>
      </rPr>
      <t xml:space="preserve">
MM한청자2CPM
MM채규칠T</t>
    </r>
    <phoneticPr fontId="3" type="noConversion"/>
  </si>
  <si>
    <t>MM우병주C
MM목진구C
MM황춘자CPM
MM김긍회님S
MM정태철M
MM김갑태2Tt</t>
    <phoneticPr fontId="3" type="noConversion"/>
  </si>
  <si>
    <t>차미영3님 통증삭제
조덕선님 기구 삭제
오영환3님 기구 및 전기 변경
권영배님 욕창으로인해 병실재활로 변경, 기구 당분간 홀드
이지은, 이효정T 스케줄 추가</t>
    <phoneticPr fontId="3" type="noConversion"/>
  </si>
  <si>
    <t>이묘헌님 외진 ALL 홀드</t>
    <phoneticPr fontId="3" type="noConversion"/>
  </si>
  <si>
    <t>송병태님 12:00→11:25 시간변경</t>
    <phoneticPr fontId="3" type="noConversion"/>
  </si>
  <si>
    <t>M김진철4C
M이산옥C
M한정완C
M박명숙10S
M송수연2T
M오영환3M</t>
    <phoneticPr fontId="3" type="noConversion"/>
  </si>
  <si>
    <t>F한미송
F박창현3
F이주민</t>
    <phoneticPr fontId="3" type="noConversion"/>
  </si>
  <si>
    <t>4층 재활센터 시간표     2025. 11. 6 (목)</t>
    <phoneticPr fontId="3" type="noConversion"/>
  </si>
  <si>
    <t>전진현
(연차)</t>
    <phoneticPr fontId="3" type="noConversion"/>
  </si>
  <si>
    <t>이지원
(오후반차)</t>
    <phoneticPr fontId="3" type="noConversion"/>
  </si>
  <si>
    <t>MM김을순2C
MM김남규4T
MM김종대2S</t>
    <phoneticPr fontId="3" type="noConversion"/>
  </si>
  <si>
    <r>
      <t xml:space="preserve">MM김진권2C
</t>
    </r>
    <r>
      <rPr>
        <b/>
        <u/>
        <sz val="10"/>
        <rFont val="돋움"/>
        <family val="3"/>
        <charset val="129"/>
      </rPr>
      <t>MM김진석5C</t>
    </r>
    <r>
      <rPr>
        <sz val="10"/>
        <rFont val="돋움"/>
        <family val="3"/>
        <charset val="129"/>
      </rPr>
      <t xml:space="preserve">
MM김종대2C
</t>
    </r>
    <r>
      <rPr>
        <b/>
        <u/>
        <sz val="1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MM조항만S
MM신명숙6M
MM최의숙CPM
MM차미영3C</t>
    </r>
    <phoneticPr fontId="3" type="noConversion"/>
  </si>
  <si>
    <r>
      <t xml:space="preserve">MM황춘자C
</t>
    </r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</t>
    </r>
    <r>
      <rPr>
        <b/>
        <sz val="10"/>
        <color rgb="FFFF0000"/>
        <rFont val="돋움"/>
        <family val="3"/>
        <charset val="129"/>
      </rPr>
      <t>MM정태철Tt</t>
    </r>
    <r>
      <rPr>
        <sz val="10"/>
        <rFont val="돋움"/>
        <family val="3"/>
        <charset val="129"/>
      </rPr>
      <t xml:space="preserve">
MM한청자2CPM
MM채규칠T</t>
    </r>
    <phoneticPr fontId="3" type="noConversion"/>
  </si>
  <si>
    <r>
      <rPr>
        <b/>
        <sz val="10"/>
        <color rgb="FFFF0000"/>
        <rFont val="돋움"/>
        <family val="3"/>
        <charset val="129"/>
      </rPr>
      <t>MM김긍회님C</t>
    </r>
    <r>
      <rPr>
        <sz val="10"/>
        <color theme="1"/>
        <rFont val="돋움"/>
        <family val="3"/>
        <charset val="129"/>
      </rPr>
      <t xml:space="preserve">
MM김순자20C
</t>
    </r>
    <r>
      <rPr>
        <b/>
        <u/>
        <sz val="10"/>
        <color theme="1"/>
        <rFont val="돋움"/>
        <family val="3"/>
        <charset val="129"/>
      </rPr>
      <t>MM김진석5T</t>
    </r>
    <r>
      <rPr>
        <sz val="10"/>
        <color theme="1"/>
        <rFont val="돋움"/>
        <family val="3"/>
        <charset val="129"/>
      </rPr>
      <t xml:space="preserve">
MM이인기CPM
MM염재호S</t>
    </r>
    <phoneticPr fontId="3" type="noConversion"/>
  </si>
  <si>
    <t>H7황춘자</t>
    <phoneticPr fontId="3" type="noConversion"/>
  </si>
  <si>
    <t>H7김남규4</t>
    <phoneticPr fontId="3" type="noConversion"/>
  </si>
  <si>
    <t>RG조남옥2</t>
    <phoneticPr fontId="3" type="noConversion"/>
  </si>
  <si>
    <t>RA조항만</t>
  </si>
  <si>
    <t>RA맹형열</t>
  </si>
  <si>
    <t xml:space="preserve"> RG한청자2</t>
  </si>
  <si>
    <t>4층
김병철4님 퇴원</t>
    <phoneticPr fontId="3" type="noConversion"/>
  </si>
  <si>
    <t>김갑태2</t>
    <phoneticPr fontId="3" type="noConversion"/>
  </si>
  <si>
    <r>
      <rPr>
        <b/>
        <sz val="10"/>
        <color rgb="FFFF0000"/>
        <rFont val="돋움"/>
        <family val="3"/>
        <charset val="129"/>
      </rPr>
      <t>MM곽수열님C</t>
    </r>
    <r>
      <rPr>
        <sz val="10"/>
        <rFont val="돋움"/>
        <family val="3"/>
        <charset val="129"/>
      </rPr>
      <t xml:space="preserve">
MM최의숙CPM
MM김갑태2M</t>
    </r>
    <r>
      <rPr>
        <sz val="10"/>
        <rFont val="돋움"/>
        <family val="3"/>
        <charset val="129"/>
      </rPr>
      <t xml:space="preserve">
MM차미영3T</t>
    </r>
    <phoneticPr fontId="3" type="noConversion"/>
  </si>
  <si>
    <r>
      <t xml:space="preserve">MM김을순2C
</t>
    </r>
    <r>
      <rPr>
        <b/>
        <sz val="10"/>
        <color rgb="FFFF0000"/>
        <rFont val="돋움"/>
        <family val="3"/>
        <charset val="129"/>
      </rPr>
      <t>MM맹형열C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MM김일용CPM
MM김석기2C</t>
    </r>
    <phoneticPr fontId="3" type="noConversion"/>
  </si>
  <si>
    <t>김병철4님 퇴원. 스케줄 삭제
김갑태2님 통증 2주 추가</t>
    <phoneticPr fontId="3" type="noConversion"/>
  </si>
  <si>
    <t>한상진님 9:05 → 15:15 시간변경 (엑스바디)</t>
    <phoneticPr fontId="3" type="noConversion"/>
  </si>
  <si>
    <t>D오경호V</t>
    <phoneticPr fontId="11" type="noConversion"/>
  </si>
  <si>
    <t>* A : 박명숙10님, 김남규4님
* B : 황춘자님, 정화구님, 김남규4님, 한상진(A오후 투석)
* 추가치료 거부 : 신봉호님
* TT2대 : 10:15, 12:00 / 코끼리6대 : 8:30, 9:05, 13:30
* 3층 치료 : 11/4 시작. 3타임</t>
    <phoneticPr fontId="3" type="noConversion"/>
  </si>
  <si>
    <t>MM정농숙C
MM김일용CPM
MM김석기2C</t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</si>
  <si>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곽수열님, 김긍회님, 차미영3, 염재호, 김순자20님(RG), 
                    이인기3(RG), 권영배, 김진석5, 김진태, 김을순2, 김종대2, 김일용, 한청자2(RG), 김남규4, 조남옥2(RG), RG한상진
NDT : 최무정, 강점귀, 우재천, 김태수5, 조희자, 권순예, 장현성, 이산옥,  권정숙, 신봉호(거부), 홍은남, 송병태, 박명숙10, 김은미11, 이묘헌, 정상범3, 장덕한, 한미송(para), 정화구
         배영수, 오영환3, 손재영
CA : 강점귀
D : 강점귀, 이산옥, 송병태, 김인기3, 배영수, 오경호, 손재영
C : 최무정, 강점귀, 우재천, 김태수5, 조희자, ,권순예, 이산옥, 권정숙, 장현성, 신봉호(거부), 홍은남, 송병태, 박명숙10, 김은미11, 이묘헌, 정상범3, 장덕한, 정화구, 배영수, 오영환3, 손재영</t>
    </r>
    <phoneticPr fontId="3" type="noConversion"/>
  </si>
  <si>
    <t>MM김을순2C
MM맹형열C
MM김석기2C</t>
    <phoneticPr fontId="3" type="noConversion"/>
  </si>
  <si>
    <t>W김인기3(B)</t>
    <phoneticPr fontId="3" type="noConversion"/>
  </si>
  <si>
    <t>조희자
우병주</t>
    <phoneticPr fontId="3" type="noConversion"/>
  </si>
  <si>
    <t>N홍은남</t>
    <phoneticPr fontId="3" type="noConversion"/>
  </si>
  <si>
    <t>N우재천
N조희자</t>
    <phoneticPr fontId="3" type="noConversion"/>
  </si>
  <si>
    <t>4층 재활센터 시간표     2025. 11. 7 (금)</t>
    <phoneticPr fontId="3" type="noConversion"/>
  </si>
  <si>
    <t>전진현
(연차)</t>
    <phoneticPr fontId="3" type="noConversion"/>
  </si>
  <si>
    <t>MM우병주C
MM목진구C
MM황춘자CPM
MM김긍회님S
MM정태철M
MM김갑태2Tt</t>
    <phoneticPr fontId="3" type="noConversion"/>
  </si>
  <si>
    <t>M한미송C
G김동선C
M김진철4S
M오경호S
M배영수Tt</t>
    <phoneticPr fontId="3" type="noConversion"/>
  </si>
  <si>
    <t>F신봉호
F김진철4
F배영수</t>
    <phoneticPr fontId="3" type="noConversion"/>
  </si>
  <si>
    <t>N강점귀</t>
    <phoneticPr fontId="3" type="noConversion"/>
  </si>
  <si>
    <t>C장덕한</t>
    <phoneticPr fontId="3" type="noConversion"/>
  </si>
  <si>
    <t>O7박명숙10</t>
    <phoneticPr fontId="3" type="noConversion"/>
  </si>
  <si>
    <t>R김남규4</t>
    <phoneticPr fontId="3" type="noConversion"/>
  </si>
  <si>
    <r>
      <t xml:space="preserve">MM김진권2C
</t>
    </r>
    <r>
      <rPr>
        <b/>
        <u/>
        <sz val="10"/>
        <rFont val="돋움"/>
        <family val="3"/>
        <charset val="129"/>
      </rPr>
      <t>MM김진석5C</t>
    </r>
    <r>
      <rPr>
        <sz val="10"/>
        <rFont val="돋움"/>
        <family val="3"/>
        <charset val="129"/>
      </rPr>
      <t xml:space="preserve">
MM김종대2C</t>
    </r>
    <r>
      <rPr>
        <sz val="10"/>
        <rFont val="돋움"/>
        <family val="3"/>
        <charset val="129"/>
      </rPr>
      <t xml:space="preserve">
MM조항만S
MM최의숙CPM
MM차미영3C</t>
    </r>
    <phoneticPr fontId="3" type="noConversion"/>
  </si>
  <si>
    <r>
      <t>MM김진태5C
MM한청자2CPM</t>
    </r>
    <r>
      <rPr>
        <sz val="10"/>
        <color theme="1"/>
        <rFont val="돋움"/>
        <family val="3"/>
        <charset val="129"/>
      </rPr>
      <t xml:space="preserve">
MM김남규4C
MM맹형열T
MM채규칠C</t>
    </r>
    <phoneticPr fontId="3" type="noConversion"/>
  </si>
  <si>
    <r>
      <t xml:space="preserve">MM황춘자C
</t>
    </r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</t>
    </r>
    <r>
      <rPr>
        <b/>
        <sz val="10"/>
        <color rgb="FFFF0000"/>
        <rFont val="돋움"/>
        <family val="3"/>
        <charset val="129"/>
      </rPr>
      <t>MM정태철Tt</t>
    </r>
    <r>
      <rPr>
        <sz val="10"/>
        <rFont val="돋움"/>
        <family val="3"/>
        <charset val="129"/>
      </rPr>
      <t xml:space="preserve">
MM한청자2CPM
MM채규칠T</t>
    </r>
    <phoneticPr fontId="3" type="noConversion"/>
  </si>
  <si>
    <t>MM김긍회님C</t>
  </si>
  <si>
    <r>
      <rPr>
        <b/>
        <sz val="10"/>
        <color rgb="FFFF0000"/>
        <rFont val="돋움"/>
        <family val="3"/>
        <charset val="129"/>
      </rPr>
      <t>MM곽수열님C</t>
    </r>
    <r>
      <rPr>
        <sz val="10"/>
        <rFont val="돋움"/>
        <family val="3"/>
        <charset val="129"/>
      </rPr>
      <t xml:space="preserve">
MM최의숙CPM
MM김갑태2M
</t>
    </r>
    <r>
      <rPr>
        <b/>
        <u/>
        <sz val="1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MM차미영3T</t>
    </r>
    <phoneticPr fontId="3" type="noConversion"/>
  </si>
  <si>
    <t>MM곽수열님C</t>
  </si>
  <si>
    <t>N김진철4</t>
  </si>
  <si>
    <t>RN김진석5</t>
  </si>
  <si>
    <t>RN김갑태2</t>
  </si>
  <si>
    <t>N이묘헌</t>
  </si>
  <si>
    <t>조희자님 통증 15:50 → 9:40 시간변경
우병주님 통증 9:40 추가
신명숙6님 뇌경색 재발로 퇴원. 스케줄 삭제 
김진석5님(치료O), 조덕선님(오전치료O), 김일용님(오전치료O) 퇴원. 스케줄 삭제
김인기3님 워크봇(B) 추가 (10회 후 종료)</t>
    <phoneticPr fontId="3" type="noConversion"/>
  </si>
  <si>
    <t>4층
신명숙6님, 김진석5님, 조덕선님, 김일용님 퇴원
이주민님 외출 16:00 이후~
정상범3님 외박 9:40 이후 홀드</t>
    <phoneticPr fontId="3" type="noConversion"/>
  </si>
  <si>
    <t>N정화구
N장덕한</t>
    <phoneticPr fontId="3" type="noConversion"/>
  </si>
  <si>
    <t>C장덕한
C정상범3</t>
    <phoneticPr fontId="3" type="noConversion"/>
  </si>
  <si>
    <t>C장현성
C권정숙</t>
    <phoneticPr fontId="3" type="noConversion"/>
  </si>
  <si>
    <r>
      <rPr>
        <sz val="10"/>
        <color theme="1"/>
        <rFont val="돋움"/>
        <family val="3"/>
        <charset val="129"/>
      </rPr>
      <t>N장현성</t>
    </r>
    <r>
      <rPr>
        <sz val="10"/>
        <rFont val="돋움"/>
        <family val="3"/>
        <charset val="129"/>
      </rPr>
      <t xml:space="preserve">
N김은미11</t>
    </r>
    <phoneticPr fontId="3" type="noConversion"/>
  </si>
  <si>
    <t>M이묘헌C
M신봉호C
M손재영C
M최무정C</t>
    <phoneticPr fontId="3" type="noConversion"/>
  </si>
  <si>
    <t>M김태수5C
M이묘헌C
M박창현3C
M송수연2C
M김은미11S
M배영수Tt</t>
    <phoneticPr fontId="3" type="noConversion"/>
  </si>
  <si>
    <r>
      <rPr>
        <b/>
        <u/>
        <sz val="10"/>
        <rFont val="돋움"/>
        <family val="3"/>
        <charset val="129"/>
      </rPr>
      <t>MM황춘자C</t>
    </r>
    <r>
      <rPr>
        <sz val="1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MM정태철Tt
MM한청자2CPM
</t>
    </r>
    <r>
      <rPr>
        <b/>
        <u/>
        <sz val="10"/>
        <rFont val="돋움"/>
        <family val="3"/>
        <charset val="129"/>
      </rPr>
      <t>MM채규칠T</t>
    </r>
    <phoneticPr fontId="3" type="noConversion"/>
  </si>
  <si>
    <r>
      <t xml:space="preserve">MM우병주C
</t>
    </r>
    <r>
      <rPr>
        <b/>
        <u/>
        <sz val="10"/>
        <color theme="1"/>
        <rFont val="돋움"/>
        <family val="3"/>
        <charset val="129"/>
      </rPr>
      <t>MM목진구C</t>
    </r>
    <r>
      <rPr>
        <sz val="10"/>
        <color theme="1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MM황춘자CPM</t>
    </r>
    <r>
      <rPr>
        <sz val="10"/>
        <color theme="1"/>
        <rFont val="돋움"/>
        <family val="3"/>
        <charset val="129"/>
      </rPr>
      <t xml:space="preserve">
MM김긍회님S
MM정태철M
MM김갑태2Tt</t>
    </r>
    <phoneticPr fontId="3" type="noConversion"/>
  </si>
  <si>
    <r>
      <t xml:space="preserve">MM염재호C
</t>
    </r>
    <r>
      <rPr>
        <b/>
        <u/>
        <sz val="10"/>
        <color theme="1"/>
        <rFont val="돋움"/>
        <family val="3"/>
        <charset val="129"/>
      </rPr>
      <t>MM김진태5C</t>
    </r>
    <r>
      <rPr>
        <sz val="10"/>
        <color theme="1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MM이인기CPM</t>
    </r>
    <phoneticPr fontId="3" type="noConversion"/>
  </si>
  <si>
    <t>김긍회님 8:30→10:15 기구시간변경
배영수님 12:00→8:30 기구시간변경
황춘자님 RG2R삭제, 일대일치료 추가</t>
    <phoneticPr fontId="3" type="noConversion"/>
  </si>
  <si>
    <t>RD황춘자</t>
    <phoneticPr fontId="3" type="noConversion"/>
  </si>
  <si>
    <t>조영란2님 RN2,RM4,MM4/RA4,RS2
연미재님 RN2,RM4,MM4/RA4,RS2</t>
    <phoneticPr fontId="3" type="noConversion"/>
  </si>
  <si>
    <t>4층
이인기님 외진 ALL 홀드
정농숙님 외진 9:00~ 오전 홀드
김갑태2님 외진 8:00~ 오전 홀드</t>
    <phoneticPr fontId="3" type="noConversion"/>
  </si>
  <si>
    <t>RM연미재</t>
  </si>
  <si>
    <t>RN조영란2</t>
    <phoneticPr fontId="3" type="noConversion"/>
  </si>
  <si>
    <t>RM연미재</t>
    <phoneticPr fontId="3" type="noConversion"/>
  </si>
  <si>
    <t>RN연미재</t>
    <phoneticPr fontId="3" type="noConversion"/>
  </si>
  <si>
    <t>RA연미재</t>
    <phoneticPr fontId="3" type="noConversion"/>
  </si>
  <si>
    <t>RS연미재</t>
    <phoneticPr fontId="3" type="noConversion"/>
  </si>
  <si>
    <t>RA연미재</t>
    <phoneticPr fontId="3" type="noConversion"/>
  </si>
  <si>
    <t>MM정농숙C
MM연미재Tt
MM김석기2C</t>
    <phoneticPr fontId="3" type="noConversion"/>
  </si>
  <si>
    <t>RM조영란2</t>
    <phoneticPr fontId="3" type="noConversion"/>
  </si>
  <si>
    <t>RA조영란2</t>
    <phoneticPr fontId="3" type="noConversion"/>
  </si>
  <si>
    <t>RS조영란</t>
    <phoneticPr fontId="3" type="noConversion"/>
  </si>
  <si>
    <t>* A : 박명숙10님, 김남규4님
* B : 황춘자님, 정화구님, 김남규4님, 한상진(A오후 투석)
* 추가치료 거부 : 신봉호님
* TT2대 : 10:15 / 코끼리6대 : 9:05, 11:25, 15:50
* 3층 치료 : 11/4 시작. 3타임</t>
    <phoneticPr fontId="3" type="noConversion"/>
  </si>
  <si>
    <t>윤영채
(연차)</t>
    <phoneticPr fontId="3" type="noConversion"/>
  </si>
  <si>
    <t>김용하
(연차)</t>
    <phoneticPr fontId="3" type="noConversion"/>
  </si>
  <si>
    <t>RN조영란2</t>
    <phoneticPr fontId="3" type="noConversion"/>
  </si>
  <si>
    <t>4층 재활센터 시간표     2025. 11. 10 (월)</t>
    <phoneticPr fontId="3" type="noConversion"/>
  </si>
  <si>
    <t>RA조영란2</t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</si>
  <si>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곽수열님, 김긍회님, 차미영3, 염재호, 김순자20님(RG), 
                    이인기3(RG), 권영배, 김진태, 김을순2, 김종대2, 한청자2(RG), 김남규4, 조남옥2(RG), RG한상진, 조영란2, 연미자
NDT : 최무정, 강점귀, 우재천, 김태수5, 조희자, 권순예, 장현성, 이산옥,  권정숙, 신봉호(거부), 홍은남, 송병태, 박명숙10, 김은미11, 이묘헌, 정상범3, 장덕한, 한미송(para), 정화구
         배영수, 오영환3, 손재영
CA : 강점귀
D : 강점귀, 이산옥, 송병태, 김인기3, 배영수, 오경호, 손재영
C : 최무정, 강점귀, 우재천, 김태수5, 조희자, ,권순예, 이산옥, 권정숙, 장현성, 신봉호(거부), 홍은남, 송병태, 박명숙10, 김은미11, 이묘헌, 정상범3, 장덕한, 정화구, 배영수, 오영환3, 손재영</t>
    </r>
    <phoneticPr fontId="3" type="noConversion"/>
  </si>
  <si>
    <t>RN김을순2</t>
  </si>
  <si>
    <r>
      <t xml:space="preserve">MM김을순2C
MM김긍회님C
MM김남규4T
</t>
    </r>
    <r>
      <rPr>
        <b/>
        <u/>
        <sz val="10"/>
        <rFont val="돋움"/>
        <family val="3"/>
        <charset val="129"/>
      </rPr>
      <t>MM김종대2S</t>
    </r>
    <phoneticPr fontId="3" type="noConversion"/>
  </si>
  <si>
    <r>
      <rPr>
        <b/>
        <u/>
        <sz val="10"/>
        <color theme="1"/>
        <rFont val="돋움"/>
        <family val="3"/>
        <charset val="129"/>
      </rPr>
      <t>MM김진태5C</t>
    </r>
    <r>
      <rPr>
        <sz val="10"/>
        <color theme="1"/>
        <rFont val="돋움"/>
        <family val="3"/>
        <charset val="129"/>
      </rPr>
      <t xml:space="preserve">
MM한청자2CPM</t>
    </r>
    <r>
      <rPr>
        <sz val="10"/>
        <color theme="1"/>
        <rFont val="돋움"/>
        <family val="3"/>
        <charset val="129"/>
      </rPr>
      <t xml:space="preserve">
MM김남규4C
MM맹형열T
</t>
    </r>
    <r>
      <rPr>
        <b/>
        <u/>
        <sz val="10"/>
        <color theme="1"/>
        <rFont val="돋움"/>
        <family val="3"/>
        <charset val="129"/>
      </rPr>
      <t>MM채규칠C</t>
    </r>
    <phoneticPr fontId="3" type="noConversion"/>
  </si>
  <si>
    <r>
      <t>MM김순자20C</t>
    </r>
    <r>
      <rPr>
        <sz val="10"/>
        <color theme="1"/>
        <rFont val="돋움"/>
        <family val="3"/>
        <charset val="129"/>
      </rPr>
      <t xml:space="preserve">
MM염재호S</t>
    </r>
    <phoneticPr fontId="3" type="noConversion"/>
  </si>
  <si>
    <r>
      <t xml:space="preserve">MM염재호C
</t>
    </r>
    <r>
      <rPr>
        <b/>
        <u/>
        <sz val="10"/>
        <color theme="1"/>
        <rFont val="돋움"/>
        <family val="3"/>
        <charset val="129"/>
      </rPr>
      <t>MM김진태5C</t>
    </r>
    <phoneticPr fontId="3" type="noConversion"/>
  </si>
  <si>
    <t>MM연미재Tt
MM김석기2C</t>
    <phoneticPr fontId="3" type="noConversion"/>
  </si>
  <si>
    <r>
      <rPr>
        <b/>
        <sz val="10"/>
        <color rgb="FFFF0000"/>
        <rFont val="돋움"/>
        <family val="3"/>
        <charset val="129"/>
      </rPr>
      <t>MM곽수열님C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MM한상진C
MM차미영3T</t>
    </r>
    <phoneticPr fontId="3" type="noConversion"/>
  </si>
  <si>
    <r>
      <rPr>
        <b/>
        <u/>
        <sz val="10"/>
        <rFont val="돋움"/>
        <family val="3"/>
        <charset val="129"/>
      </rPr>
      <t>MM조항만C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MM목진구C</t>
    </r>
    <r>
      <rPr>
        <sz val="10"/>
        <rFont val="돋움"/>
        <family val="3"/>
        <charset val="129"/>
      </rPr>
      <t xml:space="preserve">
MM조남옥2
CPM
</t>
    </r>
    <r>
      <rPr>
        <b/>
        <sz val="10"/>
        <color rgb="FFFF0000"/>
        <rFont val="돋움"/>
        <family val="3"/>
        <charset val="129"/>
      </rPr>
      <t>MM조영란C</t>
    </r>
    <phoneticPr fontId="3" type="noConversion"/>
  </si>
  <si>
    <t>MM조영란C</t>
  </si>
  <si>
    <r>
      <rPr>
        <b/>
        <sz val="10"/>
        <color rgb="FFFF0000"/>
        <rFont val="돋움"/>
        <family val="3"/>
        <charset val="129"/>
      </rPr>
      <t>MM김순자20C</t>
    </r>
    <r>
      <rPr>
        <sz val="10"/>
        <rFont val="돋움"/>
        <family val="3"/>
        <charset val="129"/>
      </rPr>
      <t xml:space="preserve">
MM곽수열S
MM연미재M
MM조남옥2
CPM
MM조영란2C</t>
    </r>
    <phoneticPr fontId="3" type="noConversion"/>
  </si>
  <si>
    <t>MM김순자20C</t>
  </si>
  <si>
    <t>N이경순10</t>
  </si>
  <si>
    <t>N한정완</t>
  </si>
  <si>
    <t>N송수연2</t>
  </si>
  <si>
    <t>RG김순자20</t>
  </si>
  <si>
    <t>RM염재호</t>
  </si>
  <si>
    <t>RM김을순2</t>
  </si>
  <si>
    <t>N박창현3</t>
  </si>
  <si>
    <t>RM맹형열</t>
  </si>
  <si>
    <t>O7박명숙10</t>
    <phoneticPr fontId="3" type="noConversion"/>
  </si>
  <si>
    <t>R김남규4</t>
    <phoneticPr fontId="3" type="noConversion"/>
  </si>
  <si>
    <r>
      <t xml:space="preserve">MM김진권2C
</t>
    </r>
    <r>
      <rPr>
        <b/>
        <u/>
        <sz val="10"/>
        <rFont val="돋움"/>
        <family val="3"/>
        <charset val="129"/>
      </rPr>
      <t>MM김종대2C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MM조항만S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MM차미영3C</t>
    </r>
    <phoneticPr fontId="3" type="noConversion"/>
  </si>
  <si>
    <t>RG최의숙</t>
  </si>
  <si>
    <t>RM김석기2</t>
  </si>
  <si>
    <t>N장덕한</t>
  </si>
  <si>
    <t>RN김종대2</t>
    <phoneticPr fontId="3" type="noConversion"/>
  </si>
  <si>
    <t>RG김순자20</t>
    <phoneticPr fontId="3" type="noConversion"/>
  </si>
  <si>
    <t>N조희자</t>
  </si>
  <si>
    <t>N고해봉</t>
  </si>
  <si>
    <t>RM권영배</t>
  </si>
  <si>
    <t>RM곽수열</t>
    <phoneticPr fontId="3" type="noConversion"/>
  </si>
  <si>
    <t>RM조항만</t>
  </si>
  <si>
    <t>RG한상진</t>
    <phoneticPr fontId="3" type="noConversion"/>
  </si>
  <si>
    <t>N이산옥</t>
  </si>
  <si>
    <t>RM정태철</t>
  </si>
  <si>
    <t>조영란2님 9:05→8:30 시간변경(언어평가)
김을순2님 9:40→8:30 시간변경(엑스바디)</t>
    <phoneticPr fontId="3" type="noConversion"/>
  </si>
  <si>
    <t>RS조영란2</t>
    <phoneticPr fontId="3" type="noConversion"/>
  </si>
  <si>
    <t>RA조영란2</t>
    <phoneticPr fontId="3" type="noConversion"/>
  </si>
  <si>
    <r>
      <rPr>
        <b/>
        <u/>
        <sz val="10"/>
        <color theme="1"/>
        <rFont val="돋움"/>
        <family val="3"/>
        <charset val="129"/>
      </rPr>
      <t>MM이인기CPM</t>
    </r>
    <r>
      <rPr>
        <sz val="10"/>
        <color theme="1"/>
        <rFont val="돋움"/>
        <family val="3"/>
        <charset val="129"/>
      </rPr>
      <t xml:space="preserve">
MM염재호S</t>
    </r>
    <phoneticPr fontId="3" type="noConversion"/>
  </si>
  <si>
    <t>MM곽수열S
MM연미재M
MM조남옥2
CPM
MM조영란2C</t>
    <phoneticPr fontId="3" type="noConversion"/>
  </si>
  <si>
    <t>* A : 박명숙10님, 김남규4님
* B : 황춘자님, 정화구님, 김남규4님, 한상진(A오후 투석)
* 추가치료 거부 : 신봉호님
* TT2대 : 10:15 / 코끼리6대 : 9:05, 11:25
* 3층 치료 : 11/4 시작. 3타임</t>
    <phoneticPr fontId="3" type="noConversion"/>
  </si>
  <si>
    <r>
      <t>MM김진권2C</t>
    </r>
    <r>
      <rPr>
        <sz val="10"/>
        <rFont val="돋움"/>
        <family val="3"/>
        <charset val="129"/>
      </rPr>
      <t xml:space="preserve">
MM한상진C(B)
</t>
    </r>
    <r>
      <rPr>
        <b/>
        <u/>
        <sz val="10"/>
        <rFont val="돋움"/>
        <family val="3"/>
        <charset val="129"/>
      </rPr>
      <t>MM조항만S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MM차미영3C</t>
    </r>
    <phoneticPr fontId="3" type="noConversion"/>
  </si>
  <si>
    <r>
      <t xml:space="preserve">C이산옥
</t>
    </r>
    <r>
      <rPr>
        <u/>
        <sz val="10"/>
        <color theme="1"/>
        <rFont val="돋움"/>
        <family val="3"/>
        <charset val="129"/>
      </rPr>
      <t>C이묘헌</t>
    </r>
    <phoneticPr fontId="3" type="noConversion"/>
  </si>
  <si>
    <t>C이묘헌</t>
  </si>
  <si>
    <t>C김은미11</t>
  </si>
  <si>
    <t>W조영란2(A)
W김인기3(B)</t>
    <phoneticPr fontId="3" type="noConversion"/>
  </si>
  <si>
    <t>RN이준구2</t>
    <phoneticPr fontId="3" type="noConversion"/>
  </si>
  <si>
    <t>RD이준구2</t>
    <phoneticPr fontId="3" type="noConversion"/>
  </si>
  <si>
    <t>RM이준구2</t>
    <phoneticPr fontId="3" type="noConversion"/>
  </si>
  <si>
    <t>RA이준구2</t>
    <phoneticPr fontId="3" type="noConversion"/>
  </si>
  <si>
    <t>RM이준구2</t>
    <phoneticPr fontId="3" type="noConversion"/>
  </si>
  <si>
    <t>RD이준구2</t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</si>
  <si>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곽수열님, 김긍회님, 차미영3, 염재호,  이인기3(RG), 권영배, 김진태, 김을순2, 
                    한청자2(RG), 김남규4, 조남옥2(RG), RG한상진, 조영란2, 염미재, 이준구2
NDT : 최무정, 강점귀, 우재천, 김태수5, 조희자, 권순예, 장현성, 이산옥,  권정숙, 신봉호(거부), 홍은남, 송병태, 박명숙10, 김은미11, 이묘헌, 정상범3, 장덕한, 한미송(para), 정화구
         배영수, 오영환3, 손재영
CA : 강점귀
D : 강점귀, 이산옥, 송병태, 김인기3, 배영수, 오경호, 손재영
C : 최무정, 강점귀, 우재천, 김태수5, 조희자, ,권순예, 이산옥, 권정숙, 장현성, 신봉호(거부), 홍은남, 송병태, 박명숙10, 김은미11, 이묘헌, 정상범3, 장덕한, 정화구, 배영수, 오영환3, 손재영</t>
    </r>
    <phoneticPr fontId="3" type="noConversion"/>
  </si>
  <si>
    <t>윤영채
(연차)</t>
    <phoneticPr fontId="3" type="noConversion"/>
  </si>
  <si>
    <t>홍민서
(연차)</t>
    <phoneticPr fontId="3" type="noConversion"/>
  </si>
  <si>
    <t>4층 재활센터 시간표     2025. 11. 11 (화)</t>
    <phoneticPr fontId="3" type="noConversion"/>
  </si>
  <si>
    <r>
      <t>MM김을순2C
MM김긍회님C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</si>
  <si>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r>
      <rPr>
        <b/>
        <u/>
        <sz val="10"/>
        <color theme="1"/>
        <rFont val="돋움"/>
        <family val="3"/>
        <charset val="129"/>
      </rPr>
      <t>MM김진태5C</t>
    </r>
    <r>
      <rPr>
        <sz val="10"/>
        <color theme="1"/>
        <rFont val="돋움"/>
        <family val="3"/>
        <charset val="129"/>
      </rPr>
      <t xml:space="preserve">
MM한청자2CPM</t>
    </r>
    <r>
      <rPr>
        <sz val="10"/>
        <color theme="1"/>
        <rFont val="돋움"/>
        <family val="3"/>
        <charset val="129"/>
      </rPr>
      <t xml:space="preserve">
MM김남규4C
MM맹형열T
</t>
    </r>
    <r>
      <rPr>
        <b/>
        <u/>
        <sz val="10"/>
        <color theme="1"/>
        <rFont val="돋움"/>
        <family val="3"/>
        <charset val="129"/>
      </rPr>
      <t>MM채규칠C</t>
    </r>
    <phoneticPr fontId="3" type="noConversion"/>
  </si>
  <si>
    <r>
      <rPr>
        <b/>
        <sz val="10"/>
        <color rgb="FFFF0000"/>
        <rFont val="돋움"/>
        <family val="3"/>
        <charset val="129"/>
      </rPr>
      <t>MM곽수열님C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MM김갑태2M
MM한상진C
MM차미영3T
MM이준구2Tt</t>
    </r>
    <phoneticPr fontId="3" type="noConversion"/>
  </si>
  <si>
    <r>
      <rPr>
        <b/>
        <u/>
        <sz val="10"/>
        <rFont val="돋움"/>
        <family val="3"/>
        <charset val="129"/>
      </rPr>
      <t>MM조항만C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MM목진구C</t>
    </r>
    <r>
      <rPr>
        <sz val="10"/>
        <rFont val="돋움"/>
        <family val="3"/>
        <charset val="129"/>
      </rPr>
      <t xml:space="preserve">
MM정농숙S
MM조남옥2
CPM
</t>
    </r>
    <r>
      <rPr>
        <b/>
        <sz val="10"/>
        <color rgb="FFFF0000"/>
        <rFont val="돋움"/>
        <family val="3"/>
        <charset val="129"/>
      </rPr>
      <t>MM조영란2C</t>
    </r>
    <phoneticPr fontId="3" type="noConversion"/>
  </si>
  <si>
    <t>MM조영란2C</t>
  </si>
  <si>
    <t>C박창현3</t>
    <phoneticPr fontId="3" type="noConversion"/>
  </si>
  <si>
    <t>M김은미11C
M권정숙C
M장현성S
Tt배영수Tt</t>
    <phoneticPr fontId="3" type="noConversion"/>
  </si>
  <si>
    <t>M한미송C
G김동선C
M김진철4S
M정상범3T
M배영수Tt</t>
    <phoneticPr fontId="3" type="noConversion"/>
  </si>
  <si>
    <t>F고해봉</t>
    <phoneticPr fontId="3" type="noConversion"/>
  </si>
  <si>
    <t>RG김진태5</t>
  </si>
  <si>
    <t>N권정숙</t>
  </si>
  <si>
    <t>RN우병주</t>
  </si>
  <si>
    <t>RN정농숙</t>
  </si>
  <si>
    <t>RG이인기</t>
  </si>
  <si>
    <t>CA이경순10</t>
  </si>
  <si>
    <t>RA권영배</t>
  </si>
  <si>
    <t>H7김남규4</t>
    <phoneticPr fontId="3" type="noConversion"/>
  </si>
  <si>
    <t>이준구2님 RN2,RM4,MM4 / RD4,RA2</t>
    <phoneticPr fontId="3" type="noConversion"/>
  </si>
  <si>
    <t xml:space="preserve">조영란2님 워크봇(A) 추가 </t>
    <phoneticPr fontId="3" type="noConversion"/>
  </si>
  <si>
    <t>4층
김순자20님 퇴원 스케줄삭제
김종대님 퇴원 스케줄삭제
오경호님 외진 ALL 홀드</t>
    <phoneticPr fontId="3" type="noConversion"/>
  </si>
  <si>
    <r>
      <t xml:space="preserve">C이산옥
</t>
    </r>
    <r>
      <rPr>
        <sz val="10"/>
        <color theme="1"/>
        <rFont val="돋움"/>
        <family val="3"/>
        <charset val="129"/>
      </rPr>
      <t>C이묘헌</t>
    </r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</si>
  <si>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곽수열님, 김긍회님, 차미영3, 염재호,  이인기3(RG), 권영배, 김진태, 김을순2, 
                    한청자2(RG), 김남규4, 조남옥2(RG), RG한상진, 조영란2, 염미재, 이준구2, 정묘순
NDT : 최무정, 강점귀, 우재천, 김태수5, 조희자, 권순예, 장현성, 이산옥,  권정숙, 신봉호(거부), 홍은남, 송병태, 박명숙10, 김은미11, 이묘헌, 정상범3, 장덕한, 한미송(para), 정화구
         배영수, 오영환3, 손재영
CA : 강점귀
D : 강점귀, 이산옥, 송병태, 김인기3, 배영수, 오경호, 손재영
C : 최무정, 강점귀, 우재천, 김태수5, 조희자, ,권순예, 이산옥, 권정숙, 장현성, 신봉호(거부), 홍은남, 송병태, 박명숙10, 김은미11, 이묘헌, 정상범3, 장덕한, 정화구, 배영수, 오영환3, 손재영</t>
    </r>
    <phoneticPr fontId="3" type="noConversion"/>
  </si>
  <si>
    <t>RN정묘순</t>
    <phoneticPr fontId="3" type="noConversion"/>
  </si>
  <si>
    <t>RM정묘순</t>
    <phoneticPr fontId="3" type="noConversion"/>
  </si>
  <si>
    <t>RM정묘순</t>
    <phoneticPr fontId="3" type="noConversion"/>
  </si>
  <si>
    <t>RD정묘순</t>
  </si>
  <si>
    <t>RD정묘순</t>
    <phoneticPr fontId="3" type="noConversion"/>
  </si>
  <si>
    <t>RM정묘순</t>
  </si>
  <si>
    <t>RD정묘순</t>
    <phoneticPr fontId="3" type="noConversion"/>
  </si>
  <si>
    <t>RA정묘순</t>
    <phoneticPr fontId="3" type="noConversion"/>
  </si>
  <si>
    <t>* A : 박명숙10님, 김남규4님
* B : 황춘자님, 정화구님, 김남규4님, 한상진(A오후 투석)
* 추가치료 거부 : 신봉호님
* TT2대 : 10:15, 10:50 / 코끼리6대 : 9:05, 11:25
* 3층 치료 : 11/4 시작. 3타임</t>
    <phoneticPr fontId="3" type="noConversion"/>
  </si>
  <si>
    <t>4층 재활센터 시간표     2025. 11. 12 (수)</t>
    <phoneticPr fontId="3" type="noConversion"/>
  </si>
  <si>
    <t>이수연
(연차)</t>
    <phoneticPr fontId="3" type="noConversion"/>
  </si>
  <si>
    <t>이진주
(연차)</t>
    <phoneticPr fontId="3" type="noConversion"/>
  </si>
  <si>
    <t>김유나
(오후반차)</t>
    <phoneticPr fontId="3" type="noConversion"/>
  </si>
  <si>
    <r>
      <t xml:space="preserve">MM우병주C
MM목진구C
</t>
    </r>
    <r>
      <rPr>
        <b/>
        <u/>
        <sz val="10"/>
        <color theme="1"/>
        <rFont val="돋움"/>
        <family val="3"/>
        <charset val="129"/>
      </rPr>
      <t>MM황춘자CPM</t>
    </r>
    <r>
      <rPr>
        <sz val="10"/>
        <color theme="1"/>
        <rFont val="돋움"/>
        <family val="3"/>
        <charset val="129"/>
      </rPr>
      <t xml:space="preserve">
MM김긍회님S
MM정태철M
MM김갑태2Tt</t>
    </r>
    <phoneticPr fontId="3" type="noConversion"/>
  </si>
  <si>
    <t>최유진
(연차)</t>
    <phoneticPr fontId="3" type="noConversion"/>
  </si>
  <si>
    <t>M한미송C
M이주민C
G양덕점C
M권순예S
M강점귀M</t>
    <phoneticPr fontId="3" type="noConversion"/>
  </si>
  <si>
    <t>F이산옥
F권순예
F강점귀</t>
    <phoneticPr fontId="3" type="noConversion"/>
  </si>
  <si>
    <t>N최무정</t>
    <phoneticPr fontId="3" type="noConversion"/>
  </si>
  <si>
    <r>
      <t>MM김을순2C
MM김긍회님C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MM이준구2M</t>
    </r>
    <phoneticPr fontId="3" type="noConversion"/>
  </si>
  <si>
    <t>O7박명숙10</t>
    <phoneticPr fontId="3" type="noConversion"/>
  </si>
  <si>
    <t>R김남규4</t>
    <phoneticPr fontId="3" type="noConversion"/>
  </si>
  <si>
    <r>
      <t xml:space="preserve">MM정농숙C
MM연미재Tt
</t>
    </r>
    <r>
      <rPr>
        <b/>
        <sz val="10"/>
        <color rgb="FFFF0000"/>
        <rFont val="돋움"/>
        <family val="3"/>
        <charset val="129"/>
      </rPr>
      <t>MM정묘순Tt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</si>
  <si>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t>MM정묘순Tt</t>
  </si>
  <si>
    <r>
      <rPr>
        <b/>
        <u/>
        <sz val="10"/>
        <rFont val="돋움"/>
        <family val="3"/>
        <charset val="129"/>
      </rPr>
      <t>MM조항만C</t>
    </r>
    <r>
      <rPr>
        <sz val="10"/>
        <rFont val="돋움"/>
        <family val="3"/>
        <charset val="129"/>
      </rPr>
      <t xml:space="preserve">
</t>
    </r>
    <r>
      <rPr>
        <b/>
        <sz val="10"/>
        <color rgb="FFFF0000"/>
        <rFont val="돋움"/>
        <family val="3"/>
        <charset val="129"/>
      </rPr>
      <t>MM목진구C</t>
    </r>
    <r>
      <rPr>
        <sz val="10"/>
        <rFont val="돋움"/>
        <family val="3"/>
        <charset val="129"/>
      </rPr>
      <t xml:space="preserve">
MM정농숙S
MM조남옥2
CPM
MM조영란2C</t>
    </r>
    <phoneticPr fontId="3" type="noConversion"/>
  </si>
  <si>
    <t>MM목진구C</t>
  </si>
  <si>
    <t>16:25~
16:55</t>
    <phoneticPr fontId="3" type="noConversion"/>
  </si>
  <si>
    <t>4층
송병태님 외진 오전 홀드</t>
    <phoneticPr fontId="3" type="noConversion"/>
  </si>
  <si>
    <r>
      <t xml:space="preserve">MM곽수열님C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MM김갑태2M</t>
    </r>
    <r>
      <rPr>
        <sz val="10"/>
        <rFont val="돋움"/>
        <family val="3"/>
        <charset val="129"/>
      </rPr>
      <t xml:space="preserve">
MM차미영3T
</t>
    </r>
    <r>
      <rPr>
        <b/>
        <u/>
        <sz val="10"/>
        <rFont val="돋움"/>
        <family val="3"/>
        <charset val="129"/>
      </rPr>
      <t>MM이준구2Tt</t>
    </r>
    <phoneticPr fontId="3" type="noConversion"/>
  </si>
  <si>
    <t>RM조영란2</t>
  </si>
  <si>
    <t>통합계획회의</t>
  </si>
  <si>
    <t>RA김갑태2</t>
  </si>
  <si>
    <t>RA한상진</t>
  </si>
  <si>
    <t>통합계획회의</t>
    <phoneticPr fontId="3" type="noConversion"/>
  </si>
  <si>
    <t>RA김진태5</t>
  </si>
  <si>
    <t>RA정농숙</t>
  </si>
  <si>
    <t>RS김진권2</t>
  </si>
  <si>
    <t>RD김석기2</t>
  </si>
  <si>
    <t>RG이인기</t>
    <phoneticPr fontId="3" type="noConversion"/>
  </si>
  <si>
    <t>N오경호</t>
  </si>
  <si>
    <t>RS곽수열</t>
  </si>
  <si>
    <t>RS염재호</t>
  </si>
  <si>
    <t>RA한청자2</t>
  </si>
  <si>
    <t>RA연미재</t>
  </si>
  <si>
    <t>RA조영란2</t>
  </si>
  <si>
    <t>M박창현3C
M권정숙S
M송병태S
M오영환3M</t>
    <phoneticPr fontId="3" type="noConversion"/>
  </si>
  <si>
    <t>M김인기3C
M장덕한C
M정화구C
M장현성C
M우재천C
M신봉호T</t>
    <phoneticPr fontId="3" type="noConversion"/>
  </si>
  <si>
    <t>MM곽수열S
MM연미재M
MM조남옥2
CPM</t>
    <phoneticPr fontId="3" type="noConversion"/>
  </si>
  <si>
    <r>
      <rPr>
        <b/>
        <u/>
        <sz val="10"/>
        <color theme="1"/>
        <rFont val="돋움"/>
        <family val="3"/>
        <charset val="129"/>
      </rPr>
      <t>MM김진태5C</t>
    </r>
    <r>
      <rPr>
        <sz val="10"/>
        <color theme="1"/>
        <rFont val="돋움"/>
        <family val="3"/>
        <charset val="129"/>
      </rPr>
      <t xml:space="preserve">
MM한청자2CPM
MM김남규4C
MM조영란2C
MM맹형열T
</t>
    </r>
    <r>
      <rPr>
        <b/>
        <u/>
        <sz val="10"/>
        <color theme="1"/>
        <rFont val="돋움"/>
        <family val="3"/>
        <charset val="129"/>
      </rPr>
      <t>MM채규칠C</t>
    </r>
    <phoneticPr fontId="3" type="noConversion"/>
  </si>
  <si>
    <t>MM김을순2C
MM맹형열C
MM김석기2C</t>
    <phoneticPr fontId="3" type="noConversion"/>
  </si>
  <si>
    <r>
      <t xml:space="preserve">MM김진권2C
MM정묘순M
</t>
    </r>
    <r>
      <rPr>
        <b/>
        <u/>
        <sz val="10"/>
        <rFont val="돋움"/>
        <family val="3"/>
        <charset val="129"/>
      </rPr>
      <t>MM조항만S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MM차미영3C</t>
    </r>
    <phoneticPr fontId="3" type="noConversion"/>
  </si>
  <si>
    <t>CA정화구</t>
  </si>
  <si>
    <t>D이산옥V</t>
  </si>
  <si>
    <t>CA박명숙10</t>
  </si>
  <si>
    <r>
      <rPr>
        <sz val="10"/>
        <color rgb="FFFF0000"/>
        <rFont val="돋움"/>
        <family val="3"/>
        <charset val="129"/>
      </rPr>
      <t>N한미송</t>
    </r>
    <r>
      <rPr>
        <sz val="10"/>
        <color theme="1"/>
        <rFont val="돋움"/>
        <family val="3"/>
        <charset val="129"/>
      </rPr>
      <t xml:space="preserve">
N배영수</t>
    </r>
    <phoneticPr fontId="3" type="noConversion"/>
  </si>
  <si>
    <t>N한미송</t>
  </si>
  <si>
    <t>16:25~
16:55</t>
    <phoneticPr fontId="3" type="noConversion"/>
  </si>
  <si>
    <t>CA장덕한</t>
  </si>
  <si>
    <t>RA이강은</t>
    <phoneticPr fontId="3" type="noConversion"/>
  </si>
  <si>
    <t>RA이정례3</t>
    <phoneticPr fontId="3" type="noConversion"/>
  </si>
  <si>
    <t>N장덕한</t>
    <phoneticPr fontId="3" type="noConversion"/>
  </si>
  <si>
    <t>정묘순님 RN2,RM4,MM4 / RD4,RA2</t>
    <phoneticPr fontId="3" type="noConversion"/>
  </si>
  <si>
    <t>이수연T 연차대체 : 3층에서 진행
이정례3님(3층) 14:40→15:15 시간변경(최현수T)
한상진님 8:30~9:40타임 SNSB평가로 치료 홀드(오후투석)
정묘순님 12:00→9:40, 15:50→15:15, 15:15→13:30 시간변경
김석기2님 14:40→16:25 시간변경
오경호님 10:50→8:30 시간변경
김진권2님 10:50→8:30 시간변경
염재호님 9:05→16:25, 10:50→15:15 시간변경
최의숙님 9:40→16:25 시간변경
송수연2님 10:15→16:25 시간변경
곽수열님 14:40→14:05 시간변경
정태철님 11:25→15:15 시간변경
한청자2님 13:30→15:15 시간변경
연미재님 14:40→16:25 시간변경(근전도)
맹형열님 13:30→16:25 시간변경
조영란2님 14:40→16:25, 15:15→13:30, 15:50→14:05 시간변경(근전도)
우재천님 14:05→16:25 시간변경
정화구님 13:30→15:15 시간변경
배영수님 9:40→15:50 시간변경
조남옥2님 10:15→16:25 시간변경
이산옥님 9:05→16:25 시간변경
김남규4님 9:40→16:25 시간변경
박명숙10님 10:15→16:25 시간변경
권영배님 9:05→14:40 시간변경
장덕한님 14:05→14:40 시간변경</t>
    <phoneticPr fontId="3" type="noConversion"/>
  </si>
  <si>
    <r>
      <rPr>
        <sz val="10"/>
        <color rgb="FFFF0000"/>
        <rFont val="돋움"/>
        <family val="3"/>
        <charset val="129"/>
      </rPr>
      <t>N김태수5</t>
    </r>
    <r>
      <rPr>
        <sz val="10"/>
        <rFont val="돋움"/>
        <family val="3"/>
        <charset val="129"/>
      </rPr>
      <t xml:space="preserve">
N이묘헌
N손재영</t>
    </r>
    <phoneticPr fontId="3" type="noConversion"/>
  </si>
  <si>
    <t>N김태수5</t>
  </si>
  <si>
    <t>김갑태2</t>
    <phoneticPr fontId="3" type="noConversion"/>
  </si>
  <si>
    <t>O7박명숙10A</t>
  </si>
  <si>
    <t>RM정농숙</t>
  </si>
  <si>
    <t>RM김갑태2</t>
  </si>
  <si>
    <t>RN조항만</t>
  </si>
  <si>
    <t>N권순예</t>
    <phoneticPr fontId="3" type="noConversion"/>
  </si>
  <si>
    <t>N오영환3</t>
  </si>
  <si>
    <t>N오영환3</t>
    <phoneticPr fontId="3" type="noConversion"/>
  </si>
  <si>
    <t>N이산옥
N박명숙10</t>
    <phoneticPr fontId="3" type="noConversion"/>
  </si>
  <si>
    <t>RA김무길</t>
  </si>
  <si>
    <t>RA김무길</t>
    <phoneticPr fontId="3" type="noConversion"/>
  </si>
  <si>
    <t>RG김무길</t>
  </si>
  <si>
    <t>RG김무길</t>
    <phoneticPr fontId="3" type="noConversion"/>
  </si>
  <si>
    <t>RG김무길</t>
    <phoneticPr fontId="3" type="noConversion"/>
  </si>
  <si>
    <t>RA김무길</t>
    <phoneticPr fontId="3" type="noConversion"/>
  </si>
  <si>
    <t>* A : 박명숙10님, 김남규4님
* B : 정화구님, 김남규4님, 한상진(A오후 투석)
* 추가치료 거부 : 신봉호님, 목진구님(기구희망)
* TT2대 : 10:15, 10:50 / 코끼리6대 : 9:05, 10:15, 11:25, 15:15
* 3층 치료 : 11/4 시작. 3타임</t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</si>
  <si>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곽수열님, 김긍회님, 차미영3, 염재호,  이인기3(RG), 권영배, 김진태, 김을순2, 
                    한청자2(RG), 김남규4, 조남옥2(RG), RG한상진, 조영란2, 염미재, 이준구2, 정묘순, 김무길(RG)
NDT : 최무정, 강점귀, 우재천, 김태수5, 조희자, 권순예, 장현성, 이산옥,  권정숙, 신봉호(거부), 홍은남, 송병태, 박명숙10, 김은미11, 이묘헌, 정상범3, 장덕한, 한미송(para), 정화구
         배영수, 오영환3, 손재영
CA : 강점귀
D : 강점귀, 이산옥, 송병태, 김인기3, 배영수, 오경호, 손재영
C : 최무정, 강점귀, 우재천, 김태수5, 조희자, ,권순예, 이산옥, 권정숙, 장현성, 신봉호(거부), 홍은남, 송병태, 박명숙10, 김은미11, 이묘헌, 정상범3, 장덕한, 정화구, 배영수, 오영환3, 손재영</t>
    </r>
    <phoneticPr fontId="3" type="noConversion"/>
  </si>
  <si>
    <t>4층
김갑태2님 외진 오전 홀드</t>
    <phoneticPr fontId="3" type="noConversion"/>
  </si>
  <si>
    <t>W황춘자(A)
W김남규4(B)</t>
    <phoneticPr fontId="3" type="noConversion"/>
  </si>
  <si>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MM정태철Tt
MM한청자2CPM
</t>
    </r>
    <r>
      <rPr>
        <b/>
        <u/>
        <sz val="10"/>
        <rFont val="돋움"/>
        <family val="3"/>
        <charset val="129"/>
      </rPr>
      <t>MM채규칠T</t>
    </r>
    <phoneticPr fontId="3" type="noConversion"/>
  </si>
  <si>
    <r>
      <rPr>
        <b/>
        <u/>
        <sz val="10"/>
        <color theme="1"/>
        <rFont val="돋움"/>
        <family val="3"/>
        <charset val="129"/>
      </rPr>
      <t>MM황춘자C
MM이인기CPM</t>
    </r>
    <r>
      <rPr>
        <sz val="10"/>
        <color theme="1"/>
        <rFont val="돋움"/>
        <family val="3"/>
        <charset val="129"/>
      </rPr>
      <t xml:space="preserve">
MM염재호S</t>
    </r>
    <phoneticPr fontId="3" type="noConversion"/>
  </si>
  <si>
    <t>4층 재활센터 시간표     2025. 11. 13 (목)</t>
    <phoneticPr fontId="3" type="noConversion"/>
  </si>
  <si>
    <t>이혜림
(연차)</t>
    <phoneticPr fontId="3" type="noConversion"/>
  </si>
  <si>
    <r>
      <t xml:space="preserve">MM우병주C
MM목진구C
</t>
    </r>
    <r>
      <rPr>
        <b/>
        <u/>
        <sz val="10"/>
        <color theme="1"/>
        <rFont val="돋움"/>
        <family val="3"/>
        <charset val="129"/>
      </rPr>
      <t>MM황춘자CPM</t>
    </r>
    <r>
      <rPr>
        <sz val="10"/>
        <color theme="1"/>
        <rFont val="돋움"/>
        <family val="3"/>
        <charset val="129"/>
      </rPr>
      <t xml:space="preserve">
MM김긍회님S
MM정태철M
MM김갑태2Tt</t>
    </r>
    <phoneticPr fontId="3" type="noConversion"/>
  </si>
  <si>
    <r>
      <rPr>
        <b/>
        <u/>
        <sz val="10"/>
        <color theme="1"/>
        <rFont val="돋움"/>
        <family val="3"/>
        <charset val="129"/>
      </rPr>
      <t>MM김진태5C</t>
    </r>
    <r>
      <rPr>
        <sz val="10"/>
        <color theme="1"/>
        <rFont val="돋움"/>
        <family val="3"/>
        <charset val="129"/>
      </rPr>
      <t xml:space="preserve">
MM한청자2CPM</t>
    </r>
    <r>
      <rPr>
        <sz val="10"/>
        <color theme="1"/>
        <rFont val="돋움"/>
        <family val="3"/>
        <charset val="129"/>
      </rPr>
      <t xml:space="preserve">
MM김남규4C
MM맹형열T
</t>
    </r>
    <r>
      <rPr>
        <b/>
        <u/>
        <sz val="10"/>
        <color theme="1"/>
        <rFont val="돋움"/>
        <family val="3"/>
        <charset val="129"/>
      </rPr>
      <t>MM채규칠C</t>
    </r>
    <phoneticPr fontId="3" type="noConversion"/>
  </si>
  <si>
    <r>
      <t>MM김진권2C</t>
    </r>
    <r>
      <rPr>
        <sz val="10"/>
        <rFont val="돋움"/>
        <family val="3"/>
        <charset val="129"/>
      </rPr>
      <t xml:space="preserve">
MM한상진C(B)
</t>
    </r>
    <r>
      <rPr>
        <b/>
        <u/>
        <sz val="10"/>
        <rFont val="돋움"/>
        <family val="3"/>
        <charset val="129"/>
      </rPr>
      <t>MM조항만S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MM차미영3C</t>
    </r>
    <phoneticPr fontId="3" type="noConversion"/>
  </si>
  <si>
    <r>
      <t xml:space="preserve">MM정농숙C
MM연미재Tt
</t>
    </r>
    <r>
      <rPr>
        <b/>
        <sz val="10"/>
        <color rgb="FFFF0000"/>
        <rFont val="돋움"/>
        <family val="3"/>
        <charset val="129"/>
      </rPr>
      <t>MM정묘순Tt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</si>
  <si>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r>
      <t xml:space="preserve">MM곽수열님C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</t>
    </r>
    <r>
      <rPr>
        <b/>
        <sz val="10"/>
        <color rgb="FFFF000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MM차미영3T
</t>
    </r>
    <r>
      <rPr>
        <b/>
        <u/>
        <sz val="10"/>
        <rFont val="돋움"/>
        <family val="3"/>
        <charset val="129"/>
      </rPr>
      <t>MM이준구2Tt</t>
    </r>
    <phoneticPr fontId="3" type="noConversion"/>
  </si>
  <si>
    <r>
      <rPr>
        <b/>
        <u/>
        <sz val="10"/>
        <rFont val="돋움"/>
        <family val="3"/>
        <charset val="129"/>
      </rPr>
      <t>MM조항만C</t>
    </r>
    <r>
      <rPr>
        <sz val="10"/>
        <rFont val="돋움"/>
        <family val="3"/>
        <charset val="129"/>
      </rPr>
      <t xml:space="preserve">
MM목진구C
MM정농숙S
MM조남옥2
CPM
</t>
    </r>
    <r>
      <rPr>
        <b/>
        <sz val="10"/>
        <color rgb="FFFF0000"/>
        <rFont val="돋움"/>
        <family val="3"/>
        <charset val="129"/>
      </rPr>
      <t>MM조영란2C</t>
    </r>
    <phoneticPr fontId="3" type="noConversion"/>
  </si>
  <si>
    <r>
      <t xml:space="preserve">MM김을순2C
</t>
    </r>
    <r>
      <rPr>
        <b/>
        <sz val="10"/>
        <color rgb="FFFF0000"/>
        <rFont val="돋움"/>
        <family val="3"/>
        <charset val="129"/>
      </rPr>
      <t>MM맹형열C</t>
    </r>
    <r>
      <rPr>
        <sz val="10"/>
        <rFont val="돋움"/>
        <family val="3"/>
        <charset val="129"/>
      </rPr>
      <t xml:space="preserve">
MM김무길C
MM정묘순M
MM김석기2C</t>
    </r>
    <phoneticPr fontId="3" type="noConversion"/>
  </si>
  <si>
    <t>RA황춘자</t>
    <phoneticPr fontId="3" type="noConversion"/>
  </si>
  <si>
    <r>
      <t xml:space="preserve">MM염재호C
</t>
    </r>
    <r>
      <rPr>
        <b/>
        <sz val="10"/>
        <color rgb="FFFF0000"/>
        <rFont val="돋움"/>
        <family val="3"/>
        <charset val="129"/>
      </rPr>
      <t>MM김무길님C</t>
    </r>
    <r>
      <rPr>
        <sz val="10"/>
        <color theme="1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MM김진태5C</t>
    </r>
    <r>
      <rPr>
        <sz val="10"/>
        <color theme="1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MM이인기CPM</t>
    </r>
    <phoneticPr fontId="3" type="noConversion"/>
  </si>
  <si>
    <t>MM김무길님C</t>
  </si>
  <si>
    <t>D김인기3V</t>
    <phoneticPr fontId="3" type="noConversion"/>
  </si>
  <si>
    <t>C권순예</t>
    <phoneticPr fontId="3" type="noConversion"/>
  </si>
  <si>
    <r>
      <t xml:space="preserve">C이산옥
</t>
    </r>
    <r>
      <rPr>
        <sz val="10"/>
        <color theme="1"/>
        <rFont val="돋움"/>
        <family val="3"/>
        <charset val="129"/>
      </rPr>
      <t>C이묘헌
C홍은남</t>
    </r>
    <phoneticPr fontId="3" type="noConversion"/>
  </si>
  <si>
    <t>RG한상진</t>
  </si>
  <si>
    <t>RM차미영3</t>
  </si>
  <si>
    <t>RA최의숙</t>
  </si>
  <si>
    <t>RA정묘순</t>
    <phoneticPr fontId="3" type="noConversion"/>
  </si>
  <si>
    <t>RS조영란2</t>
  </si>
  <si>
    <t>김무길님 RG6,MM4/RA6</t>
    <phoneticPr fontId="3" type="noConversion"/>
  </si>
  <si>
    <t>황춘자님 H7삭제, 모닝워크(A)추가, 오전 기구시간변경
이지은T 7타임 치료시작
박명숙10님 O7 시간 및 치료사 변경</t>
    <phoneticPr fontId="3" type="noConversion"/>
  </si>
  <si>
    <t>김무길님 10:15→9:40 시간변경(엑스바디)
김인기3님 10:50→12:00 시간변경(엑스바디)</t>
    <phoneticPr fontId="3" type="noConversion"/>
  </si>
  <si>
    <t>MM곽수열S
MM조남옥2
CPM
MM조영란2C</t>
    <phoneticPr fontId="3" type="noConversion"/>
  </si>
  <si>
    <t>* A : 박명숙10님, 김남규4님
* B : 정화구님, 김남규4님, 한상진(A오후 투석)
* 추가치료 거부 : 신봉호님, 목진구님(기구희망)
* TT2대 : 10:15, 10:50 / 코끼리6대 : 9:05, 11:25, 15:15
* 3층 치료 : 11/4 시작. 3타임</t>
    <phoneticPr fontId="3" type="noConversion"/>
  </si>
  <si>
    <t>김긍회</t>
    <phoneticPr fontId="3" type="noConversion"/>
  </si>
  <si>
    <t>채규칠</t>
    <phoneticPr fontId="3" type="noConversion"/>
  </si>
  <si>
    <t>4층 재활센터 시간표     2025. 11. 14 (금)</t>
    <phoneticPr fontId="3" type="noConversion"/>
  </si>
  <si>
    <t>채수현
(연차)</t>
    <phoneticPr fontId="3" type="noConversion"/>
  </si>
  <si>
    <t>정호용
(공가)</t>
    <phoneticPr fontId="3" type="noConversion"/>
  </si>
  <si>
    <r>
      <t>MM김을순2C
MM김긍회님C
MM김무길님S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MM이준구2M</t>
    </r>
    <phoneticPr fontId="3" type="noConversion"/>
  </si>
  <si>
    <r>
      <rPr>
        <b/>
        <u/>
        <sz val="10"/>
        <color theme="1"/>
        <rFont val="돋움"/>
        <family val="3"/>
        <charset val="129"/>
      </rPr>
      <t>MM김진태5C</t>
    </r>
    <r>
      <rPr>
        <sz val="10"/>
        <color theme="1"/>
        <rFont val="돋움"/>
        <family val="3"/>
        <charset val="129"/>
      </rPr>
      <t xml:space="preserve">
MM한청자2CPM</t>
    </r>
    <r>
      <rPr>
        <sz val="10"/>
        <color theme="1"/>
        <rFont val="돋움"/>
        <family val="3"/>
        <charset val="129"/>
      </rPr>
      <t xml:space="preserve">
MM김남규4C
MM맹형열T
</t>
    </r>
    <r>
      <rPr>
        <b/>
        <u/>
        <sz val="10"/>
        <color theme="1"/>
        <rFont val="돋움"/>
        <family val="3"/>
        <charset val="129"/>
      </rPr>
      <t>MM채규칠C</t>
    </r>
    <phoneticPr fontId="3" type="noConversion"/>
  </si>
  <si>
    <t>R김남규4</t>
    <phoneticPr fontId="3" type="noConversion"/>
  </si>
  <si>
    <r>
      <t xml:space="preserve">MM김진권2C
MM연미재C
</t>
    </r>
    <r>
      <rPr>
        <b/>
        <u/>
        <sz val="10"/>
        <rFont val="돋움"/>
        <family val="3"/>
        <charset val="129"/>
      </rPr>
      <t>MM조항만S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MM차미영3C</t>
    </r>
    <phoneticPr fontId="3" type="noConversion"/>
  </si>
  <si>
    <r>
      <t xml:space="preserve">MM정농숙C
</t>
    </r>
    <r>
      <rPr>
        <b/>
        <sz val="10"/>
        <color rgb="FFFF0000"/>
        <rFont val="돋움"/>
        <family val="3"/>
        <charset val="129"/>
      </rPr>
      <t>MM연미재Tt</t>
    </r>
    <r>
      <rPr>
        <sz val="10"/>
        <rFont val="돋움"/>
        <family val="3"/>
        <charset val="129"/>
      </rPr>
      <t xml:space="preserve">
MM정묘순Tt
MM김석기2C</t>
    </r>
    <phoneticPr fontId="3" type="noConversion"/>
  </si>
  <si>
    <t>MM연미재Tt</t>
  </si>
  <si>
    <r>
      <rPr>
        <b/>
        <sz val="10"/>
        <color rgb="FFFF0000"/>
        <rFont val="돋움"/>
        <family val="3"/>
        <charset val="129"/>
      </rPr>
      <t>MM곽수열님C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MM최의숙CPM</t>
    </r>
    <r>
      <rPr>
        <sz val="10"/>
        <rFont val="돋움"/>
        <family val="3"/>
        <charset val="129"/>
      </rPr>
      <t xml:space="preserve">
MM김갑태2M
MM한상진C
MM차미영3T
</t>
    </r>
    <r>
      <rPr>
        <b/>
        <u/>
        <sz val="10"/>
        <rFont val="돋움"/>
        <family val="3"/>
        <charset val="129"/>
      </rPr>
      <t>MM이준구2Tt</t>
    </r>
    <phoneticPr fontId="3" type="noConversion"/>
  </si>
  <si>
    <r>
      <rPr>
        <b/>
        <u/>
        <sz val="10"/>
        <rFont val="돋움"/>
        <family val="3"/>
        <charset val="129"/>
      </rPr>
      <t>MM조항만C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MM목진구C</t>
    </r>
    <r>
      <rPr>
        <sz val="10"/>
        <rFont val="돋움"/>
        <family val="3"/>
        <charset val="129"/>
      </rPr>
      <t xml:space="preserve">
MM정농숙S
MM조남옥2
CPM
</t>
    </r>
    <r>
      <rPr>
        <b/>
        <sz val="10"/>
        <color rgb="FFFF0000"/>
        <rFont val="돋움"/>
        <family val="3"/>
        <charset val="129"/>
      </rPr>
      <t>MM조영란2C</t>
    </r>
    <phoneticPr fontId="3" type="noConversion"/>
  </si>
  <si>
    <r>
      <t xml:space="preserve">MM김을순2C
</t>
    </r>
    <r>
      <rPr>
        <b/>
        <sz val="10"/>
        <color rgb="FFFF0000"/>
        <rFont val="돋움"/>
        <family val="3"/>
        <charset val="129"/>
      </rPr>
      <t>MM맹형열C</t>
    </r>
    <r>
      <rPr>
        <sz val="10"/>
        <rFont val="돋움"/>
        <family val="3"/>
        <charset val="129"/>
      </rPr>
      <t xml:space="preserve">
MM김무길C
MM정묘순M
MM김석기2C</t>
    </r>
    <phoneticPr fontId="3" type="noConversion"/>
  </si>
  <si>
    <t>연미재님 오후 기구 및 시간변경
김무길님 오전 기구변경
김긍회님, 채규칠님 통증추가</t>
    <phoneticPr fontId="3" type="noConversion"/>
  </si>
  <si>
    <t>RM정묘순</t>
    <phoneticPr fontId="3" type="noConversion"/>
  </si>
  <si>
    <t>4층
이준구2님 외진 오후 홀드</t>
    <phoneticPr fontId="3" type="noConversion"/>
  </si>
  <si>
    <t>CA고해봉</t>
  </si>
  <si>
    <t>CA이주민</t>
  </si>
  <si>
    <t>CA오경호</t>
  </si>
  <si>
    <t>채규칠님 10:15→15:50 시간변경(엑스바디)
염재호님 10:50→13:30 시간변경(엑스바디)
우병주님 통증시간과 엑스바디 겹치나 통증 먼저 받으시고 엑스바디 하시는걸로 설명드리면 됩니다.
오경호님 14:05→8:30 시간변경(VFSS)
정묘순님 14:05→8:30 시간변경(VFSS)</t>
    <phoneticPr fontId="3" type="noConversion"/>
  </si>
  <si>
    <t>N고해봉</t>
    <phoneticPr fontId="3" type="noConversion"/>
  </si>
  <si>
    <t>4층
김동선님, 김긍회님 퇴원 스케줄 삭제</t>
    <phoneticPr fontId="3" type="noConversion"/>
  </si>
  <si>
    <t>김동선님, 김긍회님 퇴원 스케줄 삭제
김용하T 이동치료사로 2층 소속으로 변경, 스케줄 변경</t>
    <phoneticPr fontId="3" type="noConversion"/>
  </si>
  <si>
    <t>M한미송C
M김진철4S
M오경호S
M정상범3T
M배영수Tt</t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</si>
  <si>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곽수열님, 차미영3, 염재호,  이인기3(RG), 권영배, 김진태, 김을순2, 
                    한청자2(RG), 김남규4, 조남옥2(RG), RG한상진, 조영란2, 염미재, 이준구2, 정묘순, 김무길(RG)
NDT : 최무정, 강점귀, 우재천, 김태수5, 조희자, 권순예, 장현성, 이산옥,  권정숙, 신봉호(거부), 홍은남, 송병태, 박명숙10, 김은미11, 이묘헌, 정상범3, 장덕한, 한미송(para), 정화구
         배영수, 오영환3, 손재영
CA : 강점귀
D : 강점귀, 이산옥, 송병태, 김인기3, 배영수, 오경호, 손재영
C : 최무정, 강점귀, 우재천, 김태수5, 조희자, ,권순예, 이산옥, 권정숙, 장현성, 신봉호(거부), 홍은남, 송병태, 박명숙10, 김은미11, 이묘헌, 정상범3, 장덕한, 정화구, 배영수, 오영환3, 손재영</t>
    </r>
    <phoneticPr fontId="3" type="noConversion"/>
  </si>
  <si>
    <t>* A : 박명숙10님, 김남규4님
* B : 정화구님, 김남규4님, 한상진(A오후 투석)
* 추가치료 거부 : 신봉호님, 목진구님(기구희망)
* TT2대 : 10:15, 10:50 / 코끼리6대 : 9:05, 11:25
* 3층 치료 : 11/4 시작. 2타임</t>
    <phoneticPr fontId="3" type="noConversion"/>
  </si>
  <si>
    <r>
      <t xml:space="preserve">MM김을순2C
MM김무길님S
MM김남규4T
</t>
    </r>
    <r>
      <rPr>
        <sz val="10"/>
        <color theme="0" tint="-0.249977111117893"/>
        <rFont val="돋움"/>
        <family val="3"/>
        <charset val="129"/>
      </rPr>
      <t xml:space="preserve">MM권영배Tt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</si>
  <si>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t>MM김진권2C
MM연미재C
MM한상진C(B)
MM조항만S
MM최의숙CPM
MM차미영3C</t>
    <phoneticPr fontId="3" type="noConversion"/>
  </si>
  <si>
    <r>
      <t xml:space="preserve">MM우병주C
MM목진구C
MM황춘자CPM
</t>
    </r>
    <r>
      <rPr>
        <b/>
        <u/>
        <sz val="10"/>
        <color theme="1"/>
        <rFont val="돋움"/>
        <family val="3"/>
        <charset val="129"/>
      </rPr>
      <t>MM정태철M</t>
    </r>
    <r>
      <rPr>
        <sz val="10"/>
        <color theme="1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MM김갑태2Tt</t>
    </r>
    <phoneticPr fontId="3" type="noConversion"/>
  </si>
  <si>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</t>
    </r>
    <r>
      <rPr>
        <b/>
        <u/>
        <sz val="10"/>
        <rFont val="돋움"/>
        <family val="3"/>
        <charset val="129"/>
      </rPr>
      <t>MM정태철Tt</t>
    </r>
    <r>
      <rPr>
        <sz val="10"/>
        <rFont val="돋움"/>
        <family val="3"/>
        <charset val="129"/>
      </rPr>
      <t xml:space="preserve">
MM한청자2CPM
MM채규칠T</t>
    </r>
    <phoneticPr fontId="3" type="noConversion"/>
  </si>
  <si>
    <r>
      <rPr>
        <b/>
        <u/>
        <sz val="10"/>
        <rFont val="돋움"/>
        <family val="3"/>
        <charset val="129"/>
      </rPr>
      <t>MM곽수열님C</t>
    </r>
    <r>
      <rPr>
        <sz val="10"/>
        <rFont val="돋움"/>
        <family val="3"/>
        <charset val="129"/>
      </rPr>
      <t xml:space="preserve">
MM최의숙CPM
</t>
    </r>
    <r>
      <rPr>
        <b/>
        <u/>
        <sz val="10"/>
        <rFont val="돋움"/>
        <family val="3"/>
        <charset val="129"/>
      </rPr>
      <t>MM김갑태2M</t>
    </r>
    <r>
      <rPr>
        <sz val="10"/>
        <rFont val="돋움"/>
        <family val="3"/>
        <charset val="129"/>
      </rPr>
      <t xml:space="preserve">
MM한상진C
MM차미영3T
MM이준구2Tt</t>
    </r>
    <phoneticPr fontId="3" type="noConversion"/>
  </si>
  <si>
    <t>RM김갑태2</t>
    <phoneticPr fontId="3" type="noConversion"/>
  </si>
  <si>
    <t>RM정태철</t>
    <phoneticPr fontId="3" type="noConversion"/>
  </si>
  <si>
    <t>RM곽수열님</t>
    <phoneticPr fontId="3" type="noConversion"/>
  </si>
  <si>
    <r>
      <t xml:space="preserve">MM황춘자C
MM이인기CPM
</t>
    </r>
    <r>
      <rPr>
        <b/>
        <u/>
        <sz val="10"/>
        <color theme="1"/>
        <rFont val="돋움"/>
        <family val="3"/>
        <charset val="129"/>
      </rPr>
      <t>MM염재호S</t>
    </r>
    <phoneticPr fontId="3" type="noConversion"/>
  </si>
  <si>
    <r>
      <rPr>
        <b/>
        <u/>
        <sz val="10"/>
        <color theme="1"/>
        <rFont val="돋움"/>
        <family val="3"/>
        <charset val="129"/>
      </rPr>
      <t>MM염재호C</t>
    </r>
    <r>
      <rPr>
        <sz val="10"/>
        <color theme="1"/>
        <rFont val="돋움"/>
        <family val="3"/>
        <charset val="129"/>
      </rPr>
      <t xml:space="preserve">
MM김진태5C
MM이인기CPM</t>
    </r>
    <phoneticPr fontId="3" type="noConversion"/>
  </si>
  <si>
    <t>RM염재호</t>
    <phoneticPr fontId="3" type="noConversion"/>
  </si>
  <si>
    <r>
      <rPr>
        <b/>
        <u/>
        <sz val="10"/>
        <rFont val="돋움"/>
        <family val="3"/>
        <charset val="129"/>
      </rPr>
      <t>MM곽수열S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MM조남옥2
CPM</t>
    </r>
    <r>
      <rPr>
        <sz val="10"/>
        <rFont val="돋움"/>
        <family val="3"/>
        <charset val="129"/>
      </rPr>
      <t xml:space="preserve">
MM조영란2C</t>
    </r>
    <phoneticPr fontId="3" type="noConversion"/>
  </si>
  <si>
    <r>
      <rPr>
        <b/>
        <u/>
        <sz val="10"/>
        <rFont val="돋움"/>
        <family val="3"/>
        <charset val="129"/>
      </rPr>
      <t>MM정농숙C</t>
    </r>
    <r>
      <rPr>
        <sz val="10"/>
        <rFont val="돋움"/>
        <family val="3"/>
        <charset val="129"/>
      </rPr>
      <t xml:space="preserve">
MM연미재Tt
MM정묘순Tt
MM김석기2C</t>
    </r>
    <phoneticPr fontId="3" type="noConversion"/>
  </si>
  <si>
    <r>
      <t xml:space="preserve">MM조항만C
MM목진구C
</t>
    </r>
    <r>
      <rPr>
        <b/>
        <u/>
        <sz val="10"/>
        <rFont val="돋움"/>
        <family val="3"/>
        <charset val="129"/>
      </rPr>
      <t>MM정농숙S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MM조남옥2
CPM</t>
    </r>
    <r>
      <rPr>
        <sz val="10"/>
        <rFont val="돋움"/>
        <family val="3"/>
        <charset val="129"/>
      </rPr>
      <t xml:space="preserve">
MM조영란2C</t>
    </r>
    <phoneticPr fontId="3" type="noConversion"/>
  </si>
  <si>
    <t>RA조남옥2</t>
    <phoneticPr fontId="3" type="noConversion"/>
  </si>
  <si>
    <t>RA정농숙</t>
    <phoneticPr fontId="3" type="noConversion"/>
  </si>
  <si>
    <r>
      <rPr>
        <u/>
        <sz val="10"/>
        <rFont val="돋움"/>
        <family val="3"/>
        <charset val="129"/>
      </rPr>
      <t>C송병태</t>
    </r>
    <r>
      <rPr>
        <sz val="1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C조희자</t>
    </r>
    <phoneticPr fontId="3" type="noConversion"/>
  </si>
  <si>
    <t>C송병태</t>
  </si>
  <si>
    <r>
      <rPr>
        <u/>
        <sz val="10"/>
        <rFont val="돋움"/>
        <family val="3"/>
        <charset val="129"/>
      </rPr>
      <t>C오영환3</t>
    </r>
    <r>
      <rPr>
        <sz val="10"/>
        <rFont val="돋움"/>
        <family val="3"/>
        <charset val="129"/>
      </rPr>
      <t xml:space="preserve">
C우재천</t>
    </r>
    <phoneticPr fontId="3" type="noConversion"/>
  </si>
  <si>
    <t>C오영환3</t>
  </si>
  <si>
    <t>C권순예
C홍은남</t>
    <phoneticPr fontId="3" type="noConversion"/>
  </si>
  <si>
    <r>
      <t xml:space="preserve">MM김진태5C
MM한청자2CPM
</t>
    </r>
    <r>
      <rPr>
        <sz val="10"/>
        <color theme="0" tint="-0.249977111117893"/>
        <rFont val="돋움"/>
        <family val="3"/>
        <charset val="129"/>
      </rPr>
      <t>MM권영배Tt</t>
    </r>
    <r>
      <rPr>
        <sz val="10"/>
        <color theme="1"/>
        <rFont val="돋움"/>
        <family val="3"/>
        <charset val="129"/>
      </rPr>
      <t xml:space="preserve">
MM김남규4C
</t>
    </r>
    <r>
      <rPr>
        <b/>
        <u/>
        <sz val="10"/>
        <color theme="1"/>
        <rFont val="돋움"/>
        <family val="3"/>
        <charset val="129"/>
      </rPr>
      <t>MM맹형열T</t>
    </r>
    <r>
      <rPr>
        <sz val="10"/>
        <color theme="1"/>
        <rFont val="돋움"/>
        <family val="3"/>
        <charset val="129"/>
      </rPr>
      <t xml:space="preserve">
MM채규칠C</t>
    </r>
    <phoneticPr fontId="3" type="noConversion"/>
  </si>
  <si>
    <r>
      <t xml:space="preserve">MM김을순2C
</t>
    </r>
    <r>
      <rPr>
        <b/>
        <u/>
        <sz val="10"/>
        <rFont val="돋움"/>
        <family val="3"/>
        <charset val="129"/>
      </rPr>
      <t>MM맹형열C</t>
    </r>
    <r>
      <rPr>
        <sz val="10"/>
        <rFont val="돋움"/>
        <family val="3"/>
        <charset val="129"/>
      </rPr>
      <t xml:space="preserve">
MM김무길C
MM정묘순M
MM김석기2C</t>
    </r>
    <phoneticPr fontId="3" type="noConversion"/>
  </si>
  <si>
    <t>RA맹형열</t>
    <phoneticPr fontId="3" type="noConversion"/>
  </si>
  <si>
    <t>11.17 (월) 스케줄 변경사항</t>
    <phoneticPr fontId="3" type="noConversion"/>
  </si>
  <si>
    <t>11.17 (월) HOLD</t>
    <phoneticPr fontId="3" type="noConversion"/>
  </si>
  <si>
    <t>4층 재활센터 시간표     2025. 11. 17 (월)</t>
    <phoneticPr fontId="3" type="noConversion"/>
  </si>
  <si>
    <t>신지아
(공가)</t>
    <phoneticPr fontId="3" type="noConversion"/>
  </si>
  <si>
    <t>이소미
(연차)</t>
    <phoneticPr fontId="3" type="noConversion"/>
  </si>
  <si>
    <t>C오영환3
C우재천</t>
    <phoneticPr fontId="3" type="noConversion"/>
  </si>
  <si>
    <t>이송희
(연차)</t>
    <phoneticPr fontId="3" type="noConversion"/>
  </si>
  <si>
    <r>
      <t>MM김을순2C
MM김무길님S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</si>
  <si>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r>
      <t>MM김진태5C
MM한청자2CPM</t>
    </r>
    <r>
      <rPr>
        <sz val="10"/>
        <color theme="1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MM맹형열T</t>
    </r>
    <r>
      <rPr>
        <sz val="10"/>
        <color theme="1"/>
        <rFont val="돋움"/>
        <family val="3"/>
        <charset val="129"/>
      </rPr>
      <t xml:space="preserve">
MM채규칠C</t>
    </r>
    <phoneticPr fontId="3" type="noConversion"/>
  </si>
  <si>
    <t>H7김남규4(B)</t>
    <phoneticPr fontId="3" type="noConversion"/>
  </si>
  <si>
    <t>M고해봉C
M조희자C
M우재천S
M홍은남M</t>
    <phoneticPr fontId="3" type="noConversion"/>
  </si>
  <si>
    <t>F우재천
F장현성
F김은미11</t>
    <phoneticPr fontId="3" type="noConversion"/>
  </si>
  <si>
    <r>
      <t>MM우병주C
MM목진구C
MM황춘자CPM</t>
    </r>
    <r>
      <rPr>
        <sz val="10"/>
        <color theme="1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MM김갑태2Tt</t>
    </r>
    <phoneticPr fontId="3" type="noConversion"/>
  </si>
  <si>
    <t>MM황춘자C</t>
    <phoneticPr fontId="3" type="noConversion"/>
  </si>
  <si>
    <t>MM김진태5C</t>
    <phoneticPr fontId="3" type="noConversion"/>
  </si>
  <si>
    <t>F이산옥
F송병태
F강점귀</t>
    <phoneticPr fontId="3" type="noConversion"/>
  </si>
  <si>
    <t>F권정숙
F장덕한
F박명숙10
F오영환3
F권순예</t>
    <phoneticPr fontId="3" type="noConversion"/>
  </si>
  <si>
    <t>N최무정
N송병태
N박명숙10</t>
    <phoneticPr fontId="3" type="noConversion"/>
  </si>
  <si>
    <t>C손재영</t>
    <phoneticPr fontId="3" type="noConversion"/>
  </si>
  <si>
    <t>C권순예
C홍은남
C강점귀</t>
    <phoneticPr fontId="3" type="noConversion"/>
  </si>
  <si>
    <t>F오경호</t>
    <phoneticPr fontId="3" type="noConversion"/>
  </si>
  <si>
    <t>F한미송
F박창현3
F이주민
F고해봉</t>
    <phoneticPr fontId="3" type="noConversion"/>
  </si>
  <si>
    <t>채규칠
박명숙10</t>
    <phoneticPr fontId="3" type="noConversion"/>
  </si>
  <si>
    <r>
      <rPr>
        <b/>
        <u/>
        <sz val="10"/>
        <rFont val="돋움"/>
        <family val="3"/>
        <charset val="129"/>
      </rPr>
      <t>MM정농숙C</t>
    </r>
    <r>
      <rPr>
        <sz val="10"/>
        <rFont val="돋움"/>
        <family val="3"/>
        <charset val="129"/>
      </rPr>
      <t xml:space="preserve">
</t>
    </r>
    <r>
      <rPr>
        <b/>
        <sz val="10"/>
        <color rgb="FFFF0000"/>
        <rFont val="돋움"/>
        <family val="3"/>
        <charset val="129"/>
      </rPr>
      <t>MM연미재Tt</t>
    </r>
    <r>
      <rPr>
        <sz val="10"/>
        <rFont val="돋움"/>
        <family val="3"/>
        <charset val="129"/>
      </rPr>
      <t xml:space="preserve">
MM정묘순Tt
MM김석기2C</t>
    </r>
    <phoneticPr fontId="3" type="noConversion"/>
  </si>
  <si>
    <t>MM연미재Tt</t>
    <phoneticPr fontId="3" type="noConversion"/>
  </si>
  <si>
    <t>MM한상진C</t>
  </si>
  <si>
    <t>RM곽수열</t>
  </si>
  <si>
    <r>
      <rPr>
        <b/>
        <u/>
        <sz val="10"/>
        <rFont val="돋움"/>
        <family val="3"/>
        <charset val="129"/>
      </rPr>
      <t>MM곽수열님C</t>
    </r>
    <r>
      <rPr>
        <sz val="10"/>
        <rFont val="돋움"/>
        <family val="3"/>
        <charset val="129"/>
      </rPr>
      <t xml:space="preserve">
MM최의숙CPM
</t>
    </r>
    <r>
      <rPr>
        <b/>
        <u/>
        <sz val="10"/>
        <rFont val="돋움"/>
        <family val="3"/>
        <charset val="129"/>
      </rPr>
      <t>MM김갑태2M</t>
    </r>
    <r>
      <rPr>
        <sz val="10"/>
        <rFont val="돋움"/>
        <family val="3"/>
        <charset val="129"/>
      </rPr>
      <t xml:space="preserve">
</t>
    </r>
    <r>
      <rPr>
        <b/>
        <sz val="10"/>
        <color rgb="FFFF000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MM차미영3T
MM이준구2Tt</t>
    </r>
    <phoneticPr fontId="3" type="noConversion"/>
  </si>
  <si>
    <t>CA박창현3</t>
  </si>
  <si>
    <t>CA정상범3</t>
  </si>
  <si>
    <t>O7양덕점D</t>
  </si>
  <si>
    <t>RA이준구2</t>
  </si>
  <si>
    <t>RA채규칠</t>
  </si>
  <si>
    <t>RN채규칠</t>
  </si>
  <si>
    <t>RN연미재</t>
  </si>
  <si>
    <t>4층
김동선님, 김긍회님 퇴원 스케줄 삭제
이인기님 외출 ALL 홀드
김남규4님 외박 ALL 홀드
이경순10님 외진 오전 홀드
김을순2님 외진 11:25, 12:00 홀드
정태철2님 외진 오후 홀드
염재호님 외진 오전 홀드</t>
    <phoneticPr fontId="3" type="noConversion"/>
  </si>
  <si>
    <t xml:space="preserve">* 신환 </t>
    <phoneticPr fontId="3" type="noConversion"/>
  </si>
  <si>
    <t xml:space="preserve">  * 변경사항</t>
    <phoneticPr fontId="3" type="noConversion"/>
  </si>
  <si>
    <t xml:space="preserve">* 당일시간변경 </t>
    <phoneticPr fontId="3" type="noConversion"/>
  </si>
  <si>
    <t xml:space="preserve">  * 퇴원 및 HOLD</t>
    <phoneticPr fontId="3" type="noConversion"/>
  </si>
  <si>
    <t>김동선님, 김긍회님 퇴원 스케줄 삭제
김용하T 이동치료사로 2층 소속으로 변경, 스케줄 변경
박명숙10님 2주 통증 추가</t>
    <phoneticPr fontId="3" type="noConversion"/>
  </si>
  <si>
    <t>김동선님, 김긍회님 퇴원 스케줄 삭제
김용하T 이동치료사로 2층 소속으로 변경, 스케줄 변경
박명숙10님 2주 통증 추가</t>
    <phoneticPr fontId="3" type="noConversion"/>
  </si>
  <si>
    <t xml:space="preserve">권순예님 10:15→11:25 시간변경 (엑스바디)
박명숙10님 10:15→12:00 시간변경 (엑스바디)
고해봉님 12:00→9:05 시간변경 (엑스바디)
</t>
    <phoneticPr fontId="3" type="noConversion"/>
  </si>
  <si>
    <t xml:space="preserve">권순예님 10:15→11:25 시간변경 (엑스바디)
박명숙10님 10:15→12:00 시간변경 (엑스바디)
고해봉님 12:00→9:05 시간변경 (엑스바디)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</si>
</sst>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color rgb="FF000000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0"/>
      <name val="돋움"/>
      <family val="3"/>
      <charset val="129"/>
    </font>
    <font>
      <sz val="10"/>
      <color theme="0" tint="-0.249977111117893"/>
      <name val="돋움"/>
      <family val="3"/>
      <charset val="129"/>
    </font>
    <font>
      <b/>
      <u/>
      <sz val="10"/>
      <color theme="1"/>
      <name val="돋움"/>
      <family val="3"/>
      <charset val="129"/>
    </font>
    <font>
      <sz val="10"/>
      <color theme="0"/>
      <name val="돋움"/>
      <family val="3"/>
      <charset val="129"/>
    </font>
    <font>
      <sz val="11"/>
      <name val="맑은 고딕"/>
      <family val="2"/>
      <charset val="129"/>
      <scheme val="minor"/>
    </font>
    <font>
      <sz val="12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1"/>
      <name val="돋움"/>
      <family val="3"/>
      <charset val="129"/>
    </font>
    <font>
      <sz val="11"/>
      <color theme="0" tint="-0.249977111117893"/>
      <name val="돋움"/>
      <family val="3"/>
      <charset val="129"/>
    </font>
    <font>
      <u/>
      <sz val="10"/>
      <color theme="1"/>
      <name val="돋움"/>
      <family val="3"/>
      <charset val="129"/>
    </font>
    <font>
      <u/>
      <sz val="10"/>
      <name val="돋움"/>
      <family val="3"/>
      <charset val="129"/>
    </font>
    <font>
      <sz val="10"/>
      <color rgb="FF00B05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color theme="1"/>
      <name val="돋움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05">
    <xf numFmtId="0" fontId="0" fillId="0" borderId="0" xfId="0">
      <alignment vertical="center"/>
    </xf>
    <xf numFmtId="0" fontId="10" fillId="0" borderId="7" xfId="2" applyFont="1" applyFill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0" fontId="10" fillId="0" borderId="6" xfId="2" applyFont="1" applyFill="1" applyBorder="1" applyAlignment="1">
      <alignment horizontal="center" vertical="center" wrapText="1"/>
    </xf>
    <xf numFmtId="0" fontId="10" fillId="0" borderId="32" xfId="2" applyFont="1" applyFill="1" applyBorder="1" applyAlignment="1">
      <alignment horizontal="center" vertical="center" wrapText="1"/>
    </xf>
    <xf numFmtId="0" fontId="10" fillId="0" borderId="35" xfId="2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5" fillId="0" borderId="0" xfId="1" applyFont="1" applyFill="1" applyBorder="1" applyAlignment="1">
      <alignment horizontal="center" vertical="center" wrapText="1"/>
    </xf>
    <xf numFmtId="0" fontId="29" fillId="0" borderId="0" xfId="1" applyFont="1" applyFill="1" applyBorder="1" applyAlignment="1">
      <alignment horizontal="center" vertical="center" wrapText="1"/>
    </xf>
    <xf numFmtId="0" fontId="10" fillId="0" borderId="20" xfId="2" applyFont="1" applyFill="1" applyBorder="1" applyAlignment="1">
      <alignment horizontal="center" vertical="center"/>
    </xf>
    <xf numFmtId="0" fontId="10" fillId="0" borderId="25" xfId="2" applyFont="1" applyFill="1" applyBorder="1" applyAlignment="1">
      <alignment horizontal="center" vertical="center" wrapText="1"/>
    </xf>
    <xf numFmtId="0" fontId="1" fillId="0" borderId="0" xfId="4">
      <alignment vertical="center"/>
    </xf>
    <xf numFmtId="0" fontId="1" fillId="0" borderId="0" xfId="4" applyAlignment="1">
      <alignment horizontal="center" vertical="center"/>
    </xf>
    <xf numFmtId="0" fontId="1" fillId="0" borderId="0" xfId="4" applyFill="1" applyAlignment="1">
      <alignment horizontal="center" vertical="center"/>
    </xf>
    <xf numFmtId="0" fontId="22" fillId="0" borderId="0" xfId="4" applyFont="1">
      <alignment vertical="center"/>
    </xf>
    <xf numFmtId="0" fontId="1" fillId="0" borderId="0" xfId="4" applyAlignment="1">
      <alignment vertical="center" wrapText="1"/>
    </xf>
    <xf numFmtId="0" fontId="15" fillId="0" borderId="48" xfId="4" applyFont="1" applyFill="1" applyBorder="1" applyAlignment="1">
      <alignment horizontal="center" vertical="center"/>
    </xf>
    <xf numFmtId="0" fontId="15" fillId="0" borderId="47" xfId="4" applyFont="1" applyBorder="1">
      <alignment vertical="center"/>
    </xf>
    <xf numFmtId="0" fontId="15" fillId="0" borderId="47" xfId="4" applyFont="1" applyFill="1" applyBorder="1" applyAlignment="1">
      <alignment horizontal="center" vertical="center"/>
    </xf>
    <xf numFmtId="0" fontId="10" fillId="0" borderId="47" xfId="4" applyFont="1" applyBorder="1">
      <alignment vertical="center"/>
    </xf>
    <xf numFmtId="0" fontId="15" fillId="0" borderId="80" xfId="4" applyFont="1" applyBorder="1">
      <alignment vertical="center"/>
    </xf>
    <xf numFmtId="0" fontId="15" fillId="0" borderId="46" xfId="4" applyFont="1" applyBorder="1" applyAlignment="1">
      <alignment horizontal="center" vertical="center" wrapText="1"/>
    </xf>
    <xf numFmtId="0" fontId="15" fillId="0" borderId="44" xfId="4" applyFont="1" applyFill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0" fillId="0" borderId="3" xfId="4" applyFont="1" applyBorder="1" applyAlignment="1">
      <alignment horizontal="center" vertical="center"/>
    </xf>
    <xf numFmtId="0" fontId="15" fillId="0" borderId="3" xfId="4" applyFont="1" applyFill="1" applyBorder="1" applyAlignment="1">
      <alignment horizontal="center" vertical="center"/>
    </xf>
    <xf numFmtId="0" fontId="15" fillId="0" borderId="13" xfId="4" applyFont="1" applyBorder="1" applyAlignment="1">
      <alignment horizontal="center" vertical="center"/>
    </xf>
    <xf numFmtId="0" fontId="15" fillId="0" borderId="43" xfId="4" applyFont="1" applyBorder="1" applyAlignment="1">
      <alignment horizontal="center" vertical="center" wrapText="1"/>
    </xf>
    <xf numFmtId="0" fontId="15" fillId="0" borderId="44" xfId="4" applyFont="1" applyFill="1" applyBorder="1" applyAlignment="1">
      <alignment horizontal="center" vertical="center" wrapText="1"/>
    </xf>
    <xf numFmtId="0" fontId="15" fillId="0" borderId="3" xfId="4" applyFont="1" applyFill="1" applyBorder="1" applyAlignment="1">
      <alignment horizontal="center" vertical="center" wrapText="1"/>
    </xf>
    <xf numFmtId="0" fontId="10" fillId="0" borderId="3" xfId="4" applyFont="1" applyFill="1" applyBorder="1" applyAlignment="1">
      <alignment horizontal="center" vertical="center"/>
    </xf>
    <xf numFmtId="0" fontId="15" fillId="0" borderId="84" xfId="4" applyFont="1" applyBorder="1" applyAlignment="1">
      <alignment horizontal="center" vertical="center" wrapText="1"/>
    </xf>
    <xf numFmtId="0" fontId="15" fillId="0" borderId="81" xfId="4" applyFont="1" applyBorder="1" applyAlignment="1">
      <alignment horizontal="center" vertical="center" wrapText="1"/>
    </xf>
    <xf numFmtId="0" fontId="15" fillId="0" borderId="82" xfId="4" applyFont="1" applyFill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0" fontId="10" fillId="0" borderId="6" xfId="4" applyFont="1" applyFill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5" fillId="0" borderId="6" xfId="4" applyFont="1" applyFill="1" applyBorder="1" applyAlignment="1">
      <alignment horizontal="center" vertical="center"/>
    </xf>
    <xf numFmtId="0" fontId="15" fillId="0" borderId="45" xfId="4" applyFont="1" applyFill="1" applyBorder="1" applyAlignment="1">
      <alignment horizontal="center" vertical="center" wrapText="1"/>
    </xf>
    <xf numFmtId="0" fontId="31" fillId="2" borderId="59" xfId="4" applyNumberFormat="1" applyFont="1" applyFill="1" applyBorder="1" applyAlignment="1" applyProtection="1">
      <alignment horizontal="center" vertical="center" wrapText="1"/>
    </xf>
    <xf numFmtId="0" fontId="31" fillId="2" borderId="85" xfId="4" applyNumberFormat="1" applyFont="1" applyFill="1" applyBorder="1" applyAlignment="1" applyProtection="1">
      <alignment horizontal="center" vertical="center" wrapText="1"/>
    </xf>
    <xf numFmtId="0" fontId="31" fillId="2" borderId="58" xfId="4" applyNumberFormat="1" applyFont="1" applyFill="1" applyBorder="1" applyAlignment="1" applyProtection="1">
      <alignment horizontal="center" vertical="center" wrapText="1"/>
    </xf>
    <xf numFmtId="0" fontId="10" fillId="2" borderId="58" xfId="4" applyNumberFormat="1" applyFont="1" applyFill="1" applyBorder="1" applyAlignment="1" applyProtection="1">
      <alignment horizontal="center" vertical="center"/>
    </xf>
    <xf numFmtId="0" fontId="31" fillId="2" borderId="86" xfId="4" applyNumberFormat="1" applyFont="1" applyFill="1" applyBorder="1" applyAlignment="1" applyProtection="1">
      <alignment horizontal="center" vertical="center" wrapText="1"/>
    </xf>
    <xf numFmtId="0" fontId="15" fillId="0" borderId="40" xfId="4" applyFont="1" applyBorder="1" applyAlignment="1">
      <alignment vertical="center" wrapText="1"/>
    </xf>
    <xf numFmtId="0" fontId="1" fillId="0" borderId="0" xfId="4" applyAlignment="1">
      <alignment vertical="center"/>
    </xf>
    <xf numFmtId="0" fontId="23" fillId="0" borderId="0" xfId="4" applyFont="1" applyFill="1" applyBorder="1" applyAlignment="1">
      <alignment vertical="center" wrapText="1"/>
    </xf>
    <xf numFmtId="0" fontId="10" fillId="4" borderId="47" xfId="4" applyFont="1" applyFill="1" applyBorder="1" applyAlignment="1">
      <alignment horizontal="center" vertical="center" wrapText="1"/>
    </xf>
    <xf numFmtId="0" fontId="10" fillId="0" borderId="47" xfId="4" applyFont="1" applyFill="1" applyBorder="1" applyAlignment="1">
      <alignment horizontal="center" vertical="center" wrapText="1"/>
    </xf>
    <xf numFmtId="0" fontId="10" fillId="0" borderId="47" xfId="4" applyFont="1" applyBorder="1" applyAlignment="1">
      <alignment horizontal="center" vertical="center"/>
    </xf>
    <xf numFmtId="0" fontId="10" fillId="4" borderId="46" xfId="4" applyFont="1" applyFill="1" applyBorder="1" applyAlignment="1">
      <alignment horizontal="center" vertical="center" wrapText="1"/>
    </xf>
    <xf numFmtId="0" fontId="1" fillId="0" borderId="0" xfId="4" applyFill="1" applyAlignment="1">
      <alignment vertical="center"/>
    </xf>
    <xf numFmtId="0" fontId="10" fillId="4" borderId="3" xfId="4" applyFont="1" applyFill="1" applyBorder="1" applyAlignment="1">
      <alignment horizontal="center" vertical="center" wrapText="1"/>
    </xf>
    <xf numFmtId="0" fontId="19" fillId="4" borderId="3" xfId="4" applyFont="1" applyFill="1" applyBorder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19" fillId="0" borderId="3" xfId="4" applyFont="1" applyBorder="1" applyAlignment="1">
      <alignment horizontal="center" vertical="center"/>
    </xf>
    <xf numFmtId="0" fontId="10" fillId="0" borderId="3" xfId="4" applyFont="1" applyFill="1" applyBorder="1" applyAlignment="1">
      <alignment horizontal="center" vertical="center" wrapText="1"/>
    </xf>
    <xf numFmtId="0" fontId="10" fillId="0" borderId="45" xfId="4" applyFont="1" applyBorder="1" applyAlignment="1">
      <alignment horizontal="center" vertical="center"/>
    </xf>
    <xf numFmtId="0" fontId="10" fillId="4" borderId="43" xfId="4" applyFont="1" applyFill="1" applyBorder="1" applyAlignment="1">
      <alignment horizontal="center" vertical="center" wrapText="1"/>
    </xf>
    <xf numFmtId="0" fontId="10" fillId="4" borderId="44" xfId="4" applyFont="1" applyFill="1" applyBorder="1" applyAlignment="1">
      <alignment horizontal="center" vertical="center" wrapText="1"/>
    </xf>
    <xf numFmtId="0" fontId="10" fillId="0" borderId="44" xfId="4" applyNumberFormat="1" applyFont="1" applyFill="1" applyBorder="1" applyAlignment="1" applyProtection="1">
      <alignment horizontal="center" vertical="center" wrapText="1"/>
    </xf>
    <xf numFmtId="0" fontId="10" fillId="4" borderId="3" xfId="4" applyNumberFormat="1" applyFont="1" applyFill="1" applyBorder="1" applyAlignment="1" applyProtection="1">
      <alignment horizontal="center" vertical="center" wrapText="1"/>
    </xf>
    <xf numFmtId="0" fontId="15" fillId="4" borderId="3" xfId="4" applyNumberFormat="1" applyFont="1" applyFill="1" applyBorder="1" applyAlignment="1" applyProtection="1">
      <alignment horizontal="center" vertical="center" wrapText="1"/>
    </xf>
    <xf numFmtId="0" fontId="0" fillId="0" borderId="0" xfId="4" applyFont="1" applyFill="1" applyAlignment="1">
      <alignment vertical="center" wrapText="1"/>
    </xf>
    <xf numFmtId="0" fontId="5" fillId="2" borderId="42" xfId="4" applyNumberFormat="1" applyFont="1" applyFill="1" applyBorder="1" applyAlignment="1" applyProtection="1">
      <alignment horizontal="center" vertical="center" wrapText="1"/>
    </xf>
    <xf numFmtId="0" fontId="5" fillId="2" borderId="41" xfId="4" applyNumberFormat="1" applyFont="1" applyFill="1" applyBorder="1" applyAlignment="1" applyProtection="1">
      <alignment horizontal="center" vertical="center" wrapText="1"/>
    </xf>
    <xf numFmtId="0" fontId="6" fillId="2" borderId="41" xfId="4" applyNumberFormat="1" applyFont="1" applyFill="1" applyBorder="1" applyAlignment="1" applyProtection="1">
      <alignment horizontal="center" vertical="center"/>
    </xf>
    <xf numFmtId="0" fontId="5" fillId="2" borderId="40" xfId="4" applyNumberFormat="1" applyFont="1" applyFill="1" applyBorder="1" applyAlignment="1" applyProtection="1">
      <alignment horizontal="center" vertical="center" wrapText="1"/>
    </xf>
    <xf numFmtId="0" fontId="8" fillId="0" borderId="0" xfId="4" applyFont="1" applyAlignment="1">
      <alignment vertical="top" wrapText="1"/>
    </xf>
    <xf numFmtId="0" fontId="0" fillId="0" borderId="0" xfId="4" applyFont="1" applyAlignment="1">
      <alignment vertical="center" wrapText="1"/>
    </xf>
    <xf numFmtId="0" fontId="1" fillId="0" borderId="0" xfId="4" applyBorder="1" applyAlignment="1">
      <alignment vertical="center"/>
    </xf>
    <xf numFmtId="0" fontId="1" fillId="0" borderId="36" xfId="4" applyBorder="1" applyAlignment="1">
      <alignment vertical="center"/>
    </xf>
    <xf numFmtId="0" fontId="1" fillId="0" borderId="0" xfId="4" applyFill="1">
      <alignment vertical="center"/>
    </xf>
    <xf numFmtId="0" fontId="13" fillId="0" borderId="0" xfId="4" applyFont="1" applyFill="1" applyBorder="1" applyAlignment="1">
      <alignment horizontal="center" vertical="center" wrapText="1"/>
    </xf>
    <xf numFmtId="0" fontId="21" fillId="6" borderId="31" xfId="4" applyNumberFormat="1" applyFont="1" applyFill="1" applyBorder="1" applyAlignment="1" applyProtection="1">
      <alignment horizontal="center" vertical="center" wrapText="1"/>
    </xf>
    <xf numFmtId="0" fontId="10" fillId="0" borderId="25" xfId="4" applyFont="1" applyFill="1" applyBorder="1" applyAlignment="1">
      <alignment horizontal="center" vertical="center" wrapText="1"/>
    </xf>
    <xf numFmtId="0" fontId="10" fillId="0" borderId="20" xfId="4" applyNumberFormat="1" applyFont="1" applyFill="1" applyBorder="1" applyAlignment="1" applyProtection="1">
      <alignment horizontal="center" vertical="center" wrapText="1"/>
    </xf>
    <xf numFmtId="0" fontId="10" fillId="0" borderId="25" xfId="4" applyNumberFormat="1" applyFont="1" applyFill="1" applyBorder="1" applyAlignment="1" applyProtection="1">
      <alignment horizontal="center" vertical="center" wrapText="1"/>
    </xf>
    <xf numFmtId="0" fontId="10" fillId="0" borderId="25" xfId="4" applyFont="1" applyFill="1" applyBorder="1" applyAlignment="1">
      <alignment horizontal="center" vertical="center"/>
    </xf>
    <xf numFmtId="0" fontId="15" fillId="0" borderId="20" xfId="4" applyNumberFormat="1" applyFont="1" applyFill="1" applyBorder="1" applyAlignment="1" applyProtection="1">
      <alignment horizontal="center" vertical="center" wrapText="1"/>
    </xf>
    <xf numFmtId="0" fontId="21" fillId="6" borderId="25" xfId="4" applyFont="1" applyFill="1" applyBorder="1" applyAlignment="1">
      <alignment horizontal="center" vertical="center" wrapText="1"/>
    </xf>
    <xf numFmtId="0" fontId="4" fillId="0" borderId="25" xfId="4" applyNumberFormat="1" applyFont="1" applyFill="1" applyBorder="1" applyAlignment="1" applyProtection="1">
      <alignment horizontal="center" vertical="center" wrapText="1"/>
    </xf>
    <xf numFmtId="0" fontId="5" fillId="0" borderId="25" xfId="4" applyFont="1" applyBorder="1" applyAlignment="1">
      <alignment horizontal="center" vertical="center"/>
    </xf>
    <xf numFmtId="0" fontId="10" fillId="0" borderId="3" xfId="4" applyNumberFormat="1" applyFont="1" applyFill="1" applyBorder="1" applyAlignment="1" applyProtection="1">
      <alignment horizontal="center" vertical="center" wrapText="1"/>
    </xf>
    <xf numFmtId="0" fontId="10" fillId="0" borderId="13" xfId="4" applyNumberFormat="1" applyFont="1" applyFill="1" applyBorder="1" applyAlignment="1" applyProtection="1">
      <alignment horizontal="center" vertical="center" wrapText="1"/>
    </xf>
    <xf numFmtId="0" fontId="10" fillId="0" borderId="6" xfId="4" applyNumberFormat="1" applyFont="1" applyFill="1" applyBorder="1" applyAlignment="1" applyProtection="1">
      <alignment horizontal="center" vertical="center" wrapText="1"/>
    </xf>
    <xf numFmtId="0" fontId="15" fillId="0" borderId="6" xfId="4" applyNumberFormat="1" applyFont="1" applyFill="1" applyBorder="1" applyAlignment="1" applyProtection="1">
      <alignment horizontal="center" vertical="center" wrapText="1"/>
    </xf>
    <xf numFmtId="0" fontId="10" fillId="0" borderId="16" xfId="4" applyNumberFormat="1" applyFont="1" applyFill="1" applyBorder="1" applyAlignment="1" applyProtection="1">
      <alignment horizontal="center" vertical="center" wrapText="1"/>
    </xf>
    <xf numFmtId="0" fontId="10" fillId="0" borderId="6" xfId="4" applyFont="1" applyFill="1" applyBorder="1" applyAlignment="1">
      <alignment horizontal="center" vertical="center" wrapText="1"/>
    </xf>
    <xf numFmtId="0" fontId="15" fillId="0" borderId="6" xfId="4" applyFont="1" applyFill="1" applyBorder="1" applyAlignment="1">
      <alignment horizontal="center" vertical="center" wrapText="1"/>
    </xf>
    <xf numFmtId="0" fontId="10" fillId="0" borderId="35" xfId="4" applyFont="1" applyFill="1" applyBorder="1" applyAlignment="1">
      <alignment horizontal="center" vertical="center"/>
    </xf>
    <xf numFmtId="0" fontId="10" fillId="0" borderId="35" xfId="4" applyFont="1" applyFill="1" applyBorder="1" applyAlignment="1">
      <alignment horizontal="center" vertical="center" wrapText="1"/>
    </xf>
    <xf numFmtId="0" fontId="10" fillId="0" borderId="35" xfId="4" applyNumberFormat="1" applyFont="1" applyFill="1" applyBorder="1" applyAlignment="1" applyProtection="1">
      <alignment horizontal="center" vertical="center" wrapText="1"/>
    </xf>
    <xf numFmtId="0" fontId="9" fillId="0" borderId="35" xfId="4" applyFont="1" applyFill="1" applyBorder="1" applyAlignment="1">
      <alignment horizontal="center" vertical="center" wrapText="1"/>
    </xf>
    <xf numFmtId="0" fontId="5" fillId="0" borderId="35" xfId="4" applyFont="1" applyBorder="1" applyAlignment="1">
      <alignment horizontal="center" vertical="center"/>
    </xf>
    <xf numFmtId="0" fontId="10" fillId="0" borderId="0" xfId="4" applyFont="1" applyFill="1" applyBorder="1" applyAlignment="1">
      <alignment horizontal="center" vertical="center"/>
    </xf>
    <xf numFmtId="0" fontId="9" fillId="0" borderId="33" xfId="4" applyFont="1" applyFill="1" applyBorder="1" applyAlignment="1">
      <alignment horizontal="center" vertical="center" wrapText="1"/>
    </xf>
    <xf numFmtId="0" fontId="5" fillId="0" borderId="6" xfId="4" applyNumberFormat="1" applyFont="1" applyFill="1" applyBorder="1" applyAlignment="1" applyProtection="1">
      <alignment horizontal="center" vertical="center"/>
    </xf>
    <xf numFmtId="0" fontId="10" fillId="0" borderId="33" xfId="4" applyFont="1" applyFill="1" applyBorder="1" applyAlignment="1">
      <alignment horizontal="center" vertical="center" wrapText="1"/>
    </xf>
    <xf numFmtId="0" fontId="10" fillId="0" borderId="32" xfId="4" applyNumberFormat="1" applyFont="1" applyFill="1" applyBorder="1" applyAlignment="1" applyProtection="1">
      <alignment horizontal="center" vertical="center" wrapText="1"/>
    </xf>
    <xf numFmtId="0" fontId="10" fillId="0" borderId="34" xfId="4" applyFont="1" applyFill="1" applyBorder="1" applyAlignment="1">
      <alignment horizontal="center" vertical="center" wrapText="1"/>
    </xf>
    <xf numFmtId="0" fontId="4" fillId="0" borderId="33" xfId="4" applyNumberFormat="1" applyFont="1" applyFill="1" applyBorder="1" applyAlignment="1" applyProtection="1">
      <alignment horizontal="center" vertical="center" wrapText="1"/>
    </xf>
    <xf numFmtId="0" fontId="5" fillId="0" borderId="32" xfId="4" applyFont="1" applyBorder="1" applyAlignment="1">
      <alignment horizontal="center" vertical="center"/>
    </xf>
    <xf numFmtId="0" fontId="15" fillId="0" borderId="31" xfId="4" applyFont="1" applyFill="1" applyBorder="1" applyAlignment="1">
      <alignment horizontal="center" vertical="center"/>
    </xf>
    <xf numFmtId="0" fontId="5" fillId="0" borderId="3" xfId="4" applyFont="1" applyBorder="1" applyAlignment="1">
      <alignment horizontal="center" vertical="center"/>
    </xf>
    <xf numFmtId="0" fontId="18" fillId="4" borderId="3" xfId="4" applyFont="1" applyFill="1" applyBorder="1" applyAlignment="1">
      <alignment horizontal="center" vertical="center" wrapText="1"/>
    </xf>
    <xf numFmtId="0" fontId="9" fillId="0" borderId="3" xfId="4" applyNumberFormat="1" applyFont="1" applyFill="1" applyBorder="1" applyAlignment="1" applyProtection="1">
      <alignment horizontal="center" vertical="center" wrapText="1"/>
    </xf>
    <xf numFmtId="0" fontId="9" fillId="0" borderId="6" xfId="4" applyNumberFormat="1" applyFont="1" applyFill="1" applyBorder="1" applyAlignment="1" applyProtection="1">
      <alignment horizontal="center" vertical="center" wrapText="1"/>
    </xf>
    <xf numFmtId="0" fontId="4" fillId="0" borderId="20" xfId="4" applyNumberFormat="1" applyFont="1" applyFill="1" applyBorder="1" applyAlignment="1" applyProtection="1">
      <alignment horizontal="center" vertical="center" wrapText="1"/>
    </xf>
    <xf numFmtId="0" fontId="10" fillId="3" borderId="3" xfId="4" applyNumberFormat="1" applyFont="1" applyFill="1" applyBorder="1" applyAlignment="1" applyProtection="1">
      <alignment horizontal="center" vertical="center" wrapText="1"/>
    </xf>
    <xf numFmtId="0" fontId="4" fillId="0" borderId="3" xfId="4" applyNumberFormat="1" applyFont="1" applyFill="1" applyBorder="1" applyAlignment="1" applyProtection="1">
      <alignment horizontal="center" vertical="center" wrapText="1"/>
    </xf>
    <xf numFmtId="0" fontId="10" fillId="0" borderId="7" xfId="4" applyFont="1" applyFill="1" applyBorder="1" applyAlignment="1">
      <alignment horizontal="center" vertical="center" wrapText="1"/>
    </xf>
    <xf numFmtId="0" fontId="10" fillId="5" borderId="6" xfId="4" applyNumberFormat="1" applyFont="1" applyFill="1" applyBorder="1" applyAlignment="1" applyProtection="1">
      <alignment horizontal="center" vertical="center" wrapText="1"/>
    </xf>
    <xf numFmtId="0" fontId="9" fillId="0" borderId="7" xfId="4" applyNumberFormat="1" applyFont="1" applyFill="1" applyBorder="1" applyAlignment="1" applyProtection="1">
      <alignment horizontal="center" vertical="center" wrapText="1"/>
    </xf>
    <xf numFmtId="0" fontId="9" fillId="0" borderId="6" xfId="4" applyFont="1" applyFill="1" applyBorder="1" applyAlignment="1">
      <alignment horizontal="center" vertical="center" wrapText="1"/>
    </xf>
    <xf numFmtId="0" fontId="10" fillId="3" borderId="3" xfId="4" applyFont="1" applyFill="1" applyBorder="1" applyAlignment="1">
      <alignment horizontal="center" vertical="center" wrapText="1"/>
    </xf>
    <xf numFmtId="0" fontId="15" fillId="0" borderId="0" xfId="4" applyFont="1" applyFill="1" applyBorder="1" applyAlignment="1">
      <alignment horizontal="center" vertical="center" wrapText="1"/>
    </xf>
    <xf numFmtId="0" fontId="1" fillId="0" borderId="0" xfId="4" applyFill="1" applyBorder="1">
      <alignment vertical="center"/>
    </xf>
    <xf numFmtId="0" fontId="10" fillId="0" borderId="20" xfId="4" applyFont="1" applyFill="1" applyBorder="1" applyAlignment="1">
      <alignment horizontal="center" vertical="center" wrapText="1"/>
    </xf>
    <xf numFmtId="0" fontId="9" fillId="0" borderId="20" xfId="4" applyFont="1" applyFill="1" applyBorder="1" applyAlignment="1">
      <alignment horizontal="center" vertical="center" wrapText="1"/>
    </xf>
    <xf numFmtId="0" fontId="15" fillId="0" borderId="0" xfId="4" applyFont="1" applyFill="1" applyAlignment="1">
      <alignment horizontal="center" vertical="center"/>
    </xf>
    <xf numFmtId="0" fontId="4" fillId="0" borderId="6" xfId="4" applyNumberFormat="1" applyFont="1" applyFill="1" applyBorder="1" applyAlignment="1" applyProtection="1">
      <alignment horizontal="center" vertical="center" wrapText="1"/>
    </xf>
    <xf numFmtId="0" fontId="15" fillId="0" borderId="16" xfId="4" applyFont="1" applyFill="1" applyBorder="1" applyAlignment="1">
      <alignment horizontal="center" vertical="center"/>
    </xf>
    <xf numFmtId="0" fontId="0" fillId="0" borderId="0" xfId="4" applyFont="1" applyFill="1">
      <alignment vertical="center"/>
    </xf>
    <xf numFmtId="0" fontId="9" fillId="0" borderId="3" xfId="4" applyFont="1" applyFill="1" applyBorder="1" applyAlignment="1">
      <alignment horizontal="center" vertical="center" wrapText="1"/>
    </xf>
    <xf numFmtId="0" fontId="10" fillId="3" borderId="20" xfId="4" applyNumberFormat="1" applyFont="1" applyFill="1" applyBorder="1" applyAlignment="1" applyProtection="1">
      <alignment horizontal="center" vertical="center" wrapText="1"/>
    </xf>
    <xf numFmtId="0" fontId="10" fillId="0" borderId="21" xfId="4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 applyProtection="1">
      <alignment horizontal="center" vertical="center" wrapText="1"/>
    </xf>
    <xf numFmtId="0" fontId="5" fillId="2" borderId="3" xfId="4" applyNumberFormat="1" applyFont="1" applyFill="1" applyBorder="1" applyAlignment="1" applyProtection="1">
      <alignment horizontal="center" vertical="center" wrapText="1"/>
    </xf>
    <xf numFmtId="0" fontId="6" fillId="2" borderId="3" xfId="4" applyNumberFormat="1" applyFont="1" applyFill="1" applyBorder="1" applyAlignment="1" applyProtection="1">
      <alignment horizontal="center" vertical="center"/>
    </xf>
    <xf numFmtId="0" fontId="5" fillId="2" borderId="3" xfId="4" applyNumberFormat="1" applyFont="1" applyFill="1" applyBorder="1" applyAlignment="1" applyProtection="1">
      <alignment horizontal="left" vertical="center" wrapText="1"/>
    </xf>
    <xf numFmtId="0" fontId="5" fillId="2" borderId="3" xfId="4" applyNumberFormat="1" applyFont="1" applyFill="1" applyBorder="1" applyAlignment="1" applyProtection="1">
      <alignment horizontal="center" vertical="center"/>
    </xf>
    <xf numFmtId="0" fontId="2" fillId="0" borderId="0" xfId="4" applyNumberFormat="1" applyFont="1" applyFill="1" applyBorder="1" applyAlignment="1" applyProtection="1">
      <alignment horizontal="center" vertical="center"/>
    </xf>
    <xf numFmtId="0" fontId="2" fillId="0" borderId="2" xfId="4" applyNumberFormat="1" applyFont="1" applyFill="1" applyBorder="1" applyAlignment="1" applyProtection="1">
      <alignment horizontal="center" vertical="center"/>
    </xf>
    <xf numFmtId="0" fontId="10" fillId="3" borderId="6" xfId="4" applyNumberFormat="1" applyFont="1" applyFill="1" applyBorder="1" applyAlignment="1" applyProtection="1">
      <alignment horizontal="center" vertical="center" wrapText="1"/>
    </xf>
    <xf numFmtId="0" fontId="10" fillId="3" borderId="32" xfId="4" applyNumberFormat="1" applyFont="1" applyFill="1" applyBorder="1" applyAlignment="1" applyProtection="1">
      <alignment horizontal="center" vertical="center" wrapText="1"/>
    </xf>
    <xf numFmtId="0" fontId="15" fillId="0" borderId="13" xfId="4" applyNumberFormat="1" applyFont="1" applyFill="1" applyBorder="1" applyAlignment="1" applyProtection="1">
      <alignment horizontal="center" vertical="center" wrapText="1"/>
    </xf>
    <xf numFmtId="0" fontId="15" fillId="0" borderId="30" xfId="4" applyNumberFormat="1" applyFont="1" applyFill="1" applyBorder="1" applyAlignment="1" applyProtection="1">
      <alignment horizontal="center" vertical="center" wrapText="1"/>
    </xf>
    <xf numFmtId="0" fontId="15" fillId="4" borderId="48" xfId="4" applyFont="1" applyFill="1" applyBorder="1" applyAlignment="1">
      <alignment horizontal="center" vertical="center" wrapText="1"/>
    </xf>
    <xf numFmtId="0" fontId="15" fillId="0" borderId="47" xfId="4" applyFont="1" applyFill="1" applyBorder="1" applyAlignment="1">
      <alignment horizontal="center" vertical="center" wrapText="1"/>
    </xf>
    <xf numFmtId="0" fontId="10" fillId="3" borderId="20" xfId="4" applyFont="1" applyFill="1" applyBorder="1" applyAlignment="1">
      <alignment horizontal="center" vertical="center" wrapText="1"/>
    </xf>
    <xf numFmtId="0" fontId="15" fillId="3" borderId="7" xfId="2" applyFont="1" applyFill="1" applyBorder="1" applyAlignment="1">
      <alignment horizontal="center" vertical="center" wrapText="1"/>
    </xf>
    <xf numFmtId="0" fontId="15" fillId="0" borderId="6" xfId="2" applyFont="1" applyFill="1" applyBorder="1" applyAlignment="1">
      <alignment horizontal="center" vertical="center" wrapText="1"/>
    </xf>
    <xf numFmtId="0" fontId="10" fillId="0" borderId="6" xfId="4" applyNumberFormat="1" applyFont="1" applyFill="1" applyBorder="1" applyAlignment="1" applyProtection="1">
      <alignment horizontal="center" vertical="center"/>
    </xf>
    <xf numFmtId="0" fontId="10" fillId="0" borderId="45" xfId="4" applyNumberFormat="1" applyFont="1" applyFill="1" applyBorder="1" applyAlignment="1" applyProtection="1">
      <alignment horizontal="center" vertical="center" wrapText="1"/>
    </xf>
    <xf numFmtId="0" fontId="10" fillId="3" borderId="45" xfId="4" applyFont="1" applyFill="1" applyBorder="1" applyAlignment="1">
      <alignment horizontal="center" vertical="center" wrapText="1"/>
    </xf>
    <xf numFmtId="0" fontId="15" fillId="0" borderId="20" xfId="4" applyFont="1" applyFill="1" applyBorder="1" applyAlignment="1">
      <alignment horizontal="center" vertical="center"/>
    </xf>
    <xf numFmtId="0" fontId="10" fillId="0" borderId="20" xfId="4" applyFont="1" applyFill="1" applyBorder="1" applyAlignment="1">
      <alignment horizontal="center" vertical="center"/>
    </xf>
    <xf numFmtId="0" fontId="10" fillId="0" borderId="20" xfId="4" applyFont="1" applyFill="1" applyBorder="1" applyAlignment="1">
      <alignment vertical="center" wrapText="1"/>
    </xf>
    <xf numFmtId="0" fontId="10" fillId="0" borderId="31" xfId="4" applyFont="1" applyFill="1" applyBorder="1" applyAlignment="1">
      <alignment horizontal="center" vertical="center"/>
    </xf>
    <xf numFmtId="0" fontId="9" fillId="0" borderId="20" xfId="4" applyNumberFormat="1" applyFont="1" applyFill="1" applyBorder="1" applyAlignment="1" applyProtection="1">
      <alignment horizontal="center" vertical="center" wrapText="1"/>
    </xf>
    <xf numFmtId="0" fontId="15" fillId="0" borderId="18" xfId="4" applyFont="1" applyFill="1" applyBorder="1" applyAlignment="1">
      <alignment horizontal="center" vertical="center"/>
    </xf>
    <xf numFmtId="0" fontId="1" fillId="0" borderId="20" xfId="4" applyFill="1" applyBorder="1">
      <alignment vertical="center"/>
    </xf>
    <xf numFmtId="0" fontId="10" fillId="4" borderId="25" xfId="4" applyFont="1" applyFill="1" applyBorder="1" applyAlignment="1">
      <alignment horizontal="center" vertical="center"/>
    </xf>
    <xf numFmtId="0" fontId="18" fillId="0" borderId="32" xfId="4" applyFont="1" applyFill="1" applyBorder="1" applyAlignment="1">
      <alignment horizontal="center" vertical="center" wrapText="1"/>
    </xf>
    <xf numFmtId="0" fontId="9" fillId="0" borderId="25" xfId="4" applyFont="1" applyFill="1" applyBorder="1" applyAlignment="1">
      <alignment horizontal="center" vertical="center" wrapText="1"/>
    </xf>
    <xf numFmtId="0" fontId="18" fillId="4" borderId="32" xfId="4" applyFont="1" applyFill="1" applyBorder="1" applyAlignment="1">
      <alignment horizontal="center" vertical="center" wrapText="1"/>
    </xf>
    <xf numFmtId="0" fontId="34" fillId="0" borderId="3" xfId="4" applyFont="1" applyFill="1" applyBorder="1" applyAlignment="1">
      <alignment horizontal="center" vertical="center" wrapText="1"/>
    </xf>
    <xf numFmtId="0" fontId="17" fillId="0" borderId="36" xfId="4" applyFont="1" applyFill="1" applyBorder="1" applyAlignment="1">
      <alignment horizontal="left" vertical="center" wrapText="1"/>
    </xf>
    <xf numFmtId="0" fontId="15" fillId="3" borderId="3" xfId="4" applyFont="1" applyFill="1" applyBorder="1" applyAlignment="1">
      <alignment horizontal="center" vertical="center"/>
    </xf>
    <xf numFmtId="0" fontId="10" fillId="3" borderId="6" xfId="4" applyFont="1" applyFill="1" applyBorder="1" applyAlignment="1">
      <alignment horizontal="center" vertical="center" wrapText="1"/>
    </xf>
    <xf numFmtId="0" fontId="4" fillId="0" borderId="87" xfId="4" applyNumberFormat="1" applyFont="1" applyFill="1" applyBorder="1" applyAlignment="1" applyProtection="1">
      <alignment horizontal="center" vertical="center" wrapText="1"/>
    </xf>
    <xf numFmtId="0" fontId="9" fillId="0" borderId="45" xfId="4" applyFont="1" applyFill="1" applyBorder="1" applyAlignment="1">
      <alignment horizontal="center" vertical="center" wrapText="1"/>
    </xf>
    <xf numFmtId="0" fontId="4" fillId="7" borderId="13" xfId="4" applyNumberFormat="1" applyFont="1" applyFill="1" applyBorder="1" applyAlignment="1" applyProtection="1">
      <alignment horizontal="center" vertical="center" wrapText="1"/>
    </xf>
    <xf numFmtId="0" fontId="4" fillId="7" borderId="22" xfId="4" applyNumberFormat="1" applyFont="1" applyFill="1" applyBorder="1" applyAlignment="1" applyProtection="1">
      <alignment horizontal="center" vertical="center" wrapText="1"/>
    </xf>
    <xf numFmtId="0" fontId="36" fillId="5" borderId="45" xfId="4" applyNumberFormat="1" applyFont="1" applyFill="1" applyBorder="1" applyAlignment="1" applyProtection="1">
      <alignment horizontal="center" vertical="center" wrapText="1"/>
    </xf>
    <xf numFmtId="0" fontId="36" fillId="0" borderId="3" xfId="4" applyNumberFormat="1" applyFont="1" applyFill="1" applyBorder="1" applyAlignment="1" applyProtection="1">
      <alignment horizontal="center" vertical="center" wrapText="1"/>
    </xf>
    <xf numFmtId="0" fontId="36" fillId="0" borderId="6" xfId="4" applyNumberFormat="1" applyFont="1" applyFill="1" applyBorder="1" applyAlignment="1" applyProtection="1">
      <alignment horizontal="center" vertical="center" wrapText="1"/>
    </xf>
    <xf numFmtId="0" fontId="36" fillId="0" borderId="3" xfId="4" applyFont="1" applyFill="1" applyBorder="1" applyAlignment="1">
      <alignment horizontal="center" vertical="center" wrapText="1"/>
    </xf>
    <xf numFmtId="0" fontId="36" fillId="0" borderId="3" xfId="2" applyFont="1" applyFill="1" applyBorder="1" applyAlignment="1">
      <alignment horizontal="center" vertical="center" wrapText="1"/>
    </xf>
    <xf numFmtId="0" fontId="36" fillId="3" borderId="83" xfId="4" applyNumberFormat="1" applyFont="1" applyFill="1" applyBorder="1" applyAlignment="1" applyProtection="1">
      <alignment horizontal="center" vertical="center" wrapText="1"/>
    </xf>
    <xf numFmtId="0" fontId="36" fillId="0" borderId="25" xfId="4" applyFont="1" applyFill="1" applyBorder="1" applyAlignment="1">
      <alignment horizontal="center" vertical="center" wrapText="1"/>
    </xf>
    <xf numFmtId="0" fontId="36" fillId="0" borderId="25" xfId="2" applyFont="1" applyFill="1" applyBorder="1" applyAlignment="1">
      <alignment horizontal="center" vertical="center" wrapText="1"/>
    </xf>
    <xf numFmtId="0" fontId="36" fillId="3" borderId="20" xfId="4" applyFont="1" applyFill="1" applyBorder="1" applyAlignment="1">
      <alignment horizontal="center" vertical="center" wrapText="1"/>
    </xf>
    <xf numFmtId="0" fontId="36" fillId="5" borderId="25" xfId="4" applyNumberFormat="1" applyFont="1" applyFill="1" applyBorder="1" applyAlignment="1" applyProtection="1">
      <alignment horizontal="center" vertical="center" wrapText="1"/>
    </xf>
    <xf numFmtId="0" fontId="15" fillId="4" borderId="47" xfId="4" applyFont="1" applyFill="1" applyBorder="1" applyAlignment="1">
      <alignment horizontal="center" vertical="center" wrapText="1"/>
    </xf>
    <xf numFmtId="0" fontId="10" fillId="0" borderId="44" xfId="4" applyFont="1" applyBorder="1" applyAlignment="1">
      <alignment horizontal="center" vertical="center"/>
    </xf>
    <xf numFmtId="0" fontId="36" fillId="7" borderId="6" xfId="2" applyFont="1" applyFill="1" applyBorder="1" applyAlignment="1">
      <alignment horizontal="center" vertical="center" wrapText="1"/>
    </xf>
    <xf numFmtId="0" fontId="36" fillId="0" borderId="20" xfId="4" applyFont="1" applyFill="1" applyBorder="1" applyAlignment="1">
      <alignment horizontal="center" vertical="center" wrapText="1"/>
    </xf>
    <xf numFmtId="0" fontId="36" fillId="7" borderId="3" xfId="4" applyFont="1" applyFill="1" applyBorder="1" applyAlignment="1">
      <alignment horizontal="center" vertical="center" wrapText="1"/>
    </xf>
    <xf numFmtId="0" fontId="36" fillId="7" borderId="25" xfId="4" applyFont="1" applyFill="1" applyBorder="1" applyAlignment="1">
      <alignment horizontal="center" vertical="center" wrapText="1"/>
    </xf>
    <xf numFmtId="0" fontId="36" fillId="7" borderId="6" xfId="4" applyNumberFormat="1" applyFont="1" applyFill="1" applyBorder="1" applyAlignment="1" applyProtection="1">
      <alignment horizontal="center" vertical="center" wrapText="1"/>
    </xf>
    <xf numFmtId="0" fontId="36" fillId="0" borderId="20" xfId="4" applyNumberFormat="1" applyFont="1" applyFill="1" applyBorder="1" applyAlignment="1" applyProtection="1">
      <alignment horizontal="center" vertical="center" wrapText="1"/>
    </xf>
    <xf numFmtId="0" fontId="36" fillId="7" borderId="25" xfId="4" applyNumberFormat="1" applyFont="1" applyFill="1" applyBorder="1" applyAlignment="1" applyProtection="1">
      <alignment horizontal="center" vertical="center" wrapText="1"/>
    </xf>
    <xf numFmtId="0" fontId="36" fillId="7" borderId="3" xfId="4" applyNumberFormat="1" applyFont="1" applyFill="1" applyBorder="1" applyAlignment="1" applyProtection="1">
      <alignment horizontal="center" vertical="center" wrapText="1"/>
    </xf>
    <xf numFmtId="0" fontId="18" fillId="7" borderId="3" xfId="4" applyFont="1" applyFill="1" applyBorder="1" applyAlignment="1">
      <alignment horizontal="center" vertical="center" wrapText="1"/>
    </xf>
    <xf numFmtId="0" fontId="18" fillId="7" borderId="25" xfId="4" applyFont="1" applyFill="1" applyBorder="1" applyAlignment="1">
      <alignment horizontal="center" vertical="center" wrapText="1"/>
    </xf>
    <xf numFmtId="0" fontId="10" fillId="3" borderId="25" xfId="4" applyNumberFormat="1" applyFont="1" applyFill="1" applyBorder="1" applyAlignment="1" applyProtection="1">
      <alignment horizontal="center" vertical="center" wrapText="1"/>
    </xf>
    <xf numFmtId="0" fontId="10" fillId="3" borderId="13" xfId="4" applyNumberFormat="1" applyFont="1" applyFill="1" applyBorder="1" applyAlignment="1" applyProtection="1">
      <alignment horizontal="center" vertical="center" wrapText="1"/>
    </xf>
    <xf numFmtId="0" fontId="15" fillId="3" borderId="3" xfId="4" applyNumberFormat="1" applyFont="1" applyFill="1" applyBorder="1" applyAlignment="1" applyProtection="1">
      <alignment horizontal="center" vertical="center" wrapText="1"/>
    </xf>
    <xf numFmtId="0" fontId="37" fillId="0" borderId="6" xfId="4" applyNumberFormat="1" applyFont="1" applyFill="1" applyBorder="1" applyAlignment="1" applyProtection="1">
      <alignment horizontal="center" vertical="center" wrapText="1"/>
    </xf>
    <xf numFmtId="0" fontId="37" fillId="0" borderId="3" xfId="4" applyNumberFormat="1" applyFont="1" applyFill="1" applyBorder="1" applyAlignment="1" applyProtection="1">
      <alignment horizontal="center" vertical="center" wrapText="1"/>
    </xf>
    <xf numFmtId="0" fontId="36" fillId="0" borderId="6" xfId="4" applyFont="1" applyFill="1" applyBorder="1" applyAlignment="1">
      <alignment horizontal="center" vertical="center" wrapText="1"/>
    </xf>
    <xf numFmtId="0" fontId="36" fillId="0" borderId="6" xfId="4" applyFont="1" applyFill="1" applyBorder="1" applyAlignment="1">
      <alignment horizontal="center" vertical="center"/>
    </xf>
    <xf numFmtId="0" fontId="36" fillId="7" borderId="3" xfId="4" applyFont="1" applyFill="1" applyBorder="1" applyAlignment="1">
      <alignment horizontal="center" vertical="center"/>
    </xf>
    <xf numFmtId="0" fontId="2" fillId="0" borderId="2" xfId="7" applyNumberFormat="1" applyFont="1" applyFill="1" applyBorder="1" applyAlignment="1" applyProtection="1">
      <alignment horizontal="center" vertical="center"/>
    </xf>
    <xf numFmtId="0" fontId="1" fillId="0" borderId="0" xfId="6" applyAlignment="1">
      <alignment horizontal="center" vertical="center"/>
    </xf>
    <xf numFmtId="0" fontId="1" fillId="0" borderId="0" xfId="6">
      <alignment vertical="center"/>
    </xf>
    <xf numFmtId="0" fontId="2" fillId="0" borderId="0" xfId="7" applyNumberFormat="1" applyFont="1" applyFill="1" applyBorder="1" applyAlignment="1" applyProtection="1">
      <alignment horizontal="center" vertical="center"/>
    </xf>
    <xf numFmtId="0" fontId="1" fillId="0" borderId="0" xfId="6" applyFill="1">
      <alignment vertical="center"/>
    </xf>
    <xf numFmtId="0" fontId="5" fillId="2" borderId="3" xfId="6" applyNumberFormat="1" applyFont="1" applyFill="1" applyBorder="1" applyAlignment="1" applyProtection="1">
      <alignment horizontal="center" vertical="center"/>
    </xf>
    <xf numFmtId="0" fontId="5" fillId="2" borderId="3" xfId="6" applyNumberFormat="1" applyFont="1" applyFill="1" applyBorder="1" applyAlignment="1" applyProtection="1">
      <alignment horizontal="left" vertical="center" wrapText="1"/>
    </xf>
    <xf numFmtId="0" fontId="5" fillId="2" borderId="3" xfId="6" applyNumberFormat="1" applyFont="1" applyFill="1" applyBorder="1" applyAlignment="1" applyProtection="1">
      <alignment horizontal="center" vertical="center" wrapText="1"/>
    </xf>
    <xf numFmtId="0" fontId="6" fillId="2" borderId="3" xfId="6" applyNumberFormat="1" applyFont="1" applyFill="1" applyBorder="1" applyAlignment="1" applyProtection="1">
      <alignment horizontal="center" vertical="center"/>
    </xf>
    <xf numFmtId="176" fontId="31" fillId="0" borderId="0" xfId="8" applyNumberFormat="1" applyFont="1" applyFill="1" applyBorder="1" applyAlignment="1" applyProtection="1">
      <alignment horizontal="center" vertical="center" wrapText="1"/>
    </xf>
    <xf numFmtId="0" fontId="8" fillId="0" borderId="0" xfId="6" applyFont="1" applyAlignment="1">
      <alignment vertical="top" wrapText="1"/>
    </xf>
    <xf numFmtId="0" fontId="15" fillId="0" borderId="0" xfId="6" applyFont="1" applyFill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9" fillId="0" borderId="3" xfId="6" applyFont="1" applyFill="1" applyBorder="1" applyAlignment="1">
      <alignment horizontal="center" vertical="center" wrapText="1"/>
    </xf>
    <xf numFmtId="0" fontId="10" fillId="0" borderId="3" xfId="6" applyNumberFormat="1" applyFont="1" applyFill="1" applyBorder="1" applyAlignment="1" applyProtection="1">
      <alignment horizontal="center" vertical="center" wrapText="1"/>
    </xf>
    <xf numFmtId="0" fontId="10" fillId="0" borderId="6" xfId="6" applyNumberFormat="1" applyFont="1" applyFill="1" applyBorder="1" applyAlignment="1" applyProtection="1">
      <alignment horizontal="center" vertical="center" wrapText="1"/>
    </xf>
    <xf numFmtId="0" fontId="10" fillId="0" borderId="6" xfId="6" applyFont="1" applyFill="1" applyBorder="1" applyAlignment="1">
      <alignment horizontal="center" vertical="center"/>
    </xf>
    <xf numFmtId="0" fontId="10" fillId="0" borderId="6" xfId="6" applyFont="1" applyFill="1" applyBorder="1" applyAlignment="1">
      <alignment horizontal="center" vertical="center" wrapText="1"/>
    </xf>
    <xf numFmtId="0" fontId="10" fillId="0" borderId="3" xfId="6" applyFont="1" applyFill="1" applyBorder="1" applyAlignment="1">
      <alignment horizontal="center" vertical="center" wrapText="1"/>
    </xf>
    <xf numFmtId="9" fontId="31" fillId="0" borderId="0" xfId="9" applyFont="1" applyFill="1" applyBorder="1" applyAlignment="1" applyProtection="1">
      <alignment horizontal="center" vertical="center" wrapText="1"/>
    </xf>
    <xf numFmtId="0" fontId="10" fillId="0" borderId="13" xfId="6" applyNumberFormat="1" applyFont="1" applyFill="1" applyBorder="1" applyAlignment="1" applyProtection="1">
      <alignment horizontal="center" vertical="center" wrapText="1"/>
    </xf>
    <xf numFmtId="0" fontId="10" fillId="3" borderId="3" xfId="6" applyFont="1" applyFill="1" applyBorder="1" applyAlignment="1">
      <alignment horizontal="center" vertical="center" wrapText="1"/>
    </xf>
    <xf numFmtId="0" fontId="9" fillId="0" borderId="6" xfId="6" applyNumberFormat="1" applyFont="1" applyFill="1" applyBorder="1" applyAlignment="1" applyProtection="1">
      <alignment horizontal="center" vertical="center" wrapText="1"/>
    </xf>
    <xf numFmtId="0" fontId="10" fillId="0" borderId="3" xfId="6" applyFont="1" applyFill="1" applyBorder="1" applyAlignment="1">
      <alignment horizontal="center" vertical="center"/>
    </xf>
    <xf numFmtId="0" fontId="15" fillId="0" borderId="16" xfId="6" applyFont="1" applyFill="1" applyBorder="1" applyAlignment="1">
      <alignment horizontal="center" vertical="center"/>
    </xf>
    <xf numFmtId="0" fontId="4" fillId="0" borderId="3" xfId="6" applyNumberFormat="1" applyFont="1" applyFill="1" applyBorder="1" applyAlignment="1" applyProtection="1">
      <alignment horizontal="center" vertical="center" wrapText="1"/>
    </xf>
    <xf numFmtId="0" fontId="4" fillId="0" borderId="6" xfId="6" applyNumberFormat="1" applyFont="1" applyFill="1" applyBorder="1" applyAlignment="1" applyProtection="1">
      <alignment horizontal="center" vertical="center" wrapText="1"/>
    </xf>
    <xf numFmtId="0" fontId="4" fillId="0" borderId="20" xfId="6" applyNumberFormat="1" applyFont="1" applyFill="1" applyBorder="1" applyAlignment="1" applyProtection="1">
      <alignment horizontal="center" vertical="center" wrapText="1"/>
    </xf>
    <xf numFmtId="0" fontId="10" fillId="0" borderId="20" xfId="6" applyNumberFormat="1" applyFont="1" applyFill="1" applyBorder="1" applyAlignment="1" applyProtection="1">
      <alignment horizontal="center" vertical="center" wrapText="1"/>
    </xf>
    <xf numFmtId="0" fontId="10" fillId="0" borderId="21" xfId="6" applyFont="1" applyFill="1" applyBorder="1" applyAlignment="1">
      <alignment horizontal="center" vertical="center"/>
    </xf>
    <xf numFmtId="0" fontId="10" fillId="0" borderId="20" xfId="6" applyFont="1" applyFill="1" applyBorder="1" applyAlignment="1">
      <alignment horizontal="center" vertical="center" wrapText="1"/>
    </xf>
    <xf numFmtId="0" fontId="18" fillId="0" borderId="32" xfId="6" applyFont="1" applyFill="1" applyBorder="1" applyAlignment="1">
      <alignment horizontal="center" vertical="center" wrapText="1"/>
    </xf>
    <xf numFmtId="0" fontId="15" fillId="0" borderId="6" xfId="6" applyFont="1" applyFill="1" applyBorder="1" applyAlignment="1">
      <alignment horizontal="center" vertical="center"/>
    </xf>
    <xf numFmtId="0" fontId="0" fillId="0" borderId="0" xfId="6" applyFont="1" applyFill="1">
      <alignment vertical="center"/>
    </xf>
    <xf numFmtId="0" fontId="9" fillId="0" borderId="25" xfId="6" applyFont="1" applyFill="1" applyBorder="1" applyAlignment="1">
      <alignment horizontal="center" vertical="center" wrapText="1"/>
    </xf>
    <xf numFmtId="0" fontId="10" fillId="0" borderId="25" xfId="6" applyNumberFormat="1" applyFont="1" applyFill="1" applyBorder="1" applyAlignment="1" applyProtection="1">
      <alignment horizontal="center" vertical="center" wrapText="1"/>
    </xf>
    <xf numFmtId="0" fontId="10" fillId="0" borderId="31" xfId="6" applyFont="1" applyFill="1" applyBorder="1" applyAlignment="1">
      <alignment horizontal="center" vertical="center"/>
    </xf>
    <xf numFmtId="0" fontId="9" fillId="0" borderId="20" xfId="6" applyFont="1" applyFill="1" applyBorder="1" applyAlignment="1">
      <alignment horizontal="center" vertical="center" wrapText="1"/>
    </xf>
    <xf numFmtId="0" fontId="15" fillId="0" borderId="20" xfId="6" applyFont="1" applyFill="1" applyBorder="1" applyAlignment="1">
      <alignment horizontal="center" vertical="center"/>
    </xf>
    <xf numFmtId="0" fontId="10" fillId="0" borderId="20" xfId="6" applyFont="1" applyFill="1" applyBorder="1" applyAlignment="1">
      <alignment horizontal="center" vertical="center"/>
    </xf>
    <xf numFmtId="0" fontId="1" fillId="0" borderId="0" xfId="6" applyFill="1" applyBorder="1">
      <alignment vertical="center"/>
    </xf>
    <xf numFmtId="0" fontId="9" fillId="0" borderId="3" xfId="6" applyNumberFormat="1" applyFont="1" applyFill="1" applyBorder="1" applyAlignment="1" applyProtection="1">
      <alignment horizontal="center" vertical="center" wrapText="1"/>
    </xf>
    <xf numFmtId="0" fontId="15" fillId="0" borderId="3" xfId="6" applyFont="1" applyFill="1" applyBorder="1" applyAlignment="1">
      <alignment horizontal="center" vertical="center" wrapText="1"/>
    </xf>
    <xf numFmtId="0" fontId="9" fillId="0" borderId="6" xfId="6" applyFont="1" applyFill="1" applyBorder="1" applyAlignment="1">
      <alignment horizontal="center" vertical="center" wrapText="1"/>
    </xf>
    <xf numFmtId="0" fontId="15" fillId="0" borderId="0" xfId="6" applyFont="1" applyFill="1" applyBorder="1" applyAlignment="1">
      <alignment horizontal="center" vertical="center" wrapText="1"/>
    </xf>
    <xf numFmtId="0" fontId="10" fillId="4" borderId="3" xfId="6" applyFont="1" applyFill="1" applyBorder="1" applyAlignment="1">
      <alignment horizontal="center" vertical="center" wrapText="1"/>
    </xf>
    <xf numFmtId="0" fontId="15" fillId="0" borderId="3" xfId="6" applyFont="1" applyFill="1" applyBorder="1" applyAlignment="1">
      <alignment horizontal="center" vertical="center"/>
    </xf>
    <xf numFmtId="0" fontId="9" fillId="0" borderId="7" xfId="6" applyNumberFormat="1" applyFont="1" applyFill="1" applyBorder="1" applyAlignment="1" applyProtection="1">
      <alignment horizontal="center" vertical="center" wrapText="1"/>
    </xf>
    <xf numFmtId="0" fontId="10" fillId="5" borderId="6" xfId="6" applyNumberFormat="1" applyFont="1" applyFill="1" applyBorder="1" applyAlignment="1" applyProtection="1">
      <alignment horizontal="center" vertical="center" wrapText="1"/>
    </xf>
    <xf numFmtId="0" fontId="10" fillId="0" borderId="7" xfId="6" applyFont="1" applyFill="1" applyBorder="1" applyAlignment="1">
      <alignment horizontal="center" vertical="center" wrapText="1"/>
    </xf>
    <xf numFmtId="0" fontId="4" fillId="0" borderId="25" xfId="6" applyNumberFormat="1" applyFont="1" applyFill="1" applyBorder="1" applyAlignment="1" applyProtection="1">
      <alignment horizontal="center" vertical="center" wrapText="1"/>
    </xf>
    <xf numFmtId="0" fontId="15" fillId="0" borderId="31" xfId="6" applyFont="1" applyFill="1" applyBorder="1" applyAlignment="1">
      <alignment horizontal="center" vertical="center"/>
    </xf>
    <xf numFmtId="0" fontId="10" fillId="0" borderId="25" xfId="6" applyFont="1" applyFill="1" applyBorder="1" applyAlignment="1">
      <alignment horizontal="center" vertical="center" wrapText="1"/>
    </xf>
    <xf numFmtId="0" fontId="9" fillId="0" borderId="20" xfId="6" applyNumberFormat="1" applyFont="1" applyFill="1" applyBorder="1" applyAlignment="1" applyProtection="1">
      <alignment horizontal="center" vertical="center" wrapText="1"/>
    </xf>
    <xf numFmtId="0" fontId="15" fillId="0" borderId="18" xfId="6" applyFont="1" applyFill="1" applyBorder="1" applyAlignment="1">
      <alignment horizontal="center" vertical="center"/>
    </xf>
    <xf numFmtId="0" fontId="18" fillId="4" borderId="32" xfId="6" applyFont="1" applyFill="1" applyBorder="1" applyAlignment="1">
      <alignment horizontal="center" vertical="center" wrapText="1"/>
    </xf>
    <xf numFmtId="0" fontId="10" fillId="0" borderId="45" xfId="6" applyNumberFormat="1" applyFont="1" applyFill="1" applyBorder="1" applyAlignment="1" applyProtection="1">
      <alignment horizontal="center" vertical="center" wrapText="1"/>
    </xf>
    <xf numFmtId="0" fontId="10" fillId="0" borderId="6" xfId="6" applyNumberFormat="1" applyFont="1" applyFill="1" applyBorder="1" applyAlignment="1" applyProtection="1">
      <alignment horizontal="center" vertical="center"/>
    </xf>
    <xf numFmtId="0" fontId="18" fillId="4" borderId="3" xfId="6" applyFont="1" applyFill="1" applyBorder="1" applyAlignment="1">
      <alignment horizontal="center" vertical="center" wrapText="1"/>
    </xf>
    <xf numFmtId="0" fontId="10" fillId="5" borderId="45" xfId="6" applyNumberFormat="1" applyFont="1" applyFill="1" applyBorder="1" applyAlignment="1" applyProtection="1">
      <alignment horizontal="center" vertical="center" wrapText="1"/>
    </xf>
    <xf numFmtId="0" fontId="18" fillId="4" borderId="25" xfId="6" applyFont="1" applyFill="1" applyBorder="1" applyAlignment="1">
      <alignment horizontal="center" vertical="center" wrapText="1"/>
    </xf>
    <xf numFmtId="0" fontId="10" fillId="5" borderId="25" xfId="6" applyFont="1" applyFill="1" applyBorder="1" applyAlignment="1">
      <alignment horizontal="center" vertical="center" wrapText="1"/>
    </xf>
    <xf numFmtId="0" fontId="10" fillId="4" borderId="25" xfId="6" applyNumberFormat="1" applyFont="1" applyFill="1" applyBorder="1" applyAlignment="1" applyProtection="1">
      <alignment horizontal="center" vertical="center" wrapText="1"/>
    </xf>
    <xf numFmtId="0" fontId="10" fillId="5" borderId="25" xfId="6" applyNumberFormat="1" applyFont="1" applyFill="1" applyBorder="1" applyAlignment="1" applyProtection="1">
      <alignment horizontal="center" vertical="center" wrapText="1"/>
    </xf>
    <xf numFmtId="0" fontId="5" fillId="0" borderId="32" xfId="6" applyFont="1" applyBorder="1" applyAlignment="1">
      <alignment horizontal="center" vertical="center"/>
    </xf>
    <xf numFmtId="0" fontId="4" fillId="0" borderId="33" xfId="6" applyNumberFormat="1" applyFont="1" applyFill="1" applyBorder="1" applyAlignment="1" applyProtection="1">
      <alignment horizontal="center" vertical="center" wrapText="1"/>
    </xf>
    <xf numFmtId="0" fontId="10" fillId="0" borderId="32" xfId="6" applyNumberFormat="1" applyFont="1" applyFill="1" applyBorder="1" applyAlignment="1" applyProtection="1">
      <alignment horizontal="center" vertical="center" wrapText="1"/>
    </xf>
    <xf numFmtId="0" fontId="10" fillId="0" borderId="34" xfId="6" applyFont="1" applyFill="1" applyBorder="1" applyAlignment="1">
      <alignment horizontal="center" vertical="center" wrapText="1"/>
    </xf>
    <xf numFmtId="0" fontId="10" fillId="0" borderId="33" xfId="6" applyFont="1" applyFill="1" applyBorder="1" applyAlignment="1">
      <alignment horizontal="center" vertical="center" wrapText="1"/>
    </xf>
    <xf numFmtId="0" fontId="15" fillId="0" borderId="6" xfId="6" applyFont="1" applyFill="1" applyBorder="1" applyAlignment="1">
      <alignment horizontal="center" vertical="center" wrapText="1"/>
    </xf>
    <xf numFmtId="0" fontId="5" fillId="0" borderId="6" xfId="6" applyNumberFormat="1" applyFont="1" applyFill="1" applyBorder="1" applyAlignment="1" applyProtection="1">
      <alignment horizontal="center" vertical="center"/>
    </xf>
    <xf numFmtId="0" fontId="9" fillId="0" borderId="33" xfId="6" applyFont="1" applyFill="1" applyBorder="1" applyAlignment="1">
      <alignment horizontal="center" vertical="center" wrapText="1"/>
    </xf>
    <xf numFmtId="0" fontId="10" fillId="0" borderId="0" xfId="6" applyFont="1" applyFill="1" applyBorder="1" applyAlignment="1">
      <alignment horizontal="center" vertical="center"/>
    </xf>
    <xf numFmtId="0" fontId="5" fillId="0" borderId="35" xfId="6" applyFont="1" applyBorder="1" applyAlignment="1">
      <alignment horizontal="center" vertical="center"/>
    </xf>
    <xf numFmtId="0" fontId="9" fillId="0" borderId="35" xfId="6" applyFont="1" applyFill="1" applyBorder="1" applyAlignment="1">
      <alignment horizontal="center" vertical="center" wrapText="1"/>
    </xf>
    <xf numFmtId="0" fontId="10" fillId="0" borderId="35" xfId="6" applyFont="1" applyFill="1" applyBorder="1" applyAlignment="1">
      <alignment horizontal="center" vertical="center" wrapText="1"/>
    </xf>
    <xf numFmtId="0" fontId="10" fillId="0" borderId="35" xfId="6" applyNumberFormat="1" applyFont="1" applyFill="1" applyBorder="1" applyAlignment="1" applyProtection="1">
      <alignment horizontal="center" vertical="center" wrapText="1"/>
    </xf>
    <xf numFmtId="0" fontId="10" fillId="0" borderId="35" xfId="6" applyFont="1" applyFill="1" applyBorder="1" applyAlignment="1">
      <alignment horizontal="center" vertical="center"/>
    </xf>
    <xf numFmtId="0" fontId="13" fillId="0" borderId="0" xfId="7" applyFont="1" applyFill="1" applyBorder="1" applyAlignment="1">
      <alignment horizontal="center" vertical="center" wrapText="1"/>
    </xf>
    <xf numFmtId="0" fontId="17" fillId="0" borderId="36" xfId="6" applyFont="1" applyFill="1" applyBorder="1" applyAlignment="1">
      <alignment horizontal="left" vertical="center" wrapText="1"/>
    </xf>
    <xf numFmtId="0" fontId="10" fillId="0" borderId="16" xfId="6" applyNumberFormat="1" applyFont="1" applyFill="1" applyBorder="1" applyAlignment="1" applyProtection="1">
      <alignment horizontal="center" vertical="center" wrapText="1"/>
    </xf>
    <xf numFmtId="0" fontId="15" fillId="0" borderId="6" xfId="6" applyNumberFormat="1" applyFont="1" applyFill="1" applyBorder="1" applyAlignment="1" applyProtection="1">
      <alignment horizontal="center" vertical="center" wrapText="1"/>
    </xf>
    <xf numFmtId="0" fontId="15" fillId="0" borderId="30" xfId="6" applyNumberFormat="1" applyFont="1" applyFill="1" applyBorder="1" applyAlignment="1" applyProtection="1">
      <alignment horizontal="center" vertical="center" wrapText="1"/>
    </xf>
    <xf numFmtId="0" fontId="15" fillId="0" borderId="13" xfId="6" applyNumberFormat="1" applyFont="1" applyFill="1" applyBorder="1" applyAlignment="1" applyProtection="1">
      <alignment horizontal="center" vertical="center" wrapText="1"/>
    </xf>
    <xf numFmtId="0" fontId="5" fillId="0" borderId="25" xfId="6" applyFont="1" applyBorder="1" applyAlignment="1">
      <alignment horizontal="center" vertical="center"/>
    </xf>
    <xf numFmtId="0" fontId="21" fillId="6" borderId="25" xfId="6" applyFont="1" applyFill="1" applyBorder="1" applyAlignment="1">
      <alignment horizontal="center" vertical="center" wrapText="1"/>
    </xf>
    <xf numFmtId="0" fontId="15" fillId="0" borderId="20" xfId="6" applyNumberFormat="1" applyFont="1" applyFill="1" applyBorder="1" applyAlignment="1" applyProtection="1">
      <alignment horizontal="center" vertical="center" wrapText="1"/>
    </xf>
    <xf numFmtId="0" fontId="10" fillId="0" borderId="25" xfId="6" applyFont="1" applyFill="1" applyBorder="1" applyAlignment="1">
      <alignment horizontal="center" vertical="center"/>
    </xf>
    <xf numFmtId="0" fontId="21" fillId="6" borderId="31" xfId="6" applyNumberFormat="1" applyFont="1" applyFill="1" applyBorder="1" applyAlignment="1" applyProtection="1">
      <alignment horizontal="center" vertical="center" wrapText="1"/>
    </xf>
    <xf numFmtId="0" fontId="1" fillId="0" borderId="0" xfId="6" applyFill="1" applyAlignment="1">
      <alignment horizontal="center" vertical="center"/>
    </xf>
    <xf numFmtId="0" fontId="1" fillId="0" borderId="36" xfId="6" applyBorder="1" applyAlignment="1">
      <alignment vertical="center"/>
    </xf>
    <xf numFmtId="0" fontId="1" fillId="0" borderId="0" xfId="6" applyBorder="1" applyAlignment="1">
      <alignment vertical="center"/>
    </xf>
    <xf numFmtId="0" fontId="22" fillId="0" borderId="0" xfId="6" applyFont="1">
      <alignment vertical="center"/>
    </xf>
    <xf numFmtId="0" fontId="0" fillId="0" borderId="0" xfId="6" applyFont="1" applyAlignment="1">
      <alignment vertical="center" wrapText="1"/>
    </xf>
    <xf numFmtId="0" fontId="1" fillId="0" borderId="0" xfId="7" applyFill="1" applyAlignment="1">
      <alignment horizontal="center" vertical="center"/>
    </xf>
    <xf numFmtId="0" fontId="1" fillId="0" borderId="0" xfId="6" applyAlignment="1">
      <alignment vertical="center"/>
    </xf>
    <xf numFmtId="0" fontId="5" fillId="2" borderId="40" xfId="6" applyNumberFormat="1" applyFont="1" applyFill="1" applyBorder="1" applyAlignment="1" applyProtection="1">
      <alignment horizontal="center" vertical="center" wrapText="1"/>
    </xf>
    <xf numFmtId="0" fontId="5" fillId="2" borderId="41" xfId="6" applyNumberFormat="1" applyFont="1" applyFill="1" applyBorder="1" applyAlignment="1" applyProtection="1">
      <alignment horizontal="center" vertical="center" wrapText="1"/>
    </xf>
    <xf numFmtId="0" fontId="6" fillId="2" borderId="41" xfId="6" applyNumberFormat="1" applyFont="1" applyFill="1" applyBorder="1" applyAlignment="1" applyProtection="1">
      <alignment horizontal="center" vertical="center"/>
    </xf>
    <xf numFmtId="0" fontId="5" fillId="2" borderId="42" xfId="6" applyNumberFormat="1" applyFont="1" applyFill="1" applyBorder="1" applyAlignment="1" applyProtection="1">
      <alignment horizontal="center" vertical="center" wrapText="1"/>
    </xf>
    <xf numFmtId="0" fontId="1" fillId="0" borderId="0" xfId="7" applyAlignment="1">
      <alignment horizontal="center" vertical="center"/>
    </xf>
    <xf numFmtId="0" fontId="0" fillId="0" borderId="0" xfId="6" applyFont="1" applyFill="1" applyAlignment="1">
      <alignment vertical="center" wrapText="1"/>
    </xf>
    <xf numFmtId="0" fontId="1" fillId="0" borderId="0" xfId="6" applyFill="1" applyAlignment="1">
      <alignment vertical="center"/>
    </xf>
    <xf numFmtId="0" fontId="10" fillId="4" borderId="43" xfId="6" applyFont="1" applyFill="1" applyBorder="1" applyAlignment="1">
      <alignment horizontal="center" vertical="center" wrapText="1"/>
    </xf>
    <xf numFmtId="0" fontId="15" fillId="4" borderId="3" xfId="6" applyNumberFormat="1" applyFont="1" applyFill="1" applyBorder="1" applyAlignment="1" applyProtection="1">
      <alignment horizontal="center" vertical="center" wrapText="1"/>
    </xf>
    <xf numFmtId="0" fontId="10" fillId="4" borderId="3" xfId="6" applyNumberFormat="1" applyFont="1" applyFill="1" applyBorder="1" applyAlignment="1" applyProtection="1">
      <alignment horizontal="center" vertical="center" wrapText="1"/>
    </xf>
    <xf numFmtId="0" fontId="34" fillId="0" borderId="3" xfId="6" applyFont="1" applyFill="1" applyBorder="1" applyAlignment="1">
      <alignment horizontal="center" vertical="center" wrapText="1"/>
    </xf>
    <xf numFmtId="0" fontId="10" fillId="0" borderId="44" xfId="6" applyNumberFormat="1" applyFont="1" applyFill="1" applyBorder="1" applyAlignment="1" applyProtection="1">
      <alignment horizontal="center" vertical="center" wrapText="1"/>
    </xf>
    <xf numFmtId="0" fontId="19" fillId="4" borderId="3" xfId="6" applyFont="1" applyFill="1" applyBorder="1" applyAlignment="1">
      <alignment horizontal="center" vertical="center" wrapText="1"/>
    </xf>
    <xf numFmtId="0" fontId="10" fillId="4" borderId="44" xfId="6" applyFont="1" applyFill="1" applyBorder="1" applyAlignment="1">
      <alignment horizontal="center" vertical="center" wrapText="1"/>
    </xf>
    <xf numFmtId="0" fontId="10" fillId="0" borderId="45" xfId="6" applyFont="1" applyBorder="1" applyAlignment="1">
      <alignment horizontal="center" vertical="center"/>
    </xf>
    <xf numFmtId="0" fontId="35" fillId="0" borderId="3" xfId="6" applyFont="1" applyFill="1" applyBorder="1" applyAlignment="1">
      <alignment horizontal="center" vertical="center" wrapText="1"/>
    </xf>
    <xf numFmtId="0" fontId="19" fillId="0" borderId="3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4" borderId="46" xfId="6" applyFont="1" applyFill="1" applyBorder="1" applyAlignment="1">
      <alignment horizontal="center" vertical="center" wrapText="1"/>
    </xf>
    <xf numFmtId="0" fontId="10" fillId="4" borderId="47" xfId="6" applyFont="1" applyFill="1" applyBorder="1" applyAlignment="1">
      <alignment horizontal="center" vertical="center" wrapText="1"/>
    </xf>
    <xf numFmtId="0" fontId="15" fillId="0" borderId="47" xfId="6" applyFont="1" applyFill="1" applyBorder="1" applyAlignment="1">
      <alignment horizontal="center" vertical="center" wrapText="1"/>
    </xf>
    <xf numFmtId="0" fontId="10" fillId="0" borderId="47" xfId="6" applyFont="1" applyFill="1" applyBorder="1" applyAlignment="1">
      <alignment horizontal="center" vertical="center" wrapText="1"/>
    </xf>
    <xf numFmtId="0" fontId="15" fillId="4" borderId="48" xfId="6" applyFont="1" applyFill="1" applyBorder="1" applyAlignment="1">
      <alignment horizontal="center" vertical="center" wrapText="1"/>
    </xf>
    <xf numFmtId="0" fontId="1" fillId="0" borderId="0" xfId="6" applyAlignment="1">
      <alignment vertical="center" wrapText="1"/>
    </xf>
    <xf numFmtId="0" fontId="23" fillId="0" borderId="0" xfId="6" applyFont="1" applyFill="1" applyBorder="1" applyAlignment="1">
      <alignment vertical="center" wrapText="1"/>
    </xf>
    <xf numFmtId="0" fontId="15" fillId="0" borderId="40" xfId="6" applyFont="1" applyBorder="1" applyAlignment="1">
      <alignment vertical="center" wrapText="1"/>
    </xf>
    <xf numFmtId="0" fontId="31" fillId="2" borderId="86" xfId="6" applyNumberFormat="1" applyFont="1" applyFill="1" applyBorder="1" applyAlignment="1" applyProtection="1">
      <alignment horizontal="center" vertical="center" wrapText="1"/>
    </xf>
    <xf numFmtId="0" fontId="31" fillId="2" borderId="58" xfId="6" applyNumberFormat="1" applyFont="1" applyFill="1" applyBorder="1" applyAlignment="1" applyProtection="1">
      <alignment horizontal="center" vertical="center" wrapText="1"/>
    </xf>
    <xf numFmtId="0" fontId="10" fillId="2" borderId="58" xfId="6" applyNumberFormat="1" applyFont="1" applyFill="1" applyBorder="1" applyAlignment="1" applyProtection="1">
      <alignment horizontal="center" vertical="center"/>
    </xf>
    <xf numFmtId="0" fontId="31" fillId="2" borderId="85" xfId="6" applyNumberFormat="1" applyFont="1" applyFill="1" applyBorder="1" applyAlignment="1" applyProtection="1">
      <alignment horizontal="center" vertical="center" wrapText="1"/>
    </xf>
    <xf numFmtId="0" fontId="31" fillId="2" borderId="59" xfId="7" applyNumberFormat="1" applyFont="1" applyFill="1" applyBorder="1" applyAlignment="1" applyProtection="1">
      <alignment horizontal="center" vertical="center" wrapText="1"/>
    </xf>
    <xf numFmtId="0" fontId="15" fillId="0" borderId="43" xfId="6" applyFont="1" applyBorder="1" applyAlignment="1">
      <alignment horizontal="center" vertical="center" wrapText="1"/>
    </xf>
    <xf numFmtId="0" fontId="15" fillId="0" borderId="45" xfId="6" applyFont="1" applyFill="1" applyBorder="1" applyAlignment="1">
      <alignment horizontal="center" vertical="center" wrapText="1"/>
    </xf>
    <xf numFmtId="0" fontId="15" fillId="0" borderId="6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5" fillId="0" borderId="82" xfId="7" applyFont="1" applyFill="1" applyBorder="1" applyAlignment="1">
      <alignment horizontal="center" vertical="center"/>
    </xf>
    <xf numFmtId="0" fontId="15" fillId="0" borderId="81" xfId="6" applyFont="1" applyBorder="1" applyAlignment="1">
      <alignment horizontal="center" vertical="center" wrapText="1"/>
    </xf>
    <xf numFmtId="0" fontId="15" fillId="0" borderId="13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44" xfId="7" applyFont="1" applyFill="1" applyBorder="1" applyAlignment="1">
      <alignment horizontal="center" vertical="center"/>
    </xf>
    <xf numFmtId="0" fontId="15" fillId="0" borderId="84" xfId="6" applyFont="1" applyBorder="1" applyAlignment="1">
      <alignment horizontal="center" vertical="center" wrapText="1"/>
    </xf>
    <xf numFmtId="0" fontId="15" fillId="0" borderId="44" xfId="7" applyFont="1" applyFill="1" applyBorder="1" applyAlignment="1">
      <alignment horizontal="center" vertical="center" wrapText="1"/>
    </xf>
    <xf numFmtId="0" fontId="15" fillId="0" borderId="46" xfId="6" applyFont="1" applyBorder="1" applyAlignment="1">
      <alignment horizontal="center" vertical="center" wrapText="1"/>
    </xf>
    <xf numFmtId="0" fontId="15" fillId="0" borderId="80" xfId="6" applyFont="1" applyBorder="1">
      <alignment vertical="center"/>
    </xf>
    <xf numFmtId="0" fontId="15" fillId="0" borderId="47" xfId="6" applyFont="1" applyBorder="1">
      <alignment vertical="center"/>
    </xf>
    <xf numFmtId="0" fontId="15" fillId="0" borderId="47" xfId="6" applyFont="1" applyFill="1" applyBorder="1" applyAlignment="1">
      <alignment horizontal="center" vertical="center"/>
    </xf>
    <xf numFmtId="0" fontId="10" fillId="0" borderId="47" xfId="6" applyFont="1" applyBorder="1">
      <alignment vertical="center"/>
    </xf>
    <xf numFmtId="0" fontId="15" fillId="0" borderId="48" xfId="7" applyFont="1" applyFill="1" applyBorder="1" applyAlignment="1">
      <alignment horizontal="center" vertical="center"/>
    </xf>
    <xf numFmtId="0" fontId="4" fillId="0" borderId="87" xfId="6" applyNumberFormat="1" applyFont="1" applyFill="1" applyBorder="1" applyAlignment="1" applyProtection="1">
      <alignment horizontal="center" vertical="center" wrapText="1"/>
    </xf>
    <xf numFmtId="0" fontId="4" fillId="0" borderId="13" xfId="6" applyNumberFormat="1" applyFont="1" applyFill="1" applyBorder="1" applyAlignment="1" applyProtection="1">
      <alignment horizontal="center" vertical="center" wrapText="1"/>
    </xf>
    <xf numFmtId="0" fontId="9" fillId="0" borderId="45" xfId="6" applyFont="1" applyFill="1" applyBorder="1" applyAlignment="1">
      <alignment horizontal="center" vertical="center" wrapText="1"/>
    </xf>
    <xf numFmtId="0" fontId="4" fillId="0" borderId="22" xfId="6" applyNumberFormat="1" applyFont="1" applyFill="1" applyBorder="1" applyAlignment="1" applyProtection="1">
      <alignment horizontal="center" vertical="center" wrapText="1"/>
    </xf>
    <xf numFmtId="0" fontId="35" fillId="4" borderId="47" xfId="6" applyFont="1" applyFill="1" applyBorder="1" applyAlignment="1">
      <alignment horizontal="center" vertical="center" wrapText="1"/>
    </xf>
    <xf numFmtId="0" fontId="15" fillId="0" borderId="7" xfId="2" applyFont="1" applyFill="1" applyBorder="1" applyAlignment="1">
      <alignment horizontal="center" vertical="center" wrapText="1"/>
    </xf>
    <xf numFmtId="0" fontId="10" fillId="0" borderId="45" xfId="6" applyFont="1" applyFill="1" applyBorder="1" applyAlignment="1">
      <alignment horizontal="center" vertical="center" wrapText="1"/>
    </xf>
    <xf numFmtId="0" fontId="10" fillId="0" borderId="83" xfId="6" applyNumberFormat="1" applyFont="1" applyFill="1" applyBorder="1" applyAlignment="1" applyProtection="1">
      <alignment horizontal="center" vertical="center" wrapText="1"/>
    </xf>
    <xf numFmtId="0" fontId="15" fillId="0" borderId="3" xfId="6" applyNumberFormat="1" applyFont="1" applyFill="1" applyBorder="1" applyAlignment="1" applyProtection="1">
      <alignment horizontal="center" vertical="center" wrapText="1"/>
    </xf>
    <xf numFmtId="0" fontId="15" fillId="3" borderId="3" xfId="6" applyFont="1" applyFill="1" applyBorder="1" applyAlignment="1">
      <alignment horizontal="center" vertical="center" wrapText="1"/>
    </xf>
    <xf numFmtId="0" fontId="10" fillId="3" borderId="47" xfId="6" applyFont="1" applyFill="1" applyBorder="1" applyAlignment="1">
      <alignment horizontal="center" vertical="center" wrapText="1"/>
    </xf>
    <xf numFmtId="0" fontId="17" fillId="0" borderId="36" xfId="6" applyFont="1" applyFill="1" applyBorder="1" applyAlignment="1">
      <alignment horizontal="left" vertical="center" wrapText="1"/>
    </xf>
    <xf numFmtId="0" fontId="10" fillId="3" borderId="3" xfId="6" applyNumberFormat="1" applyFont="1" applyFill="1" applyBorder="1" applyAlignment="1" applyProtection="1">
      <alignment horizontal="center" vertical="center" wrapText="1"/>
    </xf>
    <xf numFmtId="0" fontId="15" fillId="3" borderId="6" xfId="6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 wrapText="1"/>
    </xf>
    <xf numFmtId="0" fontId="15" fillId="0" borderId="90" xfId="6" applyFont="1" applyBorder="1" applyAlignment="1">
      <alignment vertical="center" wrapText="1"/>
    </xf>
    <xf numFmtId="0" fontId="0" fillId="0" borderId="43" xfId="6" applyFont="1" applyBorder="1" applyAlignment="1">
      <alignment horizontal="center" vertical="center" wrapText="1"/>
    </xf>
    <xf numFmtId="0" fontId="1" fillId="0" borderId="3" xfId="6" applyBorder="1">
      <alignment vertical="center"/>
    </xf>
    <xf numFmtId="0" fontId="0" fillId="3" borderId="3" xfId="6" applyFont="1" applyFill="1" applyBorder="1" applyAlignment="1">
      <alignment horizontal="center" vertical="center"/>
    </xf>
    <xf numFmtId="0" fontId="22" fillId="0" borderId="3" xfId="6" applyFont="1" applyBorder="1">
      <alignment vertical="center"/>
    </xf>
    <xf numFmtId="0" fontId="1" fillId="0" borderId="44" xfId="7" applyFill="1" applyBorder="1" applyAlignment="1">
      <alignment horizontal="center" vertical="center"/>
    </xf>
    <xf numFmtId="0" fontId="1" fillId="0" borderId="46" xfId="6" applyBorder="1" applyAlignment="1">
      <alignment vertical="center" wrapText="1"/>
    </xf>
    <xf numFmtId="0" fontId="1" fillId="0" borderId="47" xfId="6" applyBorder="1">
      <alignment vertical="center"/>
    </xf>
    <xf numFmtId="0" fontId="0" fillId="3" borderId="47" xfId="6" applyFont="1" applyFill="1" applyBorder="1" applyAlignment="1">
      <alignment horizontal="center" vertical="center"/>
    </xf>
    <xf numFmtId="0" fontId="22" fillId="0" borderId="47" xfId="6" applyFont="1" applyBorder="1">
      <alignment vertical="center"/>
    </xf>
    <xf numFmtId="0" fontId="1" fillId="0" borderId="48" xfId="7" applyFill="1" applyBorder="1" applyAlignment="1">
      <alignment horizontal="center" vertical="center"/>
    </xf>
    <xf numFmtId="0" fontId="4" fillId="7" borderId="13" xfId="6" applyNumberFormat="1" applyFont="1" applyFill="1" applyBorder="1" applyAlignment="1" applyProtection="1">
      <alignment horizontal="center" vertical="center" wrapText="1"/>
    </xf>
    <xf numFmtId="0" fontId="4" fillId="7" borderId="22" xfId="6" applyNumberFormat="1" applyFont="1" applyFill="1" applyBorder="1" applyAlignment="1" applyProtection="1">
      <alignment horizontal="center" vertical="center" wrapText="1"/>
    </xf>
    <xf numFmtId="0" fontId="15" fillId="4" borderId="47" xfId="6" applyFont="1" applyFill="1" applyBorder="1" applyAlignment="1">
      <alignment horizontal="center" vertical="center" wrapText="1"/>
    </xf>
    <xf numFmtId="0" fontId="10" fillId="0" borderId="44" xfId="6" applyFont="1" applyBorder="1" applyAlignment="1">
      <alignment horizontal="center" vertical="center"/>
    </xf>
    <xf numFmtId="0" fontId="36" fillId="5" borderId="45" xfId="6" applyNumberFormat="1" applyFont="1" applyFill="1" applyBorder="1" applyAlignment="1" applyProtection="1">
      <alignment horizontal="center" vertical="center" wrapText="1"/>
    </xf>
    <xf numFmtId="0" fontId="36" fillId="0" borderId="3" xfId="6" applyNumberFormat="1" applyFont="1" applyFill="1" applyBorder="1" applyAlignment="1" applyProtection="1">
      <alignment horizontal="center" vertical="center" wrapText="1"/>
    </xf>
    <xf numFmtId="0" fontId="36" fillId="0" borderId="6" xfId="2" applyFont="1" applyFill="1" applyBorder="1" applyAlignment="1">
      <alignment horizontal="center" vertical="center" wrapText="1"/>
    </xf>
    <xf numFmtId="0" fontId="36" fillId="0" borderId="6" xfId="6" applyNumberFormat="1" applyFont="1" applyFill="1" applyBorder="1" applyAlignment="1" applyProtection="1">
      <alignment horizontal="center" vertical="center" wrapText="1"/>
    </xf>
    <xf numFmtId="0" fontId="36" fillId="0" borderId="3" xfId="6" applyFont="1" applyFill="1" applyBorder="1" applyAlignment="1">
      <alignment horizontal="center" vertical="center" wrapText="1"/>
    </xf>
    <xf numFmtId="0" fontId="36" fillId="0" borderId="3" xfId="6" applyFont="1" applyFill="1" applyBorder="1" applyAlignment="1">
      <alignment horizontal="center" vertical="center"/>
    </xf>
    <xf numFmtId="0" fontId="36" fillId="0" borderId="83" xfId="6" applyNumberFormat="1" applyFont="1" applyFill="1" applyBorder="1" applyAlignment="1" applyProtection="1">
      <alignment horizontal="center" vertical="center" wrapText="1"/>
    </xf>
    <xf numFmtId="0" fontId="36" fillId="0" borderId="25" xfId="6" applyFont="1" applyFill="1" applyBorder="1" applyAlignment="1">
      <alignment horizontal="center" vertical="center" wrapText="1"/>
    </xf>
    <xf numFmtId="0" fontId="36" fillId="0" borderId="20" xfId="6" applyFont="1" applyFill="1" applyBorder="1" applyAlignment="1">
      <alignment horizontal="center" vertical="center" wrapText="1"/>
    </xf>
    <xf numFmtId="0" fontId="36" fillId="5" borderId="25" xfId="6" applyFont="1" applyFill="1" applyBorder="1" applyAlignment="1">
      <alignment horizontal="center" vertical="center" wrapText="1"/>
    </xf>
    <xf numFmtId="0" fontId="36" fillId="4" borderId="25" xfId="6" applyNumberFormat="1" applyFont="1" applyFill="1" applyBorder="1" applyAlignment="1" applyProtection="1">
      <alignment horizontal="center" vertical="center" wrapText="1"/>
    </xf>
    <xf numFmtId="0" fontId="36" fillId="5" borderId="25" xfId="6" applyNumberFormat="1" applyFont="1" applyFill="1" applyBorder="1" applyAlignment="1" applyProtection="1">
      <alignment horizontal="center" vertical="center" wrapText="1"/>
    </xf>
    <xf numFmtId="0" fontId="36" fillId="0" borderId="6" xfId="6" applyFont="1" applyFill="1" applyBorder="1" applyAlignment="1">
      <alignment horizontal="center" vertical="center" wrapText="1"/>
    </xf>
    <xf numFmtId="0" fontId="36" fillId="7" borderId="25" xfId="6" applyFont="1" applyFill="1" applyBorder="1" applyAlignment="1">
      <alignment horizontal="center" vertical="center" wrapText="1"/>
    </xf>
    <xf numFmtId="0" fontId="10" fillId="7" borderId="6" xfId="6" applyFont="1" applyFill="1" applyBorder="1" applyAlignment="1">
      <alignment horizontal="center" vertical="center" wrapText="1"/>
    </xf>
    <xf numFmtId="0" fontId="36" fillId="7" borderId="3" xfId="2" applyFont="1" applyFill="1" applyBorder="1" applyAlignment="1">
      <alignment horizontal="center" vertical="center" wrapText="1"/>
    </xf>
    <xf numFmtId="0" fontId="36" fillId="7" borderId="25" xfId="6" applyNumberFormat="1" applyFont="1" applyFill="1" applyBorder="1" applyAlignment="1" applyProtection="1">
      <alignment horizontal="center" vertical="center" wrapText="1"/>
    </xf>
    <xf numFmtId="0" fontId="19" fillId="0" borderId="3" xfId="6" applyFont="1" applyFill="1" applyBorder="1" applyAlignment="1">
      <alignment horizontal="center" vertical="center"/>
    </xf>
    <xf numFmtId="0" fontId="10" fillId="0" borderId="0" xfId="6" applyFont="1" applyFill="1" applyAlignment="1">
      <alignment horizontal="center" vertical="center"/>
    </xf>
    <xf numFmtId="0" fontId="34" fillId="0" borderId="47" xfId="6" applyFont="1" applyFill="1" applyBorder="1" applyAlignment="1">
      <alignment horizontal="center" vertical="center" wrapText="1"/>
    </xf>
    <xf numFmtId="0" fontId="0" fillId="0" borderId="3" xfId="6" applyFont="1" applyFill="1" applyBorder="1" applyAlignment="1">
      <alignment horizontal="center" vertical="center"/>
    </xf>
    <xf numFmtId="0" fontId="1" fillId="0" borderId="3" xfId="6" applyFill="1" applyBorder="1">
      <alignment vertical="center"/>
    </xf>
    <xf numFmtId="0" fontId="1" fillId="0" borderId="47" xfId="6" applyFill="1" applyBorder="1">
      <alignment vertical="center"/>
    </xf>
    <xf numFmtId="0" fontId="0" fillId="0" borderId="47" xfId="6" applyFont="1" applyFill="1" applyBorder="1" applyAlignment="1">
      <alignment horizontal="center" vertical="center"/>
    </xf>
    <xf numFmtId="0" fontId="17" fillId="0" borderId="36" xfId="6" applyFont="1" applyFill="1" applyBorder="1" applyAlignment="1">
      <alignment horizontal="left" vertical="center" wrapText="1"/>
    </xf>
    <xf numFmtId="0" fontId="10" fillId="3" borderId="6" xfId="6" applyNumberFormat="1" applyFont="1" applyFill="1" applyBorder="1" applyAlignment="1" applyProtection="1">
      <alignment horizontal="center" vertical="center" wrapText="1"/>
    </xf>
    <xf numFmtId="0" fontId="10" fillId="3" borderId="25" xfId="6" applyFont="1" applyFill="1" applyBorder="1" applyAlignment="1">
      <alignment horizontal="center" vertical="center" wrapText="1"/>
    </xf>
    <xf numFmtId="0" fontId="17" fillId="0" borderId="36" xfId="6" applyFont="1" applyFill="1" applyBorder="1" applyAlignment="1">
      <alignment horizontal="left" vertical="center" wrapText="1"/>
    </xf>
    <xf numFmtId="0" fontId="14" fillId="0" borderId="14" xfId="10" applyFont="1" applyBorder="1" applyAlignment="1">
      <alignment vertical="center" wrapText="1"/>
    </xf>
    <xf numFmtId="0" fontId="14" fillId="0" borderId="0" xfId="10" applyFont="1" applyBorder="1" applyAlignment="1">
      <alignment vertical="center" wrapText="1"/>
    </xf>
    <xf numFmtId="0" fontId="14" fillId="0" borderId="15" xfId="10" applyFont="1" applyBorder="1" applyAlignment="1">
      <alignment vertical="center" wrapText="1"/>
    </xf>
    <xf numFmtId="0" fontId="4" fillId="7" borderId="6" xfId="6" applyNumberFormat="1" applyFont="1" applyFill="1" applyBorder="1" applyAlignment="1" applyProtection="1">
      <alignment horizontal="center" vertical="center" wrapText="1"/>
    </xf>
    <xf numFmtId="0" fontId="9" fillId="7" borderId="6" xfId="6" applyFont="1" applyFill="1" applyBorder="1" applyAlignment="1">
      <alignment horizontal="center" vertical="center" wrapText="1"/>
    </xf>
    <xf numFmtId="0" fontId="4" fillId="7" borderId="25" xfId="6" applyNumberFormat="1" applyFont="1" applyFill="1" applyBorder="1" applyAlignment="1" applyProtection="1">
      <alignment horizontal="center" vertical="center" wrapText="1"/>
    </xf>
    <xf numFmtId="0" fontId="36" fillId="0" borderId="21" xfId="6" applyFont="1" applyFill="1" applyBorder="1" applyAlignment="1">
      <alignment horizontal="center" vertical="center"/>
    </xf>
    <xf numFmtId="0" fontId="36" fillId="0" borderId="20" xfId="6" applyNumberFormat="1" applyFont="1" applyFill="1" applyBorder="1" applyAlignment="1" applyProtection="1">
      <alignment horizontal="center" vertical="center" wrapText="1"/>
    </xf>
    <xf numFmtId="0" fontId="36" fillId="0" borderId="20" xfId="2" applyFont="1" applyFill="1" applyBorder="1" applyAlignment="1">
      <alignment horizontal="center" vertical="center"/>
    </xf>
    <xf numFmtId="0" fontId="10" fillId="7" borderId="3" xfId="6" applyNumberFormat="1" applyFont="1" applyFill="1" applyBorder="1" applyAlignment="1" applyProtection="1">
      <alignment horizontal="center" vertical="center" wrapText="1"/>
    </xf>
    <xf numFmtId="0" fontId="10" fillId="7" borderId="3" xfId="2" applyFont="1" applyFill="1" applyBorder="1" applyAlignment="1">
      <alignment horizontal="center" vertical="center" wrapText="1"/>
    </xf>
    <xf numFmtId="0" fontId="10" fillId="7" borderId="3" xfId="6" applyFont="1" applyFill="1" applyBorder="1" applyAlignment="1">
      <alignment horizontal="center" vertical="center"/>
    </xf>
    <xf numFmtId="0" fontId="15" fillId="7" borderId="3" xfId="6" applyFont="1" applyFill="1" applyBorder="1" applyAlignment="1">
      <alignment horizontal="center" vertical="center"/>
    </xf>
    <xf numFmtId="0" fontId="10" fillId="7" borderId="45" xfId="6" applyNumberFormat="1" applyFont="1" applyFill="1" applyBorder="1" applyAlignment="1" applyProtection="1">
      <alignment horizontal="center" vertical="center" wrapText="1"/>
    </xf>
    <xf numFmtId="0" fontId="15" fillId="7" borderId="7" xfId="2" applyFont="1" applyFill="1" applyBorder="1" applyAlignment="1">
      <alignment horizontal="center" vertical="center" wrapText="1"/>
    </xf>
    <xf numFmtId="0" fontId="10" fillId="7" borderId="3" xfId="6" applyFont="1" applyFill="1" applyBorder="1" applyAlignment="1">
      <alignment horizontal="center" vertical="center" wrapText="1"/>
    </xf>
    <xf numFmtId="0" fontId="10" fillId="7" borderId="6" xfId="6" applyNumberFormat="1" applyFont="1" applyFill="1" applyBorder="1" applyAlignment="1" applyProtection="1">
      <alignment horizontal="center" vertical="center" wrapText="1"/>
    </xf>
    <xf numFmtId="0" fontId="10" fillId="7" borderId="6" xfId="6" applyFont="1" applyFill="1" applyBorder="1" applyAlignment="1">
      <alignment horizontal="center" vertical="center"/>
    </xf>
    <xf numFmtId="0" fontId="10" fillId="7" borderId="7" xfId="6" applyFont="1" applyFill="1" applyBorder="1" applyAlignment="1">
      <alignment horizontal="center" vertical="center" wrapText="1"/>
    </xf>
    <xf numFmtId="0" fontId="36" fillId="0" borderId="0" xfId="6" applyFont="1" applyFill="1" applyAlignment="1">
      <alignment horizontal="center" vertical="center"/>
    </xf>
    <xf numFmtId="0" fontId="36" fillId="0" borderId="6" xfId="6" applyFont="1" applyFill="1" applyBorder="1" applyAlignment="1">
      <alignment horizontal="center" vertical="center"/>
    </xf>
    <xf numFmtId="0" fontId="10" fillId="0" borderId="0" xfId="6" applyFont="1" applyFill="1" applyAlignment="1">
      <alignment horizontal="center" vertical="center" wrapText="1"/>
    </xf>
    <xf numFmtId="0" fontId="36" fillId="8" borderId="3" xfId="6" applyNumberFormat="1" applyFont="1" applyFill="1" applyBorder="1" applyAlignment="1" applyProtection="1">
      <alignment horizontal="center" vertical="center" wrapText="1"/>
    </xf>
    <xf numFmtId="0" fontId="36" fillId="7" borderId="6" xfId="6" applyNumberFormat="1" applyFont="1" applyFill="1" applyBorder="1" applyAlignment="1" applyProtection="1">
      <alignment horizontal="center" vertical="center" wrapText="1"/>
    </xf>
    <xf numFmtId="0" fontId="36" fillId="7" borderId="6" xfId="6" applyFont="1" applyFill="1" applyBorder="1" applyAlignment="1">
      <alignment horizontal="center" vertical="center"/>
    </xf>
    <xf numFmtId="0" fontId="18" fillId="0" borderId="3" xfId="6" applyFont="1" applyFill="1" applyBorder="1" applyAlignment="1">
      <alignment horizontal="center" vertical="center" wrapText="1"/>
    </xf>
    <xf numFmtId="0" fontId="18" fillId="0" borderId="25" xfId="6" applyFont="1" applyFill="1" applyBorder="1" applyAlignment="1">
      <alignment horizontal="center" vertical="center" wrapText="1"/>
    </xf>
    <xf numFmtId="0" fontId="18" fillId="7" borderId="32" xfId="6" applyFont="1" applyFill="1" applyBorder="1" applyAlignment="1">
      <alignment horizontal="center" vertical="center" wrapText="1"/>
    </xf>
    <xf numFmtId="0" fontId="9" fillId="7" borderId="3" xfId="6" applyFont="1" applyFill="1" applyBorder="1" applyAlignment="1">
      <alignment horizontal="center" vertical="center" wrapText="1"/>
    </xf>
    <xf numFmtId="0" fontId="4" fillId="9" borderId="6" xfId="6" applyNumberFormat="1" applyFont="1" applyFill="1" applyBorder="1" applyAlignment="1" applyProtection="1">
      <alignment horizontal="center" vertical="center" wrapText="1"/>
    </xf>
    <xf numFmtId="0" fontId="9" fillId="9" borderId="6" xfId="6" applyFont="1" applyFill="1" applyBorder="1" applyAlignment="1">
      <alignment horizontal="center" vertical="center" wrapText="1"/>
    </xf>
    <xf numFmtId="0" fontId="9" fillId="9" borderId="3" xfId="6" applyNumberFormat="1" applyFont="1" applyFill="1" applyBorder="1" applyAlignment="1" applyProtection="1">
      <alignment horizontal="center" vertical="center" wrapText="1"/>
    </xf>
    <xf numFmtId="0" fontId="10" fillId="9" borderId="6" xfId="6" applyFont="1" applyFill="1" applyBorder="1" applyAlignment="1">
      <alignment horizontal="center" vertical="center"/>
    </xf>
    <xf numFmtId="0" fontId="10" fillId="9" borderId="3" xfId="6" applyNumberFormat="1" applyFont="1" applyFill="1" applyBorder="1" applyAlignment="1" applyProtection="1">
      <alignment horizontal="center" vertical="center" wrapText="1"/>
    </xf>
    <xf numFmtId="0" fontId="10" fillId="9" borderId="3" xfId="6" applyFont="1" applyFill="1" applyBorder="1" applyAlignment="1">
      <alignment horizontal="center" vertical="center" wrapText="1"/>
    </xf>
    <xf numFmtId="0" fontId="10" fillId="9" borderId="6" xfId="6" applyNumberFormat="1" applyFont="1" applyFill="1" applyBorder="1" applyAlignment="1" applyProtection="1">
      <alignment horizontal="center" vertical="center" wrapText="1"/>
    </xf>
    <xf numFmtId="0" fontId="10" fillId="9" borderId="3" xfId="2" applyFont="1" applyFill="1" applyBorder="1" applyAlignment="1">
      <alignment horizontal="center" vertical="center" wrapText="1"/>
    </xf>
    <xf numFmtId="0" fontId="10" fillId="9" borderId="3" xfId="6" applyFont="1" applyFill="1" applyBorder="1" applyAlignment="1">
      <alignment horizontal="center" vertical="center"/>
    </xf>
    <xf numFmtId="0" fontId="15" fillId="9" borderId="3" xfId="6" applyFont="1" applyFill="1" applyBorder="1" applyAlignment="1">
      <alignment horizontal="center" vertical="center"/>
    </xf>
    <xf numFmtId="0" fontId="10" fillId="9" borderId="45" xfId="6" applyNumberFormat="1" applyFont="1" applyFill="1" applyBorder="1" applyAlignment="1" applyProtection="1">
      <alignment horizontal="center" vertical="center" wrapText="1"/>
    </xf>
    <xf numFmtId="0" fontId="15" fillId="9" borderId="7" xfId="2" applyFont="1" applyFill="1" applyBorder="1" applyAlignment="1">
      <alignment horizontal="center" vertical="center" wrapText="1"/>
    </xf>
    <xf numFmtId="0" fontId="10" fillId="9" borderId="6" xfId="6" applyFont="1" applyFill="1" applyBorder="1" applyAlignment="1">
      <alignment horizontal="center" vertical="center" wrapText="1"/>
    </xf>
    <xf numFmtId="0" fontId="10" fillId="9" borderId="7" xfId="6" applyFont="1" applyFill="1" applyBorder="1" applyAlignment="1">
      <alignment horizontal="center" vertical="center" wrapText="1"/>
    </xf>
    <xf numFmtId="0" fontId="37" fillId="0" borderId="6" xfId="6" applyFont="1" applyFill="1" applyBorder="1" applyAlignment="1">
      <alignment horizontal="center" vertical="center" wrapText="1"/>
    </xf>
    <xf numFmtId="0" fontId="36" fillId="9" borderId="3" xfId="6" applyFont="1" applyFill="1" applyBorder="1" applyAlignment="1">
      <alignment horizontal="center" vertical="center"/>
    </xf>
    <xf numFmtId="0" fontId="36" fillId="9" borderId="3" xfId="6" applyFont="1" applyFill="1" applyBorder="1" applyAlignment="1">
      <alignment horizontal="center" vertical="center" wrapText="1"/>
    </xf>
    <xf numFmtId="0" fontId="36" fillId="9" borderId="6" xfId="6" applyNumberFormat="1" applyFont="1" applyFill="1" applyBorder="1" applyAlignment="1" applyProtection="1">
      <alignment horizontal="center" vertical="center" wrapText="1"/>
    </xf>
    <xf numFmtId="0" fontId="36" fillId="0" borderId="25" xfId="6" applyNumberFormat="1" applyFont="1" applyFill="1" applyBorder="1" applyAlignment="1" applyProtection="1">
      <alignment horizontal="center" vertical="center" wrapText="1"/>
    </xf>
    <xf numFmtId="0" fontId="10" fillId="8" borderId="13" xfId="6" applyNumberFormat="1" applyFont="1" applyFill="1" applyBorder="1" applyAlignment="1" applyProtection="1">
      <alignment horizontal="center" vertical="center" wrapText="1"/>
    </xf>
    <xf numFmtId="0" fontId="17" fillId="0" borderId="36" xfId="6" applyFont="1" applyFill="1" applyBorder="1" applyAlignment="1">
      <alignment horizontal="left" vertical="center" wrapText="1"/>
    </xf>
    <xf numFmtId="0" fontId="15" fillId="3" borderId="13" xfId="6" applyFont="1" applyFill="1" applyBorder="1" applyAlignment="1">
      <alignment horizontal="center" vertical="center"/>
    </xf>
    <xf numFmtId="0" fontId="15" fillId="3" borderId="6" xfId="6" applyFont="1" applyFill="1" applyBorder="1" applyAlignment="1">
      <alignment horizontal="center" vertical="center" wrapText="1"/>
    </xf>
    <xf numFmtId="0" fontId="36" fillId="9" borderId="0" xfId="6" applyFont="1" applyFill="1" applyAlignment="1">
      <alignment horizontal="center" vertical="center"/>
    </xf>
    <xf numFmtId="0" fontId="36" fillId="9" borderId="6" xfId="6" applyFont="1" applyFill="1" applyBorder="1" applyAlignment="1">
      <alignment horizontal="center" vertical="center" wrapText="1"/>
    </xf>
    <xf numFmtId="0" fontId="36" fillId="9" borderId="6" xfId="6" applyFont="1" applyFill="1" applyBorder="1" applyAlignment="1">
      <alignment horizontal="center" vertical="center"/>
    </xf>
    <xf numFmtId="0" fontId="36" fillId="9" borderId="3" xfId="6" applyNumberFormat="1" applyFont="1" applyFill="1" applyBorder="1" applyAlignment="1" applyProtection="1">
      <alignment horizontal="center" vertical="center" wrapText="1"/>
    </xf>
    <xf numFmtId="0" fontId="37" fillId="0" borderId="45" xfId="6" applyNumberFormat="1" applyFont="1" applyFill="1" applyBorder="1" applyAlignment="1" applyProtection="1">
      <alignment horizontal="center" vertical="center" wrapText="1"/>
    </xf>
    <xf numFmtId="0" fontId="37" fillId="0" borderId="3" xfId="6" applyNumberFormat="1" applyFont="1" applyFill="1" applyBorder="1" applyAlignment="1" applyProtection="1">
      <alignment horizontal="center" vertical="center" wrapText="1"/>
    </xf>
    <xf numFmtId="0" fontId="15" fillId="0" borderId="13" xfId="6" applyFont="1" applyFill="1" applyBorder="1" applyAlignment="1">
      <alignment horizontal="center" vertical="center"/>
    </xf>
    <xf numFmtId="0" fontId="10" fillId="8" borderId="3" xfId="6" applyNumberFormat="1" applyFont="1" applyFill="1" applyBorder="1" applyAlignment="1" applyProtection="1">
      <alignment horizontal="center" vertical="center" wrapText="1"/>
    </xf>
    <xf numFmtId="0" fontId="15" fillId="8" borderId="6" xfId="6" applyFont="1" applyFill="1" applyBorder="1" applyAlignment="1">
      <alignment horizontal="center" vertical="center" wrapText="1"/>
    </xf>
    <xf numFmtId="0" fontId="17" fillId="0" borderId="36" xfId="6" applyFont="1" applyFill="1" applyBorder="1" applyAlignment="1">
      <alignment horizontal="left" vertical="center" wrapText="1"/>
    </xf>
    <xf numFmtId="0" fontId="10" fillId="3" borderId="45" xfId="6" applyFont="1" applyFill="1" applyBorder="1" applyAlignment="1">
      <alignment horizontal="center" vertical="center" wrapText="1"/>
    </xf>
    <xf numFmtId="0" fontId="10" fillId="3" borderId="32" xfId="6" applyNumberFormat="1" applyFont="1" applyFill="1" applyBorder="1" applyAlignment="1" applyProtection="1">
      <alignment horizontal="center" vertical="center" wrapText="1"/>
    </xf>
    <xf numFmtId="0" fontId="10" fillId="3" borderId="25" xfId="6" applyNumberFormat="1" applyFont="1" applyFill="1" applyBorder="1" applyAlignment="1" applyProtection="1">
      <alignment horizontal="center" vertical="center" wrapText="1"/>
    </xf>
    <xf numFmtId="0" fontId="10" fillId="3" borderId="25" xfId="2" applyFont="1" applyFill="1" applyBorder="1" applyAlignment="1">
      <alignment horizontal="center" vertical="center" wrapText="1"/>
    </xf>
    <xf numFmtId="0" fontId="10" fillId="3" borderId="20" xfId="6" applyFont="1" applyFill="1" applyBorder="1" applyAlignment="1">
      <alignment horizontal="center" vertical="center" wrapText="1"/>
    </xf>
    <xf numFmtId="0" fontId="4" fillId="9" borderId="20" xfId="6" applyNumberFormat="1" applyFont="1" applyFill="1" applyBorder="1" applyAlignment="1" applyProtection="1">
      <alignment horizontal="center" vertical="center" wrapText="1"/>
    </xf>
    <xf numFmtId="0" fontId="9" fillId="9" borderId="3" xfId="6" applyFont="1" applyFill="1" applyBorder="1" applyAlignment="1">
      <alignment horizontal="center" vertical="center" wrapText="1"/>
    </xf>
    <xf numFmtId="0" fontId="36" fillId="9" borderId="3" xfId="2" applyFont="1" applyFill="1" applyBorder="1" applyAlignment="1">
      <alignment horizontal="center" vertical="center" wrapText="1"/>
    </xf>
    <xf numFmtId="0" fontId="36" fillId="9" borderId="13" xfId="6" applyNumberFormat="1" applyFont="1" applyFill="1" applyBorder="1" applyAlignment="1" applyProtection="1">
      <alignment horizontal="center" vertical="center" wrapText="1"/>
    </xf>
    <xf numFmtId="0" fontId="36" fillId="9" borderId="20" xfId="6" applyNumberFormat="1" applyFont="1" applyFill="1" applyBorder="1" applyAlignment="1" applyProtection="1">
      <alignment horizontal="center" vertical="center" wrapText="1"/>
    </xf>
    <xf numFmtId="0" fontId="36" fillId="9" borderId="21" xfId="6" applyFont="1" applyFill="1" applyBorder="1" applyAlignment="1">
      <alignment horizontal="center" vertical="center"/>
    </xf>
    <xf numFmtId="0" fontId="36" fillId="9" borderId="20" xfId="6" applyFont="1" applyFill="1" applyBorder="1" applyAlignment="1">
      <alignment horizontal="center" vertical="center" wrapText="1"/>
    </xf>
    <xf numFmtId="0" fontId="36" fillId="9" borderId="20" xfId="2" applyFont="1" applyFill="1" applyBorder="1" applyAlignment="1">
      <alignment horizontal="center" vertical="center"/>
    </xf>
    <xf numFmtId="0" fontId="36" fillId="8" borderId="31" xfId="6" applyFont="1" applyFill="1" applyBorder="1" applyAlignment="1">
      <alignment horizontal="center" vertical="center"/>
    </xf>
    <xf numFmtId="0" fontId="36" fillId="8" borderId="45" xfId="6" applyNumberFormat="1" applyFont="1" applyFill="1" applyBorder="1" applyAlignment="1" applyProtection="1">
      <alignment horizontal="center" vertical="center" wrapText="1"/>
    </xf>
    <xf numFmtId="0" fontId="37" fillId="0" borderId="25" xfId="6" applyNumberFormat="1" applyFont="1" applyFill="1" applyBorder="1" applyAlignment="1" applyProtection="1">
      <alignment horizontal="center" vertical="center" wrapText="1"/>
    </xf>
    <xf numFmtId="0" fontId="37" fillId="0" borderId="6" xfId="6" applyNumberFormat="1" applyFont="1" applyFill="1" applyBorder="1" applyAlignment="1" applyProtection="1">
      <alignment horizontal="center" vertical="center" wrapText="1"/>
    </xf>
    <xf numFmtId="0" fontId="37" fillId="0" borderId="32" xfId="6" applyNumberFormat="1" applyFont="1" applyFill="1" applyBorder="1" applyAlignment="1" applyProtection="1">
      <alignment horizontal="center" vertical="center" wrapText="1"/>
    </xf>
    <xf numFmtId="0" fontId="36" fillId="0" borderId="13" xfId="6" applyNumberFormat="1" applyFont="1" applyFill="1" applyBorder="1" applyAlignment="1" applyProtection="1">
      <alignment horizontal="center" vertical="center" wrapText="1"/>
    </xf>
    <xf numFmtId="0" fontId="17" fillId="0" borderId="36" xfId="6" applyFont="1" applyFill="1" applyBorder="1" applyAlignment="1">
      <alignment horizontal="left" vertical="center" wrapText="1"/>
    </xf>
    <xf numFmtId="0" fontId="15" fillId="3" borderId="13" xfId="6" applyFont="1" applyFill="1" applyBorder="1" applyAlignment="1">
      <alignment horizontal="center" vertical="center" wrapText="1"/>
    </xf>
    <xf numFmtId="0" fontId="15" fillId="3" borderId="3" xfId="6" applyFont="1" applyFill="1" applyBorder="1" applyAlignment="1">
      <alignment horizontal="center" vertical="center"/>
    </xf>
    <xf numFmtId="0" fontId="4" fillId="9" borderId="3" xfId="6" applyNumberFormat="1" applyFont="1" applyFill="1" applyBorder="1" applyAlignment="1" applyProtection="1">
      <alignment horizontal="center" vertical="center" wrapText="1"/>
    </xf>
    <xf numFmtId="0" fontId="36" fillId="9" borderId="45" xfId="6" applyFont="1" applyFill="1" applyBorder="1" applyAlignment="1">
      <alignment horizontal="center" vertical="center" wrapText="1"/>
    </xf>
    <xf numFmtId="0" fontId="37" fillId="0" borderId="25" xfId="6" applyFont="1" applyFill="1" applyBorder="1" applyAlignment="1">
      <alignment horizontal="center" vertical="center" wrapText="1"/>
    </xf>
    <xf numFmtId="0" fontId="36" fillId="0" borderId="7" xfId="2" applyFont="1" applyFill="1" applyBorder="1" applyAlignment="1">
      <alignment horizontal="center" vertical="center" wrapText="1"/>
    </xf>
    <xf numFmtId="0" fontId="36" fillId="0" borderId="32" xfId="6" applyNumberFormat="1" applyFont="1" applyFill="1" applyBorder="1" applyAlignment="1" applyProtection="1">
      <alignment horizontal="center" vertical="center" wrapText="1"/>
    </xf>
    <xf numFmtId="0" fontId="36" fillId="0" borderId="31" xfId="6" applyFont="1" applyFill="1" applyBorder="1" applyAlignment="1">
      <alignment horizontal="center" vertical="center"/>
    </xf>
    <xf numFmtId="0" fontId="36" fillId="0" borderId="45" xfId="6" applyNumberFormat="1" applyFont="1" applyFill="1" applyBorder="1" applyAlignment="1" applyProtection="1">
      <alignment horizontal="center" vertical="center" wrapText="1"/>
    </xf>
    <xf numFmtId="0" fontId="15" fillId="0" borderId="13" xfId="6" applyFont="1" applyFill="1" applyBorder="1" applyAlignment="1">
      <alignment horizontal="center" vertical="center" wrapText="1"/>
    </xf>
    <xf numFmtId="0" fontId="17" fillId="0" borderId="36" xfId="6" applyFont="1" applyFill="1" applyBorder="1" applyAlignment="1">
      <alignment horizontal="left" vertical="center" wrapText="1"/>
    </xf>
    <xf numFmtId="0" fontId="32" fillId="0" borderId="0" xfId="6" applyFont="1" applyFill="1" applyBorder="1" applyAlignment="1">
      <alignment horizontal="left" vertical="center" wrapText="1"/>
    </xf>
    <xf numFmtId="0" fontId="10" fillId="3" borderId="13" xfId="6" applyNumberFormat="1" applyFont="1" applyFill="1" applyBorder="1" applyAlignment="1" applyProtection="1">
      <alignment horizontal="center" vertical="center" wrapText="1"/>
    </xf>
    <xf numFmtId="0" fontId="9" fillId="9" borderId="45" xfId="6" applyFont="1" applyFill="1" applyBorder="1" applyAlignment="1">
      <alignment horizontal="center" vertical="center" wrapText="1"/>
    </xf>
    <xf numFmtId="0" fontId="9" fillId="9" borderId="20" xfId="6" applyNumberFormat="1" applyFont="1" applyFill="1" applyBorder="1" applyAlignment="1" applyProtection="1">
      <alignment horizontal="center" vertical="center" wrapText="1"/>
    </xf>
    <xf numFmtId="0" fontId="9" fillId="9" borderId="33" xfId="6" applyFont="1" applyFill="1" applyBorder="1" applyAlignment="1">
      <alignment horizontal="center" vertical="center" wrapText="1"/>
    </xf>
    <xf numFmtId="0" fontId="36" fillId="9" borderId="18" xfId="6" applyFont="1" applyFill="1" applyBorder="1" applyAlignment="1">
      <alignment horizontal="center" vertical="center"/>
    </xf>
    <xf numFmtId="0" fontId="36" fillId="9" borderId="20" xfId="6" applyFont="1" applyFill="1" applyBorder="1" applyAlignment="1">
      <alignment horizontal="center" vertical="center"/>
    </xf>
    <xf numFmtId="0" fontId="4" fillId="9" borderId="25" xfId="6" applyNumberFormat="1" applyFont="1" applyFill="1" applyBorder="1" applyAlignment="1" applyProtection="1">
      <alignment horizontal="center" vertical="center" wrapText="1"/>
    </xf>
    <xf numFmtId="0" fontId="37" fillId="0" borderId="3" xfId="2" applyFont="1" applyFill="1" applyBorder="1" applyAlignment="1">
      <alignment horizontal="center" vertical="center" wrapText="1"/>
    </xf>
    <xf numFmtId="0" fontId="4" fillId="0" borderId="2" xfId="6" applyNumberFormat="1" applyFont="1" applyFill="1" applyBorder="1" applyAlignment="1" applyProtection="1">
      <alignment horizontal="center" vertical="center"/>
    </xf>
    <xf numFmtId="0" fontId="4" fillId="0" borderId="0" xfId="6" applyNumberFormat="1" applyFont="1" applyFill="1" applyBorder="1" applyAlignment="1" applyProtection="1">
      <alignment horizontal="center" vertical="center"/>
    </xf>
    <xf numFmtId="0" fontId="5" fillId="2" borderId="0" xfId="6" applyNumberFormat="1" applyFont="1" applyFill="1" applyBorder="1" applyAlignment="1" applyProtection="1">
      <alignment horizontal="center" vertical="center" wrapText="1"/>
    </xf>
    <xf numFmtId="0" fontId="15" fillId="0" borderId="33" xfId="6" applyFont="1" applyFill="1" applyBorder="1" applyAlignment="1">
      <alignment horizontal="center" vertical="center"/>
    </xf>
    <xf numFmtId="0" fontId="15" fillId="0" borderId="30" xfId="6" applyFont="1" applyFill="1" applyBorder="1" applyAlignment="1">
      <alignment horizontal="center" vertical="center"/>
    </xf>
    <xf numFmtId="0" fontId="15" fillId="0" borderId="30" xfId="6" applyFont="1" applyBorder="1" applyAlignment="1">
      <alignment horizontal="center" vertical="center"/>
    </xf>
    <xf numFmtId="0" fontId="15" fillId="0" borderId="91" xfId="6" applyFont="1" applyBorder="1">
      <alignment vertical="center"/>
    </xf>
    <xf numFmtId="0" fontId="1" fillId="0" borderId="30" xfId="6" applyBorder="1">
      <alignment vertical="center"/>
    </xf>
    <xf numFmtId="0" fontId="1" fillId="0" borderId="91" xfId="6" applyBorder="1">
      <alignment vertical="center"/>
    </xf>
    <xf numFmtId="0" fontId="15" fillId="9" borderId="3" xfId="2" applyFont="1" applyFill="1" applyBorder="1" applyAlignment="1">
      <alignment horizontal="center" vertical="center" wrapText="1"/>
    </xf>
    <xf numFmtId="0" fontId="36" fillId="9" borderId="25" xfId="6" applyNumberFormat="1" applyFont="1" applyFill="1" applyBorder="1" applyAlignment="1" applyProtection="1">
      <alignment horizontal="center" vertical="center" wrapText="1"/>
    </xf>
    <xf numFmtId="0" fontId="15" fillId="0" borderId="25" xfId="2" applyFont="1" applyFill="1" applyBorder="1" applyAlignment="1">
      <alignment horizontal="center" vertical="center" wrapText="1"/>
    </xf>
    <xf numFmtId="0" fontId="36" fillId="0" borderId="92" xfId="6" applyFont="1" applyFill="1" applyBorder="1" applyAlignment="1">
      <alignment horizontal="center" vertical="center" wrapText="1"/>
    </xf>
    <xf numFmtId="0" fontId="36" fillId="0" borderId="30" xfId="6" applyFont="1" applyFill="1" applyBorder="1" applyAlignment="1">
      <alignment horizontal="center" vertical="center" wrapText="1"/>
    </xf>
    <xf numFmtId="0" fontId="36" fillId="8" borderId="6" xfId="6" applyNumberFormat="1" applyFont="1" applyFill="1" applyBorder="1" applyAlignment="1" applyProtection="1">
      <alignment horizontal="center" vertical="center" wrapText="1"/>
    </xf>
    <xf numFmtId="0" fontId="36" fillId="8" borderId="83" xfId="6" applyNumberFormat="1" applyFont="1" applyFill="1" applyBorder="1" applyAlignment="1" applyProtection="1">
      <alignment horizontal="center" vertical="center" wrapText="1"/>
    </xf>
    <xf numFmtId="0" fontId="36" fillId="8" borderId="3" xfId="2" applyFont="1" applyFill="1" applyBorder="1" applyAlignment="1">
      <alignment horizontal="center" vertical="center" wrapText="1"/>
    </xf>
    <xf numFmtId="0" fontId="36" fillId="8" borderId="25" xfId="6" applyNumberFormat="1" applyFont="1" applyFill="1" applyBorder="1" applyAlignment="1" applyProtection="1">
      <alignment horizontal="center" vertical="center" wrapText="1"/>
    </xf>
    <xf numFmtId="0" fontId="36" fillId="8" borderId="20" xfId="6" applyNumberFormat="1" applyFont="1" applyFill="1" applyBorder="1" applyAlignment="1" applyProtection="1">
      <alignment horizontal="center" vertical="center" wrapText="1"/>
    </xf>
    <xf numFmtId="0" fontId="15" fillId="8" borderId="3" xfId="6" applyNumberFormat="1" applyFont="1" applyFill="1" applyBorder="1" applyAlignment="1" applyProtection="1">
      <alignment horizontal="center" vertical="center" wrapText="1"/>
    </xf>
    <xf numFmtId="0" fontId="10" fillId="8" borderId="25" xfId="6" applyNumberFormat="1" applyFont="1" applyFill="1" applyBorder="1" applyAlignment="1" applyProtection="1">
      <alignment horizontal="center" vertical="center" wrapText="1"/>
    </xf>
    <xf numFmtId="0" fontId="10" fillId="8" borderId="6" xfId="6" applyNumberFormat="1" applyFont="1" applyFill="1" applyBorder="1" applyAlignment="1" applyProtection="1">
      <alignment horizontal="center" vertical="center" wrapText="1"/>
    </xf>
    <xf numFmtId="0" fontId="15" fillId="8" borderId="30" xfId="6" applyNumberFormat="1" applyFont="1" applyFill="1" applyBorder="1" applyAlignment="1" applyProtection="1">
      <alignment horizontal="center" vertical="center" wrapText="1"/>
    </xf>
    <xf numFmtId="0" fontId="15" fillId="8" borderId="20" xfId="6" applyFont="1" applyFill="1" applyBorder="1" applyAlignment="1">
      <alignment horizontal="center" vertical="center" wrapText="1"/>
    </xf>
    <xf numFmtId="0" fontId="1" fillId="9" borderId="25" xfId="6" applyFill="1" applyBorder="1">
      <alignment vertical="center"/>
    </xf>
    <xf numFmtId="0" fontId="10" fillId="9" borderId="25" xfId="6" applyFont="1" applyFill="1" applyBorder="1" applyAlignment="1">
      <alignment horizontal="center" vertical="center" wrapText="1"/>
    </xf>
    <xf numFmtId="0" fontId="21" fillId="9" borderId="25" xfId="6" applyFont="1" applyFill="1" applyBorder="1" applyAlignment="1">
      <alignment horizontal="center" vertical="center" wrapText="1"/>
    </xf>
    <xf numFmtId="0" fontId="21" fillId="9" borderId="25" xfId="6" applyNumberFormat="1" applyFont="1" applyFill="1" applyBorder="1" applyAlignment="1" applyProtection="1">
      <alignment horizontal="center" vertical="center" wrapText="1"/>
    </xf>
    <xf numFmtId="0" fontId="10" fillId="9" borderId="30" xfId="6" applyFont="1" applyFill="1" applyBorder="1" applyAlignment="1">
      <alignment horizontal="center" vertical="center" wrapText="1"/>
    </xf>
    <xf numFmtId="0" fontId="36" fillId="8" borderId="31" xfId="6" applyFont="1" applyFill="1" applyBorder="1" applyAlignment="1">
      <alignment horizontal="center" vertical="center" wrapText="1"/>
    </xf>
    <xf numFmtId="0" fontId="36" fillId="8" borderId="20" xfId="6" applyFont="1" applyFill="1" applyBorder="1" applyAlignment="1">
      <alignment horizontal="center" vertical="center" wrapText="1"/>
    </xf>
    <xf numFmtId="0" fontId="36" fillId="8" borderId="25" xfId="6" applyFont="1" applyFill="1" applyBorder="1" applyAlignment="1">
      <alignment horizontal="center" vertical="center" wrapText="1"/>
    </xf>
    <xf numFmtId="0" fontId="36" fillId="8" borderId="3" xfId="6" applyFont="1" applyFill="1" applyBorder="1" applyAlignment="1">
      <alignment horizontal="center" vertical="center" wrapText="1"/>
    </xf>
    <xf numFmtId="0" fontId="10" fillId="6" borderId="3" xfId="2" applyFont="1" applyFill="1" applyBorder="1" applyAlignment="1">
      <alignment horizontal="center" vertical="center" wrapText="1"/>
    </xf>
    <xf numFmtId="0" fontId="10" fillId="0" borderId="93" xfId="6" applyNumberFormat="1" applyFont="1" applyFill="1" applyBorder="1" applyAlignment="1" applyProtection="1">
      <alignment horizontal="center" vertical="center" wrapText="1"/>
    </xf>
    <xf numFmtId="0" fontId="10" fillId="4" borderId="93" xfId="6" applyFont="1" applyFill="1" applyBorder="1" applyAlignment="1">
      <alignment horizontal="center" vertical="center" wrapText="1"/>
    </xf>
    <xf numFmtId="0" fontId="10" fillId="0" borderId="93" xfId="6" applyFont="1" applyBorder="1" applyAlignment="1">
      <alignment horizontal="center" vertical="center"/>
    </xf>
    <xf numFmtId="0" fontId="15" fillId="4" borderId="94" xfId="6" applyFont="1" applyFill="1" applyBorder="1" applyAlignment="1">
      <alignment horizontal="center" vertical="center" wrapText="1"/>
    </xf>
    <xf numFmtId="0" fontId="5" fillId="2" borderId="50" xfId="6" applyNumberFormat="1" applyFont="1" applyFill="1" applyBorder="1" applyAlignment="1" applyProtection="1">
      <alignment horizontal="center" vertical="center" wrapText="1"/>
    </xf>
    <xf numFmtId="0" fontId="5" fillId="2" borderId="58" xfId="6" applyNumberFormat="1" applyFont="1" applyFill="1" applyBorder="1" applyAlignment="1" applyProtection="1">
      <alignment horizontal="center" vertical="center" wrapText="1"/>
    </xf>
    <xf numFmtId="0" fontId="36" fillId="8" borderId="32" xfId="6" applyFont="1" applyFill="1" applyBorder="1" applyAlignment="1">
      <alignment horizontal="center" vertical="center" wrapText="1"/>
    </xf>
    <xf numFmtId="0" fontId="37" fillId="0" borderId="3" xfId="6" applyFont="1" applyFill="1" applyBorder="1" applyAlignment="1">
      <alignment horizontal="center" vertical="center" wrapText="1"/>
    </xf>
    <xf numFmtId="0" fontId="17" fillId="0" borderId="36" xfId="6" applyFont="1" applyFill="1" applyBorder="1" applyAlignment="1">
      <alignment horizontal="left" vertical="center" wrapText="1"/>
    </xf>
    <xf numFmtId="0" fontId="9" fillId="3" borderId="6" xfId="6" applyNumberFormat="1" applyFont="1" applyFill="1" applyBorder="1" applyAlignment="1" applyProtection="1">
      <alignment horizontal="center" vertical="center" wrapText="1"/>
    </xf>
    <xf numFmtId="0" fontId="10" fillId="3" borderId="3" xfId="6" applyFont="1" applyFill="1" applyBorder="1" applyAlignment="1">
      <alignment horizontal="center" vertical="center"/>
    </xf>
    <xf numFmtId="0" fontId="10" fillId="3" borderId="21" xfId="6" applyFont="1" applyFill="1" applyBorder="1" applyAlignment="1">
      <alignment horizontal="center" vertical="center"/>
    </xf>
    <xf numFmtId="0" fontId="17" fillId="0" borderId="36" xfId="6" applyFont="1" applyFill="1" applyBorder="1" applyAlignment="1">
      <alignment horizontal="left" vertical="center" wrapText="1"/>
    </xf>
    <xf numFmtId="0" fontId="10" fillId="3" borderId="6" xfId="6" applyFont="1" applyFill="1" applyBorder="1" applyAlignment="1">
      <alignment horizontal="center" vertical="center"/>
    </xf>
    <xf numFmtId="0" fontId="9" fillId="9" borderId="6" xfId="6" applyNumberFormat="1" applyFont="1" applyFill="1" applyBorder="1" applyAlignment="1" applyProtection="1">
      <alignment horizontal="center" vertical="center" wrapText="1"/>
    </xf>
    <xf numFmtId="0" fontId="9" fillId="9" borderId="7" xfId="6" applyNumberFormat="1" applyFont="1" applyFill="1" applyBorder="1" applyAlignment="1" applyProtection="1">
      <alignment horizontal="center" vertical="center" wrapText="1"/>
    </xf>
    <xf numFmtId="0" fontId="36" fillId="9" borderId="16" xfId="6" applyFont="1" applyFill="1" applyBorder="1" applyAlignment="1">
      <alignment horizontal="center" vertical="center"/>
    </xf>
    <xf numFmtId="0" fontId="36" fillId="9" borderId="7" xfId="2" applyFont="1" applyFill="1" applyBorder="1" applyAlignment="1">
      <alignment horizontal="center" vertical="center" wrapText="1"/>
    </xf>
    <xf numFmtId="0" fontId="36" fillId="9" borderId="7" xfId="6" applyFont="1" applyFill="1" applyBorder="1" applyAlignment="1">
      <alignment horizontal="center" vertical="center" wrapText="1"/>
    </xf>
    <xf numFmtId="0" fontId="37" fillId="0" borderId="20" xfId="6" applyNumberFormat="1" applyFont="1" applyFill="1" applyBorder="1" applyAlignment="1" applyProtection="1">
      <alignment horizontal="center" vertical="center" wrapText="1"/>
    </xf>
    <xf numFmtId="0" fontId="36" fillId="8" borderId="45" xfId="6" applyFont="1" applyFill="1" applyBorder="1" applyAlignment="1">
      <alignment horizontal="center" vertical="center" wrapText="1"/>
    </xf>
    <xf numFmtId="0" fontId="36" fillId="8" borderId="6" xfId="6" applyFont="1" applyFill="1" applyBorder="1" applyAlignment="1">
      <alignment horizontal="center" vertical="center"/>
    </xf>
    <xf numFmtId="0" fontId="0" fillId="0" borderId="47" xfId="6" applyFont="1" applyFill="1" applyBorder="1">
      <alignment vertical="center"/>
    </xf>
    <xf numFmtId="0" fontId="17" fillId="0" borderId="36" xfId="6" applyFont="1" applyFill="1" applyBorder="1" applyAlignment="1">
      <alignment horizontal="left" vertical="center" wrapText="1"/>
    </xf>
    <xf numFmtId="0" fontId="10" fillId="3" borderId="35" xfId="6" applyNumberFormat="1" applyFont="1" applyFill="1" applyBorder="1" applyAlignment="1" applyProtection="1">
      <alignment horizontal="center" vertical="center" wrapText="1"/>
    </xf>
    <xf numFmtId="0" fontId="32" fillId="0" borderId="49" xfId="6" applyFont="1" applyFill="1" applyBorder="1" applyAlignment="1">
      <alignment horizontal="left" vertical="center" wrapText="1"/>
    </xf>
    <xf numFmtId="0" fontId="32" fillId="0" borderId="12" xfId="6" applyFont="1" applyFill="1" applyBorder="1" applyAlignment="1">
      <alignment horizontal="left" vertical="center" wrapText="1"/>
    </xf>
    <xf numFmtId="0" fontId="32" fillId="0" borderId="50" xfId="6" applyFont="1" applyFill="1" applyBorder="1" applyAlignment="1">
      <alignment horizontal="left" vertical="center" wrapText="1"/>
    </xf>
    <xf numFmtId="0" fontId="32" fillId="0" borderId="51" xfId="6" applyFont="1" applyFill="1" applyBorder="1" applyAlignment="1">
      <alignment horizontal="left" vertical="center" wrapText="1"/>
    </xf>
    <xf numFmtId="0" fontId="32" fillId="0" borderId="0" xfId="6" applyFont="1" applyFill="1" applyBorder="1" applyAlignment="1">
      <alignment horizontal="left" vertical="center" wrapText="1"/>
    </xf>
    <xf numFmtId="0" fontId="32" fillId="0" borderId="52" xfId="6" applyFont="1" applyFill="1" applyBorder="1" applyAlignment="1">
      <alignment horizontal="left" vertical="center" wrapText="1"/>
    </xf>
    <xf numFmtId="0" fontId="32" fillId="0" borderId="53" xfId="6" applyFont="1" applyFill="1" applyBorder="1" applyAlignment="1">
      <alignment horizontal="left" vertical="center" wrapText="1"/>
    </xf>
    <xf numFmtId="0" fontId="32" fillId="0" borderId="26" xfId="6" applyFont="1" applyFill="1" applyBorder="1" applyAlignment="1">
      <alignment horizontal="left" vertical="center" wrapText="1"/>
    </xf>
    <xf numFmtId="0" fontId="32" fillId="0" borderId="54" xfId="6" applyFont="1" applyFill="1" applyBorder="1" applyAlignment="1">
      <alignment horizontal="left" vertical="center" wrapText="1"/>
    </xf>
    <xf numFmtId="0" fontId="10" fillId="0" borderId="23" xfId="6" applyFont="1" applyFill="1" applyBorder="1" applyAlignment="1">
      <alignment horizontal="center" vertical="center" wrapText="1"/>
    </xf>
    <xf numFmtId="0" fontId="10" fillId="0" borderId="24" xfId="6" applyFont="1" applyFill="1" applyBorder="1" applyAlignment="1">
      <alignment horizontal="center" vertical="center" wrapText="1"/>
    </xf>
    <xf numFmtId="0" fontId="10" fillId="0" borderId="2" xfId="6" applyFont="1" applyFill="1" applyBorder="1" applyAlignment="1">
      <alignment horizontal="center" vertical="center" wrapText="1"/>
    </xf>
    <xf numFmtId="0" fontId="10" fillId="0" borderId="11" xfId="6" applyFont="1" applyFill="1" applyBorder="1" applyAlignment="1">
      <alignment horizontal="center" vertical="center" wrapText="1"/>
    </xf>
    <xf numFmtId="0" fontId="10" fillId="0" borderId="21" xfId="6" applyFont="1" applyFill="1" applyBorder="1" applyAlignment="1">
      <alignment horizontal="center" vertical="center" wrapText="1"/>
    </xf>
    <xf numFmtId="0" fontId="10" fillId="0" borderId="22" xfId="6" applyFont="1" applyFill="1" applyBorder="1" applyAlignment="1">
      <alignment horizontal="center" vertical="center" wrapText="1"/>
    </xf>
    <xf numFmtId="0" fontId="14" fillId="0" borderId="37" xfId="10" applyFont="1" applyBorder="1" applyAlignment="1">
      <alignment horizontal="left" vertical="center" wrapText="1"/>
    </xf>
    <xf numFmtId="0" fontId="14" fillId="0" borderId="38" xfId="10" applyFont="1" applyBorder="1" applyAlignment="1">
      <alignment horizontal="left" vertical="center" wrapText="1"/>
    </xf>
    <xf numFmtId="0" fontId="14" fillId="0" borderId="39" xfId="10" applyFont="1" applyBorder="1" applyAlignment="1">
      <alignment horizontal="left" vertical="center" wrapText="1"/>
    </xf>
    <xf numFmtId="0" fontId="17" fillId="0" borderId="66" xfId="10" applyFont="1" applyBorder="1" applyAlignment="1">
      <alignment horizontal="left" vertical="center" wrapText="1"/>
    </xf>
    <xf numFmtId="0" fontId="17" fillId="0" borderId="36" xfId="10" applyFont="1" applyBorder="1" applyAlignment="1">
      <alignment horizontal="left" vertical="center" wrapText="1"/>
    </xf>
    <xf numFmtId="0" fontId="17" fillId="0" borderId="67" xfId="10" applyFont="1" applyBorder="1" applyAlignment="1">
      <alignment horizontal="left" vertical="center" wrapText="1"/>
    </xf>
    <xf numFmtId="0" fontId="17" fillId="0" borderId="14" xfId="10" applyFont="1" applyBorder="1" applyAlignment="1">
      <alignment horizontal="left" vertical="center" wrapText="1"/>
    </xf>
    <xf numFmtId="0" fontId="17" fillId="0" borderId="0" xfId="10" applyFont="1" applyBorder="1" applyAlignment="1">
      <alignment horizontal="left" vertical="center" wrapText="1"/>
    </xf>
    <xf numFmtId="0" fontId="17" fillId="0" borderId="15" xfId="10" applyFont="1" applyBorder="1" applyAlignment="1">
      <alignment horizontal="left" vertical="center" wrapText="1"/>
    </xf>
    <xf numFmtId="0" fontId="17" fillId="0" borderId="17" xfId="10" applyFont="1" applyBorder="1" applyAlignment="1">
      <alignment horizontal="left" vertical="center" wrapText="1"/>
    </xf>
    <xf numFmtId="0" fontId="17" fillId="0" borderId="18" xfId="10" applyFont="1" applyBorder="1" applyAlignment="1">
      <alignment horizontal="left" vertical="center" wrapText="1"/>
    </xf>
    <xf numFmtId="0" fontId="17" fillId="0" borderId="19" xfId="10" applyFont="1" applyBorder="1" applyAlignment="1">
      <alignment horizontal="left" vertical="center" wrapText="1"/>
    </xf>
    <xf numFmtId="0" fontId="16" fillId="4" borderId="2" xfId="6" applyNumberFormat="1" applyFont="1" applyFill="1" applyBorder="1" applyAlignment="1" applyProtection="1">
      <alignment horizontal="center" vertical="center" wrapText="1"/>
    </xf>
    <xf numFmtId="0" fontId="16" fillId="4" borderId="11" xfId="6" applyNumberFormat="1" applyFont="1" applyFill="1" applyBorder="1" applyAlignment="1" applyProtection="1">
      <alignment horizontal="center" vertical="center" wrapText="1"/>
    </xf>
    <xf numFmtId="0" fontId="5" fillId="0" borderId="16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9" fillId="0" borderId="16" xfId="2" applyNumberFormat="1" applyFont="1" applyFill="1" applyBorder="1" applyAlignment="1" applyProtection="1">
      <alignment horizontal="center" vertical="center" wrapText="1"/>
    </xf>
    <xf numFmtId="0" fontId="9" fillId="0" borderId="6" xfId="2" applyNumberFormat="1" applyFont="1" applyFill="1" applyBorder="1" applyAlignment="1" applyProtection="1">
      <alignment horizontal="center" vertical="center" wrapText="1"/>
    </xf>
    <xf numFmtId="0" fontId="9" fillId="0" borderId="23" xfId="2" applyNumberFormat="1" applyFont="1" applyFill="1" applyBorder="1" applyAlignment="1" applyProtection="1">
      <alignment horizontal="center" vertical="center" wrapText="1"/>
    </xf>
    <xf numFmtId="0" fontId="9" fillId="0" borderId="24" xfId="2" applyNumberFormat="1" applyFont="1" applyFill="1" applyBorder="1" applyAlignment="1" applyProtection="1">
      <alignment horizontal="center" vertical="center" wrapText="1"/>
    </xf>
    <xf numFmtId="0" fontId="9" fillId="0" borderId="2" xfId="2" applyNumberFormat="1" applyFont="1" applyFill="1" applyBorder="1" applyAlignment="1" applyProtection="1">
      <alignment horizontal="center" vertical="center" wrapText="1"/>
    </xf>
    <xf numFmtId="0" fontId="9" fillId="0" borderId="11" xfId="2" applyNumberFormat="1" applyFont="1" applyFill="1" applyBorder="1" applyAlignment="1" applyProtection="1">
      <alignment horizontal="center" vertical="center" wrapText="1"/>
    </xf>
    <xf numFmtId="0" fontId="9" fillId="0" borderId="21" xfId="2" applyNumberFormat="1" applyFont="1" applyFill="1" applyBorder="1" applyAlignment="1" applyProtection="1">
      <alignment horizontal="center" vertical="center" wrapText="1"/>
    </xf>
    <xf numFmtId="0" fontId="9" fillId="0" borderId="22" xfId="2" applyNumberFormat="1" applyFont="1" applyFill="1" applyBorder="1" applyAlignment="1" applyProtection="1">
      <alignment horizontal="center" vertical="center" wrapText="1"/>
    </xf>
    <xf numFmtId="0" fontId="17" fillId="0" borderId="66" xfId="6" applyFont="1" applyFill="1" applyBorder="1" applyAlignment="1">
      <alignment horizontal="left" vertical="center" wrapText="1"/>
    </xf>
    <xf numFmtId="0" fontId="17" fillId="0" borderId="36" xfId="6" applyFont="1" applyFill="1" applyBorder="1" applyAlignment="1">
      <alignment horizontal="left" vertical="center" wrapText="1"/>
    </xf>
    <xf numFmtId="0" fontId="17" fillId="0" borderId="67" xfId="6" applyFont="1" applyFill="1" applyBorder="1" applyAlignment="1">
      <alignment horizontal="left" vertical="center" wrapText="1"/>
    </xf>
    <xf numFmtId="0" fontId="17" fillId="0" borderId="14" xfId="6" applyFont="1" applyFill="1" applyBorder="1" applyAlignment="1">
      <alignment horizontal="left" vertical="center" wrapText="1"/>
    </xf>
    <xf numFmtId="0" fontId="17" fillId="0" borderId="0" xfId="6" applyFont="1" applyFill="1" applyBorder="1" applyAlignment="1">
      <alignment horizontal="left" vertical="center" wrapText="1"/>
    </xf>
    <xf numFmtId="0" fontId="17" fillId="0" borderId="15" xfId="6" applyFont="1" applyFill="1" applyBorder="1" applyAlignment="1">
      <alignment horizontal="left" vertical="center" wrapText="1"/>
    </xf>
    <xf numFmtId="0" fontId="17" fillId="0" borderId="17" xfId="6" applyFont="1" applyFill="1" applyBorder="1" applyAlignment="1">
      <alignment horizontal="left" vertical="center" wrapText="1"/>
    </xf>
    <xf numFmtId="0" fontId="17" fillId="0" borderId="18" xfId="6" applyFont="1" applyFill="1" applyBorder="1" applyAlignment="1">
      <alignment horizontal="left" vertical="center" wrapText="1"/>
    </xf>
    <xf numFmtId="0" fontId="17" fillId="0" borderId="19" xfId="6" applyFont="1" applyFill="1" applyBorder="1" applyAlignment="1">
      <alignment horizontal="left" vertical="center" wrapText="1"/>
    </xf>
    <xf numFmtId="0" fontId="18" fillId="0" borderId="89" xfId="6" applyFont="1" applyFill="1" applyBorder="1" applyAlignment="1">
      <alignment horizontal="center" vertical="center" wrapText="1"/>
    </xf>
    <xf numFmtId="0" fontId="18" fillId="0" borderId="88" xfId="6" applyFont="1" applyFill="1" applyBorder="1" applyAlignment="1">
      <alignment horizontal="center" vertical="center" wrapText="1"/>
    </xf>
    <xf numFmtId="0" fontId="18" fillId="4" borderId="23" xfId="6" applyFont="1" applyFill="1" applyBorder="1" applyAlignment="1">
      <alignment horizontal="center" vertical="center" wrapText="1"/>
    </xf>
    <xf numFmtId="0" fontId="18" fillId="4" borderId="24" xfId="6" applyFont="1" applyFill="1" applyBorder="1" applyAlignment="1">
      <alignment horizontal="center" vertical="center" wrapText="1"/>
    </xf>
    <xf numFmtId="0" fontId="18" fillId="4" borderId="2" xfId="6" applyFont="1" applyFill="1" applyBorder="1" applyAlignment="1">
      <alignment horizontal="center" vertical="center" wrapText="1"/>
    </xf>
    <xf numFmtId="0" fontId="18" fillId="4" borderId="11" xfId="6" applyFont="1" applyFill="1" applyBorder="1" applyAlignment="1">
      <alignment horizontal="center" vertical="center" wrapText="1"/>
    </xf>
    <xf numFmtId="0" fontId="18" fillId="4" borderId="21" xfId="6" applyFont="1" applyFill="1" applyBorder="1" applyAlignment="1">
      <alignment horizontal="center" vertical="center" wrapText="1"/>
    </xf>
    <xf numFmtId="0" fontId="18" fillId="4" borderId="22" xfId="6" applyFont="1" applyFill="1" applyBorder="1" applyAlignment="1">
      <alignment horizontal="center" vertical="center" wrapText="1"/>
    </xf>
    <xf numFmtId="0" fontId="14" fillId="0" borderId="17" xfId="10" applyFont="1" applyBorder="1" applyAlignment="1">
      <alignment vertical="center" wrapText="1"/>
    </xf>
    <xf numFmtId="0" fontId="14" fillId="0" borderId="18" xfId="10" applyFont="1" applyBorder="1" applyAlignment="1">
      <alignment vertical="center" wrapText="1"/>
    </xf>
    <xf numFmtId="0" fontId="14" fillId="0" borderId="19" xfId="10" applyFont="1" applyBorder="1" applyAlignment="1">
      <alignment vertical="center" wrapText="1"/>
    </xf>
    <xf numFmtId="0" fontId="18" fillId="4" borderId="89" xfId="6" applyFont="1" applyFill="1" applyBorder="1" applyAlignment="1">
      <alignment horizontal="center" vertical="center" wrapText="1"/>
    </xf>
    <xf numFmtId="0" fontId="18" fillId="4" borderId="88" xfId="6" applyFont="1" applyFill="1" applyBorder="1" applyAlignment="1">
      <alignment horizontal="center" vertical="center" wrapText="1"/>
    </xf>
    <xf numFmtId="0" fontId="2" fillId="0" borderId="1" xfId="6" applyNumberFormat="1" applyFont="1" applyFill="1" applyBorder="1" applyAlignment="1" applyProtection="1">
      <alignment horizontal="center" vertical="center"/>
    </xf>
    <xf numFmtId="0" fontId="4" fillId="0" borderId="1" xfId="6" applyNumberFormat="1" applyFont="1" applyFill="1" applyBorder="1" applyAlignment="1" applyProtection="1">
      <alignment horizontal="center" vertical="center"/>
    </xf>
    <xf numFmtId="0" fontId="2" fillId="0" borderId="3" xfId="6" applyNumberFormat="1" applyFont="1" applyFill="1" applyBorder="1" applyAlignment="1" applyProtection="1">
      <alignment horizontal="center" vertical="center"/>
    </xf>
    <xf numFmtId="0" fontId="4" fillId="0" borderId="3" xfId="6" applyNumberFormat="1" applyFont="1" applyFill="1" applyBorder="1" applyAlignment="1" applyProtection="1">
      <alignment horizontal="center" vertical="center"/>
    </xf>
    <xf numFmtId="0" fontId="9" fillId="0" borderId="4" xfId="6" applyFont="1" applyFill="1" applyBorder="1" applyAlignment="1">
      <alignment horizontal="center" vertical="center" wrapText="1"/>
    </xf>
    <xf numFmtId="0" fontId="9" fillId="0" borderId="5" xfId="6" applyFont="1" applyFill="1" applyBorder="1" applyAlignment="1">
      <alignment horizontal="center" vertical="center" wrapText="1"/>
    </xf>
    <xf numFmtId="0" fontId="9" fillId="0" borderId="2" xfId="6" applyFont="1" applyFill="1" applyBorder="1" applyAlignment="1">
      <alignment horizontal="center" vertical="center" wrapText="1"/>
    </xf>
    <xf numFmtId="0" fontId="9" fillId="0" borderId="11" xfId="6" applyFont="1" applyFill="1" applyBorder="1" applyAlignment="1">
      <alignment horizontal="center" vertical="center" wrapText="1"/>
    </xf>
    <xf numFmtId="0" fontId="9" fillId="0" borderId="21" xfId="6" applyFont="1" applyFill="1" applyBorder="1" applyAlignment="1">
      <alignment horizontal="center" vertical="center" wrapText="1"/>
    </xf>
    <xf numFmtId="0" fontId="9" fillId="0" borderId="22" xfId="6" applyFont="1" applyFill="1" applyBorder="1" applyAlignment="1">
      <alignment horizontal="center" vertical="center" wrapText="1"/>
    </xf>
    <xf numFmtId="0" fontId="21" fillId="6" borderId="30" xfId="6" applyNumberFormat="1" applyFont="1" applyFill="1" applyBorder="1" applyAlignment="1" applyProtection="1">
      <alignment horizontal="center" vertical="center" wrapText="1"/>
    </xf>
    <xf numFmtId="0" fontId="21" fillId="6" borderId="13" xfId="6" applyNumberFormat="1" applyFont="1" applyFill="1" applyBorder="1" applyAlignment="1" applyProtection="1">
      <alignment horizontal="center" vertical="center" wrapText="1"/>
    </xf>
    <xf numFmtId="0" fontId="14" fillId="0" borderId="60" xfId="10" applyFont="1" applyBorder="1" applyAlignment="1">
      <alignment horizontal="left" vertical="center" wrapText="1"/>
    </xf>
    <xf numFmtId="0" fontId="14" fillId="0" borderId="61" xfId="10" applyFont="1" applyBorder="1" applyAlignment="1">
      <alignment horizontal="left" vertical="center" wrapText="1"/>
    </xf>
    <xf numFmtId="0" fontId="14" fillId="0" borderId="62" xfId="10" applyFont="1" applyBorder="1" applyAlignment="1">
      <alignment horizontal="left" vertical="center" wrapText="1"/>
    </xf>
    <xf numFmtId="0" fontId="2" fillId="0" borderId="1" xfId="4" applyNumberFormat="1" applyFont="1" applyFill="1" applyBorder="1" applyAlignment="1" applyProtection="1">
      <alignment horizontal="center" vertical="center"/>
    </xf>
    <xf numFmtId="0" fontId="4" fillId="0" borderId="1" xfId="4" applyNumberFormat="1" applyFont="1" applyFill="1" applyBorder="1" applyAlignment="1" applyProtection="1">
      <alignment horizontal="center" vertical="center"/>
    </xf>
    <xf numFmtId="0" fontId="2" fillId="0" borderId="3" xfId="4" applyNumberFormat="1" applyFont="1" applyFill="1" applyBorder="1" applyAlignment="1" applyProtection="1">
      <alignment horizontal="center" vertical="center"/>
    </xf>
    <xf numFmtId="0" fontId="4" fillId="0" borderId="3" xfId="4" applyNumberFormat="1" applyFont="1" applyFill="1" applyBorder="1" applyAlignment="1" applyProtection="1">
      <alignment horizontal="center" vertical="center"/>
    </xf>
    <xf numFmtId="0" fontId="9" fillId="0" borderId="4" xfId="4" applyFont="1" applyFill="1" applyBorder="1" applyAlignment="1">
      <alignment horizontal="center" vertical="center" wrapText="1"/>
    </xf>
    <xf numFmtId="0" fontId="9" fillId="0" borderId="5" xfId="4" applyFont="1" applyFill="1" applyBorder="1" applyAlignment="1">
      <alignment horizontal="center" vertical="center" wrapText="1"/>
    </xf>
    <xf numFmtId="0" fontId="9" fillId="0" borderId="2" xfId="4" applyFont="1" applyFill="1" applyBorder="1" applyAlignment="1">
      <alignment horizontal="center" vertical="center" wrapText="1"/>
    </xf>
    <xf numFmtId="0" fontId="9" fillId="0" borderId="11" xfId="4" applyFont="1" applyFill="1" applyBorder="1" applyAlignment="1">
      <alignment horizontal="center" vertical="center" wrapText="1"/>
    </xf>
    <xf numFmtId="0" fontId="9" fillId="0" borderId="21" xfId="4" applyFont="1" applyFill="1" applyBorder="1" applyAlignment="1">
      <alignment horizontal="center" vertical="center" wrapText="1"/>
    </xf>
    <xf numFmtId="0" fontId="9" fillId="0" borderId="22" xfId="4" applyFont="1" applyFill="1" applyBorder="1" applyAlignment="1">
      <alignment horizontal="center" vertical="center" wrapText="1"/>
    </xf>
    <xf numFmtId="0" fontId="21" fillId="6" borderId="30" xfId="4" applyNumberFormat="1" applyFont="1" applyFill="1" applyBorder="1" applyAlignment="1" applyProtection="1">
      <alignment horizontal="center" vertical="center" wrapText="1"/>
    </xf>
    <xf numFmtId="0" fontId="21" fillId="6" borderId="13" xfId="4" applyNumberFormat="1" applyFont="1" applyFill="1" applyBorder="1" applyAlignment="1" applyProtection="1">
      <alignment horizontal="center" vertical="center" wrapText="1"/>
    </xf>
    <xf numFmtId="0" fontId="14" fillId="0" borderId="60" xfId="5" applyFont="1" applyBorder="1" applyAlignment="1">
      <alignment horizontal="left" vertical="center" wrapText="1"/>
    </xf>
    <xf numFmtId="0" fontId="14" fillId="0" borderId="61" xfId="5" applyFont="1" applyBorder="1" applyAlignment="1">
      <alignment horizontal="left" vertical="center" wrapText="1"/>
    </xf>
    <xf numFmtId="0" fontId="14" fillId="0" borderId="62" xfId="5" applyFont="1" applyBorder="1" applyAlignment="1">
      <alignment horizontal="left" vertical="center" wrapText="1"/>
    </xf>
    <xf numFmtId="0" fontId="17" fillId="0" borderId="66" xfId="5" applyFont="1" applyBorder="1" applyAlignment="1">
      <alignment horizontal="left" vertical="center" wrapText="1"/>
    </xf>
    <xf numFmtId="0" fontId="17" fillId="0" borderId="36" xfId="5" applyFont="1" applyBorder="1" applyAlignment="1">
      <alignment horizontal="left" vertical="center" wrapText="1"/>
    </xf>
    <xf numFmtId="0" fontId="17" fillId="0" borderId="67" xfId="5" applyFont="1" applyBorder="1" applyAlignment="1">
      <alignment horizontal="left" vertical="center" wrapText="1"/>
    </xf>
    <xf numFmtId="0" fontId="17" fillId="0" borderId="14" xfId="5" applyFont="1" applyBorder="1" applyAlignment="1">
      <alignment horizontal="left" vertical="center" wrapText="1"/>
    </xf>
    <xf numFmtId="0" fontId="17" fillId="0" borderId="0" xfId="5" applyFont="1" applyBorder="1" applyAlignment="1">
      <alignment horizontal="left" vertical="center" wrapText="1"/>
    </xf>
    <xf numFmtId="0" fontId="17" fillId="0" borderId="15" xfId="5" applyFont="1" applyBorder="1" applyAlignment="1">
      <alignment horizontal="left" vertical="center" wrapText="1"/>
    </xf>
    <xf numFmtId="0" fontId="17" fillId="0" borderId="17" xfId="5" applyFont="1" applyBorder="1" applyAlignment="1">
      <alignment horizontal="left" vertical="center" wrapText="1"/>
    </xf>
    <xf numFmtId="0" fontId="17" fillId="0" borderId="18" xfId="5" applyFont="1" applyBorder="1" applyAlignment="1">
      <alignment horizontal="left" vertical="center" wrapText="1"/>
    </xf>
    <xf numFmtId="0" fontId="17" fillId="0" borderId="19" xfId="5" applyFont="1" applyBorder="1" applyAlignment="1">
      <alignment horizontal="left" vertical="center" wrapText="1"/>
    </xf>
    <xf numFmtId="0" fontId="14" fillId="0" borderId="37" xfId="5" applyFont="1" applyBorder="1" applyAlignment="1">
      <alignment horizontal="left" vertical="center" wrapText="1"/>
    </xf>
    <xf numFmtId="0" fontId="14" fillId="0" borderId="38" xfId="5" applyFont="1" applyBorder="1" applyAlignment="1">
      <alignment horizontal="left" vertical="center" wrapText="1"/>
    </xf>
    <xf numFmtId="0" fontId="14" fillId="0" borderId="39" xfId="5" applyFont="1" applyBorder="1" applyAlignment="1">
      <alignment horizontal="left" vertical="center" wrapText="1"/>
    </xf>
    <xf numFmtId="0" fontId="5" fillId="0" borderId="16" xfId="4" applyFont="1" applyBorder="1" applyAlignment="1">
      <alignment horizontal="center" vertical="center"/>
    </xf>
    <xf numFmtId="0" fontId="5" fillId="0" borderId="6" xfId="4" applyFont="1" applyBorder="1" applyAlignment="1">
      <alignment horizontal="center" vertical="center"/>
    </xf>
    <xf numFmtId="0" fontId="17" fillId="0" borderId="66" xfId="4" applyFont="1" applyFill="1" applyBorder="1" applyAlignment="1">
      <alignment horizontal="left" vertical="center" wrapText="1"/>
    </xf>
    <xf numFmtId="0" fontId="17" fillId="0" borderId="36" xfId="4" applyFont="1" applyFill="1" applyBorder="1" applyAlignment="1">
      <alignment horizontal="left" vertical="center" wrapText="1"/>
    </xf>
    <xf numFmtId="0" fontId="17" fillId="0" borderId="67" xfId="4" applyFont="1" applyFill="1" applyBorder="1" applyAlignment="1">
      <alignment horizontal="left" vertical="center" wrapText="1"/>
    </xf>
    <xf numFmtId="0" fontId="17" fillId="0" borderId="14" xfId="4" applyFont="1" applyFill="1" applyBorder="1" applyAlignment="1">
      <alignment horizontal="left" vertical="center" wrapText="1"/>
    </xf>
    <xf numFmtId="0" fontId="17" fillId="0" borderId="0" xfId="4" applyFont="1" applyFill="1" applyBorder="1" applyAlignment="1">
      <alignment horizontal="left" vertical="center" wrapText="1"/>
    </xf>
    <xf numFmtId="0" fontId="17" fillId="0" borderId="15" xfId="4" applyFont="1" applyFill="1" applyBorder="1" applyAlignment="1">
      <alignment horizontal="left" vertical="center" wrapText="1"/>
    </xf>
    <xf numFmtId="0" fontId="17" fillId="0" borderId="17" xfId="4" applyFont="1" applyFill="1" applyBorder="1" applyAlignment="1">
      <alignment horizontal="left" vertical="center" wrapText="1"/>
    </xf>
    <xf numFmtId="0" fontId="17" fillId="0" borderId="18" xfId="4" applyFont="1" applyFill="1" applyBorder="1" applyAlignment="1">
      <alignment horizontal="left" vertical="center" wrapText="1"/>
    </xf>
    <xf numFmtId="0" fontId="17" fillId="0" borderId="19" xfId="4" applyFont="1" applyFill="1" applyBorder="1" applyAlignment="1">
      <alignment horizontal="left" vertical="center" wrapText="1"/>
    </xf>
    <xf numFmtId="0" fontId="10" fillId="0" borderId="23" xfId="4" applyFont="1" applyFill="1" applyBorder="1" applyAlignment="1">
      <alignment horizontal="center" vertical="center" wrapText="1"/>
    </xf>
    <xf numFmtId="0" fontId="10" fillId="0" borderId="24" xfId="4" applyFont="1" applyFill="1" applyBorder="1" applyAlignment="1">
      <alignment horizontal="center" vertical="center" wrapText="1"/>
    </xf>
    <xf numFmtId="0" fontId="10" fillId="0" borderId="2" xfId="4" applyFont="1" applyFill="1" applyBorder="1" applyAlignment="1">
      <alignment horizontal="center" vertical="center" wrapText="1"/>
    </xf>
    <xf numFmtId="0" fontId="10" fillId="0" borderId="11" xfId="4" applyFont="1" applyFill="1" applyBorder="1" applyAlignment="1">
      <alignment horizontal="center" vertical="center" wrapText="1"/>
    </xf>
    <xf numFmtId="0" fontId="10" fillId="0" borderId="21" xfId="4" applyFont="1" applyFill="1" applyBorder="1" applyAlignment="1">
      <alignment horizontal="center" vertical="center" wrapText="1"/>
    </xf>
    <xf numFmtId="0" fontId="10" fillId="0" borderId="22" xfId="4" applyFont="1" applyFill="1" applyBorder="1" applyAlignment="1">
      <alignment horizontal="center" vertical="center" wrapText="1"/>
    </xf>
    <xf numFmtId="0" fontId="18" fillId="0" borderId="89" xfId="4" applyFont="1" applyFill="1" applyBorder="1" applyAlignment="1">
      <alignment horizontal="center" vertical="center" wrapText="1"/>
    </xf>
    <xf numFmtId="0" fontId="18" fillId="0" borderId="88" xfId="4" applyFont="1" applyFill="1" applyBorder="1" applyAlignment="1">
      <alignment horizontal="center" vertical="center" wrapText="1"/>
    </xf>
    <xf numFmtId="0" fontId="18" fillId="4" borderId="23" xfId="4" applyFont="1" applyFill="1" applyBorder="1" applyAlignment="1">
      <alignment horizontal="center" vertical="center" wrapText="1"/>
    </xf>
    <xf numFmtId="0" fontId="18" fillId="4" borderId="24" xfId="4" applyFont="1" applyFill="1" applyBorder="1" applyAlignment="1">
      <alignment horizontal="center" vertical="center" wrapText="1"/>
    </xf>
    <xf numFmtId="0" fontId="18" fillId="4" borderId="2" xfId="4" applyFont="1" applyFill="1" applyBorder="1" applyAlignment="1">
      <alignment horizontal="center" vertical="center" wrapText="1"/>
    </xf>
    <xf numFmtId="0" fontId="18" fillId="4" borderId="11" xfId="4" applyFont="1" applyFill="1" applyBorder="1" applyAlignment="1">
      <alignment horizontal="center" vertical="center" wrapText="1"/>
    </xf>
    <xf numFmtId="0" fontId="18" fillId="4" borderId="21" xfId="4" applyFont="1" applyFill="1" applyBorder="1" applyAlignment="1">
      <alignment horizontal="center" vertical="center" wrapText="1"/>
    </xf>
    <xf numFmtId="0" fontId="18" fillId="4" borderId="22" xfId="4" applyFont="1" applyFill="1" applyBorder="1" applyAlignment="1">
      <alignment horizontal="center" vertical="center" wrapText="1"/>
    </xf>
    <xf numFmtId="0" fontId="14" fillId="0" borderId="17" xfId="5" applyFont="1" applyBorder="1" applyAlignment="1">
      <alignment vertical="center" wrapText="1"/>
    </xf>
    <xf numFmtId="0" fontId="14" fillId="0" borderId="18" xfId="5" applyFont="1" applyBorder="1" applyAlignment="1">
      <alignment vertical="center" wrapText="1"/>
    </xf>
    <xf numFmtId="0" fontId="14" fillId="0" borderId="19" xfId="5" applyFont="1" applyBorder="1" applyAlignment="1">
      <alignment vertical="center" wrapText="1"/>
    </xf>
    <xf numFmtId="0" fontId="18" fillId="4" borderId="89" xfId="4" applyFont="1" applyFill="1" applyBorder="1" applyAlignment="1">
      <alignment horizontal="center" vertical="center" wrapText="1"/>
    </xf>
    <xf numFmtId="0" fontId="18" fillId="4" borderId="88" xfId="4" applyFont="1" applyFill="1" applyBorder="1" applyAlignment="1">
      <alignment horizontal="center" vertical="center" wrapText="1"/>
    </xf>
    <xf numFmtId="0" fontId="32" fillId="0" borderId="49" xfId="4" applyFont="1" applyFill="1" applyBorder="1" applyAlignment="1">
      <alignment horizontal="left" vertical="center" wrapText="1"/>
    </xf>
    <xf numFmtId="0" fontId="32" fillId="0" borderId="12" xfId="4" applyFont="1" applyFill="1" applyBorder="1" applyAlignment="1">
      <alignment horizontal="left" vertical="center" wrapText="1"/>
    </xf>
    <xf numFmtId="0" fontId="32" fillId="0" borderId="50" xfId="4" applyFont="1" applyFill="1" applyBorder="1" applyAlignment="1">
      <alignment horizontal="left" vertical="center" wrapText="1"/>
    </xf>
    <xf numFmtId="0" fontId="32" fillId="0" borderId="51" xfId="4" applyFont="1" applyFill="1" applyBorder="1" applyAlignment="1">
      <alignment horizontal="left" vertical="center" wrapText="1"/>
    </xf>
    <xf numFmtId="0" fontId="32" fillId="0" borderId="0" xfId="4" applyFont="1" applyFill="1" applyBorder="1" applyAlignment="1">
      <alignment horizontal="left" vertical="center" wrapText="1"/>
    </xf>
    <xf numFmtId="0" fontId="32" fillId="0" borderId="52" xfId="4" applyFont="1" applyFill="1" applyBorder="1" applyAlignment="1">
      <alignment horizontal="left" vertical="center" wrapText="1"/>
    </xf>
    <xf numFmtId="0" fontId="32" fillId="0" borderId="53" xfId="4" applyFont="1" applyFill="1" applyBorder="1" applyAlignment="1">
      <alignment horizontal="left" vertical="center" wrapText="1"/>
    </xf>
    <xf numFmtId="0" fontId="32" fillId="0" borderId="26" xfId="4" applyFont="1" applyFill="1" applyBorder="1" applyAlignment="1">
      <alignment horizontal="left" vertical="center" wrapText="1"/>
    </xf>
    <xf numFmtId="0" fontId="32" fillId="0" borderId="54" xfId="4" applyFont="1" applyFill="1" applyBorder="1" applyAlignment="1">
      <alignment horizontal="left" vertical="center" wrapText="1"/>
    </xf>
    <xf numFmtId="0" fontId="16" fillId="4" borderId="2" xfId="4" applyNumberFormat="1" applyFont="1" applyFill="1" applyBorder="1" applyAlignment="1" applyProtection="1">
      <alignment horizontal="center" vertical="center" wrapText="1"/>
    </xf>
    <xf numFmtId="0" fontId="16" fillId="4" borderId="11" xfId="4" applyNumberFormat="1" applyFont="1" applyFill="1" applyBorder="1" applyAlignment="1" applyProtection="1">
      <alignment horizontal="center" vertical="center" wrapText="1"/>
    </xf>
    <xf numFmtId="0" fontId="10" fillId="0" borderId="36" xfId="6" applyFont="1" applyFill="1" applyBorder="1" applyAlignment="1">
      <alignment horizontal="center" vertical="center" wrapText="1"/>
    </xf>
    <xf numFmtId="0" fontId="10" fillId="0" borderId="0" xfId="6" applyFont="1" applyFill="1" applyBorder="1" applyAlignment="1">
      <alignment horizontal="center" vertical="center" wrapText="1"/>
    </xf>
    <xf numFmtId="0" fontId="10" fillId="0" borderId="18" xfId="6" applyFont="1" applyFill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27" fillId="0" borderId="63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3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4" fillId="0" borderId="63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68" xfId="0" applyFont="1" applyBorder="1" applyAlignment="1">
      <alignment vertical="center" wrapText="1"/>
    </xf>
    <xf numFmtId="0" fontId="24" fillId="0" borderId="55" xfId="0" applyFont="1" applyBorder="1" applyAlignment="1">
      <alignment vertical="center" wrapText="1"/>
    </xf>
    <xf numFmtId="0" fontId="24" fillId="0" borderId="69" xfId="0" applyFont="1" applyBorder="1" applyAlignment="1">
      <alignment vertical="center" wrapText="1"/>
    </xf>
    <xf numFmtId="0" fontId="24" fillId="0" borderId="70" xfId="0" applyFont="1" applyBorder="1" applyAlignment="1">
      <alignment vertical="center" wrapText="1"/>
    </xf>
    <xf numFmtId="0" fontId="24" fillId="0" borderId="71" xfId="0" applyFont="1" applyBorder="1" applyAlignment="1">
      <alignment vertical="center" wrapText="1"/>
    </xf>
    <xf numFmtId="0" fontId="24" fillId="0" borderId="72" xfId="0" applyFont="1" applyBorder="1" applyAlignment="1">
      <alignment vertical="center" wrapText="1"/>
    </xf>
    <xf numFmtId="0" fontId="28" fillId="0" borderId="14" xfId="0" applyFont="1" applyBorder="1" applyAlignment="1">
      <alignment vertical="center" wrapText="1"/>
    </xf>
    <xf numFmtId="0" fontId="28" fillId="0" borderId="0" xfId="0" applyFont="1" applyBorder="1" applyAlignment="1">
      <alignment vertical="center" wrapText="1"/>
    </xf>
    <xf numFmtId="0" fontId="28" fillId="0" borderId="15" xfId="0" applyFont="1" applyBorder="1" applyAlignment="1">
      <alignment vertical="center" wrapText="1"/>
    </xf>
    <xf numFmtId="0" fontId="28" fillId="0" borderId="0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8" fillId="0" borderId="19" xfId="0" applyFont="1" applyBorder="1" applyAlignment="1">
      <alignment vertical="center"/>
    </xf>
    <xf numFmtId="0" fontId="25" fillId="0" borderId="60" xfId="1" applyFont="1" applyFill="1" applyBorder="1" applyAlignment="1">
      <alignment horizontal="center" vertical="center" wrapText="1"/>
    </xf>
    <xf numFmtId="0" fontId="29" fillId="0" borderId="61" xfId="1" applyFont="1" applyFill="1" applyBorder="1" applyAlignment="1">
      <alignment horizontal="center" vertical="center" wrapText="1"/>
    </xf>
    <xf numFmtId="0" fontId="29" fillId="0" borderId="73" xfId="1" applyFont="1" applyFill="1" applyBorder="1" applyAlignment="1">
      <alignment horizontal="center" vertical="center" wrapText="1"/>
    </xf>
    <xf numFmtId="0" fontId="29" fillId="0" borderId="62" xfId="1" applyFont="1" applyFill="1" applyBorder="1" applyAlignment="1">
      <alignment horizontal="center" vertical="center" wrapText="1"/>
    </xf>
    <xf numFmtId="0" fontId="30" fillId="0" borderId="8" xfId="1" applyFont="1" applyFill="1" applyBorder="1" applyAlignment="1">
      <alignment horizontal="center" vertical="center" wrapText="1"/>
    </xf>
    <xf numFmtId="0" fontId="30" fillId="0" borderId="27" xfId="1" applyFont="1" applyFill="1" applyBorder="1" applyAlignment="1">
      <alignment horizontal="center" vertical="center" wrapText="1"/>
    </xf>
    <xf numFmtId="0" fontId="30" fillId="0" borderId="75" xfId="1" applyFont="1" applyFill="1" applyBorder="1" applyAlignment="1">
      <alignment horizontal="center" vertical="center" wrapText="1"/>
    </xf>
    <xf numFmtId="0" fontId="30" fillId="0" borderId="9" xfId="1" applyFont="1" applyFill="1" applyBorder="1" applyAlignment="1">
      <alignment horizontal="left" vertical="center" wrapText="1"/>
    </xf>
    <xf numFmtId="0" fontId="30" fillId="0" borderId="9" xfId="1" applyFont="1" applyFill="1" applyBorder="1" applyAlignment="1">
      <alignment horizontal="left" vertical="center"/>
    </xf>
    <xf numFmtId="0" fontId="30" fillId="0" borderId="28" xfId="1" applyFont="1" applyFill="1" applyBorder="1" applyAlignment="1">
      <alignment horizontal="left" vertical="center" wrapText="1"/>
    </xf>
    <xf numFmtId="0" fontId="30" fillId="0" borderId="28" xfId="1" applyFont="1" applyFill="1" applyBorder="1" applyAlignment="1">
      <alignment horizontal="left" vertical="center"/>
    </xf>
    <xf numFmtId="0" fontId="30" fillId="0" borderId="55" xfId="1" applyFont="1" applyFill="1" applyBorder="1" applyAlignment="1">
      <alignment horizontal="left" vertical="center"/>
    </xf>
    <xf numFmtId="0" fontId="30" fillId="0" borderId="9" xfId="1" applyFont="1" applyFill="1" applyBorder="1" applyAlignment="1">
      <alignment horizontal="center" vertical="center"/>
    </xf>
    <xf numFmtId="0" fontId="30" fillId="0" borderId="28" xfId="1" applyFont="1" applyFill="1" applyBorder="1" applyAlignment="1">
      <alignment horizontal="center" vertical="center"/>
    </xf>
    <xf numFmtId="0" fontId="30" fillId="0" borderId="55" xfId="1" applyFont="1" applyFill="1" applyBorder="1" applyAlignment="1">
      <alignment horizontal="center" vertical="center"/>
    </xf>
    <xf numFmtId="0" fontId="30" fillId="0" borderId="9" xfId="1" applyFont="1" applyFill="1" applyBorder="1" applyAlignment="1">
      <alignment horizontal="center" vertical="center" wrapText="1"/>
    </xf>
    <xf numFmtId="0" fontId="30" fillId="0" borderId="28" xfId="1" applyFont="1" applyFill="1" applyBorder="1" applyAlignment="1">
      <alignment horizontal="center" vertical="center" wrapText="1"/>
    </xf>
    <xf numFmtId="0" fontId="30" fillId="0" borderId="74" xfId="1" applyFont="1" applyFill="1" applyBorder="1" applyAlignment="1">
      <alignment horizontal="center" vertical="center"/>
    </xf>
    <xf numFmtId="0" fontId="30" fillId="0" borderId="10" xfId="1" applyFont="1" applyFill="1" applyBorder="1" applyAlignment="1">
      <alignment horizontal="center" vertical="center"/>
    </xf>
    <xf numFmtId="0" fontId="30" fillId="0" borderId="53" xfId="1" applyFont="1" applyFill="1" applyBorder="1" applyAlignment="1">
      <alignment horizontal="center" vertical="center"/>
    </xf>
    <xf numFmtId="0" fontId="30" fillId="0" borderId="29" xfId="1" applyFont="1" applyFill="1" applyBorder="1" applyAlignment="1">
      <alignment horizontal="center" vertical="center"/>
    </xf>
    <xf numFmtId="0" fontId="30" fillId="0" borderId="57" xfId="1" applyFont="1" applyFill="1" applyBorder="1" applyAlignment="1">
      <alignment horizontal="center" vertical="center"/>
    </xf>
    <xf numFmtId="0" fontId="30" fillId="0" borderId="69" xfId="1" applyFont="1" applyFill="1" applyBorder="1" applyAlignment="1">
      <alignment horizontal="center" vertical="center"/>
    </xf>
    <xf numFmtId="0" fontId="30" fillId="0" borderId="75" xfId="1" applyFont="1" applyFill="1" applyBorder="1" applyAlignment="1">
      <alignment horizontal="center" vertical="center"/>
    </xf>
    <xf numFmtId="0" fontId="30" fillId="0" borderId="56" xfId="1" applyFont="1" applyFill="1" applyBorder="1" applyAlignment="1">
      <alignment horizontal="center" vertical="center"/>
    </xf>
    <xf numFmtId="0" fontId="30" fillId="0" borderId="71" xfId="1" applyFont="1" applyFill="1" applyBorder="1" applyAlignment="1">
      <alignment horizontal="center" vertical="center"/>
    </xf>
    <xf numFmtId="0" fontId="30" fillId="0" borderId="49" xfId="1" applyFont="1" applyFill="1" applyBorder="1" applyAlignment="1">
      <alignment horizontal="center" vertical="center"/>
    </xf>
    <xf numFmtId="0" fontId="30" fillId="0" borderId="65" xfId="1" applyFont="1" applyFill="1" applyBorder="1" applyAlignment="1">
      <alignment horizontal="center" vertical="center"/>
    </xf>
    <xf numFmtId="0" fontId="30" fillId="0" borderId="79" xfId="1" applyFont="1" applyFill="1" applyBorder="1" applyAlignment="1">
      <alignment horizontal="center" vertical="center"/>
    </xf>
    <xf numFmtId="0" fontId="30" fillId="0" borderId="72" xfId="1" applyFont="1" applyFill="1" applyBorder="1" applyAlignment="1">
      <alignment horizontal="center" vertical="center"/>
    </xf>
    <xf numFmtId="0" fontId="30" fillId="0" borderId="64" xfId="1" applyFont="1" applyFill="1" applyBorder="1" applyAlignment="1">
      <alignment horizontal="center" vertical="center"/>
    </xf>
    <xf numFmtId="0" fontId="30" fillId="0" borderId="77" xfId="1" applyFont="1" applyFill="1" applyBorder="1" applyAlignment="1">
      <alignment horizontal="center" vertical="center"/>
    </xf>
    <xf numFmtId="0" fontId="30" fillId="0" borderId="76" xfId="1" applyFont="1" applyFill="1" applyBorder="1" applyAlignment="1">
      <alignment horizontal="center" vertical="center"/>
    </xf>
    <xf numFmtId="0" fontId="30" fillId="0" borderId="78" xfId="1" applyFont="1" applyFill="1" applyBorder="1" applyAlignment="1">
      <alignment horizontal="center" vertical="center"/>
    </xf>
    <xf numFmtId="0" fontId="9" fillId="9" borderId="16" xfId="2" applyNumberFormat="1" applyFont="1" applyFill="1" applyBorder="1" applyAlignment="1" applyProtection="1">
      <alignment horizontal="center" vertical="center" wrapText="1"/>
    </xf>
    <xf numFmtId="0" fontId="9" fillId="9" borderId="6" xfId="2" applyNumberFormat="1" applyFont="1" applyFill="1" applyBorder="1" applyAlignment="1" applyProtection="1">
      <alignment horizontal="center" vertical="center" wrapText="1"/>
    </xf>
    <xf numFmtId="0" fontId="4" fillId="9" borderId="87" xfId="6" applyNumberFormat="1" applyFont="1" applyFill="1" applyBorder="1" applyAlignment="1" applyProtection="1">
      <alignment horizontal="center" vertical="center" wrapText="1"/>
    </xf>
    <xf numFmtId="0" fontId="18" fillId="4" borderId="20" xfId="6" applyFont="1" applyFill="1" applyBorder="1" applyAlignment="1">
      <alignment horizontal="center" vertical="center" wrapText="1"/>
    </xf>
    <xf numFmtId="0" fontId="36" fillId="9" borderId="45" xfId="6" applyNumberFormat="1" applyFont="1" applyFill="1" applyBorder="1" applyAlignment="1" applyProtection="1">
      <alignment horizontal="center" vertical="center" wrapText="1"/>
    </xf>
    <xf numFmtId="0" fontId="36" fillId="9" borderId="6" xfId="2" applyFont="1" applyFill="1" applyBorder="1" applyAlignment="1">
      <alignment horizontal="center" vertical="center" wrapText="1"/>
    </xf>
    <xf numFmtId="0" fontId="36" fillId="9" borderId="6" xfId="6" applyNumberFormat="1" applyFont="1" applyFill="1" applyBorder="1" applyAlignment="1" applyProtection="1">
      <alignment horizontal="center" vertical="center"/>
    </xf>
    <xf numFmtId="0" fontId="4" fillId="9" borderId="33" xfId="6" applyNumberFormat="1" applyFont="1" applyFill="1" applyBorder="1" applyAlignment="1" applyProtection="1">
      <alignment horizontal="center" vertical="center" wrapText="1"/>
    </xf>
    <xf numFmtId="0" fontId="15" fillId="9" borderId="6" xfId="6" applyFont="1" applyFill="1" applyBorder="1" applyAlignment="1">
      <alignment horizontal="center" vertical="center" wrapText="1"/>
    </xf>
    <xf numFmtId="0" fontId="36" fillId="9" borderId="32" xfId="2" applyFont="1" applyFill="1" applyBorder="1" applyAlignment="1">
      <alignment horizontal="center" vertical="center" wrapText="1"/>
    </xf>
    <xf numFmtId="0" fontId="36" fillId="9" borderId="32" xfId="6" applyNumberFormat="1" applyFont="1" applyFill="1" applyBorder="1" applyAlignment="1" applyProtection="1">
      <alignment horizontal="center" vertical="center" wrapText="1"/>
    </xf>
    <xf numFmtId="0" fontId="36" fillId="9" borderId="34" xfId="6" applyFont="1" applyFill="1" applyBorder="1" applyAlignment="1">
      <alignment horizontal="center" vertical="center" wrapText="1"/>
    </xf>
    <xf numFmtId="0" fontId="36" fillId="9" borderId="33" xfId="6" applyFont="1" applyFill="1" applyBorder="1" applyAlignment="1">
      <alignment horizontal="center" vertical="center" wrapText="1"/>
    </xf>
    <xf numFmtId="0" fontId="10" fillId="8" borderId="25" xfId="6" applyFont="1" applyFill="1" applyBorder="1" applyAlignment="1">
      <alignment horizontal="center" vertical="center" wrapText="1"/>
    </xf>
    <xf numFmtId="0" fontId="10" fillId="8" borderId="6" xfId="6" applyFont="1" applyFill="1" applyBorder="1" applyAlignment="1">
      <alignment horizontal="center" vertical="center" wrapText="1"/>
    </xf>
    <xf numFmtId="0" fontId="15" fillId="8" borderId="20" xfId="6" applyNumberFormat="1" applyFont="1" applyFill="1" applyBorder="1" applyAlignment="1" applyProtection="1">
      <alignment horizontal="center" vertical="center" wrapText="1"/>
    </xf>
    <xf numFmtId="0" fontId="10" fillId="3" borderId="6" xfId="6" applyFont="1" applyFill="1" applyBorder="1" applyAlignment="1">
      <alignment horizontal="center" vertical="center" wrapText="1"/>
    </xf>
    <xf numFmtId="0" fontId="4" fillId="0" borderId="20" xfId="6" applyNumberFormat="1" applyFont="1" applyFill="1" applyBorder="1" applyAlignment="1" applyProtection="1">
      <alignment horizontal="center" vertical="center" wrapText="1"/>
    </xf>
    <xf numFmtId="0" fontId="4" fillId="0" borderId="7" xfId="6" applyNumberFormat="1" applyFont="1" applyFill="1" applyBorder="1" applyAlignment="1" applyProtection="1">
      <alignment horizontal="center" vertical="center" wrapText="1"/>
    </xf>
    <xf numFmtId="0" fontId="15" fillId="0" borderId="31" xfId="6" applyNumberFormat="1" applyFont="1" applyFill="1" applyBorder="1" applyAlignment="1" applyProtection="1">
      <alignment horizontal="center" vertical="center" wrapText="1"/>
    </xf>
    <xf numFmtId="0" fontId="15" fillId="0" borderId="83" xfId="6" applyNumberFormat="1" applyFont="1" applyFill="1" applyBorder="1" applyAlignment="1" applyProtection="1">
      <alignment horizontal="center" vertical="center" wrapText="1"/>
    </xf>
    <xf numFmtId="0" fontId="15" fillId="0" borderId="25" xfId="6" applyNumberFormat="1" applyFont="1" applyFill="1" applyBorder="1" applyAlignment="1" applyProtection="1">
      <alignment horizontal="center" vertical="center" wrapText="1"/>
    </xf>
    <xf numFmtId="0" fontId="10" fillId="9" borderId="16" xfId="6" applyNumberFormat="1" applyFont="1" applyFill="1" applyBorder="1" applyAlignment="1" applyProtection="1">
      <alignment horizontal="center" vertical="center" wrapText="1"/>
    </xf>
    <xf numFmtId="0" fontId="15" fillId="9" borderId="6" xfId="6" applyNumberFormat="1" applyFont="1" applyFill="1" applyBorder="1" applyAlignment="1" applyProtection="1">
      <alignment horizontal="center" vertical="center" wrapText="1"/>
    </xf>
    <xf numFmtId="0" fontId="15" fillId="9" borderId="30" xfId="6" applyNumberFormat="1" applyFont="1" applyFill="1" applyBorder="1" applyAlignment="1" applyProtection="1">
      <alignment horizontal="center" vertical="center" wrapText="1"/>
    </xf>
    <xf numFmtId="0" fontId="15" fillId="9" borderId="13" xfId="6" applyNumberFormat="1" applyFont="1" applyFill="1" applyBorder="1" applyAlignment="1" applyProtection="1">
      <alignment horizontal="center" vertical="center" wrapText="1"/>
    </xf>
    <xf numFmtId="0" fontId="15" fillId="9" borderId="3" xfId="6" applyNumberFormat="1" applyFont="1" applyFill="1" applyBorder="1" applyAlignment="1" applyProtection="1">
      <alignment horizontal="center" vertical="center" wrapText="1"/>
    </xf>
    <xf numFmtId="0" fontId="10" fillId="9" borderId="13" xfId="6" applyNumberFormat="1" applyFont="1" applyFill="1" applyBorder="1" applyAlignment="1" applyProtection="1">
      <alignment horizontal="center" vertical="center" wrapText="1"/>
    </xf>
  </cellXfs>
  <cellStyles count="11">
    <cellStyle name="백분율 2" xfId="9"/>
    <cellStyle name="표준" xfId="0" builtinId="0"/>
    <cellStyle name="표준 2" xfId="1"/>
    <cellStyle name="표준 2 10" xfId="4"/>
    <cellStyle name="표준 2 10 17" xfId="8"/>
    <cellStyle name="표준 2 10 18" xfId="7"/>
    <cellStyle name="표준 2 10 20" xfId="6"/>
    <cellStyle name="표준 2 2" xfId="2"/>
    <cellStyle name="표준 2 3" xfId="3"/>
    <cellStyle name="표준 2 3 6" xfId="5"/>
    <cellStyle name="표준 2 3 6 20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4"/>
  <sheetViews>
    <sheetView topLeftCell="A2" zoomScale="85" zoomScaleNormal="85" workbookViewId="0">
      <selection activeCell="I7" sqref="E4:Q15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6.125" style="198" customWidth="1"/>
    <col min="20" max="25" width="8.125" style="198" customWidth="1"/>
    <col min="26" max="16384" width="9" style="198"/>
  </cols>
  <sheetData>
    <row r="1" spans="1:30" ht="16.5" hidden="1" customHeight="1">
      <c r="A1" s="621" t="s">
        <v>355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0" ht="18" customHeight="1">
      <c r="A2" s="623" t="s">
        <v>356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T2" s="200"/>
      <c r="U2" s="200"/>
      <c r="V2" s="200"/>
      <c r="W2" s="200"/>
      <c r="X2" s="200"/>
      <c r="Y2" s="200"/>
      <c r="AA2" s="200"/>
      <c r="AB2" s="200"/>
      <c r="AC2" s="200"/>
      <c r="AD2" s="200"/>
    </row>
    <row r="3" spans="1:30" ht="21" customHeight="1" thickBot="1">
      <c r="A3" s="201"/>
      <c r="B3" s="202" t="s">
        <v>357</v>
      </c>
      <c r="C3" s="203" t="s">
        <v>358</v>
      </c>
      <c r="D3" s="203" t="s">
        <v>359</v>
      </c>
      <c r="E3" s="203" t="s">
        <v>360</v>
      </c>
      <c r="F3" s="203" t="s">
        <v>1</v>
      </c>
      <c r="G3" s="203" t="s">
        <v>2</v>
      </c>
      <c r="H3" s="203" t="s">
        <v>361</v>
      </c>
      <c r="I3" s="203" t="s">
        <v>362</v>
      </c>
      <c r="J3" s="203" t="s">
        <v>363</v>
      </c>
      <c r="K3" s="203" t="s">
        <v>364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AVERAGE(R4:R33)</f>
        <v>0.95585317460317476</v>
      </c>
      <c r="S3" s="206"/>
      <c r="T3" s="200"/>
      <c r="U3" s="200"/>
      <c r="V3" s="200"/>
      <c r="W3" s="200"/>
      <c r="X3" s="200"/>
      <c r="Y3" s="200"/>
      <c r="Z3" s="207"/>
      <c r="AA3" s="200"/>
      <c r="AB3" s="200"/>
      <c r="AC3" s="200"/>
      <c r="AD3" s="200"/>
    </row>
    <row r="4" spans="1:30" s="200" customFormat="1" ht="27.95" customHeight="1" thickBot="1">
      <c r="A4" s="208">
        <v>1</v>
      </c>
      <c r="B4" s="209" t="s">
        <v>365</v>
      </c>
      <c r="C4" s="625"/>
      <c r="D4" s="626"/>
      <c r="E4" s="631" t="s">
        <v>366</v>
      </c>
      <c r="F4" s="632"/>
      <c r="G4" s="355" t="s">
        <v>144</v>
      </c>
      <c r="H4" s="211" t="s">
        <v>367</v>
      </c>
      <c r="I4" s="211" t="s">
        <v>368</v>
      </c>
      <c r="J4" s="212" t="s">
        <v>369</v>
      </c>
      <c r="K4" s="211" t="s">
        <v>370</v>
      </c>
      <c r="L4" s="213"/>
      <c r="M4" s="211" t="s">
        <v>371</v>
      </c>
      <c r="N4" s="210" t="s">
        <v>372</v>
      </c>
      <c r="O4" s="211" t="s">
        <v>373</v>
      </c>
      <c r="P4" s="214" t="s">
        <v>374</v>
      </c>
      <c r="Q4" s="1" t="s">
        <v>375</v>
      </c>
      <c r="R4" s="215">
        <f>(COUNTA(G4:Q4))/10</f>
        <v>1</v>
      </c>
      <c r="S4" s="206"/>
      <c r="T4" s="633" t="s">
        <v>376</v>
      </c>
      <c r="U4" s="634"/>
      <c r="V4" s="634"/>
      <c r="W4" s="634"/>
      <c r="X4" s="634"/>
      <c r="Y4" s="635"/>
    </row>
    <row r="5" spans="1:30" s="200" customFormat="1" ht="27.95" customHeight="1">
      <c r="A5" s="208">
        <v>2</v>
      </c>
      <c r="B5" s="218" t="s">
        <v>378</v>
      </c>
      <c r="C5" s="627"/>
      <c r="D5" s="628"/>
      <c r="E5" s="210" t="s">
        <v>379</v>
      </c>
      <c r="F5" s="210" t="s">
        <v>380</v>
      </c>
      <c r="G5" s="210" t="s">
        <v>381</v>
      </c>
      <c r="H5" s="353" t="s">
        <v>773</v>
      </c>
      <c r="I5" s="210" t="s">
        <v>382</v>
      </c>
      <c r="J5" s="210" t="s">
        <v>383</v>
      </c>
      <c r="K5" s="2" t="s">
        <v>384</v>
      </c>
      <c r="L5" s="210"/>
      <c r="M5" s="210" t="s">
        <v>10</v>
      </c>
      <c r="N5" s="219" t="s">
        <v>385</v>
      </c>
      <c r="O5" s="220" t="s">
        <v>386</v>
      </c>
      <c r="P5" s="210" t="s">
        <v>387</v>
      </c>
      <c r="Q5" s="353" t="s">
        <v>10</v>
      </c>
      <c r="R5" s="215">
        <f>(COUNTA(C5:Q5))/12</f>
        <v>1</v>
      </c>
      <c r="S5" s="206"/>
      <c r="T5" s="581"/>
      <c r="U5" s="582"/>
      <c r="V5" s="582"/>
      <c r="W5" s="582"/>
      <c r="X5" s="582"/>
      <c r="Y5" s="583"/>
    </row>
    <row r="6" spans="1:30" s="200" customFormat="1" ht="27.95" customHeight="1">
      <c r="A6" s="208">
        <v>3</v>
      </c>
      <c r="B6" s="218" t="s">
        <v>646</v>
      </c>
      <c r="C6" s="627"/>
      <c r="D6" s="628"/>
      <c r="E6" s="210" t="s">
        <v>783</v>
      </c>
      <c r="F6" s="210" t="s">
        <v>776</v>
      </c>
      <c r="G6" s="210"/>
      <c r="H6" s="210" t="s">
        <v>905</v>
      </c>
      <c r="I6" s="210" t="s">
        <v>907</v>
      </c>
      <c r="J6" s="210" t="s">
        <v>254</v>
      </c>
      <c r="K6" s="217" t="s">
        <v>162</v>
      </c>
      <c r="L6" s="210"/>
      <c r="M6" s="210"/>
      <c r="N6" s="219" t="s">
        <v>667</v>
      </c>
      <c r="O6" s="242"/>
      <c r="P6" s="217" t="s">
        <v>200</v>
      </c>
      <c r="Q6" s="346" t="s">
        <v>906</v>
      </c>
      <c r="R6" s="215"/>
      <c r="S6" s="206"/>
      <c r="T6" s="581"/>
      <c r="U6" s="582"/>
      <c r="V6" s="582"/>
      <c r="W6" s="582"/>
      <c r="X6" s="582"/>
      <c r="Y6" s="583"/>
    </row>
    <row r="7" spans="1:30" s="200" customFormat="1" ht="27.95" customHeight="1">
      <c r="A7" s="208">
        <v>4</v>
      </c>
      <c r="B7" s="221" t="s">
        <v>388</v>
      </c>
      <c r="C7" s="627"/>
      <c r="D7" s="628"/>
      <c r="E7" s="2" t="s">
        <v>389</v>
      </c>
      <c r="F7" s="214" t="s">
        <v>390</v>
      </c>
      <c r="G7" s="210" t="s">
        <v>391</v>
      </c>
      <c r="H7" s="210" t="s">
        <v>392</v>
      </c>
      <c r="I7" s="2" t="s">
        <v>393</v>
      </c>
      <c r="J7" s="353" t="s">
        <v>839</v>
      </c>
      <c r="K7" s="210" t="s">
        <v>394</v>
      </c>
      <c r="L7" s="210"/>
      <c r="M7" s="210" t="s">
        <v>395</v>
      </c>
      <c r="N7" s="214" t="s">
        <v>396</v>
      </c>
      <c r="O7" s="213" t="s">
        <v>397</v>
      </c>
      <c r="P7" s="347" t="s">
        <v>745</v>
      </c>
      <c r="Q7" s="210" t="s">
        <v>398</v>
      </c>
      <c r="R7" s="215">
        <f t="shared" ref="R7:R24" si="0">(COUNTA(C7:Q7))/12</f>
        <v>1</v>
      </c>
      <c r="S7" s="206"/>
      <c r="T7" s="581"/>
      <c r="U7" s="582"/>
      <c r="V7" s="582"/>
      <c r="W7" s="582"/>
      <c r="X7" s="582"/>
      <c r="Y7" s="583"/>
    </row>
    <row r="8" spans="1:30" s="200" customFormat="1" ht="27.95" customHeight="1">
      <c r="A8" s="208">
        <v>5</v>
      </c>
      <c r="B8" s="222" t="s">
        <v>399</v>
      </c>
      <c r="C8" s="627"/>
      <c r="D8" s="628"/>
      <c r="E8" s="210" t="s">
        <v>400</v>
      </c>
      <c r="F8" s="210" t="s">
        <v>401</v>
      </c>
      <c r="G8" s="212" t="s">
        <v>402</v>
      </c>
      <c r="H8" s="210" t="s">
        <v>403</v>
      </c>
      <c r="I8" s="353" t="s">
        <v>163</v>
      </c>
      <c r="J8" s="214" t="s">
        <v>13</v>
      </c>
      <c r="K8" s="207" t="s">
        <v>404</v>
      </c>
      <c r="L8" s="210"/>
      <c r="M8" s="213" t="s">
        <v>405</v>
      </c>
      <c r="N8" s="214"/>
      <c r="O8" s="2" t="s">
        <v>841</v>
      </c>
      <c r="P8" s="213" t="s">
        <v>407</v>
      </c>
      <c r="Q8" s="210" t="s">
        <v>394</v>
      </c>
      <c r="R8" s="215">
        <f t="shared" si="0"/>
        <v>0.91666666666666663</v>
      </c>
      <c r="S8" s="206"/>
      <c r="T8" s="581"/>
      <c r="U8" s="582"/>
      <c r="V8" s="582"/>
      <c r="W8" s="582"/>
      <c r="X8" s="582"/>
      <c r="Y8" s="583"/>
    </row>
    <row r="9" spans="1:30" s="200" customFormat="1" ht="27.95" customHeight="1" thickBot="1">
      <c r="A9" s="208">
        <v>6</v>
      </c>
      <c r="B9" s="221" t="s">
        <v>408</v>
      </c>
      <c r="C9" s="627"/>
      <c r="D9" s="628"/>
      <c r="E9" s="2" t="s">
        <v>621</v>
      </c>
      <c r="F9" s="214" t="s">
        <v>406</v>
      </c>
      <c r="G9" s="210" t="s">
        <v>744</v>
      </c>
      <c r="H9" s="210" t="s">
        <v>398</v>
      </c>
      <c r="I9" s="2" t="s">
        <v>409</v>
      </c>
      <c r="J9" s="214" t="s">
        <v>410</v>
      </c>
      <c r="K9" s="210" t="s">
        <v>411</v>
      </c>
      <c r="L9" s="210"/>
      <c r="M9" s="353" t="s">
        <v>266</v>
      </c>
      <c r="N9" s="214" t="s">
        <v>412</v>
      </c>
      <c r="O9" s="214" t="s">
        <v>45</v>
      </c>
      <c r="P9" s="214" t="s">
        <v>305</v>
      </c>
      <c r="Q9" s="347"/>
      <c r="R9" s="215">
        <f t="shared" si="0"/>
        <v>0.91666666666666663</v>
      </c>
      <c r="S9" s="206"/>
      <c r="T9" s="584"/>
      <c r="U9" s="585"/>
      <c r="V9" s="585"/>
      <c r="W9" s="585"/>
      <c r="X9" s="585"/>
      <c r="Y9" s="586"/>
    </row>
    <row r="10" spans="1:30" s="200" customFormat="1" ht="27.95" customHeight="1" thickBot="1">
      <c r="A10" s="208">
        <v>7</v>
      </c>
      <c r="B10" s="223" t="s">
        <v>413</v>
      </c>
      <c r="C10" s="629"/>
      <c r="D10" s="630"/>
      <c r="E10" s="224" t="s">
        <v>414</v>
      </c>
      <c r="F10" s="225" t="s">
        <v>914</v>
      </c>
      <c r="G10" s="224" t="s">
        <v>415</v>
      </c>
      <c r="H10" s="224" t="s">
        <v>401</v>
      </c>
      <c r="I10" s="226" t="s">
        <v>416</v>
      </c>
      <c r="J10" s="224" t="s">
        <v>417</v>
      </c>
      <c r="K10" s="224" t="s">
        <v>418</v>
      </c>
      <c r="L10" s="10"/>
      <c r="M10" s="224" t="s">
        <v>393</v>
      </c>
      <c r="N10" s="224"/>
      <c r="O10" s="224" t="s">
        <v>392</v>
      </c>
      <c r="P10" s="224" t="s">
        <v>402</v>
      </c>
      <c r="Q10" s="224" t="s">
        <v>419</v>
      </c>
      <c r="R10" s="215">
        <f t="shared" si="0"/>
        <v>0.91666666666666663</v>
      </c>
      <c r="S10" s="206"/>
      <c r="T10" s="575" t="s">
        <v>420</v>
      </c>
      <c r="U10" s="576"/>
      <c r="V10" s="576"/>
      <c r="W10" s="576"/>
      <c r="X10" s="576"/>
      <c r="Y10" s="577"/>
    </row>
    <row r="11" spans="1:30" s="200" customFormat="1" ht="27.95" customHeight="1">
      <c r="A11" s="208">
        <v>8</v>
      </c>
      <c r="B11" s="222" t="s">
        <v>421</v>
      </c>
      <c r="C11" s="227" t="s">
        <v>981</v>
      </c>
      <c r="D11" s="227" t="s">
        <v>981</v>
      </c>
      <c r="E11" s="217" t="s">
        <v>89</v>
      </c>
      <c r="F11" s="207" t="s">
        <v>423</v>
      </c>
      <c r="G11" s="211" t="s">
        <v>424</v>
      </c>
      <c r="H11" s="213" t="s">
        <v>425</v>
      </c>
      <c r="I11" s="211" t="s">
        <v>403</v>
      </c>
      <c r="J11" s="211" t="s">
        <v>409</v>
      </c>
      <c r="K11" s="211" t="s">
        <v>410</v>
      </c>
      <c r="L11" s="212"/>
      <c r="M11" s="211" t="s">
        <v>916</v>
      </c>
      <c r="N11" s="228" t="s">
        <v>404</v>
      </c>
      <c r="O11" s="213" t="s">
        <v>320</v>
      </c>
      <c r="P11" s="569"/>
      <c r="Q11" s="570"/>
      <c r="R11" s="215">
        <f t="shared" si="0"/>
        <v>1</v>
      </c>
      <c r="S11" s="206"/>
      <c r="T11" s="578" t="s">
        <v>972</v>
      </c>
      <c r="U11" s="579"/>
      <c r="V11" s="579"/>
      <c r="W11" s="579"/>
      <c r="X11" s="579"/>
      <c r="Y11" s="580"/>
    </row>
    <row r="12" spans="1:30" s="200" customFormat="1" ht="27.95" customHeight="1">
      <c r="A12" s="208">
        <v>9</v>
      </c>
      <c r="B12" s="239" t="s">
        <v>426</v>
      </c>
      <c r="C12" s="424" t="s">
        <v>982</v>
      </c>
      <c r="D12" s="424" t="s">
        <v>982</v>
      </c>
      <c r="E12" s="212" t="s">
        <v>402</v>
      </c>
      <c r="F12" s="217" t="s">
        <v>229</v>
      </c>
      <c r="G12" s="210" t="s">
        <v>428</v>
      </c>
      <c r="H12" s="214" t="s">
        <v>185</v>
      </c>
      <c r="I12" s="214" t="s">
        <v>429</v>
      </c>
      <c r="J12" s="211" t="s">
        <v>807</v>
      </c>
      <c r="K12" s="210"/>
      <c r="L12" s="214"/>
      <c r="M12" s="210" t="s">
        <v>254</v>
      </c>
      <c r="N12" s="210" t="s">
        <v>431</v>
      </c>
      <c r="O12" s="211" t="s">
        <v>432</v>
      </c>
      <c r="P12" s="571"/>
      <c r="Q12" s="572"/>
      <c r="R12" s="215">
        <f t="shared" si="0"/>
        <v>0.91666666666666663</v>
      </c>
      <c r="S12" s="206"/>
      <c r="T12" s="581"/>
      <c r="U12" s="582"/>
      <c r="V12" s="582"/>
      <c r="W12" s="582"/>
      <c r="X12" s="582"/>
      <c r="Y12" s="583"/>
      <c r="Z12" s="229"/>
    </row>
    <row r="13" spans="1:30" s="200" customFormat="1" ht="27.95" customHeight="1">
      <c r="A13" s="208">
        <v>10</v>
      </c>
      <c r="B13" s="209" t="s">
        <v>433</v>
      </c>
      <c r="C13" s="424" t="s">
        <v>983</v>
      </c>
      <c r="D13" s="424" t="s">
        <v>983</v>
      </c>
      <c r="E13" s="2" t="s">
        <v>434</v>
      </c>
      <c r="F13" s="210" t="s">
        <v>435</v>
      </c>
      <c r="G13" s="210" t="s">
        <v>622</v>
      </c>
      <c r="H13" s="210" t="s">
        <v>427</v>
      </c>
      <c r="I13" s="211" t="s">
        <v>915</v>
      </c>
      <c r="J13" s="3" t="s">
        <v>436</v>
      </c>
      <c r="K13" s="210"/>
      <c r="L13" s="214"/>
      <c r="M13" s="214" t="s">
        <v>437</v>
      </c>
      <c r="N13" s="211" t="s">
        <v>811</v>
      </c>
      <c r="O13" s="210" t="s">
        <v>438</v>
      </c>
      <c r="P13" s="571"/>
      <c r="Q13" s="572"/>
      <c r="R13" s="215">
        <f t="shared" si="0"/>
        <v>0.91666666666666663</v>
      </c>
      <c r="S13" s="206"/>
      <c r="T13" s="581"/>
      <c r="U13" s="582"/>
      <c r="V13" s="582"/>
      <c r="W13" s="582"/>
      <c r="X13" s="582"/>
      <c r="Y13" s="583"/>
    </row>
    <row r="14" spans="1:30" s="200" customFormat="1" ht="27.95" customHeight="1" thickBot="1">
      <c r="A14" s="208">
        <v>11</v>
      </c>
      <c r="B14" s="223" t="s">
        <v>439</v>
      </c>
      <c r="C14" s="425" t="s">
        <v>986</v>
      </c>
      <c r="D14" s="425" t="s">
        <v>986</v>
      </c>
      <c r="E14" s="231" t="s">
        <v>440</v>
      </c>
      <c r="F14" s="231" t="s">
        <v>392</v>
      </c>
      <c r="G14" s="231" t="s">
        <v>441</v>
      </c>
      <c r="H14" s="231" t="s">
        <v>442</v>
      </c>
      <c r="I14" s="231" t="s">
        <v>443</v>
      </c>
      <c r="J14" s="231" t="s">
        <v>743</v>
      </c>
      <c r="K14" s="11" t="s">
        <v>751</v>
      </c>
      <c r="L14" s="231"/>
      <c r="M14" s="231" t="s">
        <v>444</v>
      </c>
      <c r="N14" s="232"/>
      <c r="O14" s="226" t="s">
        <v>445</v>
      </c>
      <c r="P14" s="573"/>
      <c r="Q14" s="574"/>
      <c r="R14" s="215">
        <f t="shared" si="0"/>
        <v>0.91666666666666663</v>
      </c>
      <c r="S14" s="206"/>
      <c r="T14" s="581"/>
      <c r="U14" s="582"/>
      <c r="V14" s="582"/>
      <c r="W14" s="582"/>
      <c r="X14" s="582"/>
      <c r="Y14" s="583"/>
    </row>
    <row r="15" spans="1:30" s="236" customFormat="1" ht="27.95" customHeight="1" thickBot="1">
      <c r="A15" s="208">
        <v>12</v>
      </c>
      <c r="B15" s="233" t="s">
        <v>446</v>
      </c>
      <c r="C15" s="608"/>
      <c r="D15" s="609"/>
      <c r="E15" s="226" t="s">
        <v>447</v>
      </c>
      <c r="F15" s="234" t="s">
        <v>404</v>
      </c>
      <c r="G15" s="235" t="s">
        <v>405</v>
      </c>
      <c r="H15" s="234" t="s">
        <v>67</v>
      </c>
      <c r="I15" s="226" t="s">
        <v>809</v>
      </c>
      <c r="J15" s="224"/>
      <c r="K15" s="224" t="s">
        <v>422</v>
      </c>
      <c r="L15" s="226"/>
      <c r="M15" s="224" t="s">
        <v>417</v>
      </c>
      <c r="N15" s="559" t="s">
        <v>970</v>
      </c>
      <c r="O15" s="224" t="s">
        <v>448</v>
      </c>
      <c r="P15" s="226" t="s">
        <v>751</v>
      </c>
      <c r="Q15" s="226" t="s">
        <v>840</v>
      </c>
      <c r="R15" s="215">
        <f t="shared" si="0"/>
        <v>0.91666666666666663</v>
      </c>
      <c r="S15" s="206"/>
      <c r="T15" s="581"/>
      <c r="U15" s="582"/>
      <c r="V15" s="582"/>
      <c r="W15" s="582"/>
      <c r="X15" s="582"/>
      <c r="Y15" s="583"/>
    </row>
    <row r="16" spans="1:30" s="236" customFormat="1" ht="27.95" customHeight="1">
      <c r="A16" s="208">
        <v>13</v>
      </c>
      <c r="B16" s="218" t="s">
        <v>449</v>
      </c>
      <c r="C16" s="610"/>
      <c r="D16" s="611"/>
      <c r="E16" s="211" t="s">
        <v>450</v>
      </c>
      <c r="F16" s="213" t="s">
        <v>451</v>
      </c>
      <c r="G16" s="213" t="s">
        <v>452</v>
      </c>
      <c r="H16" s="213" t="s">
        <v>453</v>
      </c>
      <c r="I16" s="211" t="s">
        <v>454</v>
      </c>
      <c r="J16" s="213" t="s">
        <v>455</v>
      </c>
      <c r="K16" s="211" t="s">
        <v>456</v>
      </c>
      <c r="L16" s="213"/>
      <c r="M16" s="211" t="s">
        <v>457</v>
      </c>
      <c r="N16" s="211" t="s">
        <v>458</v>
      </c>
      <c r="O16" s="213" t="s">
        <v>459</v>
      </c>
      <c r="P16" s="214" t="s">
        <v>460</v>
      </c>
      <c r="Q16" s="262" t="s">
        <v>904</v>
      </c>
      <c r="R16" s="215">
        <f t="shared" si="0"/>
        <v>1</v>
      </c>
      <c r="S16" s="206"/>
      <c r="T16" s="581"/>
      <c r="U16" s="582"/>
      <c r="V16" s="582"/>
      <c r="W16" s="582"/>
      <c r="X16" s="582"/>
      <c r="Y16" s="583"/>
    </row>
    <row r="17" spans="1:25" s="236" customFormat="1" ht="27.95" customHeight="1">
      <c r="A17" s="208">
        <v>14</v>
      </c>
      <c r="B17" s="237" t="s">
        <v>461</v>
      </c>
      <c r="C17" s="612"/>
      <c r="D17" s="613"/>
      <c r="E17" s="211" t="s">
        <v>913</v>
      </c>
      <c r="F17" s="213" t="s">
        <v>462</v>
      </c>
      <c r="G17" s="211" t="s">
        <v>808</v>
      </c>
      <c r="H17" s="211" t="s">
        <v>846</v>
      </c>
      <c r="I17" s="213" t="s">
        <v>463</v>
      </c>
      <c r="J17" s="238" t="s">
        <v>234</v>
      </c>
      <c r="K17" s="213" t="s">
        <v>464</v>
      </c>
      <c r="L17" s="212"/>
      <c r="M17" s="143" t="s">
        <v>465</v>
      </c>
      <c r="N17" s="212" t="s">
        <v>466</v>
      </c>
      <c r="O17" s="210" t="s">
        <v>749</v>
      </c>
      <c r="P17" s="214" t="s">
        <v>467</v>
      </c>
      <c r="Q17" s="211" t="s">
        <v>272</v>
      </c>
      <c r="R17" s="215">
        <f t="shared" si="0"/>
        <v>1</v>
      </c>
      <c r="S17" s="206"/>
      <c r="T17" s="581"/>
      <c r="U17" s="582"/>
      <c r="V17" s="582"/>
      <c r="W17" s="582"/>
      <c r="X17" s="582"/>
      <c r="Y17" s="583"/>
    </row>
    <row r="18" spans="1:25" s="236" customFormat="1" ht="27.95" customHeight="1" thickBot="1">
      <c r="A18" s="208">
        <v>15</v>
      </c>
      <c r="B18" s="239" t="s">
        <v>468</v>
      </c>
      <c r="C18" s="612"/>
      <c r="D18" s="613"/>
      <c r="E18" s="2" t="s">
        <v>469</v>
      </c>
      <c r="F18" s="238" t="s">
        <v>470</v>
      </c>
      <c r="G18" s="211" t="s">
        <v>471</v>
      </c>
      <c r="H18" s="210" t="s">
        <v>226</v>
      </c>
      <c r="I18" s="2" t="s">
        <v>472</v>
      </c>
      <c r="J18" s="211" t="s">
        <v>473</v>
      </c>
      <c r="K18" s="214" t="s">
        <v>623</v>
      </c>
      <c r="L18" s="214"/>
      <c r="M18" s="211" t="s">
        <v>474</v>
      </c>
      <c r="N18" s="211" t="s">
        <v>475</v>
      </c>
      <c r="O18" s="210" t="s">
        <v>476</v>
      </c>
      <c r="P18" s="240" t="s">
        <v>477</v>
      </c>
      <c r="Q18" s="211" t="s">
        <v>478</v>
      </c>
      <c r="R18" s="215">
        <f t="shared" si="0"/>
        <v>1</v>
      </c>
      <c r="S18" s="206"/>
      <c r="T18" s="584"/>
      <c r="U18" s="585"/>
      <c r="V18" s="585"/>
      <c r="W18" s="585"/>
      <c r="X18" s="585"/>
      <c r="Y18" s="586"/>
    </row>
    <row r="19" spans="1:25" s="200" customFormat="1" ht="27.95" customHeight="1" thickBot="1">
      <c r="A19" s="208">
        <v>16</v>
      </c>
      <c r="B19" s="237" t="s">
        <v>479</v>
      </c>
      <c r="C19" s="612"/>
      <c r="D19" s="613"/>
      <c r="E19" s="214" t="s">
        <v>22</v>
      </c>
      <c r="F19" s="210" t="s">
        <v>480</v>
      </c>
      <c r="G19" s="210"/>
      <c r="H19" s="214" t="s">
        <v>797</v>
      </c>
      <c r="I19" s="214" t="s">
        <v>474</v>
      </c>
      <c r="J19" s="244" t="s">
        <v>700</v>
      </c>
      <c r="K19" s="212" t="s">
        <v>481</v>
      </c>
      <c r="L19" s="214"/>
      <c r="M19" s="2" t="s">
        <v>482</v>
      </c>
      <c r="N19" s="242" t="s">
        <v>483</v>
      </c>
      <c r="O19" s="213" t="s">
        <v>610</v>
      </c>
      <c r="P19" s="214" t="s">
        <v>484</v>
      </c>
      <c r="Q19" s="214" t="s">
        <v>485</v>
      </c>
      <c r="R19" s="215">
        <f t="shared" si="0"/>
        <v>0.91666666666666663</v>
      </c>
      <c r="S19" s="206"/>
      <c r="T19" s="616" t="s">
        <v>486</v>
      </c>
      <c r="U19" s="617"/>
      <c r="V19" s="617"/>
      <c r="W19" s="617"/>
      <c r="X19" s="617"/>
      <c r="Y19" s="618"/>
    </row>
    <row r="20" spans="1:25" s="200" customFormat="1" ht="27.95" customHeight="1">
      <c r="A20" s="208">
        <v>17</v>
      </c>
      <c r="B20" s="243" t="s">
        <v>645</v>
      </c>
      <c r="C20" s="612"/>
      <c r="D20" s="613"/>
      <c r="E20" s="433"/>
      <c r="F20" s="432"/>
      <c r="G20" s="432"/>
      <c r="H20" s="433"/>
      <c r="I20" s="433"/>
      <c r="J20" s="434"/>
      <c r="K20" s="431"/>
      <c r="L20" s="433"/>
      <c r="M20" s="435"/>
      <c r="N20" s="437"/>
      <c r="O20" s="440"/>
      <c r="P20" s="440"/>
      <c r="Q20" s="441"/>
      <c r="R20" s="215"/>
      <c r="S20" s="206"/>
      <c r="T20" s="578" t="s">
        <v>971</v>
      </c>
      <c r="U20" s="579"/>
      <c r="V20" s="579"/>
      <c r="W20" s="579"/>
      <c r="X20" s="579"/>
      <c r="Y20" s="580"/>
    </row>
    <row r="21" spans="1:25" s="200" customFormat="1" ht="27.95" customHeight="1">
      <c r="A21" s="208">
        <v>18</v>
      </c>
      <c r="B21" s="243" t="s">
        <v>487</v>
      </c>
      <c r="C21" s="612"/>
      <c r="D21" s="613"/>
      <c r="E21" s="210" t="s">
        <v>243</v>
      </c>
      <c r="F21" s="210" t="s">
        <v>488</v>
      </c>
      <c r="G21" s="210" t="s">
        <v>489</v>
      </c>
      <c r="H21" s="214" t="s">
        <v>490</v>
      </c>
      <c r="I21" s="210" t="s">
        <v>491</v>
      </c>
      <c r="J21" s="210" t="s">
        <v>492</v>
      </c>
      <c r="K21" s="210" t="s">
        <v>843</v>
      </c>
      <c r="L21" s="241"/>
      <c r="M21" s="214" t="s">
        <v>493</v>
      </c>
      <c r="N21" s="2" t="s">
        <v>494</v>
      </c>
      <c r="O21" s="211" t="s">
        <v>495</v>
      </c>
      <c r="P21" s="244" t="s">
        <v>496</v>
      </c>
      <c r="Q21" s="245" t="s">
        <v>489</v>
      </c>
      <c r="R21" s="215">
        <f t="shared" si="0"/>
        <v>1</v>
      </c>
      <c r="S21" s="206"/>
      <c r="T21" s="581"/>
      <c r="U21" s="582"/>
      <c r="V21" s="582"/>
      <c r="W21" s="582"/>
      <c r="X21" s="582"/>
      <c r="Y21" s="583"/>
    </row>
    <row r="22" spans="1:25" s="200" customFormat="1" ht="27.95" customHeight="1" thickBot="1">
      <c r="A22" s="208">
        <v>19</v>
      </c>
      <c r="B22" s="246" t="s">
        <v>497</v>
      </c>
      <c r="C22" s="614"/>
      <c r="D22" s="615"/>
      <c r="E22" s="247"/>
      <c r="F22" s="248" t="s">
        <v>197</v>
      </c>
      <c r="G22" s="11" t="s">
        <v>498</v>
      </c>
      <c r="H22" s="231" t="s">
        <v>459</v>
      </c>
      <c r="I22" s="231" t="s">
        <v>499</v>
      </c>
      <c r="J22" s="248" t="s">
        <v>912</v>
      </c>
      <c r="K22" s="231" t="s">
        <v>500</v>
      </c>
      <c r="L22" s="283"/>
      <c r="M22" s="248" t="s">
        <v>501</v>
      </c>
      <c r="N22" s="231" t="s">
        <v>71</v>
      </c>
      <c r="O22" s="231" t="s">
        <v>752</v>
      </c>
      <c r="P22" s="248" t="s">
        <v>502</v>
      </c>
      <c r="Q22" s="231" t="s">
        <v>503</v>
      </c>
      <c r="R22" s="215">
        <f t="shared" si="0"/>
        <v>0.91666666666666663</v>
      </c>
      <c r="S22" s="206"/>
      <c r="T22" s="581"/>
      <c r="U22" s="582"/>
      <c r="V22" s="582"/>
      <c r="W22" s="582"/>
      <c r="X22" s="582"/>
      <c r="Y22" s="583"/>
    </row>
    <row r="23" spans="1:25" s="200" customFormat="1" ht="27.95" customHeight="1" thickBot="1">
      <c r="A23" s="208">
        <v>20</v>
      </c>
      <c r="B23" s="249" t="s">
        <v>504</v>
      </c>
      <c r="C23" s="619"/>
      <c r="D23" s="620"/>
      <c r="E23" s="224" t="s">
        <v>505</v>
      </c>
      <c r="F23" s="224" t="s">
        <v>798</v>
      </c>
      <c r="G23" s="250" t="s">
        <v>233</v>
      </c>
      <c r="H23" s="224" t="s">
        <v>506</v>
      </c>
      <c r="I23" s="224" t="s">
        <v>507</v>
      </c>
      <c r="J23" s="224" t="s">
        <v>69</v>
      </c>
      <c r="K23" s="234" t="s">
        <v>483</v>
      </c>
      <c r="L23" s="234"/>
      <c r="M23" s="234" t="s">
        <v>489</v>
      </c>
      <c r="N23" s="226" t="s">
        <v>508</v>
      </c>
      <c r="O23" s="235" t="s">
        <v>509</v>
      </c>
      <c r="P23" s="226" t="s">
        <v>490</v>
      </c>
      <c r="Q23" s="224" t="s">
        <v>72</v>
      </c>
      <c r="R23" s="215">
        <f t="shared" si="0"/>
        <v>1</v>
      </c>
      <c r="S23" s="206"/>
      <c r="T23" s="584"/>
      <c r="U23" s="585"/>
      <c r="V23" s="585"/>
      <c r="W23" s="585"/>
      <c r="X23" s="585"/>
      <c r="Y23" s="586"/>
    </row>
    <row r="24" spans="1:25" s="200" customFormat="1" ht="27.95" customHeight="1" thickBot="1">
      <c r="A24" s="208">
        <v>21</v>
      </c>
      <c r="B24" s="341" t="s">
        <v>26</v>
      </c>
      <c r="C24" s="251" t="s">
        <v>990</v>
      </c>
      <c r="D24" s="251" t="s">
        <v>990</v>
      </c>
      <c r="E24" s="252" t="s">
        <v>510</v>
      </c>
      <c r="F24" s="211" t="s">
        <v>27</v>
      </c>
      <c r="G24" s="213" t="s">
        <v>511</v>
      </c>
      <c r="H24" s="3" t="s">
        <v>512</v>
      </c>
      <c r="I24" s="211" t="s">
        <v>68</v>
      </c>
      <c r="J24" s="211" t="s">
        <v>513</v>
      </c>
      <c r="K24" s="211"/>
      <c r="L24" s="253"/>
      <c r="M24" s="228" t="s">
        <v>810</v>
      </c>
      <c r="N24" s="211" t="s">
        <v>917</v>
      </c>
      <c r="O24" s="3" t="s">
        <v>24</v>
      </c>
      <c r="P24" s="569"/>
      <c r="Q24" s="570"/>
      <c r="R24" s="215">
        <f t="shared" si="0"/>
        <v>0.91666666666666663</v>
      </c>
      <c r="S24" s="206"/>
      <c r="T24" s="575" t="s">
        <v>514</v>
      </c>
      <c r="U24" s="576"/>
      <c r="V24" s="576"/>
      <c r="W24" s="576"/>
      <c r="X24" s="576"/>
      <c r="Y24" s="577"/>
    </row>
    <row r="25" spans="1:25" s="200" customFormat="1" ht="27.95" customHeight="1">
      <c r="A25" s="208">
        <v>22</v>
      </c>
      <c r="B25" s="342" t="s">
        <v>515</v>
      </c>
      <c r="C25" s="254" t="s">
        <v>991</v>
      </c>
      <c r="D25" s="254" t="s">
        <v>991</v>
      </c>
      <c r="E25" s="252"/>
      <c r="F25" s="210" t="s">
        <v>748</v>
      </c>
      <c r="G25" s="3" t="s">
        <v>516</v>
      </c>
      <c r="H25" s="211" t="s">
        <v>517</v>
      </c>
      <c r="I25" s="214" t="s">
        <v>231</v>
      </c>
      <c r="J25" s="211" t="s">
        <v>29</v>
      </c>
      <c r="K25" s="210" t="s">
        <v>505</v>
      </c>
      <c r="L25" s="219"/>
      <c r="M25" s="214" t="s">
        <v>30</v>
      </c>
      <c r="N25" s="2" t="s">
        <v>845</v>
      </c>
      <c r="O25" s="214" t="s">
        <v>518</v>
      </c>
      <c r="P25" s="571"/>
      <c r="Q25" s="572"/>
      <c r="R25" s="215"/>
      <c r="S25" s="206"/>
      <c r="T25" s="578"/>
      <c r="U25" s="579"/>
      <c r="V25" s="579"/>
      <c r="W25" s="579"/>
      <c r="X25" s="579"/>
      <c r="Y25" s="580"/>
    </row>
    <row r="26" spans="1:25" s="200" customFormat="1" ht="27.95" customHeight="1">
      <c r="A26" s="208">
        <v>23</v>
      </c>
      <c r="B26" s="343" t="s">
        <v>519</v>
      </c>
      <c r="C26" s="254" t="s">
        <v>999</v>
      </c>
      <c r="D26" s="254" t="s">
        <v>999</v>
      </c>
      <c r="E26" s="216" t="s">
        <v>520</v>
      </c>
      <c r="F26" s="244" t="s">
        <v>521</v>
      </c>
      <c r="G26" s="211" t="s">
        <v>522</v>
      </c>
      <c r="H26" s="211" t="s">
        <v>523</v>
      </c>
      <c r="I26" s="211" t="s">
        <v>524</v>
      </c>
      <c r="J26" s="210" t="s">
        <v>525</v>
      </c>
      <c r="K26" s="213"/>
      <c r="L26" s="213"/>
      <c r="M26" s="211" t="s">
        <v>526</v>
      </c>
      <c r="N26" s="213" t="s">
        <v>527</v>
      </c>
      <c r="O26" s="242" t="s">
        <v>812</v>
      </c>
      <c r="P26" s="571"/>
      <c r="Q26" s="572"/>
      <c r="R26" s="215">
        <f>(COUNTA(C26:Q26))/12</f>
        <v>0.91666666666666663</v>
      </c>
      <c r="S26" s="206"/>
      <c r="T26" s="581"/>
      <c r="U26" s="582"/>
      <c r="V26" s="582"/>
      <c r="W26" s="582"/>
      <c r="X26" s="582"/>
      <c r="Y26" s="583"/>
    </row>
    <row r="27" spans="1:25" s="200" customFormat="1" ht="27.95" customHeight="1" thickBot="1">
      <c r="A27" s="208">
        <v>24</v>
      </c>
      <c r="B27" s="344" t="s">
        <v>528</v>
      </c>
      <c r="C27" s="256" t="s">
        <v>993</v>
      </c>
      <c r="D27" s="256" t="s">
        <v>995</v>
      </c>
      <c r="E27" s="348"/>
      <c r="F27" s="248" t="s">
        <v>740</v>
      </c>
      <c r="G27" s="11" t="s">
        <v>529</v>
      </c>
      <c r="H27" s="226" t="s">
        <v>530</v>
      </c>
      <c r="I27" s="257" t="s">
        <v>531</v>
      </c>
      <c r="J27" s="258" t="s">
        <v>532</v>
      </c>
      <c r="K27" s="248" t="s">
        <v>533</v>
      </c>
      <c r="L27" s="258"/>
      <c r="M27" s="248" t="s">
        <v>534</v>
      </c>
      <c r="N27" s="259" t="s">
        <v>535</v>
      </c>
      <c r="O27" s="11" t="s">
        <v>536</v>
      </c>
      <c r="P27" s="573"/>
      <c r="Q27" s="574"/>
      <c r="R27" s="215"/>
      <c r="S27" s="206"/>
      <c r="T27" s="581"/>
      <c r="U27" s="582"/>
      <c r="V27" s="582"/>
      <c r="W27" s="582"/>
      <c r="X27" s="582"/>
      <c r="Y27" s="583"/>
    </row>
    <row r="28" spans="1:25" s="200" customFormat="1" ht="27.95" customHeight="1">
      <c r="A28" s="260" t="s">
        <v>537</v>
      </c>
      <c r="B28" s="261" t="s">
        <v>538</v>
      </c>
      <c r="C28" s="587"/>
      <c r="D28" s="588"/>
      <c r="E28" s="4"/>
      <c r="F28" s="262"/>
      <c r="G28" s="262" t="s">
        <v>746</v>
      </c>
      <c r="H28" s="213" t="s">
        <v>218</v>
      </c>
      <c r="I28" s="262" t="s">
        <v>539</v>
      </c>
      <c r="J28" s="4" t="s">
        <v>540</v>
      </c>
      <c r="K28" s="4"/>
      <c r="L28" s="263"/>
      <c r="M28" s="262"/>
      <c r="N28" s="262" t="s">
        <v>541</v>
      </c>
      <c r="O28" s="211" t="s">
        <v>542</v>
      </c>
      <c r="P28" s="264"/>
      <c r="Q28" s="265"/>
      <c r="R28" s="215">
        <f>(COUNTA(C28:Q28))/6</f>
        <v>1</v>
      </c>
      <c r="S28" s="206"/>
      <c r="T28" s="581"/>
      <c r="U28" s="582"/>
      <c r="V28" s="582"/>
      <c r="W28" s="582"/>
      <c r="X28" s="582"/>
      <c r="Y28" s="583"/>
    </row>
    <row r="29" spans="1:25" s="200" customFormat="1" ht="27.95" customHeight="1" thickBot="1">
      <c r="A29" s="266" t="s">
        <v>543</v>
      </c>
      <c r="B29" s="267" t="s">
        <v>31</v>
      </c>
      <c r="C29" s="587"/>
      <c r="D29" s="588"/>
      <c r="E29" s="211" t="s">
        <v>747</v>
      </c>
      <c r="F29" s="211" t="s">
        <v>544</v>
      </c>
      <c r="G29" s="211"/>
      <c r="H29" s="211"/>
      <c r="I29" s="211" t="s">
        <v>545</v>
      </c>
      <c r="J29" s="211"/>
      <c r="K29" s="207"/>
      <c r="L29" s="268"/>
      <c r="M29" s="211"/>
      <c r="N29" s="211"/>
      <c r="O29" s="211" t="s">
        <v>546</v>
      </c>
      <c r="P29" s="210" t="s">
        <v>547</v>
      </c>
      <c r="Q29" s="211" t="s">
        <v>548</v>
      </c>
      <c r="R29" s="215">
        <f>(COUNTA(C29:Q29))/7</f>
        <v>0.8571428571428571</v>
      </c>
      <c r="S29" s="206"/>
      <c r="T29" s="584"/>
      <c r="U29" s="585"/>
      <c r="V29" s="585"/>
      <c r="W29" s="585"/>
      <c r="X29" s="585"/>
      <c r="Y29" s="586"/>
    </row>
    <row r="30" spans="1:25" s="200" customFormat="1" ht="9.9499999999999993" customHeight="1" thickBot="1">
      <c r="A30" s="269"/>
      <c r="B30" s="270"/>
      <c r="C30" s="270"/>
      <c r="D30" s="270"/>
      <c r="E30" s="5"/>
      <c r="F30" s="271"/>
      <c r="G30" s="272"/>
      <c r="H30" s="272"/>
      <c r="I30" s="272"/>
      <c r="J30" s="272"/>
      <c r="K30" s="5"/>
      <c r="L30" s="271"/>
      <c r="M30" s="5"/>
      <c r="N30" s="272"/>
      <c r="O30" s="271"/>
      <c r="P30" s="271"/>
      <c r="Q30" s="273"/>
      <c r="R30" s="274"/>
      <c r="S30" s="206"/>
      <c r="T30" s="275"/>
      <c r="U30" s="275"/>
      <c r="V30" s="275"/>
      <c r="W30" s="275"/>
      <c r="X30" s="275"/>
      <c r="Y30" s="275"/>
    </row>
    <row r="31" spans="1:25" s="200" customFormat="1" ht="109.5" customHeight="1">
      <c r="A31" s="589"/>
      <c r="B31" s="591" t="s">
        <v>549</v>
      </c>
      <c r="C31" s="593"/>
      <c r="D31" s="594"/>
      <c r="E31" s="265" t="s">
        <v>735</v>
      </c>
      <c r="F31" s="276" t="s">
        <v>550</v>
      </c>
      <c r="G31" s="265" t="s">
        <v>551</v>
      </c>
      <c r="H31" s="265" t="s">
        <v>552</v>
      </c>
      <c r="I31" s="211" t="s">
        <v>679</v>
      </c>
      <c r="J31" s="213" t="s">
        <v>641</v>
      </c>
      <c r="K31" s="211" t="s">
        <v>734</v>
      </c>
      <c r="L31" s="212"/>
      <c r="M31" s="213" t="s">
        <v>553</v>
      </c>
      <c r="N31" s="277" t="s">
        <v>554</v>
      </c>
      <c r="O31" s="276" t="s">
        <v>555</v>
      </c>
      <c r="P31" s="277" t="s">
        <v>973</v>
      </c>
      <c r="Q31" s="211" t="s">
        <v>556</v>
      </c>
      <c r="R31" s="215">
        <f>(COUNTA(C31:Q31))/12</f>
        <v>1</v>
      </c>
      <c r="S31" s="206"/>
      <c r="T31" s="599" t="s">
        <v>975</v>
      </c>
      <c r="U31" s="600"/>
      <c r="V31" s="600"/>
      <c r="W31" s="600"/>
      <c r="X31" s="600"/>
      <c r="Y31" s="601"/>
    </row>
    <row r="32" spans="1:25" s="200" customFormat="1" ht="129.94999999999999" customHeight="1">
      <c r="A32" s="590"/>
      <c r="B32" s="592"/>
      <c r="C32" s="595"/>
      <c r="D32" s="596"/>
      <c r="E32" s="278" t="s">
        <v>984</v>
      </c>
      <c r="F32" s="210" t="s">
        <v>980</v>
      </c>
      <c r="G32" s="279" t="s">
        <v>985</v>
      </c>
      <c r="H32" s="210" t="s">
        <v>976</v>
      </c>
      <c r="I32" s="214" t="s">
        <v>988</v>
      </c>
      <c r="J32" s="210" t="s">
        <v>989</v>
      </c>
      <c r="K32" s="210" t="s">
        <v>979</v>
      </c>
      <c r="L32" s="210"/>
      <c r="M32" s="210" t="s">
        <v>977</v>
      </c>
      <c r="N32" s="278" t="s">
        <v>997</v>
      </c>
      <c r="O32" s="349" t="s">
        <v>978</v>
      </c>
      <c r="P32" s="216" t="s">
        <v>998</v>
      </c>
      <c r="Q32" s="210" t="s">
        <v>987</v>
      </c>
      <c r="R32" s="274"/>
      <c r="S32" s="206"/>
      <c r="T32" s="602"/>
      <c r="U32" s="603"/>
      <c r="V32" s="603"/>
      <c r="W32" s="603"/>
      <c r="X32" s="603"/>
      <c r="Y32" s="604"/>
    </row>
    <row r="33" spans="1:31" s="200" customFormat="1" ht="69.95" customHeight="1" thickBot="1">
      <c r="A33" s="280"/>
      <c r="B33" s="246" t="s">
        <v>562</v>
      </c>
      <c r="C33" s="597"/>
      <c r="D33" s="598"/>
      <c r="E33" s="281" t="s">
        <v>563</v>
      </c>
      <c r="F33" s="282" t="s">
        <v>680</v>
      </c>
      <c r="G33" s="248" t="s">
        <v>564</v>
      </c>
      <c r="H33" s="248" t="s">
        <v>565</v>
      </c>
      <c r="I33" s="231" t="s">
        <v>566</v>
      </c>
      <c r="J33" s="248" t="s">
        <v>644</v>
      </c>
      <c r="K33" s="248" t="s">
        <v>567</v>
      </c>
      <c r="L33" s="283"/>
      <c r="M33" s="248" t="s">
        <v>643</v>
      </c>
      <c r="N33" s="231" t="s">
        <v>568</v>
      </c>
      <c r="O33" s="224" t="s">
        <v>569</v>
      </c>
      <c r="P33" s="248"/>
      <c r="Q33" s="284" t="s">
        <v>570</v>
      </c>
      <c r="R33" s="215">
        <f>(COUNTA(F33:P33))/9</f>
        <v>1</v>
      </c>
      <c r="S33" s="206"/>
      <c r="T33" s="605"/>
      <c r="U33" s="606"/>
      <c r="V33" s="606"/>
      <c r="W33" s="606"/>
      <c r="X33" s="606"/>
      <c r="Y33" s="607"/>
      <c r="AB33" s="198"/>
      <c r="AC33" s="198"/>
      <c r="AD33" s="198"/>
      <c r="AE33" s="198"/>
    </row>
    <row r="34" spans="1:31" ht="9.9499999999999993" customHeight="1">
      <c r="A34" s="286"/>
      <c r="B34" s="286"/>
      <c r="C34" s="287"/>
      <c r="D34" s="287"/>
      <c r="O34" s="289"/>
      <c r="S34" s="206"/>
      <c r="AA34" s="200"/>
    </row>
    <row r="35" spans="1:31" ht="21" customHeight="1">
      <c r="B35" s="291"/>
      <c r="C35" s="291"/>
      <c r="D35" s="292" t="s">
        <v>571</v>
      </c>
      <c r="E35" s="293" t="s">
        <v>572</v>
      </c>
      <c r="F35" s="293" t="s">
        <v>1</v>
      </c>
      <c r="G35" s="293" t="s">
        <v>2</v>
      </c>
      <c r="H35" s="293" t="s">
        <v>32</v>
      </c>
      <c r="I35" s="293" t="s">
        <v>33</v>
      </c>
      <c r="J35" s="293" t="s">
        <v>34</v>
      </c>
      <c r="K35" s="293" t="s">
        <v>35</v>
      </c>
      <c r="L35" s="294" t="s">
        <v>36</v>
      </c>
      <c r="M35" s="293" t="s">
        <v>37</v>
      </c>
      <c r="N35" s="293" t="s">
        <v>6</v>
      </c>
      <c r="O35" s="293" t="s">
        <v>7</v>
      </c>
      <c r="P35" s="293" t="s">
        <v>8</v>
      </c>
      <c r="Q35" s="295" t="s">
        <v>9</v>
      </c>
      <c r="R35" s="296"/>
      <c r="T35" s="297"/>
      <c r="U35" s="298"/>
      <c r="V35" s="298"/>
      <c r="W35" s="298"/>
      <c r="X35" s="298"/>
      <c r="AA35" s="200"/>
    </row>
    <row r="36" spans="1:31" ht="45.75" customHeight="1">
      <c r="B36" s="291"/>
      <c r="C36" s="291"/>
      <c r="D36" s="299" t="s">
        <v>573</v>
      </c>
      <c r="E36" s="241" t="s">
        <v>574</v>
      </c>
      <c r="F36" s="241" t="s">
        <v>708</v>
      </c>
      <c r="G36" s="241" t="s">
        <v>707</v>
      </c>
      <c r="H36" s="214" t="s">
        <v>613</v>
      </c>
      <c r="I36" s="214" t="s">
        <v>575</v>
      </c>
      <c r="J36" s="214" t="s">
        <v>576</v>
      </c>
      <c r="K36" s="214" t="s">
        <v>911</v>
      </c>
      <c r="L36" s="214"/>
      <c r="M36" s="349" t="s">
        <v>577</v>
      </c>
      <c r="N36" s="210" t="s">
        <v>733</v>
      </c>
      <c r="O36" s="301" t="s">
        <v>910</v>
      </c>
      <c r="P36" s="238" t="s">
        <v>730</v>
      </c>
      <c r="Q36" s="303" t="s">
        <v>908</v>
      </c>
      <c r="R36" s="296"/>
      <c r="T36" s="298"/>
      <c r="U36" s="298"/>
      <c r="V36" s="298"/>
      <c r="W36" s="298"/>
      <c r="X36" s="298"/>
      <c r="AA36" s="200"/>
    </row>
    <row r="37" spans="1:31" ht="27.95" customHeight="1">
      <c r="B37" s="291"/>
      <c r="C37" s="291"/>
      <c r="D37" s="299" t="s">
        <v>578</v>
      </c>
      <c r="E37" s="241"/>
      <c r="F37" s="241"/>
      <c r="G37" s="241"/>
      <c r="H37" s="214"/>
      <c r="I37" s="214"/>
      <c r="J37" s="214"/>
      <c r="K37" s="214"/>
      <c r="L37" s="214"/>
      <c r="M37" s="214"/>
      <c r="N37" s="214"/>
      <c r="O37" s="304"/>
      <c r="P37" s="241"/>
      <c r="Q37" s="305" t="s">
        <v>87</v>
      </c>
      <c r="R37" s="296"/>
      <c r="T37" s="298"/>
      <c r="U37" s="298"/>
      <c r="V37" s="298"/>
      <c r="W37" s="298"/>
      <c r="X37" s="298"/>
    </row>
    <row r="38" spans="1:31" ht="27.95" customHeight="1">
      <c r="B38" s="291"/>
      <c r="C38" s="291"/>
      <c r="D38" s="299" t="s">
        <v>579</v>
      </c>
      <c r="E38" s="214"/>
      <c r="F38" s="306" t="s">
        <v>580</v>
      </c>
      <c r="G38" s="214"/>
      <c r="H38" s="214" t="s">
        <v>581</v>
      </c>
      <c r="I38" s="388"/>
      <c r="J38" s="219" t="s">
        <v>582</v>
      </c>
      <c r="K38" s="389" t="s">
        <v>615</v>
      </c>
      <c r="L38" s="214"/>
      <c r="M38" s="214" t="s">
        <v>618</v>
      </c>
      <c r="N38" s="238" t="s">
        <v>611</v>
      </c>
      <c r="O38" s="309" t="s">
        <v>85</v>
      </c>
      <c r="P38" s="241" t="s">
        <v>583</v>
      </c>
      <c r="Q38" s="370" t="s">
        <v>584</v>
      </c>
      <c r="R38" s="296"/>
      <c r="T38" s="298"/>
      <c r="U38" s="298"/>
      <c r="V38" s="298"/>
      <c r="W38" s="298"/>
      <c r="X38" s="298"/>
    </row>
    <row r="39" spans="1:31" ht="42" customHeight="1">
      <c r="B39" s="198"/>
      <c r="C39" s="198"/>
      <c r="D39" s="311" t="s">
        <v>585</v>
      </c>
      <c r="E39" s="312" t="s">
        <v>608</v>
      </c>
      <c r="F39" s="312" t="s">
        <v>586</v>
      </c>
      <c r="G39" s="312" t="s">
        <v>731</v>
      </c>
      <c r="H39" s="314" t="s">
        <v>994</v>
      </c>
      <c r="I39" s="314" t="s">
        <v>612</v>
      </c>
      <c r="J39" s="313" t="s">
        <v>587</v>
      </c>
      <c r="K39" s="314" t="s">
        <v>996</v>
      </c>
      <c r="L39" s="314"/>
      <c r="M39" s="313" t="s">
        <v>616</v>
      </c>
      <c r="N39" s="314" t="s">
        <v>837</v>
      </c>
      <c r="O39" s="314" t="s">
        <v>588</v>
      </c>
      <c r="P39" s="312" t="s">
        <v>992</v>
      </c>
      <c r="Q39" s="315" t="s">
        <v>732</v>
      </c>
    </row>
    <row r="40" spans="1:31" ht="9.9499999999999993" customHeight="1">
      <c r="E40" s="288"/>
      <c r="F40" s="288"/>
      <c r="G40" s="288"/>
      <c r="H40" s="288"/>
      <c r="I40" s="288"/>
      <c r="J40" s="288"/>
      <c r="K40" s="288"/>
      <c r="M40" s="288"/>
      <c r="N40" s="288"/>
      <c r="O40" s="288"/>
    </row>
    <row r="41" spans="1:31" ht="27.95" customHeight="1">
      <c r="A41" s="317"/>
      <c r="B41" s="317"/>
      <c r="C41" s="317"/>
      <c r="D41" s="560" t="s">
        <v>974</v>
      </c>
      <c r="E41" s="561"/>
      <c r="F41" s="561"/>
      <c r="G41" s="561"/>
      <c r="H41" s="561"/>
      <c r="I41" s="561"/>
      <c r="J41" s="561"/>
      <c r="K41" s="561"/>
      <c r="L41" s="561"/>
      <c r="M41" s="561"/>
      <c r="N41" s="561"/>
      <c r="O41" s="561"/>
      <c r="P41" s="561"/>
      <c r="Q41" s="562"/>
      <c r="R41" s="296"/>
    </row>
    <row r="42" spans="1:31" ht="27.95" customHeight="1">
      <c r="A42" s="317"/>
      <c r="B42" s="317"/>
      <c r="C42" s="317"/>
      <c r="D42" s="563"/>
      <c r="E42" s="564"/>
      <c r="F42" s="564"/>
      <c r="G42" s="564"/>
      <c r="H42" s="564"/>
      <c r="I42" s="564"/>
      <c r="J42" s="564"/>
      <c r="K42" s="564"/>
      <c r="L42" s="564"/>
      <c r="M42" s="564"/>
      <c r="N42" s="564"/>
      <c r="O42" s="564"/>
      <c r="P42" s="564"/>
      <c r="Q42" s="565"/>
      <c r="R42" s="296"/>
    </row>
    <row r="43" spans="1:31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31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31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3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31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31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296"/>
    </row>
    <row r="51" spans="1:18">
      <c r="A51" s="317"/>
      <c r="B51" s="317"/>
      <c r="C51" s="317"/>
      <c r="D51" s="566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8"/>
      <c r="R51" s="296"/>
    </row>
    <row r="52" spans="1:18" ht="9.9499999999999993" customHeight="1">
      <c r="E52" s="291"/>
      <c r="F52" s="291"/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6"/>
    </row>
    <row r="53" spans="1:18" ht="24">
      <c r="D53" s="318"/>
      <c r="E53" s="319" t="s">
        <v>589</v>
      </c>
      <c r="F53" s="320" t="s">
        <v>1</v>
      </c>
      <c r="G53" s="320" t="s">
        <v>2</v>
      </c>
      <c r="H53" s="320" t="s">
        <v>590</v>
      </c>
      <c r="I53" s="320" t="s">
        <v>591</v>
      </c>
      <c r="J53" s="320" t="s">
        <v>592</v>
      </c>
      <c r="K53" s="320" t="s">
        <v>593</v>
      </c>
      <c r="L53" s="321"/>
      <c r="M53" s="320" t="s">
        <v>594</v>
      </c>
      <c r="N53" s="320" t="s">
        <v>6</v>
      </c>
      <c r="O53" s="320" t="s">
        <v>7</v>
      </c>
      <c r="P53" s="320" t="s">
        <v>8</v>
      </c>
      <c r="Q53" s="322" t="s">
        <v>9</v>
      </c>
      <c r="R53" s="323" t="s">
        <v>595</v>
      </c>
    </row>
    <row r="54" spans="1:18" ht="30" customHeight="1">
      <c r="D54" s="324" t="s">
        <v>596</v>
      </c>
      <c r="E54" s="325"/>
      <c r="F54" s="228"/>
      <c r="G54" s="265" t="s">
        <v>706</v>
      </c>
      <c r="H54" s="228"/>
      <c r="I54" s="228"/>
      <c r="J54" s="228" t="s">
        <v>903</v>
      </c>
      <c r="K54" s="228"/>
      <c r="L54" s="212"/>
      <c r="M54" s="212" t="s">
        <v>950</v>
      </c>
      <c r="N54" s="228" t="s">
        <v>620</v>
      </c>
      <c r="O54" s="228"/>
      <c r="P54" s="228"/>
      <c r="Q54" s="228"/>
      <c r="R54" s="328"/>
    </row>
    <row r="55" spans="1:18" ht="30" customHeight="1">
      <c r="D55" s="329" t="s">
        <v>597</v>
      </c>
      <c r="E55" s="457"/>
      <c r="F55" s="242"/>
      <c r="G55" s="242" t="s">
        <v>319</v>
      </c>
      <c r="H55" s="242"/>
      <c r="I55" s="238"/>
      <c r="J55" s="242"/>
      <c r="K55" s="242" t="s">
        <v>598</v>
      </c>
      <c r="L55" s="219"/>
      <c r="M55" s="242"/>
      <c r="N55" s="242"/>
      <c r="O55" s="331"/>
      <c r="P55" s="331"/>
      <c r="Q55" s="242"/>
      <c r="R55" s="332"/>
    </row>
    <row r="56" spans="1:18" ht="50.1" customHeight="1">
      <c r="D56" s="333" t="s">
        <v>599</v>
      </c>
      <c r="E56" s="490" t="s">
        <v>806</v>
      </c>
      <c r="F56" s="238" t="s">
        <v>600</v>
      </c>
      <c r="G56" s="238" t="s">
        <v>601</v>
      </c>
      <c r="H56" s="238"/>
      <c r="I56" s="242" t="s">
        <v>602</v>
      </c>
      <c r="J56" s="238" t="s">
        <v>603</v>
      </c>
      <c r="K56" s="238" t="s">
        <v>921</v>
      </c>
      <c r="L56" s="219"/>
      <c r="M56" s="238"/>
      <c r="N56" s="242"/>
      <c r="O56" s="242"/>
      <c r="P56" s="242"/>
      <c r="Q56" s="242"/>
      <c r="R56" s="334"/>
    </row>
    <row r="57" spans="1:18" ht="30" customHeight="1">
      <c r="D57" s="324" t="s">
        <v>604</v>
      </c>
      <c r="E57" s="330"/>
      <c r="F57" s="331"/>
      <c r="G57" s="242"/>
      <c r="H57" s="242"/>
      <c r="I57" s="242"/>
      <c r="J57" s="242"/>
      <c r="K57" s="242"/>
      <c r="L57" s="309"/>
      <c r="M57" s="331"/>
      <c r="N57" s="331"/>
      <c r="O57" s="331"/>
      <c r="P57" s="331"/>
      <c r="Q57" s="331"/>
      <c r="R57" s="332"/>
    </row>
    <row r="58" spans="1:18" ht="30" customHeight="1">
      <c r="D58" s="335" t="s">
        <v>605</v>
      </c>
      <c r="E58" s="336"/>
      <c r="F58" s="337"/>
      <c r="G58" s="338"/>
      <c r="H58" s="337"/>
      <c r="I58" s="337"/>
      <c r="J58" s="337"/>
      <c r="K58" s="337"/>
      <c r="L58" s="339"/>
      <c r="M58" s="337"/>
      <c r="N58" s="337"/>
      <c r="O58" s="338" t="s">
        <v>606</v>
      </c>
      <c r="P58" s="338"/>
      <c r="Q58" s="337"/>
      <c r="R58" s="340"/>
    </row>
    <row r="61" spans="1:18" ht="24">
      <c r="D61" s="356"/>
      <c r="E61" s="320" t="s">
        <v>0</v>
      </c>
      <c r="F61" s="320" t="s">
        <v>1</v>
      </c>
      <c r="G61" s="320" t="s">
        <v>2</v>
      </c>
      <c r="H61" s="320" t="s">
        <v>3</v>
      </c>
      <c r="I61" s="320" t="s">
        <v>81</v>
      </c>
      <c r="J61" s="320" t="s">
        <v>80</v>
      </c>
      <c r="K61" s="320" t="s">
        <v>79</v>
      </c>
      <c r="L61" s="321"/>
      <c r="M61" s="320" t="s">
        <v>5</v>
      </c>
      <c r="N61" s="320" t="s">
        <v>6</v>
      </c>
      <c r="O61" s="320" t="s">
        <v>7</v>
      </c>
      <c r="P61" s="320" t="s">
        <v>8</v>
      </c>
      <c r="Q61" s="320" t="s">
        <v>9</v>
      </c>
      <c r="R61" s="323" t="s">
        <v>78</v>
      </c>
    </row>
    <row r="62" spans="1:18">
      <c r="D62" s="357" t="s">
        <v>629</v>
      </c>
      <c r="E62" s="358"/>
      <c r="F62" s="358"/>
      <c r="G62" s="358"/>
      <c r="H62" s="391"/>
      <c r="I62" s="392"/>
      <c r="J62" s="392"/>
      <c r="K62" s="358"/>
      <c r="L62" s="360"/>
      <c r="M62" s="358"/>
      <c r="N62" s="358"/>
      <c r="O62" s="358"/>
      <c r="P62" s="358"/>
      <c r="Q62" s="358"/>
      <c r="R62" s="361"/>
    </row>
    <row r="63" spans="1:18">
      <c r="D63" s="362"/>
      <c r="E63" s="363"/>
      <c r="F63" s="363"/>
      <c r="G63" s="363"/>
      <c r="H63" s="557"/>
      <c r="I63" s="394" t="s">
        <v>625</v>
      </c>
      <c r="J63" s="394" t="s">
        <v>626</v>
      </c>
      <c r="K63" s="363"/>
      <c r="L63" s="365"/>
      <c r="M63" s="363"/>
      <c r="N63" s="363"/>
      <c r="O63" s="363"/>
      <c r="P63" s="363"/>
      <c r="Q63" s="363"/>
      <c r="R63" s="366"/>
    </row>
    <row r="64" spans="1:18">
      <c r="H64" s="200"/>
      <c r="I64" s="200"/>
      <c r="J64" s="200"/>
    </row>
  </sheetData>
  <mergeCells count="23">
    <mergeCell ref="A1:Q1"/>
    <mergeCell ref="A2:Q2"/>
    <mergeCell ref="C4:D10"/>
    <mergeCell ref="E4:F4"/>
    <mergeCell ref="T4:Y4"/>
    <mergeCell ref="T5:Y9"/>
    <mergeCell ref="T10:Y10"/>
    <mergeCell ref="A31:A32"/>
    <mergeCell ref="B31:B32"/>
    <mergeCell ref="C31:D33"/>
    <mergeCell ref="T31:Y33"/>
    <mergeCell ref="P11:Q14"/>
    <mergeCell ref="T11:Y18"/>
    <mergeCell ref="C15:D15"/>
    <mergeCell ref="C16:D22"/>
    <mergeCell ref="T19:Y19"/>
    <mergeCell ref="C23:D23"/>
    <mergeCell ref="T20:Y23"/>
    <mergeCell ref="D41:Q51"/>
    <mergeCell ref="P24:Q27"/>
    <mergeCell ref="T24:Y24"/>
    <mergeCell ref="T25:Y29"/>
    <mergeCell ref="C28:D29"/>
  </mergeCells>
  <phoneticPr fontId="3" type="noConversion"/>
  <pageMargins left="0.7" right="0.7" top="0.75" bottom="0.75" header="0.3" footer="0.3"/>
  <pageSetup paperSize="9" scale="26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7"/>
  <sheetViews>
    <sheetView topLeftCell="A8" zoomScale="85" zoomScaleNormal="85" workbookViewId="0">
      <selection activeCell="O22" sqref="O22"/>
    </sheetView>
  </sheetViews>
  <sheetFormatPr defaultRowHeight="16.5"/>
  <cols>
    <col min="1" max="1" width="3.25" style="12" customWidth="1"/>
    <col min="2" max="2" width="10" style="16" customWidth="1"/>
    <col min="3" max="4" width="11.875" style="16" customWidth="1"/>
    <col min="5" max="11" width="11.875" style="12" customWidth="1"/>
    <col min="12" max="12" width="2.625" style="15" customWidth="1"/>
    <col min="13" max="17" width="11.875" style="12" customWidth="1"/>
    <col min="18" max="18" width="11.875" style="14" customWidth="1"/>
    <col min="19" max="19" width="11.875" style="13" customWidth="1"/>
    <col min="20" max="20" width="1.625" style="12" customWidth="1"/>
    <col min="21" max="26" width="8.125" style="12" customWidth="1"/>
    <col min="27" max="16384" width="9" style="12"/>
  </cols>
  <sheetData>
    <row r="1" spans="1:31" ht="16.5" hidden="1" customHeight="1">
      <c r="A1" s="636" t="s">
        <v>196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134"/>
    </row>
    <row r="2" spans="1:31" ht="18" customHeight="1">
      <c r="A2" s="638" t="s">
        <v>343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133"/>
      <c r="U2" s="73"/>
      <c r="V2" s="73"/>
      <c r="W2" s="73"/>
      <c r="X2" s="73"/>
      <c r="Y2" s="73"/>
      <c r="Z2" s="73"/>
      <c r="AB2" s="73"/>
      <c r="AC2" s="73"/>
      <c r="AD2" s="73"/>
      <c r="AE2" s="73"/>
    </row>
    <row r="3" spans="1:31" ht="21" customHeight="1" thickBot="1">
      <c r="A3" s="132"/>
      <c r="B3" s="131" t="s">
        <v>195</v>
      </c>
      <c r="C3" s="129" t="s">
        <v>194</v>
      </c>
      <c r="D3" s="129" t="s">
        <v>193</v>
      </c>
      <c r="E3" s="129" t="s">
        <v>0</v>
      </c>
      <c r="F3" s="129" t="s">
        <v>1</v>
      </c>
      <c r="G3" s="129" t="s">
        <v>2</v>
      </c>
      <c r="H3" s="129" t="s">
        <v>3</v>
      </c>
      <c r="I3" s="129" t="s">
        <v>81</v>
      </c>
      <c r="J3" s="129" t="s">
        <v>80</v>
      </c>
      <c r="K3" s="129" t="s">
        <v>79</v>
      </c>
      <c r="L3" s="130" t="s">
        <v>4</v>
      </c>
      <c r="M3" s="129" t="s">
        <v>5</v>
      </c>
      <c r="N3" s="129" t="s">
        <v>6</v>
      </c>
      <c r="O3" s="129" t="s">
        <v>7</v>
      </c>
      <c r="P3" s="129" t="s">
        <v>8</v>
      </c>
      <c r="Q3" s="129" t="s">
        <v>9</v>
      </c>
      <c r="R3" s="128"/>
      <c r="T3" s="69"/>
      <c r="U3" s="73"/>
      <c r="V3" s="73"/>
      <c r="W3" s="73"/>
      <c r="X3" s="73"/>
      <c r="Y3" s="73"/>
      <c r="Z3" s="73"/>
      <c r="AA3" s="121"/>
      <c r="AB3" s="73"/>
      <c r="AC3" s="73"/>
      <c r="AD3" s="73"/>
      <c r="AE3" s="73"/>
    </row>
    <row r="4" spans="1:31" s="73" customFormat="1" ht="27.95" customHeight="1" thickBot="1">
      <c r="A4" s="105">
        <v>1</v>
      </c>
      <c r="B4" s="125" t="s">
        <v>192</v>
      </c>
      <c r="C4" s="640"/>
      <c r="D4" s="641"/>
      <c r="E4" s="646" t="s">
        <v>98</v>
      </c>
      <c r="F4" s="647"/>
      <c r="G4" s="84" t="s">
        <v>73</v>
      </c>
      <c r="H4" s="86" t="s">
        <v>183</v>
      </c>
      <c r="I4" s="86"/>
      <c r="J4" s="36" t="s">
        <v>191</v>
      </c>
      <c r="K4" s="86" t="s">
        <v>190</v>
      </c>
      <c r="L4" s="89"/>
      <c r="M4" s="86" t="s">
        <v>91</v>
      </c>
      <c r="N4" s="84" t="s">
        <v>285</v>
      </c>
      <c r="O4" s="86" t="s">
        <v>253</v>
      </c>
      <c r="P4" s="57" t="s">
        <v>46</v>
      </c>
      <c r="Q4" s="1" t="s">
        <v>189</v>
      </c>
      <c r="R4" s="128"/>
      <c r="S4" s="13">
        <f t="shared" ref="S4:S10" si="0">COUNTBLANK(E4:Q4)-1</f>
        <v>2</v>
      </c>
      <c r="T4" s="69"/>
      <c r="U4" s="648" t="s">
        <v>188</v>
      </c>
      <c r="V4" s="649"/>
      <c r="W4" s="649"/>
      <c r="X4" s="649"/>
      <c r="Y4" s="649"/>
      <c r="Z4" s="650"/>
    </row>
    <row r="5" spans="1:31" s="73" customFormat="1" ht="27.95" customHeight="1">
      <c r="A5" s="105">
        <v>2</v>
      </c>
      <c r="B5" s="125" t="s">
        <v>165</v>
      </c>
      <c r="C5" s="642"/>
      <c r="D5" s="643"/>
      <c r="E5" s="57" t="s">
        <v>89</v>
      </c>
      <c r="F5" s="57" t="s">
        <v>229</v>
      </c>
      <c r="G5" s="2" t="s">
        <v>144</v>
      </c>
      <c r="H5" s="84" t="s">
        <v>164</v>
      </c>
      <c r="I5" s="84" t="s">
        <v>163</v>
      </c>
      <c r="J5" s="84"/>
      <c r="K5" s="57" t="s">
        <v>162</v>
      </c>
      <c r="L5" s="57"/>
      <c r="M5" s="84" t="s">
        <v>266</v>
      </c>
      <c r="N5" s="85" t="s">
        <v>161</v>
      </c>
      <c r="O5" s="84" t="s">
        <v>203</v>
      </c>
      <c r="P5" s="116" t="s">
        <v>200</v>
      </c>
      <c r="Q5" s="110" t="s">
        <v>10</v>
      </c>
      <c r="R5" s="128"/>
      <c r="S5" s="13"/>
      <c r="T5" s="69"/>
      <c r="U5" s="651" t="s">
        <v>353</v>
      </c>
      <c r="V5" s="652"/>
      <c r="W5" s="652"/>
      <c r="X5" s="652"/>
      <c r="Y5" s="652"/>
      <c r="Z5" s="653"/>
    </row>
    <row r="6" spans="1:31" s="73" customFormat="1" ht="27.95" customHeight="1">
      <c r="A6" s="105">
        <v>3</v>
      </c>
      <c r="B6" s="108" t="s">
        <v>160</v>
      </c>
      <c r="C6" s="642"/>
      <c r="D6" s="643"/>
      <c r="E6" s="84" t="s">
        <v>158</v>
      </c>
      <c r="F6" s="84" t="s">
        <v>159</v>
      </c>
      <c r="G6" s="84" t="s">
        <v>11</v>
      </c>
      <c r="H6" s="84" t="s">
        <v>158</v>
      </c>
      <c r="I6" s="84" t="s">
        <v>157</v>
      </c>
      <c r="J6" s="84" t="s">
        <v>214</v>
      </c>
      <c r="K6" s="2" t="s">
        <v>156</v>
      </c>
      <c r="L6" s="84"/>
      <c r="M6" s="84" t="s">
        <v>10</v>
      </c>
      <c r="N6" s="31" t="s">
        <v>155</v>
      </c>
      <c r="O6" s="123" t="s">
        <v>154</v>
      </c>
      <c r="P6" s="110" t="s">
        <v>64</v>
      </c>
      <c r="Q6" s="142" t="s">
        <v>235</v>
      </c>
      <c r="R6" s="74"/>
      <c r="S6" s="13">
        <f>COUNTBLANK(E12:Q12)-1</f>
        <v>2</v>
      </c>
      <c r="T6" s="69"/>
      <c r="U6" s="654"/>
      <c r="V6" s="655"/>
      <c r="W6" s="655"/>
      <c r="X6" s="655"/>
      <c r="Y6" s="655"/>
      <c r="Z6" s="656"/>
    </row>
    <row r="7" spans="1:31" s="73" customFormat="1" ht="27.95" customHeight="1">
      <c r="A7" s="105">
        <v>4</v>
      </c>
      <c r="B7" s="111" t="s">
        <v>153</v>
      </c>
      <c r="C7" s="642"/>
      <c r="D7" s="643"/>
      <c r="E7" s="2" t="s">
        <v>159</v>
      </c>
      <c r="F7" s="57" t="s">
        <v>152</v>
      </c>
      <c r="G7" s="110" t="s">
        <v>336</v>
      </c>
      <c r="H7" s="84" t="s">
        <v>151</v>
      </c>
      <c r="I7" s="2" t="s">
        <v>150</v>
      </c>
      <c r="J7" s="57" t="s">
        <v>254</v>
      </c>
      <c r="K7" s="84" t="s">
        <v>208</v>
      </c>
      <c r="L7" s="84"/>
      <c r="M7" s="84" t="s">
        <v>12</v>
      </c>
      <c r="N7" s="57" t="s">
        <v>149</v>
      </c>
      <c r="O7" s="89" t="s">
        <v>148</v>
      </c>
      <c r="P7" s="146" t="s">
        <v>57</v>
      </c>
      <c r="Q7" s="110" t="s">
        <v>53</v>
      </c>
      <c r="R7" s="74"/>
      <c r="S7" s="13">
        <f>COUNTBLANK(E13:Q13)-1</f>
        <v>3</v>
      </c>
      <c r="T7" s="69"/>
      <c r="U7" s="654"/>
      <c r="V7" s="655"/>
      <c r="W7" s="655"/>
      <c r="X7" s="655"/>
      <c r="Y7" s="655"/>
      <c r="Z7" s="656"/>
    </row>
    <row r="8" spans="1:31" s="73" customFormat="1" ht="27.95" customHeight="1">
      <c r="A8" s="105">
        <v>5</v>
      </c>
      <c r="B8" s="122" t="s">
        <v>175</v>
      </c>
      <c r="C8" s="642"/>
      <c r="D8" s="643"/>
      <c r="E8" s="84" t="s">
        <v>64</v>
      </c>
      <c r="F8" s="84" t="s">
        <v>167</v>
      </c>
      <c r="G8" s="36" t="s">
        <v>174</v>
      </c>
      <c r="H8" s="84" t="s">
        <v>173</v>
      </c>
      <c r="I8" s="84" t="s">
        <v>145</v>
      </c>
      <c r="J8" s="57" t="s">
        <v>13</v>
      </c>
      <c r="K8" s="121" t="s">
        <v>274</v>
      </c>
      <c r="L8" s="84"/>
      <c r="M8" s="89" t="s">
        <v>172</v>
      </c>
      <c r="N8" s="57" t="s">
        <v>147</v>
      </c>
      <c r="O8" s="2" t="s">
        <v>235</v>
      </c>
      <c r="P8" s="89" t="s">
        <v>265</v>
      </c>
      <c r="Q8" s="84" t="s">
        <v>208</v>
      </c>
      <c r="R8" s="74"/>
      <c r="S8" s="13">
        <f t="shared" si="0"/>
        <v>0</v>
      </c>
      <c r="T8" s="69"/>
      <c r="U8" s="654"/>
      <c r="V8" s="655"/>
      <c r="W8" s="655"/>
      <c r="X8" s="655"/>
      <c r="Y8" s="655"/>
      <c r="Z8" s="656"/>
    </row>
    <row r="9" spans="1:31" s="73" customFormat="1" ht="27.95" customHeight="1" thickBot="1">
      <c r="A9" s="105">
        <v>6</v>
      </c>
      <c r="B9" s="111" t="s">
        <v>59</v>
      </c>
      <c r="C9" s="642"/>
      <c r="D9" s="643"/>
      <c r="E9" s="2" t="s">
        <v>56</v>
      </c>
      <c r="F9" s="57" t="s">
        <v>147</v>
      </c>
      <c r="G9" s="84" t="s">
        <v>57</v>
      </c>
      <c r="H9" s="84" t="s">
        <v>53</v>
      </c>
      <c r="I9" s="2" t="s">
        <v>248</v>
      </c>
      <c r="J9" s="57" t="s">
        <v>146</v>
      </c>
      <c r="K9" s="84" t="s">
        <v>258</v>
      </c>
      <c r="L9" s="84"/>
      <c r="M9" s="84" t="s">
        <v>145</v>
      </c>
      <c r="N9" s="57" t="s">
        <v>144</v>
      </c>
      <c r="O9" s="57" t="s">
        <v>45</v>
      </c>
      <c r="P9" s="116" t="s">
        <v>305</v>
      </c>
      <c r="Q9" s="146" t="s">
        <v>337</v>
      </c>
      <c r="R9" s="74"/>
      <c r="S9" s="13">
        <f>COUNTBLANK(E14:Q14)-1</f>
        <v>2</v>
      </c>
      <c r="T9" s="69"/>
      <c r="U9" s="657"/>
      <c r="V9" s="658"/>
      <c r="W9" s="658"/>
      <c r="X9" s="658"/>
      <c r="Y9" s="658"/>
      <c r="Z9" s="659"/>
    </row>
    <row r="10" spans="1:31" s="73" customFormat="1" ht="27.95" customHeight="1" thickBot="1">
      <c r="A10" s="105">
        <v>7</v>
      </c>
      <c r="B10" s="109" t="s">
        <v>168</v>
      </c>
      <c r="C10" s="644"/>
      <c r="D10" s="645"/>
      <c r="E10" s="77" t="s">
        <v>154</v>
      </c>
      <c r="F10" s="127" t="s">
        <v>53</v>
      </c>
      <c r="G10" s="77" t="s">
        <v>261</v>
      </c>
      <c r="H10" s="77" t="s">
        <v>167</v>
      </c>
      <c r="I10" s="119" t="s">
        <v>285</v>
      </c>
      <c r="J10" s="183" t="s">
        <v>29</v>
      </c>
      <c r="K10" s="77" t="s">
        <v>46</v>
      </c>
      <c r="L10" s="10"/>
      <c r="M10" s="77" t="s">
        <v>150</v>
      </c>
      <c r="N10" s="77" t="s">
        <v>244</v>
      </c>
      <c r="O10" s="77" t="s">
        <v>151</v>
      </c>
      <c r="P10" s="77" t="s">
        <v>174</v>
      </c>
      <c r="Q10" s="77" t="s">
        <v>200</v>
      </c>
      <c r="R10" s="74"/>
      <c r="S10" s="13">
        <f t="shared" si="0"/>
        <v>0</v>
      </c>
      <c r="T10" s="69"/>
      <c r="U10" s="660" t="s">
        <v>166</v>
      </c>
      <c r="V10" s="661"/>
      <c r="W10" s="661"/>
      <c r="X10" s="661"/>
      <c r="Y10" s="661"/>
      <c r="Z10" s="662"/>
    </row>
    <row r="11" spans="1:31" s="73" customFormat="1" ht="27.95" customHeight="1">
      <c r="A11" s="105">
        <v>8</v>
      </c>
      <c r="B11" s="122" t="s">
        <v>143</v>
      </c>
      <c r="C11" s="155" t="s">
        <v>57</v>
      </c>
      <c r="D11" s="155" t="s">
        <v>57</v>
      </c>
      <c r="E11" s="86" t="s">
        <v>261</v>
      </c>
      <c r="F11" s="121" t="s">
        <v>106</v>
      </c>
      <c r="G11" s="86" t="s">
        <v>142</v>
      </c>
      <c r="H11" s="161" t="s">
        <v>335</v>
      </c>
      <c r="I11" s="135" t="s">
        <v>173</v>
      </c>
      <c r="J11" s="86" t="s">
        <v>248</v>
      </c>
      <c r="K11" s="86" t="s">
        <v>146</v>
      </c>
      <c r="L11" s="36"/>
      <c r="M11" s="168" t="s">
        <v>247</v>
      </c>
      <c r="N11" s="38" t="s">
        <v>274</v>
      </c>
      <c r="O11" s="161" t="s">
        <v>320</v>
      </c>
      <c r="P11" s="674"/>
      <c r="Q11" s="675"/>
      <c r="R11" s="74"/>
      <c r="S11" s="13"/>
      <c r="T11" s="69"/>
      <c r="U11" s="651" t="s">
        <v>354</v>
      </c>
      <c r="V11" s="652"/>
      <c r="W11" s="652"/>
      <c r="X11" s="652"/>
      <c r="Y11" s="652"/>
      <c r="Z11" s="653"/>
    </row>
    <row r="12" spans="1:31" s="73" customFormat="1" ht="27.95" customHeight="1">
      <c r="A12" s="105">
        <v>9</v>
      </c>
      <c r="B12" s="115" t="s">
        <v>187</v>
      </c>
      <c r="C12" s="125" t="s">
        <v>106</v>
      </c>
      <c r="D12" s="125" t="s">
        <v>106</v>
      </c>
      <c r="E12" s="36" t="s">
        <v>174</v>
      </c>
      <c r="F12" s="84" t="s">
        <v>145</v>
      </c>
      <c r="G12" s="84" t="s">
        <v>186</v>
      </c>
      <c r="H12" s="57" t="s">
        <v>161</v>
      </c>
      <c r="I12" s="57" t="s">
        <v>184</v>
      </c>
      <c r="J12" s="86" t="s">
        <v>202</v>
      </c>
      <c r="K12" s="192" t="s">
        <v>327</v>
      </c>
      <c r="L12" s="57"/>
      <c r="M12" s="84" t="s">
        <v>254</v>
      </c>
      <c r="N12" s="84" t="s">
        <v>183</v>
      </c>
      <c r="O12" s="86" t="s">
        <v>182</v>
      </c>
      <c r="P12" s="676"/>
      <c r="Q12" s="677"/>
      <c r="R12" s="74"/>
      <c r="S12" s="13">
        <f>COUNTBLANK(E5:Q5)-3</f>
        <v>-1</v>
      </c>
      <c r="T12" s="69"/>
      <c r="U12" s="654"/>
      <c r="V12" s="655"/>
      <c r="W12" s="655"/>
      <c r="X12" s="655"/>
      <c r="Y12" s="655"/>
      <c r="Z12" s="656"/>
      <c r="AA12" s="124"/>
    </row>
    <row r="13" spans="1:31" s="73" customFormat="1" ht="27.95" customHeight="1">
      <c r="A13" s="105">
        <v>10</v>
      </c>
      <c r="B13" s="125" t="s">
        <v>181</v>
      </c>
      <c r="C13" s="125" t="s">
        <v>203</v>
      </c>
      <c r="D13" s="125" t="s">
        <v>203</v>
      </c>
      <c r="E13" s="2" t="s">
        <v>180</v>
      </c>
      <c r="F13" s="84" t="s">
        <v>179</v>
      </c>
      <c r="G13" s="167" t="s">
        <v>328</v>
      </c>
      <c r="H13" s="84" t="s">
        <v>106</v>
      </c>
      <c r="I13" s="86" t="s">
        <v>178</v>
      </c>
      <c r="J13" s="3" t="s">
        <v>177</v>
      </c>
      <c r="K13" s="84"/>
      <c r="L13" s="57"/>
      <c r="M13" s="57" t="s">
        <v>164</v>
      </c>
      <c r="N13" s="86" t="s">
        <v>57</v>
      </c>
      <c r="O13" s="84" t="s">
        <v>176</v>
      </c>
      <c r="P13" s="676"/>
      <c r="Q13" s="677"/>
      <c r="R13" s="74"/>
      <c r="S13" s="13">
        <f>COUNTBLANK(E6:Q6)-3</f>
        <v>-2</v>
      </c>
      <c r="T13" s="69"/>
      <c r="U13" s="654"/>
      <c r="V13" s="655"/>
      <c r="W13" s="655"/>
      <c r="X13" s="655"/>
      <c r="Y13" s="655"/>
      <c r="Z13" s="656"/>
    </row>
    <row r="14" spans="1:31" s="73" customFormat="1" ht="27.95" customHeight="1" thickBot="1">
      <c r="A14" s="105">
        <v>11</v>
      </c>
      <c r="B14" s="109" t="s">
        <v>171</v>
      </c>
      <c r="C14" s="156" t="s">
        <v>307</v>
      </c>
      <c r="D14" s="156" t="s">
        <v>298</v>
      </c>
      <c r="E14" s="78" t="s">
        <v>170</v>
      </c>
      <c r="F14" s="78" t="s">
        <v>151</v>
      </c>
      <c r="G14" s="78" t="s">
        <v>207</v>
      </c>
      <c r="H14" s="78" t="s">
        <v>220</v>
      </c>
      <c r="I14" s="78" t="s">
        <v>265</v>
      </c>
      <c r="J14" s="78" t="s">
        <v>169</v>
      </c>
      <c r="K14" s="11" t="s">
        <v>238</v>
      </c>
      <c r="L14" s="78"/>
      <c r="M14" s="78" t="s">
        <v>199</v>
      </c>
      <c r="N14" s="150" t="s">
        <v>203</v>
      </c>
      <c r="O14" s="119" t="s">
        <v>255</v>
      </c>
      <c r="P14" s="678"/>
      <c r="Q14" s="679"/>
      <c r="R14" s="74"/>
      <c r="S14" s="13"/>
      <c r="T14" s="69"/>
      <c r="U14" s="654"/>
      <c r="V14" s="655"/>
      <c r="W14" s="655"/>
      <c r="X14" s="655"/>
      <c r="Y14" s="655"/>
      <c r="Z14" s="656"/>
    </row>
    <row r="15" spans="1:31" s="118" customFormat="1" ht="27.95" customHeight="1" thickBot="1">
      <c r="A15" s="105">
        <v>12</v>
      </c>
      <c r="B15" s="120" t="s">
        <v>141</v>
      </c>
      <c r="C15" s="680"/>
      <c r="D15" s="681"/>
      <c r="E15" s="119" t="s">
        <v>140</v>
      </c>
      <c r="F15" s="147" t="s">
        <v>274</v>
      </c>
      <c r="G15" s="148" t="s">
        <v>172</v>
      </c>
      <c r="H15" s="147" t="s">
        <v>67</v>
      </c>
      <c r="I15" s="179" t="s">
        <v>352</v>
      </c>
      <c r="J15" s="77" t="s">
        <v>238</v>
      </c>
      <c r="K15" s="77" t="s">
        <v>261</v>
      </c>
      <c r="L15" s="119"/>
      <c r="M15" s="77" t="s">
        <v>206</v>
      </c>
      <c r="N15" s="77" t="s">
        <v>236</v>
      </c>
      <c r="O15" s="77" t="s">
        <v>295</v>
      </c>
      <c r="P15" s="119" t="s">
        <v>205</v>
      </c>
      <c r="Q15" s="149"/>
      <c r="R15" s="74"/>
      <c r="S15" s="13">
        <f>COUNTBLANK(E15:Q15)-3</f>
        <v>-1</v>
      </c>
      <c r="T15" s="69"/>
      <c r="U15" s="654"/>
      <c r="V15" s="655"/>
      <c r="W15" s="655"/>
      <c r="X15" s="655"/>
      <c r="Y15" s="655"/>
      <c r="Z15" s="656"/>
    </row>
    <row r="16" spans="1:31" s="118" customFormat="1" ht="27.95" customHeight="1">
      <c r="A16" s="105">
        <v>13</v>
      </c>
      <c r="B16" s="108" t="s">
        <v>14</v>
      </c>
      <c r="C16" s="682"/>
      <c r="D16" s="683"/>
      <c r="E16" s="86" t="s">
        <v>198</v>
      </c>
      <c r="F16" s="89" t="s">
        <v>15</v>
      </c>
      <c r="G16" s="89" t="s">
        <v>16</v>
      </c>
      <c r="H16" s="89" t="s">
        <v>62</v>
      </c>
      <c r="I16" s="86" t="s">
        <v>51</v>
      </c>
      <c r="J16" s="89" t="s">
        <v>17</v>
      </c>
      <c r="K16" s="86" t="s">
        <v>54</v>
      </c>
      <c r="L16" s="89"/>
      <c r="M16" s="86" t="s">
        <v>18</v>
      </c>
      <c r="N16" s="86" t="s">
        <v>25</v>
      </c>
      <c r="O16" s="89" t="s">
        <v>262</v>
      </c>
      <c r="P16" s="116" t="s">
        <v>23</v>
      </c>
      <c r="Q16" s="136" t="s">
        <v>44</v>
      </c>
      <c r="R16" s="74"/>
      <c r="S16" s="13"/>
      <c r="T16" s="69"/>
      <c r="U16" s="654"/>
      <c r="V16" s="655"/>
      <c r="W16" s="655"/>
      <c r="X16" s="655"/>
      <c r="Y16" s="655"/>
      <c r="Z16" s="656"/>
    </row>
    <row r="17" spans="1:32" s="118" customFormat="1" ht="27.95" customHeight="1">
      <c r="A17" s="105">
        <v>14</v>
      </c>
      <c r="B17" s="107" t="s">
        <v>119</v>
      </c>
      <c r="C17" s="684"/>
      <c r="D17" s="685"/>
      <c r="E17" s="86" t="s">
        <v>348</v>
      </c>
      <c r="F17" s="89" t="s">
        <v>20</v>
      </c>
      <c r="G17" s="86" t="s">
        <v>240</v>
      </c>
      <c r="H17" s="191" t="s">
        <v>326</v>
      </c>
      <c r="I17" s="89" t="s">
        <v>118</v>
      </c>
      <c r="J17" s="30" t="s">
        <v>234</v>
      </c>
      <c r="K17" s="89" t="s">
        <v>117</v>
      </c>
      <c r="L17" s="36"/>
      <c r="M17" s="143" t="s">
        <v>292</v>
      </c>
      <c r="N17" s="36" t="s">
        <v>116</v>
      </c>
      <c r="O17" s="84" t="s">
        <v>237</v>
      </c>
      <c r="P17" s="116" t="s">
        <v>72</v>
      </c>
      <c r="Q17" s="135" t="s">
        <v>272</v>
      </c>
      <c r="R17" s="74"/>
      <c r="S17" s="13" t="e">
        <f>COUNTBLANK(#REF!)-1</f>
        <v>#REF!</v>
      </c>
      <c r="T17" s="69"/>
      <c r="U17" s="654"/>
      <c r="V17" s="655"/>
      <c r="W17" s="655"/>
      <c r="X17" s="655"/>
      <c r="Y17" s="655"/>
      <c r="Z17" s="656"/>
    </row>
    <row r="18" spans="1:32" s="118" customFormat="1" ht="27.95" customHeight="1" thickBot="1">
      <c r="A18" s="105">
        <v>15</v>
      </c>
      <c r="B18" s="115" t="s">
        <v>139</v>
      </c>
      <c r="C18" s="684"/>
      <c r="D18" s="685"/>
      <c r="E18" s="2" t="s">
        <v>260</v>
      </c>
      <c r="F18" s="30" t="s">
        <v>349</v>
      </c>
      <c r="G18" s="135" t="s">
        <v>94</v>
      </c>
      <c r="H18" s="84" t="s">
        <v>226</v>
      </c>
      <c r="I18" s="170" t="s">
        <v>231</v>
      </c>
      <c r="J18" s="86" t="s">
        <v>138</v>
      </c>
      <c r="K18" s="169" t="s">
        <v>334</v>
      </c>
      <c r="L18" s="57"/>
      <c r="M18" s="86" t="s">
        <v>275</v>
      </c>
      <c r="N18" s="86" t="s">
        <v>137</v>
      </c>
      <c r="O18" s="84" t="s">
        <v>136</v>
      </c>
      <c r="P18" s="117" t="s">
        <v>135</v>
      </c>
      <c r="Q18" s="86" t="s">
        <v>267</v>
      </c>
      <c r="R18" s="74"/>
      <c r="S18" s="13"/>
      <c r="T18" s="69"/>
      <c r="U18" s="657"/>
      <c r="V18" s="658"/>
      <c r="W18" s="658"/>
      <c r="X18" s="658"/>
      <c r="Y18" s="658"/>
      <c r="Z18" s="659"/>
    </row>
    <row r="19" spans="1:32" s="73" customFormat="1" ht="27.95" customHeight="1" thickBot="1">
      <c r="A19" s="105">
        <v>16</v>
      </c>
      <c r="B19" s="107" t="s">
        <v>115</v>
      </c>
      <c r="C19" s="684"/>
      <c r="D19" s="685"/>
      <c r="E19" s="57" t="s">
        <v>114</v>
      </c>
      <c r="F19" s="84" t="s">
        <v>210</v>
      </c>
      <c r="G19" s="84" t="s">
        <v>52</v>
      </c>
      <c r="H19" s="57" t="s">
        <v>22</v>
      </c>
      <c r="I19" s="57" t="s">
        <v>275</v>
      </c>
      <c r="J19" s="86" t="s">
        <v>286</v>
      </c>
      <c r="K19" s="36" t="s">
        <v>113</v>
      </c>
      <c r="L19" s="53"/>
      <c r="M19" s="2" t="s">
        <v>221</v>
      </c>
      <c r="N19" s="26" t="s">
        <v>110</v>
      </c>
      <c r="O19" s="89" t="s">
        <v>63</v>
      </c>
      <c r="P19" s="116" t="s">
        <v>55</v>
      </c>
      <c r="Q19" s="116" t="s">
        <v>70</v>
      </c>
      <c r="R19" s="74"/>
      <c r="S19" s="13">
        <f>COUNTBLANK(E18:Q18)-1</f>
        <v>0</v>
      </c>
      <c r="T19" s="69"/>
      <c r="U19" s="688" t="s">
        <v>306</v>
      </c>
      <c r="V19" s="689"/>
      <c r="W19" s="689"/>
      <c r="X19" s="689"/>
      <c r="Y19" s="689"/>
      <c r="Z19" s="690"/>
    </row>
    <row r="20" spans="1:32" s="73" customFormat="1" ht="27.95" customHeight="1">
      <c r="A20" s="105">
        <v>17</v>
      </c>
      <c r="B20" s="114" t="s">
        <v>130</v>
      </c>
      <c r="C20" s="684"/>
      <c r="D20" s="685"/>
      <c r="E20" s="84" t="s">
        <v>243</v>
      </c>
      <c r="F20" s="84" t="s">
        <v>129</v>
      </c>
      <c r="G20" s="84" t="s">
        <v>249</v>
      </c>
      <c r="H20" s="169" t="s">
        <v>331</v>
      </c>
      <c r="I20" s="84" t="s">
        <v>128</v>
      </c>
      <c r="J20" s="84" t="s">
        <v>127</v>
      </c>
      <c r="K20" s="84" t="s">
        <v>201</v>
      </c>
      <c r="L20" s="53"/>
      <c r="M20" s="57" t="s">
        <v>284</v>
      </c>
      <c r="N20" s="2" t="s">
        <v>126</v>
      </c>
      <c r="O20" s="86" t="s">
        <v>287</v>
      </c>
      <c r="P20" s="113" t="s">
        <v>125</v>
      </c>
      <c r="Q20" s="112" t="s">
        <v>249</v>
      </c>
      <c r="R20" s="74"/>
      <c r="S20" s="13">
        <f>COUNTBLANK(E24:Q24)-1</f>
        <v>8</v>
      </c>
      <c r="T20" s="69"/>
      <c r="U20" s="651" t="s">
        <v>321</v>
      </c>
      <c r="V20" s="652"/>
      <c r="W20" s="652"/>
      <c r="X20" s="652"/>
      <c r="Y20" s="652"/>
      <c r="Z20" s="653"/>
    </row>
    <row r="21" spans="1:32" s="73" customFormat="1" ht="27.95" customHeight="1" thickBot="1">
      <c r="A21" s="105">
        <v>18</v>
      </c>
      <c r="B21" s="82" t="s">
        <v>124</v>
      </c>
      <c r="C21" s="686"/>
      <c r="D21" s="687"/>
      <c r="E21" s="104" t="s">
        <v>237</v>
      </c>
      <c r="F21" s="76" t="s">
        <v>197</v>
      </c>
      <c r="G21" s="11" t="s">
        <v>19</v>
      </c>
      <c r="H21" s="78" t="s">
        <v>262</v>
      </c>
      <c r="I21" s="78" t="s">
        <v>263</v>
      </c>
      <c r="J21" s="172" t="s">
        <v>332</v>
      </c>
      <c r="K21" s="188" t="s">
        <v>339</v>
      </c>
      <c r="L21" s="154"/>
      <c r="M21" s="76" t="s">
        <v>291</v>
      </c>
      <c r="N21" s="78" t="s">
        <v>71</v>
      </c>
      <c r="O21" s="78" t="s">
        <v>114</v>
      </c>
      <c r="P21" s="76" t="s">
        <v>123</v>
      </c>
      <c r="Q21" s="78" t="s">
        <v>122</v>
      </c>
      <c r="R21" s="74"/>
      <c r="S21" s="13">
        <f>COUNTBLANK(E25:Q25)-1</f>
        <v>2</v>
      </c>
      <c r="T21" s="69"/>
      <c r="U21" s="654"/>
      <c r="V21" s="655"/>
      <c r="W21" s="655"/>
      <c r="X21" s="655"/>
      <c r="Y21" s="655"/>
      <c r="Z21" s="656"/>
    </row>
    <row r="22" spans="1:32" s="73" customFormat="1" ht="27.95" customHeight="1" thickBot="1">
      <c r="A22" s="105">
        <v>19</v>
      </c>
      <c r="B22" s="151" t="s">
        <v>112</v>
      </c>
      <c r="C22" s="691"/>
      <c r="D22" s="692"/>
      <c r="E22" s="77" t="s">
        <v>268</v>
      </c>
      <c r="F22" s="77" t="s">
        <v>237</v>
      </c>
      <c r="G22" s="152" t="s">
        <v>233</v>
      </c>
      <c r="H22" s="77" t="s">
        <v>294</v>
      </c>
      <c r="I22" s="77" t="s">
        <v>111</v>
      </c>
      <c r="J22" s="77" t="s">
        <v>69</v>
      </c>
      <c r="K22" s="147" t="s">
        <v>110</v>
      </c>
      <c r="L22" s="153"/>
      <c r="M22" s="147" t="s">
        <v>249</v>
      </c>
      <c r="N22" s="141" t="s">
        <v>338</v>
      </c>
      <c r="O22" s="148" t="s">
        <v>109</v>
      </c>
      <c r="P22" s="141" t="s">
        <v>209</v>
      </c>
      <c r="Q22" s="126" t="s">
        <v>72</v>
      </c>
      <c r="R22" s="74"/>
      <c r="S22" s="13">
        <f>COUNTBLANK(E20:Q20)-1</f>
        <v>0</v>
      </c>
      <c r="T22" s="69"/>
      <c r="U22" s="657"/>
      <c r="V22" s="658"/>
      <c r="W22" s="658"/>
      <c r="X22" s="658"/>
      <c r="Y22" s="658"/>
      <c r="Z22" s="659"/>
    </row>
    <row r="23" spans="1:32" s="73" customFormat="1" ht="27.95" customHeight="1" thickBot="1">
      <c r="A23" s="105">
        <v>20</v>
      </c>
      <c r="B23" s="162" t="s">
        <v>26</v>
      </c>
      <c r="C23" s="157" t="s">
        <v>65</v>
      </c>
      <c r="D23" s="157" t="s">
        <v>66</v>
      </c>
      <c r="E23" s="145" t="s">
        <v>252</v>
      </c>
      <c r="F23" s="86" t="s">
        <v>27</v>
      </c>
      <c r="G23" s="89" t="s">
        <v>47</v>
      </c>
      <c r="H23" s="3" t="s">
        <v>28</v>
      </c>
      <c r="I23" s="86" t="s">
        <v>68</v>
      </c>
      <c r="J23" s="86" t="s">
        <v>275</v>
      </c>
      <c r="K23" s="86" t="s">
        <v>50</v>
      </c>
      <c r="L23" s="144"/>
      <c r="M23" s="194" t="s">
        <v>329</v>
      </c>
      <c r="N23" s="86" t="s">
        <v>232</v>
      </c>
      <c r="O23" s="3" t="s">
        <v>24</v>
      </c>
      <c r="P23" s="674"/>
      <c r="Q23" s="675"/>
      <c r="R23" s="74"/>
      <c r="S23" s="13">
        <f>COUNTBLANK(E23:Q23)-3</f>
        <v>0</v>
      </c>
      <c r="T23" s="69"/>
      <c r="U23" s="660" t="s">
        <v>120</v>
      </c>
      <c r="V23" s="661"/>
      <c r="W23" s="661"/>
      <c r="X23" s="661"/>
      <c r="Y23" s="661"/>
      <c r="Z23" s="662"/>
    </row>
    <row r="24" spans="1:32" s="73" customFormat="1" ht="27.95" customHeight="1">
      <c r="A24" s="105">
        <v>21</v>
      </c>
      <c r="B24" s="164" t="s">
        <v>344</v>
      </c>
      <c r="C24" s="186"/>
      <c r="D24" s="186"/>
      <c r="E24" s="166" t="s">
        <v>241</v>
      </c>
      <c r="F24" s="167" t="s">
        <v>44</v>
      </c>
      <c r="G24" s="178"/>
      <c r="H24" s="182"/>
      <c r="I24" s="180"/>
      <c r="J24" s="182"/>
      <c r="K24" s="185"/>
      <c r="L24" s="195"/>
      <c r="M24" s="180"/>
      <c r="N24" s="170" t="s">
        <v>134</v>
      </c>
      <c r="O24" s="169" t="s">
        <v>209</v>
      </c>
      <c r="P24" s="676"/>
      <c r="Q24" s="677"/>
      <c r="R24" s="74"/>
      <c r="S24" s="13">
        <f>COUNTBLANK(E17:Q17)-3</f>
        <v>-2</v>
      </c>
      <c r="T24" s="69"/>
      <c r="U24" s="651"/>
      <c r="V24" s="652"/>
      <c r="W24" s="652"/>
      <c r="X24" s="652"/>
      <c r="Y24" s="652"/>
      <c r="Z24" s="653"/>
    </row>
    <row r="25" spans="1:32" s="73" customFormat="1" ht="27.95" customHeight="1">
      <c r="A25" s="105">
        <v>22</v>
      </c>
      <c r="B25" s="163" t="s">
        <v>133</v>
      </c>
      <c r="C25" s="106" t="s">
        <v>313</v>
      </c>
      <c r="D25" s="106" t="s">
        <v>315</v>
      </c>
      <c r="E25" s="189" t="s">
        <v>340</v>
      </c>
      <c r="F25" s="113" t="s">
        <v>132</v>
      </c>
      <c r="G25" s="86" t="s">
        <v>293</v>
      </c>
      <c r="H25" s="86" t="s">
        <v>131</v>
      </c>
      <c r="I25" s="168" t="s">
        <v>330</v>
      </c>
      <c r="J25" s="84" t="s">
        <v>211</v>
      </c>
      <c r="K25" s="193" t="s">
        <v>333</v>
      </c>
      <c r="L25" s="89"/>
      <c r="M25" s="86" t="s">
        <v>219</v>
      </c>
      <c r="N25" s="89" t="s">
        <v>262</v>
      </c>
      <c r="O25" s="26" t="s">
        <v>58</v>
      </c>
      <c r="P25" s="676"/>
      <c r="Q25" s="677"/>
      <c r="R25" s="74"/>
      <c r="S25" s="13">
        <f>COUNTBLANK(E19:Q19)-3</f>
        <v>-2</v>
      </c>
      <c r="T25" s="69"/>
      <c r="U25" s="654"/>
      <c r="V25" s="655"/>
      <c r="W25" s="655"/>
      <c r="X25" s="655"/>
      <c r="Y25" s="655"/>
      <c r="Z25" s="656"/>
    </row>
    <row r="26" spans="1:32" s="73" customFormat="1" ht="27.95" customHeight="1" thickBot="1">
      <c r="A26" s="105">
        <v>23</v>
      </c>
      <c r="B26" s="165" t="s">
        <v>345</v>
      </c>
      <c r="C26" s="187"/>
      <c r="D26" s="187"/>
      <c r="E26" s="171" t="s">
        <v>114</v>
      </c>
      <c r="F26" s="172" t="s">
        <v>223</v>
      </c>
      <c r="G26" s="173" t="s">
        <v>198</v>
      </c>
      <c r="H26" s="174" t="s">
        <v>70</v>
      </c>
      <c r="I26" s="181"/>
      <c r="J26" s="184"/>
      <c r="K26" s="181"/>
      <c r="L26" s="184"/>
      <c r="M26" s="172" t="s">
        <v>21</v>
      </c>
      <c r="N26" s="175" t="s">
        <v>121</v>
      </c>
      <c r="O26" s="173" t="s">
        <v>210</v>
      </c>
      <c r="P26" s="678"/>
      <c r="Q26" s="679"/>
      <c r="R26" s="74"/>
      <c r="S26" s="13">
        <f>COUNTBLANK(E22:Q22)-3</f>
        <v>-2</v>
      </c>
      <c r="T26" s="69"/>
      <c r="U26" s="654"/>
      <c r="V26" s="655"/>
      <c r="W26" s="655"/>
      <c r="X26" s="655"/>
      <c r="Y26" s="655"/>
      <c r="Z26" s="656"/>
    </row>
    <row r="27" spans="1:32" s="73" customFormat="1" ht="27.95" customHeight="1">
      <c r="A27" s="103" t="s">
        <v>108</v>
      </c>
      <c r="B27" s="102" t="s">
        <v>107</v>
      </c>
      <c r="C27" s="702"/>
      <c r="D27" s="703"/>
      <c r="E27" s="4"/>
      <c r="F27" s="100"/>
      <c r="G27" s="100" t="s">
        <v>217</v>
      </c>
      <c r="H27" s="89" t="s">
        <v>218</v>
      </c>
      <c r="I27" s="100" t="s">
        <v>106</v>
      </c>
      <c r="J27" s="4" t="s">
        <v>105</v>
      </c>
      <c r="K27" s="4"/>
      <c r="L27" s="101"/>
      <c r="M27" s="100"/>
      <c r="N27" s="100" t="s">
        <v>295</v>
      </c>
      <c r="O27" s="86" t="s">
        <v>104</v>
      </c>
      <c r="P27" s="99"/>
      <c r="Q27" s="90"/>
      <c r="R27" s="74"/>
      <c r="S27" s="13">
        <f>COUNTBLANK(E27:Q27)-1</f>
        <v>6</v>
      </c>
      <c r="T27" s="69"/>
      <c r="U27" s="654"/>
      <c r="V27" s="655"/>
      <c r="W27" s="655"/>
      <c r="X27" s="655"/>
      <c r="Y27" s="655"/>
      <c r="Z27" s="656"/>
    </row>
    <row r="28" spans="1:32" s="73" customFormat="1" ht="27.95" customHeight="1" thickBot="1">
      <c r="A28" s="98" t="s">
        <v>103</v>
      </c>
      <c r="B28" s="97" t="s">
        <v>31</v>
      </c>
      <c r="C28" s="702"/>
      <c r="D28" s="703"/>
      <c r="E28" s="86" t="s">
        <v>222</v>
      </c>
      <c r="F28" s="86" t="s">
        <v>102</v>
      </c>
      <c r="G28" s="86"/>
      <c r="H28" s="86"/>
      <c r="I28" s="86" t="s">
        <v>294</v>
      </c>
      <c r="J28" s="86"/>
      <c r="L28" s="96"/>
      <c r="M28" s="86"/>
      <c r="N28" s="86"/>
      <c r="O28" s="86" t="s">
        <v>94</v>
      </c>
      <c r="P28" s="84" t="s">
        <v>16</v>
      </c>
      <c r="Q28" s="86" t="s">
        <v>101</v>
      </c>
      <c r="R28" s="74"/>
      <c r="S28" s="13">
        <f>COUNTBLANK(E28:Q28)-1</f>
        <v>6</v>
      </c>
      <c r="T28" s="69"/>
      <c r="U28" s="657"/>
      <c r="V28" s="658"/>
      <c r="W28" s="658"/>
      <c r="X28" s="658"/>
      <c r="Y28" s="658"/>
      <c r="Z28" s="659"/>
    </row>
    <row r="29" spans="1:32" s="73" customFormat="1" ht="9.9499999999999993" customHeight="1" thickBot="1">
      <c r="A29" s="95"/>
      <c r="B29" s="94"/>
      <c r="C29" s="94"/>
      <c r="D29" s="94"/>
      <c r="E29" s="5"/>
      <c r="F29" s="92"/>
      <c r="G29" s="93"/>
      <c r="H29" s="93"/>
      <c r="I29" s="93"/>
      <c r="J29" s="93"/>
      <c r="K29" s="5"/>
      <c r="L29" s="92"/>
      <c r="M29" s="5"/>
      <c r="N29" s="93"/>
      <c r="O29" s="92"/>
      <c r="P29" s="92"/>
      <c r="Q29" s="91"/>
      <c r="R29" s="74"/>
      <c r="S29" s="13"/>
      <c r="T29" s="69"/>
      <c r="U29" s="159"/>
      <c r="V29" s="159"/>
      <c r="W29" s="159"/>
      <c r="X29" s="159"/>
      <c r="Y29" s="159"/>
      <c r="Z29" s="159"/>
    </row>
    <row r="30" spans="1:32" s="73" customFormat="1" ht="109.5" customHeight="1">
      <c r="A30" s="663"/>
      <c r="B30" s="591" t="s">
        <v>100</v>
      </c>
      <c r="C30" s="593"/>
      <c r="D30" s="594"/>
      <c r="E30" s="90" t="s">
        <v>256</v>
      </c>
      <c r="F30" s="88" t="s">
        <v>278</v>
      </c>
      <c r="G30" s="90" t="s">
        <v>281</v>
      </c>
      <c r="H30" s="90" t="s">
        <v>289</v>
      </c>
      <c r="I30" s="86" t="s">
        <v>279</v>
      </c>
      <c r="J30" s="89" t="s">
        <v>280</v>
      </c>
      <c r="K30" s="86" t="s">
        <v>264</v>
      </c>
      <c r="L30" s="36"/>
      <c r="M30" s="89" t="s">
        <v>282</v>
      </c>
      <c r="N30" s="87" t="s">
        <v>276</v>
      </c>
      <c r="O30" s="88" t="s">
        <v>297</v>
      </c>
      <c r="P30" s="87" t="s">
        <v>288</v>
      </c>
      <c r="Q30" s="86" t="s">
        <v>296</v>
      </c>
      <c r="R30" s="74"/>
      <c r="S30" s="13"/>
      <c r="T30" s="69"/>
      <c r="U30" s="665" t="s">
        <v>325</v>
      </c>
      <c r="V30" s="666"/>
      <c r="W30" s="666"/>
      <c r="X30" s="666"/>
      <c r="Y30" s="666"/>
      <c r="Z30" s="667"/>
    </row>
    <row r="31" spans="1:32" s="73" customFormat="1" ht="125.1" customHeight="1">
      <c r="A31" s="664"/>
      <c r="B31" s="592"/>
      <c r="C31" s="595"/>
      <c r="D31" s="596"/>
      <c r="E31" s="138" t="s">
        <v>350</v>
      </c>
      <c r="F31" s="110" t="s">
        <v>342</v>
      </c>
      <c r="G31" s="137" t="s">
        <v>351</v>
      </c>
      <c r="H31" s="84" t="s">
        <v>322</v>
      </c>
      <c r="I31" s="57" t="s">
        <v>302</v>
      </c>
      <c r="J31" s="84" t="s">
        <v>347</v>
      </c>
      <c r="K31" s="84" t="s">
        <v>324</v>
      </c>
      <c r="L31" s="84"/>
      <c r="M31" s="110" t="s">
        <v>318</v>
      </c>
      <c r="N31" s="138" t="s">
        <v>303</v>
      </c>
      <c r="O31" s="190" t="s">
        <v>341</v>
      </c>
      <c r="P31" s="85" t="s">
        <v>304</v>
      </c>
      <c r="Q31" s="84" t="s">
        <v>323</v>
      </c>
      <c r="R31" s="74"/>
      <c r="S31" s="13"/>
      <c r="T31" s="69"/>
      <c r="U31" s="668"/>
      <c r="V31" s="669"/>
      <c r="W31" s="669"/>
      <c r="X31" s="669"/>
      <c r="Y31" s="669"/>
      <c r="Z31" s="670"/>
    </row>
    <row r="32" spans="1:32" s="73" customFormat="1" ht="69.95" customHeight="1" thickBot="1">
      <c r="A32" s="83"/>
      <c r="B32" s="82" t="s">
        <v>99</v>
      </c>
      <c r="C32" s="597"/>
      <c r="D32" s="598"/>
      <c r="E32" s="81" t="s">
        <v>98</v>
      </c>
      <c r="F32" s="80" t="s">
        <v>257</v>
      </c>
      <c r="G32" s="76" t="s">
        <v>242</v>
      </c>
      <c r="H32" s="76" t="s">
        <v>97</v>
      </c>
      <c r="I32" s="78" t="s">
        <v>227</v>
      </c>
      <c r="J32" s="76" t="s">
        <v>215</v>
      </c>
      <c r="K32" s="76" t="s">
        <v>290</v>
      </c>
      <c r="L32" s="79"/>
      <c r="M32" s="76" t="s">
        <v>283</v>
      </c>
      <c r="N32" s="78" t="s">
        <v>277</v>
      </c>
      <c r="O32" s="77" t="s">
        <v>259</v>
      </c>
      <c r="P32" s="76"/>
      <c r="Q32" s="75" t="s">
        <v>96</v>
      </c>
      <c r="R32" s="74"/>
      <c r="S32" s="14"/>
      <c r="T32" s="69"/>
      <c r="U32" s="671"/>
      <c r="V32" s="672"/>
      <c r="W32" s="672"/>
      <c r="X32" s="672"/>
      <c r="Y32" s="672"/>
      <c r="Z32" s="673"/>
      <c r="AC32" s="12"/>
      <c r="AD32" s="12"/>
      <c r="AE32" s="12"/>
      <c r="AF32" s="12"/>
    </row>
    <row r="33" spans="1:28" ht="9.9499999999999993" customHeight="1">
      <c r="A33" s="72"/>
      <c r="B33" s="72"/>
      <c r="C33" s="71"/>
      <c r="D33" s="71"/>
      <c r="O33" s="70"/>
      <c r="T33" s="69"/>
      <c r="AB33" s="73"/>
    </row>
    <row r="34" spans="1:28" ht="21" customHeight="1">
      <c r="B34" s="46"/>
      <c r="C34" s="46"/>
      <c r="D34" s="68" t="s">
        <v>95</v>
      </c>
      <c r="E34" s="66" t="s">
        <v>0</v>
      </c>
      <c r="F34" s="66" t="s">
        <v>1</v>
      </c>
      <c r="G34" s="66" t="s">
        <v>2</v>
      </c>
      <c r="H34" s="66" t="s">
        <v>32</v>
      </c>
      <c r="I34" s="66" t="s">
        <v>33</v>
      </c>
      <c r="J34" s="66" t="s">
        <v>34</v>
      </c>
      <c r="K34" s="66" t="s">
        <v>35</v>
      </c>
      <c r="L34" s="67" t="s">
        <v>36</v>
      </c>
      <c r="M34" s="66" t="s">
        <v>37</v>
      </c>
      <c r="N34" s="66" t="s">
        <v>6</v>
      </c>
      <c r="O34" s="66" t="s">
        <v>7</v>
      </c>
      <c r="P34" s="66" t="s">
        <v>8</v>
      </c>
      <c r="Q34" s="65" t="s">
        <v>9</v>
      </c>
      <c r="R34" s="13"/>
      <c r="U34" s="64"/>
      <c r="V34" s="52"/>
      <c r="W34" s="52"/>
      <c r="X34" s="52"/>
      <c r="Y34" s="52"/>
      <c r="AB34" s="73"/>
    </row>
    <row r="35" spans="1:28" ht="45.75" customHeight="1">
      <c r="B35" s="46"/>
      <c r="C35" s="46"/>
      <c r="D35" s="59" t="s">
        <v>93</v>
      </c>
      <c r="E35" s="53" t="s">
        <v>92</v>
      </c>
      <c r="F35" s="53" t="s">
        <v>91</v>
      </c>
      <c r="G35" s="53" t="s">
        <v>90</v>
      </c>
      <c r="H35" s="53" t="s">
        <v>213</v>
      </c>
      <c r="I35" s="53" t="s">
        <v>12</v>
      </c>
      <c r="J35" s="53" t="s">
        <v>48</v>
      </c>
      <c r="K35" s="53" t="s">
        <v>89</v>
      </c>
      <c r="L35" s="53"/>
      <c r="M35" s="63" t="s">
        <v>230</v>
      </c>
      <c r="N35" s="62" t="s">
        <v>308</v>
      </c>
      <c r="O35" s="62" t="s">
        <v>269</v>
      </c>
      <c r="P35" s="158" t="s">
        <v>220</v>
      </c>
      <c r="Q35" s="61" t="s">
        <v>11</v>
      </c>
      <c r="R35" s="13"/>
      <c r="U35" s="52"/>
      <c r="V35" s="52"/>
      <c r="W35" s="52"/>
      <c r="X35" s="52"/>
      <c r="Y35" s="52"/>
      <c r="AB35" s="73"/>
    </row>
    <row r="36" spans="1:28" ht="27.95" customHeight="1">
      <c r="B36" s="46"/>
      <c r="C36" s="46"/>
      <c r="D36" s="59" t="s">
        <v>88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4"/>
      <c r="P36" s="53"/>
      <c r="Q36" s="60" t="s">
        <v>87</v>
      </c>
      <c r="R36" s="13"/>
      <c r="U36" s="52"/>
      <c r="V36" s="52"/>
      <c r="W36" s="52"/>
      <c r="X36" s="52"/>
      <c r="Y36" s="52"/>
    </row>
    <row r="37" spans="1:28" ht="27.95" customHeight="1">
      <c r="B37" s="46"/>
      <c r="C37" s="46"/>
      <c r="D37" s="59" t="s">
        <v>86</v>
      </c>
      <c r="E37" s="57"/>
      <c r="F37" s="58" t="s">
        <v>300</v>
      </c>
      <c r="G37" s="57"/>
      <c r="H37" s="57" t="s">
        <v>316</v>
      </c>
      <c r="I37" s="56"/>
      <c r="J37" s="25" t="s">
        <v>30</v>
      </c>
      <c r="K37" s="55"/>
      <c r="L37" s="53"/>
      <c r="M37" s="53"/>
      <c r="N37" s="54"/>
      <c r="O37" s="25" t="s">
        <v>85</v>
      </c>
      <c r="P37" s="53" t="s">
        <v>84</v>
      </c>
      <c r="Q37" s="177" t="s">
        <v>317</v>
      </c>
      <c r="R37" s="13"/>
      <c r="U37" s="52"/>
      <c r="V37" s="52"/>
      <c r="W37" s="52"/>
      <c r="X37" s="52"/>
      <c r="Y37" s="52"/>
    </row>
    <row r="38" spans="1:28" ht="42" customHeight="1">
      <c r="B38" s="12"/>
      <c r="C38" s="12"/>
      <c r="D38" s="51" t="s">
        <v>83</v>
      </c>
      <c r="E38" s="48" t="s">
        <v>346</v>
      </c>
      <c r="F38" s="48" t="s">
        <v>246</v>
      </c>
      <c r="G38" s="48" t="s">
        <v>309</v>
      </c>
      <c r="H38" s="48" t="s">
        <v>270</v>
      </c>
      <c r="I38" s="50" t="s">
        <v>82</v>
      </c>
      <c r="J38" s="176" t="s">
        <v>49</v>
      </c>
      <c r="K38" s="48" t="s">
        <v>212</v>
      </c>
      <c r="L38" s="48"/>
      <c r="M38" s="140" t="s">
        <v>224</v>
      </c>
      <c r="N38" s="48" t="s">
        <v>225</v>
      </c>
      <c r="O38" s="49" t="s">
        <v>314</v>
      </c>
      <c r="P38" s="48" t="s">
        <v>245</v>
      </c>
      <c r="Q38" s="139" t="s">
        <v>312</v>
      </c>
    </row>
    <row r="39" spans="1:28" ht="9.9499999999999993" customHeight="1">
      <c r="E39" s="15"/>
      <c r="F39" s="15"/>
      <c r="G39" s="15"/>
      <c r="H39" s="15"/>
      <c r="I39" s="15"/>
      <c r="J39" s="15"/>
      <c r="K39" s="15"/>
      <c r="M39" s="15"/>
      <c r="N39" s="15"/>
      <c r="O39" s="15"/>
    </row>
    <row r="40" spans="1:28" ht="27.95" customHeight="1">
      <c r="A40" s="47"/>
      <c r="B40" s="47"/>
      <c r="C40" s="47"/>
      <c r="D40" s="693" t="s">
        <v>299</v>
      </c>
      <c r="E40" s="694"/>
      <c r="F40" s="694"/>
      <c r="G40" s="694"/>
      <c r="H40" s="694"/>
      <c r="I40" s="694"/>
      <c r="J40" s="694"/>
      <c r="K40" s="694"/>
      <c r="L40" s="694"/>
      <c r="M40" s="694"/>
      <c r="N40" s="694"/>
      <c r="O40" s="694"/>
      <c r="P40" s="694"/>
      <c r="Q40" s="695"/>
      <c r="R40" s="13"/>
    </row>
    <row r="41" spans="1:28" ht="27.95" customHeight="1">
      <c r="A41" s="47"/>
      <c r="B41" s="47"/>
      <c r="C41" s="47"/>
      <c r="D41" s="696"/>
      <c r="E41" s="697"/>
      <c r="F41" s="697"/>
      <c r="G41" s="697"/>
      <c r="H41" s="697"/>
      <c r="I41" s="697"/>
      <c r="J41" s="697"/>
      <c r="K41" s="697"/>
      <c r="L41" s="697"/>
      <c r="M41" s="697"/>
      <c r="N41" s="697"/>
      <c r="O41" s="697"/>
      <c r="P41" s="697"/>
      <c r="Q41" s="698"/>
      <c r="R41" s="13"/>
    </row>
    <row r="42" spans="1:28" ht="27.95" customHeight="1">
      <c r="A42" s="47"/>
      <c r="B42" s="47"/>
      <c r="C42" s="47"/>
      <c r="D42" s="696"/>
      <c r="E42" s="697"/>
      <c r="F42" s="697"/>
      <c r="G42" s="697"/>
      <c r="H42" s="697"/>
      <c r="I42" s="697"/>
      <c r="J42" s="697"/>
      <c r="K42" s="697"/>
      <c r="L42" s="697"/>
      <c r="M42" s="697"/>
      <c r="N42" s="697"/>
      <c r="O42" s="697"/>
      <c r="P42" s="697"/>
      <c r="Q42" s="698"/>
      <c r="R42" s="13"/>
    </row>
    <row r="43" spans="1:28" ht="27.95" customHeight="1">
      <c r="A43" s="47"/>
      <c r="B43" s="47"/>
      <c r="C43" s="47"/>
      <c r="D43" s="696"/>
      <c r="E43" s="697"/>
      <c r="F43" s="697"/>
      <c r="G43" s="697"/>
      <c r="H43" s="697"/>
      <c r="I43" s="697"/>
      <c r="J43" s="697"/>
      <c r="K43" s="697"/>
      <c r="L43" s="697"/>
      <c r="M43" s="697"/>
      <c r="N43" s="697"/>
      <c r="O43" s="697"/>
      <c r="P43" s="697"/>
      <c r="Q43" s="698"/>
      <c r="R43" s="13"/>
    </row>
    <row r="44" spans="1:28" ht="27.95" customHeight="1">
      <c r="A44" s="47"/>
      <c r="B44" s="47"/>
      <c r="C44" s="47"/>
      <c r="D44" s="696"/>
      <c r="E44" s="697"/>
      <c r="F44" s="697"/>
      <c r="G44" s="697"/>
      <c r="H44" s="697"/>
      <c r="I44" s="697"/>
      <c r="J44" s="697"/>
      <c r="K44" s="697"/>
      <c r="L44" s="697"/>
      <c r="M44" s="697"/>
      <c r="N44" s="697"/>
      <c r="O44" s="697"/>
      <c r="P44" s="697"/>
      <c r="Q44" s="698"/>
      <c r="R44" s="13"/>
    </row>
    <row r="45" spans="1:28">
      <c r="A45" s="47"/>
      <c r="B45" s="47"/>
      <c r="C45" s="47"/>
      <c r="D45" s="696"/>
      <c r="E45" s="697"/>
      <c r="F45" s="697"/>
      <c r="G45" s="697"/>
      <c r="H45" s="697"/>
      <c r="I45" s="697"/>
      <c r="J45" s="697"/>
      <c r="K45" s="697"/>
      <c r="L45" s="697"/>
      <c r="M45" s="697"/>
      <c r="N45" s="697"/>
      <c r="O45" s="697"/>
      <c r="P45" s="697"/>
      <c r="Q45" s="698"/>
      <c r="R45" s="13"/>
    </row>
    <row r="46" spans="1:28">
      <c r="A46" s="47"/>
      <c r="B46" s="47"/>
      <c r="C46" s="47"/>
      <c r="D46" s="696"/>
      <c r="E46" s="697"/>
      <c r="F46" s="697"/>
      <c r="G46" s="697"/>
      <c r="H46" s="697"/>
      <c r="I46" s="697"/>
      <c r="J46" s="697"/>
      <c r="K46" s="697"/>
      <c r="L46" s="697"/>
      <c r="M46" s="697"/>
      <c r="N46" s="697"/>
      <c r="O46" s="697"/>
      <c r="P46" s="697"/>
      <c r="Q46" s="698"/>
      <c r="R46" s="13"/>
    </row>
    <row r="47" spans="1:28">
      <c r="A47" s="47"/>
      <c r="B47" s="47"/>
      <c r="C47" s="47"/>
      <c r="D47" s="696"/>
      <c r="E47" s="697"/>
      <c r="F47" s="697"/>
      <c r="G47" s="697"/>
      <c r="H47" s="697"/>
      <c r="I47" s="697"/>
      <c r="J47" s="697"/>
      <c r="K47" s="697"/>
      <c r="L47" s="697"/>
      <c r="M47" s="697"/>
      <c r="N47" s="697"/>
      <c r="O47" s="697"/>
      <c r="P47" s="697"/>
      <c r="Q47" s="698"/>
      <c r="R47" s="13"/>
    </row>
    <row r="48" spans="1:28">
      <c r="A48" s="47"/>
      <c r="B48" s="47"/>
      <c r="C48" s="47"/>
      <c r="D48" s="696"/>
      <c r="E48" s="697"/>
      <c r="F48" s="697"/>
      <c r="G48" s="697"/>
      <c r="H48" s="697"/>
      <c r="I48" s="697"/>
      <c r="J48" s="697"/>
      <c r="K48" s="697"/>
      <c r="L48" s="697"/>
      <c r="M48" s="697"/>
      <c r="N48" s="697"/>
      <c r="O48" s="697"/>
      <c r="P48" s="697"/>
      <c r="Q48" s="698"/>
      <c r="R48" s="13"/>
    </row>
    <row r="49" spans="1:18">
      <c r="A49" s="47"/>
      <c r="B49" s="47"/>
      <c r="C49" s="47"/>
      <c r="D49" s="696"/>
      <c r="E49" s="697"/>
      <c r="F49" s="697"/>
      <c r="G49" s="697"/>
      <c r="H49" s="697"/>
      <c r="I49" s="697"/>
      <c r="J49" s="697"/>
      <c r="K49" s="697"/>
      <c r="L49" s="697"/>
      <c r="M49" s="697"/>
      <c r="N49" s="697"/>
      <c r="O49" s="697"/>
      <c r="P49" s="697"/>
      <c r="Q49" s="698"/>
      <c r="R49" s="13"/>
    </row>
    <row r="50" spans="1:18">
      <c r="A50" s="47"/>
      <c r="B50" s="47"/>
      <c r="C50" s="47"/>
      <c r="D50" s="699"/>
      <c r="E50" s="700"/>
      <c r="F50" s="700"/>
      <c r="G50" s="700"/>
      <c r="H50" s="700"/>
      <c r="I50" s="700"/>
      <c r="J50" s="700"/>
      <c r="K50" s="700"/>
      <c r="L50" s="700"/>
      <c r="M50" s="700"/>
      <c r="N50" s="700"/>
      <c r="O50" s="700"/>
      <c r="P50" s="700"/>
      <c r="Q50" s="701"/>
      <c r="R50" s="13"/>
    </row>
    <row r="51" spans="1:18" ht="9.9499999999999993" customHeight="1"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13"/>
    </row>
    <row r="52" spans="1:18" ht="24">
      <c r="D52" s="45"/>
      <c r="E52" s="44" t="s">
        <v>0</v>
      </c>
      <c r="F52" s="42" t="s">
        <v>1</v>
      </c>
      <c r="G52" s="42" t="s">
        <v>2</v>
      </c>
      <c r="H52" s="42" t="s">
        <v>3</v>
      </c>
      <c r="I52" s="42" t="s">
        <v>81</v>
      </c>
      <c r="J52" s="42" t="s">
        <v>80</v>
      </c>
      <c r="K52" s="42" t="s">
        <v>79</v>
      </c>
      <c r="L52" s="43"/>
      <c r="M52" s="42" t="s">
        <v>5</v>
      </c>
      <c r="N52" s="42" t="s">
        <v>6</v>
      </c>
      <c r="O52" s="42" t="s">
        <v>7</v>
      </c>
      <c r="P52" s="42" t="s">
        <v>8</v>
      </c>
      <c r="Q52" s="41" t="s">
        <v>9</v>
      </c>
      <c r="R52" s="40" t="s">
        <v>78</v>
      </c>
    </row>
    <row r="53" spans="1:18" ht="30" customHeight="1">
      <c r="D53" s="28" t="s">
        <v>77</v>
      </c>
      <c r="E53" s="39"/>
      <c r="F53" s="35"/>
      <c r="G53" s="38"/>
      <c r="H53" s="38" t="s">
        <v>273</v>
      </c>
      <c r="I53" s="38"/>
      <c r="J53" s="38"/>
      <c r="K53" s="38"/>
      <c r="L53" s="37"/>
      <c r="M53" s="36"/>
      <c r="N53" s="35"/>
      <c r="O53" s="35"/>
      <c r="P53" s="35"/>
      <c r="Q53" s="35"/>
      <c r="R53" s="34"/>
    </row>
    <row r="54" spans="1:18" ht="30" customHeight="1">
      <c r="D54" s="33" t="s">
        <v>76</v>
      </c>
      <c r="E54" s="27"/>
      <c r="F54" s="24"/>
      <c r="G54" s="160" t="s">
        <v>319</v>
      </c>
      <c r="H54" s="26" t="s">
        <v>204</v>
      </c>
      <c r="I54" s="30"/>
      <c r="J54" s="26"/>
      <c r="K54" s="26" t="s">
        <v>216</v>
      </c>
      <c r="L54" s="25"/>
      <c r="M54" s="26"/>
      <c r="N54" s="26"/>
      <c r="O54" s="24"/>
      <c r="P54" s="24"/>
      <c r="Q54" s="26"/>
      <c r="R54" s="23"/>
    </row>
    <row r="55" spans="1:18" ht="50.1" customHeight="1">
      <c r="D55" s="32" t="s">
        <v>75</v>
      </c>
      <c r="E55" s="27"/>
      <c r="F55" s="30" t="s">
        <v>251</v>
      </c>
      <c r="G55" s="30" t="s">
        <v>60</v>
      </c>
      <c r="H55" s="30"/>
      <c r="I55" s="26" t="s">
        <v>228</v>
      </c>
      <c r="J55" s="30" t="s">
        <v>271</v>
      </c>
      <c r="K55" s="30" t="s">
        <v>301</v>
      </c>
      <c r="L55" s="31"/>
      <c r="M55" s="30"/>
      <c r="N55" s="26"/>
      <c r="O55" s="26" t="s">
        <v>250</v>
      </c>
      <c r="P55" s="26" t="s">
        <v>239</v>
      </c>
      <c r="Q55" s="26" t="s">
        <v>61</v>
      </c>
      <c r="R55" s="29"/>
    </row>
    <row r="56" spans="1:18" ht="30" customHeight="1">
      <c r="D56" s="28" t="s">
        <v>38</v>
      </c>
      <c r="E56" s="27"/>
      <c r="F56" s="24"/>
      <c r="G56" s="26"/>
      <c r="H56" s="26"/>
      <c r="I56" s="26"/>
      <c r="J56" s="26"/>
      <c r="K56" s="26"/>
      <c r="L56" s="25"/>
      <c r="M56" s="24"/>
      <c r="N56" s="24"/>
      <c r="O56" s="24"/>
      <c r="P56" s="24"/>
      <c r="Q56" s="24"/>
      <c r="R56" s="23"/>
    </row>
    <row r="57" spans="1:18" ht="30" customHeight="1">
      <c r="D57" s="22" t="s">
        <v>74</v>
      </c>
      <c r="E57" s="21"/>
      <c r="F57" s="18"/>
      <c r="G57" s="19"/>
      <c r="H57" s="18"/>
      <c r="I57" s="18"/>
      <c r="J57" s="18"/>
      <c r="K57" s="18"/>
      <c r="L57" s="20"/>
      <c r="M57" s="18"/>
      <c r="N57" s="18"/>
      <c r="O57" s="19" t="s">
        <v>24</v>
      </c>
      <c r="P57" s="19"/>
      <c r="Q57" s="18"/>
      <c r="R57" s="17"/>
    </row>
  </sheetData>
  <mergeCells count="23">
    <mergeCell ref="D40:Q50"/>
    <mergeCell ref="P23:Q26"/>
    <mergeCell ref="U23:Z23"/>
    <mergeCell ref="U24:Z28"/>
    <mergeCell ref="C27:D28"/>
    <mergeCell ref="A30:A31"/>
    <mergeCell ref="B30:B31"/>
    <mergeCell ref="C30:D32"/>
    <mergeCell ref="U30:Z32"/>
    <mergeCell ref="P11:Q14"/>
    <mergeCell ref="U11:Z18"/>
    <mergeCell ref="C15:D15"/>
    <mergeCell ref="C16:D21"/>
    <mergeCell ref="U19:Z19"/>
    <mergeCell ref="U20:Z22"/>
    <mergeCell ref="C22:D22"/>
    <mergeCell ref="A1:Q1"/>
    <mergeCell ref="A2:Q2"/>
    <mergeCell ref="C4:D10"/>
    <mergeCell ref="E4:F4"/>
    <mergeCell ref="U4:Z4"/>
    <mergeCell ref="U5:Z9"/>
    <mergeCell ref="U10:Z10"/>
  </mergeCells>
  <phoneticPr fontId="3" type="noConversion"/>
  <pageMargins left="0.7" right="0.7" top="0.75" bottom="0.75" header="0.3" footer="0.3"/>
  <pageSetup paperSize="9" scale="26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23" zoomScale="85" zoomScaleNormal="85" workbookViewId="0">
      <selection activeCell="U30" sqref="U30:Z32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11.875" style="197" customWidth="1"/>
    <col min="20" max="20" width="1.625" style="198" customWidth="1"/>
    <col min="21" max="26" width="8.125" style="198" customWidth="1"/>
    <col min="27" max="16384" width="9" style="198"/>
  </cols>
  <sheetData>
    <row r="1" spans="1:31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1" ht="18" customHeight="1">
      <c r="A2" s="623" t="s">
        <v>630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U2" s="200"/>
      <c r="V2" s="200"/>
      <c r="W2" s="200"/>
      <c r="X2" s="200"/>
      <c r="Y2" s="200"/>
      <c r="Z2" s="200"/>
      <c r="AB2" s="200"/>
      <c r="AC2" s="200"/>
      <c r="AD2" s="200"/>
      <c r="AE2" s="200"/>
    </row>
    <row r="3" spans="1:31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AVERAGE(R4:R32)</f>
        <v>0.98761904761904762</v>
      </c>
      <c r="T3" s="206"/>
      <c r="U3" s="200"/>
      <c r="V3" s="200"/>
      <c r="W3" s="200"/>
      <c r="X3" s="200"/>
      <c r="Y3" s="200"/>
      <c r="Z3" s="200"/>
      <c r="AA3" s="207"/>
      <c r="AB3" s="200"/>
      <c r="AC3" s="200"/>
      <c r="AD3" s="200"/>
      <c r="AE3" s="200"/>
    </row>
    <row r="4" spans="1:31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210" t="s">
        <v>73</v>
      </c>
      <c r="H4" s="211" t="s">
        <v>183</v>
      </c>
      <c r="I4" s="211" t="s">
        <v>206</v>
      </c>
      <c r="J4" s="212" t="s">
        <v>191</v>
      </c>
      <c r="K4" s="211" t="s">
        <v>190</v>
      </c>
      <c r="L4" s="213"/>
      <c r="M4" s="211" t="s">
        <v>91</v>
      </c>
      <c r="N4" s="210" t="s">
        <v>285</v>
      </c>
      <c r="O4" s="211" t="s">
        <v>253</v>
      </c>
      <c r="P4" s="214" t="s">
        <v>46</v>
      </c>
      <c r="Q4" s="1" t="s">
        <v>189</v>
      </c>
      <c r="R4" s="215">
        <f>(COUNTA(G4:Q4))/10</f>
        <v>1</v>
      </c>
      <c r="S4" s="197">
        <f t="shared" ref="S4:S10" si="0">COUNTBLANK(E4:Q4)-1</f>
        <v>1</v>
      </c>
      <c r="T4" s="206"/>
      <c r="U4" s="633" t="s">
        <v>188</v>
      </c>
      <c r="V4" s="634"/>
      <c r="W4" s="634"/>
      <c r="X4" s="634"/>
      <c r="Y4" s="634"/>
      <c r="Z4" s="635"/>
    </row>
    <row r="5" spans="1:31" s="200" customFormat="1" ht="27.95" customHeight="1">
      <c r="A5" s="208">
        <v>2</v>
      </c>
      <c r="B5" s="209" t="s">
        <v>165</v>
      </c>
      <c r="C5" s="627"/>
      <c r="D5" s="628"/>
      <c r="E5" s="214" t="s">
        <v>89</v>
      </c>
      <c r="F5" s="214" t="s">
        <v>229</v>
      </c>
      <c r="G5" s="2" t="s">
        <v>144</v>
      </c>
      <c r="H5" s="210" t="s">
        <v>164</v>
      </c>
      <c r="I5" s="210" t="s">
        <v>163</v>
      </c>
      <c r="J5" s="210" t="s">
        <v>377</v>
      </c>
      <c r="K5" s="214" t="s">
        <v>162</v>
      </c>
      <c r="L5" s="214"/>
      <c r="M5" s="210" t="s">
        <v>266</v>
      </c>
      <c r="N5" s="216" t="s">
        <v>161</v>
      </c>
      <c r="O5" s="210" t="s">
        <v>203</v>
      </c>
      <c r="P5" s="214" t="s">
        <v>200</v>
      </c>
      <c r="Q5" s="210" t="s">
        <v>10</v>
      </c>
      <c r="R5" s="215">
        <f t="shared" ref="R5:R23" si="1">(COUNTA(C5:Q5))/12</f>
        <v>1</v>
      </c>
      <c r="S5" s="197"/>
      <c r="T5" s="206"/>
      <c r="U5" s="578" t="s">
        <v>636</v>
      </c>
      <c r="V5" s="579"/>
      <c r="W5" s="579"/>
      <c r="X5" s="579"/>
      <c r="Y5" s="579"/>
      <c r="Z5" s="580"/>
    </row>
    <row r="6" spans="1:31" s="200" customFormat="1" ht="27.95" customHeight="1">
      <c r="A6" s="208">
        <v>3</v>
      </c>
      <c r="B6" s="218" t="s">
        <v>160</v>
      </c>
      <c r="C6" s="627"/>
      <c r="D6" s="628"/>
      <c r="E6" s="210" t="s">
        <v>158</v>
      </c>
      <c r="F6" s="210" t="s">
        <v>159</v>
      </c>
      <c r="G6" s="210" t="s">
        <v>11</v>
      </c>
      <c r="H6" s="210" t="s">
        <v>158</v>
      </c>
      <c r="I6" s="210" t="s">
        <v>157</v>
      </c>
      <c r="J6" s="210" t="s">
        <v>214</v>
      </c>
      <c r="K6" s="2" t="s">
        <v>156</v>
      </c>
      <c r="L6" s="210"/>
      <c r="M6" s="210" t="s">
        <v>10</v>
      </c>
      <c r="N6" s="219" t="s">
        <v>155</v>
      </c>
      <c r="O6" s="220" t="s">
        <v>154</v>
      </c>
      <c r="P6" s="210" t="s">
        <v>64</v>
      </c>
      <c r="Q6" s="346" t="s">
        <v>235</v>
      </c>
      <c r="R6" s="215">
        <f t="shared" si="1"/>
        <v>1</v>
      </c>
      <c r="S6" s="197">
        <f>COUNTBLANK(E12:Q12)-1</f>
        <v>2</v>
      </c>
      <c r="T6" s="206"/>
      <c r="U6" s="581"/>
      <c r="V6" s="582"/>
      <c r="W6" s="582"/>
      <c r="X6" s="582"/>
      <c r="Y6" s="582"/>
      <c r="Z6" s="583"/>
    </row>
    <row r="7" spans="1:31" s="200" customFormat="1" ht="27.95" customHeight="1">
      <c r="A7" s="208">
        <v>4</v>
      </c>
      <c r="B7" s="221" t="s">
        <v>153</v>
      </c>
      <c r="C7" s="627"/>
      <c r="D7" s="628"/>
      <c r="E7" s="2" t="s">
        <v>159</v>
      </c>
      <c r="F7" s="214" t="s">
        <v>152</v>
      </c>
      <c r="G7" s="210" t="s">
        <v>336</v>
      </c>
      <c r="H7" s="210" t="s">
        <v>151</v>
      </c>
      <c r="I7" s="2" t="s">
        <v>150</v>
      </c>
      <c r="J7" s="214" t="s">
        <v>254</v>
      </c>
      <c r="K7" s="210" t="s">
        <v>208</v>
      </c>
      <c r="L7" s="210"/>
      <c r="M7" s="210" t="s">
        <v>12</v>
      </c>
      <c r="N7" s="214" t="s">
        <v>149</v>
      </c>
      <c r="O7" s="213" t="s">
        <v>148</v>
      </c>
      <c r="P7" s="347" t="s">
        <v>57</v>
      </c>
      <c r="Q7" s="210" t="s">
        <v>53</v>
      </c>
      <c r="R7" s="215">
        <f t="shared" si="1"/>
        <v>1</v>
      </c>
      <c r="S7" s="197">
        <f>COUNTBLANK(E13:Q13)-1</f>
        <v>2</v>
      </c>
      <c r="T7" s="206"/>
      <c r="U7" s="581"/>
      <c r="V7" s="582"/>
      <c r="W7" s="582"/>
      <c r="X7" s="582"/>
      <c r="Y7" s="582"/>
      <c r="Z7" s="583"/>
    </row>
    <row r="8" spans="1:31" s="200" customFormat="1" ht="27.95" customHeight="1">
      <c r="A8" s="208">
        <v>5</v>
      </c>
      <c r="B8" s="222" t="s">
        <v>175</v>
      </c>
      <c r="C8" s="627"/>
      <c r="D8" s="628"/>
      <c r="E8" s="210" t="s">
        <v>64</v>
      </c>
      <c r="F8" s="210" t="s">
        <v>167</v>
      </c>
      <c r="G8" s="212" t="s">
        <v>174</v>
      </c>
      <c r="H8" s="210" t="s">
        <v>173</v>
      </c>
      <c r="I8" s="210" t="s">
        <v>145</v>
      </c>
      <c r="J8" s="214" t="s">
        <v>13</v>
      </c>
      <c r="K8" s="207" t="s">
        <v>274</v>
      </c>
      <c r="L8" s="210"/>
      <c r="M8" s="213" t="s">
        <v>172</v>
      </c>
      <c r="N8" s="214" t="s">
        <v>147</v>
      </c>
      <c r="O8" s="2" t="s">
        <v>235</v>
      </c>
      <c r="P8" s="213" t="s">
        <v>265</v>
      </c>
      <c r="Q8" s="210" t="s">
        <v>208</v>
      </c>
      <c r="R8" s="215">
        <f t="shared" si="1"/>
        <v>1</v>
      </c>
      <c r="S8" s="197">
        <f t="shared" si="0"/>
        <v>0</v>
      </c>
      <c r="T8" s="206"/>
      <c r="U8" s="581"/>
      <c r="V8" s="582"/>
      <c r="W8" s="582"/>
      <c r="X8" s="582"/>
      <c r="Y8" s="582"/>
      <c r="Z8" s="583"/>
    </row>
    <row r="9" spans="1:31" s="200" customFormat="1" ht="27.95" customHeight="1" thickBot="1">
      <c r="A9" s="208">
        <v>6</v>
      </c>
      <c r="B9" s="221" t="s">
        <v>59</v>
      </c>
      <c r="C9" s="627"/>
      <c r="D9" s="628"/>
      <c r="E9" s="355" t="s">
        <v>621</v>
      </c>
      <c r="F9" s="214" t="s">
        <v>147</v>
      </c>
      <c r="G9" s="210" t="s">
        <v>57</v>
      </c>
      <c r="H9" s="210" t="s">
        <v>53</v>
      </c>
      <c r="I9" s="2" t="s">
        <v>248</v>
      </c>
      <c r="J9" s="214" t="s">
        <v>146</v>
      </c>
      <c r="K9" s="210" t="s">
        <v>258</v>
      </c>
      <c r="L9" s="210"/>
      <c r="M9" s="210" t="s">
        <v>145</v>
      </c>
      <c r="N9" s="214" t="s">
        <v>144</v>
      </c>
      <c r="O9" s="214" t="s">
        <v>45</v>
      </c>
      <c r="P9" s="214" t="s">
        <v>305</v>
      </c>
      <c r="Q9" s="347" t="s">
        <v>336</v>
      </c>
      <c r="R9" s="215">
        <f t="shared" si="1"/>
        <v>1</v>
      </c>
      <c r="S9" s="197">
        <f>COUNTBLANK(E14:Q14)-1</f>
        <v>2</v>
      </c>
      <c r="T9" s="206"/>
      <c r="U9" s="584"/>
      <c r="V9" s="585"/>
      <c r="W9" s="585"/>
      <c r="X9" s="585"/>
      <c r="Y9" s="585"/>
      <c r="Z9" s="586"/>
    </row>
    <row r="10" spans="1:31" s="200" customFormat="1" ht="27.95" customHeight="1" thickBot="1">
      <c r="A10" s="208">
        <v>7</v>
      </c>
      <c r="B10" s="223" t="s">
        <v>168</v>
      </c>
      <c r="C10" s="629"/>
      <c r="D10" s="630"/>
      <c r="E10" s="224" t="s">
        <v>154</v>
      </c>
      <c r="F10" s="225" t="s">
        <v>53</v>
      </c>
      <c r="G10" s="224" t="s">
        <v>261</v>
      </c>
      <c r="H10" s="224" t="s">
        <v>167</v>
      </c>
      <c r="I10" s="226" t="s">
        <v>285</v>
      </c>
      <c r="J10" s="224" t="s">
        <v>206</v>
      </c>
      <c r="K10" s="224" t="s">
        <v>46</v>
      </c>
      <c r="L10" s="10"/>
      <c r="M10" s="224" t="s">
        <v>150</v>
      </c>
      <c r="N10" s="224" t="s">
        <v>244</v>
      </c>
      <c r="O10" s="224" t="s">
        <v>151</v>
      </c>
      <c r="P10" s="224" t="s">
        <v>174</v>
      </c>
      <c r="Q10" s="224" t="s">
        <v>200</v>
      </c>
      <c r="R10" s="215">
        <f t="shared" si="1"/>
        <v>1</v>
      </c>
      <c r="S10" s="197">
        <f t="shared" si="0"/>
        <v>0</v>
      </c>
      <c r="T10" s="206"/>
      <c r="U10" s="575" t="s">
        <v>166</v>
      </c>
      <c r="V10" s="576"/>
      <c r="W10" s="576"/>
      <c r="X10" s="576"/>
      <c r="Y10" s="576"/>
      <c r="Z10" s="577"/>
    </row>
    <row r="11" spans="1:31" s="200" customFormat="1" ht="27.95" customHeight="1">
      <c r="A11" s="208">
        <v>8</v>
      </c>
      <c r="B11" s="222" t="s">
        <v>143</v>
      </c>
      <c r="C11" s="227" t="s">
        <v>57</v>
      </c>
      <c r="D11" s="227" t="s">
        <v>57</v>
      </c>
      <c r="E11" s="211" t="s">
        <v>261</v>
      </c>
      <c r="F11" s="207" t="s">
        <v>106</v>
      </c>
      <c r="G11" s="211" t="s">
        <v>142</v>
      </c>
      <c r="H11" s="213" t="s">
        <v>335</v>
      </c>
      <c r="I11" s="211" t="s">
        <v>173</v>
      </c>
      <c r="J11" s="211" t="s">
        <v>248</v>
      </c>
      <c r="K11" s="211" t="s">
        <v>146</v>
      </c>
      <c r="L11" s="212"/>
      <c r="M11" s="374" t="s">
        <v>632</v>
      </c>
      <c r="N11" s="228" t="s">
        <v>274</v>
      </c>
      <c r="O11" s="213" t="s">
        <v>320</v>
      </c>
      <c r="P11" s="569"/>
      <c r="Q11" s="570"/>
      <c r="R11" s="215">
        <f t="shared" si="1"/>
        <v>1</v>
      </c>
      <c r="S11" s="197"/>
      <c r="T11" s="206"/>
      <c r="U11" s="578" t="s">
        <v>637</v>
      </c>
      <c r="V11" s="579"/>
      <c r="W11" s="579"/>
      <c r="X11" s="579"/>
      <c r="Y11" s="579"/>
      <c r="Z11" s="580"/>
    </row>
    <row r="12" spans="1:31" s="200" customFormat="1" ht="27.95" customHeight="1">
      <c r="A12" s="208">
        <v>9</v>
      </c>
      <c r="B12" s="239" t="s">
        <v>187</v>
      </c>
      <c r="C12" s="209" t="s">
        <v>106</v>
      </c>
      <c r="D12" s="209" t="s">
        <v>106</v>
      </c>
      <c r="E12" s="212" t="s">
        <v>174</v>
      </c>
      <c r="F12" s="210" t="s">
        <v>145</v>
      </c>
      <c r="G12" s="210" t="s">
        <v>186</v>
      </c>
      <c r="H12" s="214" t="s">
        <v>161</v>
      </c>
      <c r="I12" s="214" t="s">
        <v>184</v>
      </c>
      <c r="J12" s="211" t="s">
        <v>202</v>
      </c>
      <c r="K12" s="210" t="s">
        <v>430</v>
      </c>
      <c r="L12" s="214"/>
      <c r="M12" s="210" t="s">
        <v>254</v>
      </c>
      <c r="N12" s="210" t="s">
        <v>183</v>
      </c>
      <c r="O12" s="211" t="s">
        <v>182</v>
      </c>
      <c r="P12" s="571"/>
      <c r="Q12" s="572"/>
      <c r="R12" s="215">
        <f t="shared" si="1"/>
        <v>1</v>
      </c>
      <c r="S12" s="197">
        <f>COUNTBLANK(E5:Q5)-3</f>
        <v>-2</v>
      </c>
      <c r="T12" s="206"/>
      <c r="U12" s="581"/>
      <c r="V12" s="582"/>
      <c r="W12" s="582"/>
      <c r="X12" s="582"/>
      <c r="Y12" s="582"/>
      <c r="Z12" s="583"/>
      <c r="AA12" s="229"/>
    </row>
    <row r="13" spans="1:31" s="200" customFormat="1" ht="27.95" customHeight="1">
      <c r="A13" s="208">
        <v>10</v>
      </c>
      <c r="B13" s="209" t="s">
        <v>181</v>
      </c>
      <c r="C13" s="209" t="s">
        <v>203</v>
      </c>
      <c r="D13" s="209" t="s">
        <v>203</v>
      </c>
      <c r="E13" s="2" t="s">
        <v>180</v>
      </c>
      <c r="F13" s="210" t="s">
        <v>179</v>
      </c>
      <c r="G13" s="353" t="s">
        <v>622</v>
      </c>
      <c r="H13" s="210" t="s">
        <v>106</v>
      </c>
      <c r="I13" s="211" t="s">
        <v>178</v>
      </c>
      <c r="J13" s="3" t="s">
        <v>177</v>
      </c>
      <c r="K13" s="210" t="s">
        <v>377</v>
      </c>
      <c r="L13" s="214"/>
      <c r="M13" s="214" t="s">
        <v>164</v>
      </c>
      <c r="N13" s="211" t="s">
        <v>57</v>
      </c>
      <c r="O13" s="210" t="s">
        <v>176</v>
      </c>
      <c r="P13" s="571"/>
      <c r="Q13" s="572"/>
      <c r="R13" s="215">
        <f t="shared" si="1"/>
        <v>1</v>
      </c>
      <c r="S13" s="197">
        <f>COUNTBLANK(E6:Q6)-3</f>
        <v>-2</v>
      </c>
      <c r="T13" s="206"/>
      <c r="U13" s="581"/>
      <c r="V13" s="582"/>
      <c r="W13" s="582"/>
      <c r="X13" s="582"/>
      <c r="Y13" s="582"/>
      <c r="Z13" s="583"/>
    </row>
    <row r="14" spans="1:31" s="200" customFormat="1" ht="27.95" customHeight="1" thickBot="1">
      <c r="A14" s="208">
        <v>11</v>
      </c>
      <c r="B14" s="223" t="s">
        <v>171</v>
      </c>
      <c r="C14" s="230" t="s">
        <v>307</v>
      </c>
      <c r="D14" s="230" t="s">
        <v>298</v>
      </c>
      <c r="E14" s="231" t="s">
        <v>170</v>
      </c>
      <c r="F14" s="231" t="s">
        <v>151</v>
      </c>
      <c r="G14" s="231" t="s">
        <v>207</v>
      </c>
      <c r="H14" s="231" t="s">
        <v>220</v>
      </c>
      <c r="I14" s="231" t="s">
        <v>265</v>
      </c>
      <c r="J14" s="231" t="s">
        <v>169</v>
      </c>
      <c r="K14" s="11" t="s">
        <v>238</v>
      </c>
      <c r="L14" s="231"/>
      <c r="M14" s="231" t="s">
        <v>199</v>
      </c>
      <c r="N14" s="232" t="s">
        <v>203</v>
      </c>
      <c r="O14" s="226" t="s">
        <v>255</v>
      </c>
      <c r="P14" s="573"/>
      <c r="Q14" s="574"/>
      <c r="R14" s="215">
        <f t="shared" si="1"/>
        <v>1</v>
      </c>
      <c r="S14" s="197"/>
      <c r="T14" s="206"/>
      <c r="U14" s="581"/>
      <c r="V14" s="582"/>
      <c r="W14" s="582"/>
      <c r="X14" s="582"/>
      <c r="Y14" s="582"/>
      <c r="Z14" s="583"/>
    </row>
    <row r="15" spans="1:31" s="236" customFormat="1" ht="27.95" customHeight="1" thickBot="1">
      <c r="A15" s="208">
        <v>12</v>
      </c>
      <c r="B15" s="233" t="s">
        <v>141</v>
      </c>
      <c r="C15" s="608"/>
      <c r="D15" s="609"/>
      <c r="E15" s="226" t="s">
        <v>140</v>
      </c>
      <c r="F15" s="234" t="s">
        <v>274</v>
      </c>
      <c r="G15" s="235" t="s">
        <v>172</v>
      </c>
      <c r="H15" s="234" t="s">
        <v>67</v>
      </c>
      <c r="I15" s="226" t="s">
        <v>377</v>
      </c>
      <c r="J15" s="224" t="s">
        <v>238</v>
      </c>
      <c r="K15" s="224" t="s">
        <v>261</v>
      </c>
      <c r="L15" s="226"/>
      <c r="M15" s="224" t="s">
        <v>206</v>
      </c>
      <c r="N15" s="224" t="s">
        <v>236</v>
      </c>
      <c r="O15" s="224" t="s">
        <v>295</v>
      </c>
      <c r="P15" s="226" t="s">
        <v>205</v>
      </c>
      <c r="Q15" s="226"/>
      <c r="R15" s="215">
        <f t="shared" si="1"/>
        <v>0.91666666666666663</v>
      </c>
      <c r="S15" s="197">
        <f>COUNTBLANK(E15:Q15)-3</f>
        <v>-1</v>
      </c>
      <c r="T15" s="206"/>
      <c r="U15" s="581"/>
      <c r="V15" s="582"/>
      <c r="W15" s="582"/>
      <c r="X15" s="582"/>
      <c r="Y15" s="582"/>
      <c r="Z15" s="583"/>
    </row>
    <row r="16" spans="1:31" s="236" customFormat="1" ht="27.95" customHeight="1">
      <c r="A16" s="208">
        <v>13</v>
      </c>
      <c r="B16" s="218" t="s">
        <v>14</v>
      </c>
      <c r="C16" s="610"/>
      <c r="D16" s="611"/>
      <c r="E16" s="374" t="s">
        <v>198</v>
      </c>
      <c r="F16" s="383" t="s">
        <v>15</v>
      </c>
      <c r="G16" s="383" t="s">
        <v>16</v>
      </c>
      <c r="H16" s="383" t="s">
        <v>62</v>
      </c>
      <c r="I16" s="211" t="s">
        <v>51</v>
      </c>
      <c r="J16" s="213" t="s">
        <v>17</v>
      </c>
      <c r="K16" s="211" t="s">
        <v>54</v>
      </c>
      <c r="L16" s="213"/>
      <c r="M16" s="211" t="s">
        <v>18</v>
      </c>
      <c r="N16" s="211" t="s">
        <v>25</v>
      </c>
      <c r="O16" s="213" t="s">
        <v>262</v>
      </c>
      <c r="P16" s="214" t="s">
        <v>23</v>
      </c>
      <c r="Q16" s="262" t="s">
        <v>44</v>
      </c>
      <c r="R16" s="215">
        <f t="shared" si="1"/>
        <v>1</v>
      </c>
      <c r="S16" s="197"/>
      <c r="T16" s="206"/>
      <c r="U16" s="581"/>
      <c r="V16" s="582"/>
      <c r="W16" s="582"/>
      <c r="X16" s="582"/>
      <c r="Y16" s="582"/>
      <c r="Z16" s="583"/>
    </row>
    <row r="17" spans="1:32" s="236" customFormat="1" ht="27.95" customHeight="1">
      <c r="A17" s="208">
        <v>14</v>
      </c>
      <c r="B17" s="237" t="s">
        <v>119</v>
      </c>
      <c r="C17" s="612"/>
      <c r="D17" s="613"/>
      <c r="E17" s="211" t="s">
        <v>633</v>
      </c>
      <c r="F17" s="213" t="s">
        <v>20</v>
      </c>
      <c r="G17" s="211" t="s">
        <v>240</v>
      </c>
      <c r="H17" s="211" t="s">
        <v>247</v>
      </c>
      <c r="I17" s="213" t="s">
        <v>118</v>
      </c>
      <c r="J17" s="238" t="s">
        <v>234</v>
      </c>
      <c r="K17" s="213" t="s">
        <v>117</v>
      </c>
      <c r="L17" s="212"/>
      <c r="M17" s="143" t="s">
        <v>292</v>
      </c>
      <c r="N17" s="212" t="s">
        <v>116</v>
      </c>
      <c r="O17" s="210" t="s">
        <v>237</v>
      </c>
      <c r="P17" s="214" t="s">
        <v>72</v>
      </c>
      <c r="Q17" s="211" t="s">
        <v>272</v>
      </c>
      <c r="R17" s="215">
        <f t="shared" si="1"/>
        <v>1</v>
      </c>
      <c r="S17" s="197" t="e">
        <f>COUNTBLANK(#REF!)-1</f>
        <v>#REF!</v>
      </c>
      <c r="T17" s="206"/>
      <c r="U17" s="581"/>
      <c r="V17" s="582"/>
      <c r="W17" s="582"/>
      <c r="X17" s="582"/>
      <c r="Y17" s="582"/>
      <c r="Z17" s="583"/>
    </row>
    <row r="18" spans="1:32" s="236" customFormat="1" ht="27.95" customHeight="1" thickBot="1">
      <c r="A18" s="208">
        <v>15</v>
      </c>
      <c r="B18" s="239" t="s">
        <v>139</v>
      </c>
      <c r="C18" s="612"/>
      <c r="D18" s="613"/>
      <c r="E18" s="2" t="s">
        <v>260</v>
      </c>
      <c r="F18" s="238" t="s">
        <v>634</v>
      </c>
      <c r="G18" s="211" t="s">
        <v>94</v>
      </c>
      <c r="H18" s="210" t="s">
        <v>226</v>
      </c>
      <c r="I18" s="2" t="s">
        <v>635</v>
      </c>
      <c r="J18" s="211" t="s">
        <v>138</v>
      </c>
      <c r="K18" s="217" t="s">
        <v>623</v>
      </c>
      <c r="L18" s="214"/>
      <c r="M18" s="211" t="s">
        <v>275</v>
      </c>
      <c r="N18" s="211" t="s">
        <v>137</v>
      </c>
      <c r="O18" s="210" t="s">
        <v>136</v>
      </c>
      <c r="P18" s="240" t="s">
        <v>135</v>
      </c>
      <c r="Q18" s="211" t="s">
        <v>267</v>
      </c>
      <c r="R18" s="215">
        <f t="shared" si="1"/>
        <v>1</v>
      </c>
      <c r="S18" s="197"/>
      <c r="T18" s="206"/>
      <c r="U18" s="584"/>
      <c r="V18" s="585"/>
      <c r="W18" s="585"/>
      <c r="X18" s="585"/>
      <c r="Y18" s="585"/>
      <c r="Z18" s="586"/>
    </row>
    <row r="19" spans="1:32" s="200" customFormat="1" ht="27.95" customHeight="1" thickBot="1">
      <c r="A19" s="208">
        <v>16</v>
      </c>
      <c r="B19" s="237" t="s">
        <v>115</v>
      </c>
      <c r="C19" s="612"/>
      <c r="D19" s="613"/>
      <c r="E19" s="217" t="s">
        <v>22</v>
      </c>
      <c r="F19" s="210" t="s">
        <v>210</v>
      </c>
      <c r="G19" s="210" t="s">
        <v>52</v>
      </c>
      <c r="H19" s="217" t="s">
        <v>607</v>
      </c>
      <c r="I19" s="214" t="s">
        <v>275</v>
      </c>
      <c r="J19" s="211" t="s">
        <v>286</v>
      </c>
      <c r="K19" s="212" t="s">
        <v>113</v>
      </c>
      <c r="L19" s="214"/>
      <c r="M19" s="2" t="s">
        <v>221</v>
      </c>
      <c r="N19" s="242" t="s">
        <v>110</v>
      </c>
      <c r="O19" s="213" t="s">
        <v>610</v>
      </c>
      <c r="P19" s="214" t="s">
        <v>55</v>
      </c>
      <c r="Q19" s="214" t="s">
        <v>70</v>
      </c>
      <c r="R19" s="215">
        <f t="shared" si="1"/>
        <v>1</v>
      </c>
      <c r="S19" s="197">
        <f>COUNTBLANK(E18:Q18)-1</f>
        <v>0</v>
      </c>
      <c r="T19" s="206"/>
      <c r="U19" s="616" t="s">
        <v>306</v>
      </c>
      <c r="V19" s="617"/>
      <c r="W19" s="617"/>
      <c r="X19" s="617"/>
      <c r="Y19" s="617"/>
      <c r="Z19" s="618"/>
    </row>
    <row r="20" spans="1:32" s="200" customFormat="1" ht="27.95" customHeight="1">
      <c r="A20" s="208">
        <v>17</v>
      </c>
      <c r="B20" s="243" t="s">
        <v>130</v>
      </c>
      <c r="C20" s="612"/>
      <c r="D20" s="613"/>
      <c r="E20" s="210" t="s">
        <v>243</v>
      </c>
      <c r="F20" s="210" t="s">
        <v>129</v>
      </c>
      <c r="G20" s="210" t="s">
        <v>249</v>
      </c>
      <c r="H20" s="214" t="s">
        <v>209</v>
      </c>
      <c r="I20" s="210" t="s">
        <v>128</v>
      </c>
      <c r="J20" s="210" t="s">
        <v>127</v>
      </c>
      <c r="K20" s="210" t="s">
        <v>201</v>
      </c>
      <c r="L20" s="241"/>
      <c r="M20" s="214" t="s">
        <v>284</v>
      </c>
      <c r="N20" s="2" t="s">
        <v>126</v>
      </c>
      <c r="O20" s="211" t="s">
        <v>287</v>
      </c>
      <c r="P20" s="244" t="s">
        <v>125</v>
      </c>
      <c r="Q20" s="245" t="s">
        <v>249</v>
      </c>
      <c r="R20" s="215">
        <f t="shared" si="1"/>
        <v>1</v>
      </c>
      <c r="S20" s="197">
        <f>COUNTBLANK(E24:Q24)-1</f>
        <v>3</v>
      </c>
      <c r="T20" s="206"/>
      <c r="U20" s="578"/>
      <c r="V20" s="579"/>
      <c r="W20" s="579"/>
      <c r="X20" s="579"/>
      <c r="Y20" s="579"/>
      <c r="Z20" s="580"/>
    </row>
    <row r="21" spans="1:32" s="200" customFormat="1" ht="27.95" customHeight="1" thickBot="1">
      <c r="A21" s="208">
        <v>18</v>
      </c>
      <c r="B21" s="246" t="s">
        <v>124</v>
      </c>
      <c r="C21" s="614"/>
      <c r="D21" s="615"/>
      <c r="E21" s="247" t="s">
        <v>237</v>
      </c>
      <c r="F21" s="248" t="s">
        <v>197</v>
      </c>
      <c r="G21" s="11" t="s">
        <v>19</v>
      </c>
      <c r="H21" s="231" t="s">
        <v>262</v>
      </c>
      <c r="I21" s="231" t="s">
        <v>263</v>
      </c>
      <c r="J21" s="248" t="s">
        <v>232</v>
      </c>
      <c r="K21" s="231" t="s">
        <v>339</v>
      </c>
      <c r="L21" s="283"/>
      <c r="M21" s="248" t="s">
        <v>291</v>
      </c>
      <c r="N21" s="231" t="s">
        <v>71</v>
      </c>
      <c r="O21" s="231" t="s">
        <v>114</v>
      </c>
      <c r="P21" s="248" t="s">
        <v>123</v>
      </c>
      <c r="Q21" s="231" t="s">
        <v>122</v>
      </c>
      <c r="R21" s="215">
        <f t="shared" si="1"/>
        <v>1</v>
      </c>
      <c r="S21" s="197">
        <f>COUNTBLANK(E25:Q25)-1</f>
        <v>3</v>
      </c>
      <c r="T21" s="206"/>
      <c r="U21" s="581"/>
      <c r="V21" s="582"/>
      <c r="W21" s="582"/>
      <c r="X21" s="582"/>
      <c r="Y21" s="582"/>
      <c r="Z21" s="583"/>
    </row>
    <row r="22" spans="1:32" s="200" customFormat="1" ht="27.95" customHeight="1" thickBot="1">
      <c r="A22" s="208">
        <v>19</v>
      </c>
      <c r="B22" s="249" t="s">
        <v>112</v>
      </c>
      <c r="C22" s="619"/>
      <c r="D22" s="620"/>
      <c r="E22" s="224" t="s">
        <v>268</v>
      </c>
      <c r="F22" s="224" t="s">
        <v>237</v>
      </c>
      <c r="G22" s="250" t="s">
        <v>233</v>
      </c>
      <c r="H22" s="224" t="s">
        <v>294</v>
      </c>
      <c r="I22" s="224" t="s">
        <v>111</v>
      </c>
      <c r="J22" s="224" t="s">
        <v>69</v>
      </c>
      <c r="K22" s="234" t="s">
        <v>110</v>
      </c>
      <c r="L22" s="234"/>
      <c r="M22" s="234" t="s">
        <v>249</v>
      </c>
      <c r="N22" s="226" t="s">
        <v>338</v>
      </c>
      <c r="O22" s="235" t="s">
        <v>109</v>
      </c>
      <c r="P22" s="226" t="s">
        <v>209</v>
      </c>
      <c r="Q22" s="224" t="s">
        <v>72</v>
      </c>
      <c r="R22" s="215">
        <f t="shared" si="1"/>
        <v>1</v>
      </c>
      <c r="S22" s="197">
        <f>COUNTBLANK(E20:Q20)-1</f>
        <v>0</v>
      </c>
      <c r="T22" s="206"/>
      <c r="U22" s="584"/>
      <c r="V22" s="585"/>
      <c r="W22" s="585"/>
      <c r="X22" s="585"/>
      <c r="Y22" s="585"/>
      <c r="Z22" s="586"/>
    </row>
    <row r="23" spans="1:32" s="200" customFormat="1" ht="27.95" customHeight="1" thickBot="1">
      <c r="A23" s="208">
        <v>20</v>
      </c>
      <c r="B23" s="341" t="s">
        <v>26</v>
      </c>
      <c r="C23" s="251" t="s">
        <v>65</v>
      </c>
      <c r="D23" s="251" t="s">
        <v>66</v>
      </c>
      <c r="E23" s="252" t="s">
        <v>252</v>
      </c>
      <c r="F23" s="211" t="s">
        <v>27</v>
      </c>
      <c r="G23" s="213" t="s">
        <v>47</v>
      </c>
      <c r="H23" s="3" t="s">
        <v>28</v>
      </c>
      <c r="I23" s="211" t="s">
        <v>68</v>
      </c>
      <c r="J23" s="211" t="s">
        <v>275</v>
      </c>
      <c r="K23" s="211" t="s">
        <v>50</v>
      </c>
      <c r="L23" s="253"/>
      <c r="M23" s="228" t="s">
        <v>58</v>
      </c>
      <c r="N23" s="211" t="s">
        <v>232</v>
      </c>
      <c r="O23" s="3" t="s">
        <v>24</v>
      </c>
      <c r="P23" s="569"/>
      <c r="Q23" s="570"/>
      <c r="R23" s="215">
        <f t="shared" si="1"/>
        <v>1</v>
      </c>
      <c r="S23" s="197">
        <f>COUNTBLANK(E23:Q23)-3</f>
        <v>0</v>
      </c>
      <c r="T23" s="206"/>
      <c r="U23" s="575" t="s">
        <v>120</v>
      </c>
      <c r="V23" s="576"/>
      <c r="W23" s="576"/>
      <c r="X23" s="576"/>
      <c r="Y23" s="576"/>
      <c r="Z23" s="577"/>
    </row>
    <row r="24" spans="1:32" s="200" customFormat="1" ht="27.95" customHeight="1">
      <c r="A24" s="208">
        <v>21</v>
      </c>
      <c r="B24" s="367" t="s">
        <v>344</v>
      </c>
      <c r="C24" s="254"/>
      <c r="D24" s="254"/>
      <c r="E24" s="371" t="s">
        <v>241</v>
      </c>
      <c r="F24" s="372" t="s">
        <v>44</v>
      </c>
      <c r="G24" s="373" t="s">
        <v>516</v>
      </c>
      <c r="H24" s="374" t="s">
        <v>517</v>
      </c>
      <c r="I24" s="375" t="s">
        <v>231</v>
      </c>
      <c r="J24" s="374" t="s">
        <v>29</v>
      </c>
      <c r="K24" s="372" t="s">
        <v>268</v>
      </c>
      <c r="L24" s="376"/>
      <c r="M24" s="375" t="s">
        <v>30</v>
      </c>
      <c r="N24" s="386"/>
      <c r="O24" s="375" t="s">
        <v>209</v>
      </c>
      <c r="P24" s="571"/>
      <c r="Q24" s="572"/>
      <c r="R24" s="215"/>
      <c r="S24" s="197">
        <f>COUNTBLANK(E17:Q17)-3</f>
        <v>-2</v>
      </c>
      <c r="T24" s="206"/>
      <c r="U24" s="578"/>
      <c r="V24" s="579"/>
      <c r="W24" s="579"/>
      <c r="X24" s="579"/>
      <c r="Y24" s="579"/>
      <c r="Z24" s="580"/>
    </row>
    <row r="25" spans="1:32" s="200" customFormat="1" ht="27.95" customHeight="1">
      <c r="A25" s="208">
        <v>22</v>
      </c>
      <c r="B25" s="343" t="s">
        <v>133</v>
      </c>
      <c r="C25" s="254" t="s">
        <v>313</v>
      </c>
      <c r="D25" s="254" t="s">
        <v>315</v>
      </c>
      <c r="E25" s="216" t="s">
        <v>338</v>
      </c>
      <c r="F25" s="244" t="s">
        <v>132</v>
      </c>
      <c r="G25" s="211" t="s">
        <v>293</v>
      </c>
      <c r="H25" s="211" t="s">
        <v>131</v>
      </c>
      <c r="I25" s="211" t="s">
        <v>19</v>
      </c>
      <c r="J25" s="210" t="s">
        <v>211</v>
      </c>
      <c r="K25" s="385"/>
      <c r="L25" s="385"/>
      <c r="M25" s="211" t="s">
        <v>219</v>
      </c>
      <c r="N25" s="213" t="s">
        <v>262</v>
      </c>
      <c r="O25" s="242" t="s">
        <v>58</v>
      </c>
      <c r="P25" s="571"/>
      <c r="Q25" s="572"/>
      <c r="R25" s="215">
        <f>(COUNTA(C25:Q25))/12</f>
        <v>0.91666666666666663</v>
      </c>
      <c r="S25" s="197">
        <f>COUNTBLANK(E19:Q19)-3</f>
        <v>-2</v>
      </c>
      <c r="T25" s="206"/>
      <c r="U25" s="581"/>
      <c r="V25" s="582"/>
      <c r="W25" s="582"/>
      <c r="X25" s="582"/>
      <c r="Y25" s="582"/>
      <c r="Z25" s="583"/>
    </row>
    <row r="26" spans="1:32" s="200" customFormat="1" ht="27.95" customHeight="1" thickBot="1">
      <c r="A26" s="208">
        <v>23</v>
      </c>
      <c r="B26" s="368" t="s">
        <v>631</v>
      </c>
      <c r="C26" s="256"/>
      <c r="D26" s="256"/>
      <c r="E26" s="377" t="s">
        <v>114</v>
      </c>
      <c r="F26" s="378" t="s">
        <v>223</v>
      </c>
      <c r="G26" s="173" t="s">
        <v>198</v>
      </c>
      <c r="H26" s="379" t="s">
        <v>70</v>
      </c>
      <c r="I26" s="380" t="s">
        <v>531</v>
      </c>
      <c r="J26" s="381" t="s">
        <v>532</v>
      </c>
      <c r="K26" s="378" t="s">
        <v>294</v>
      </c>
      <c r="L26" s="387"/>
      <c r="M26" s="384"/>
      <c r="N26" s="382" t="s">
        <v>121</v>
      </c>
      <c r="O26" s="173" t="s">
        <v>210</v>
      </c>
      <c r="P26" s="573"/>
      <c r="Q26" s="574"/>
      <c r="R26" s="215"/>
      <c r="S26" s="197">
        <f>COUNTBLANK(E22:Q22)-3</f>
        <v>-2</v>
      </c>
      <c r="T26" s="206"/>
      <c r="U26" s="581"/>
      <c r="V26" s="582"/>
      <c r="W26" s="582"/>
      <c r="X26" s="582"/>
      <c r="Y26" s="582"/>
      <c r="Z26" s="583"/>
    </row>
    <row r="27" spans="1:32" s="200" customFormat="1" ht="27.95" customHeight="1">
      <c r="A27" s="260" t="s">
        <v>108</v>
      </c>
      <c r="B27" s="261" t="s">
        <v>107</v>
      </c>
      <c r="C27" s="587"/>
      <c r="D27" s="588"/>
      <c r="E27" s="4"/>
      <c r="F27" s="262"/>
      <c r="G27" s="262" t="s">
        <v>217</v>
      </c>
      <c r="H27" s="213" t="s">
        <v>218</v>
      </c>
      <c r="I27" s="262" t="s">
        <v>106</v>
      </c>
      <c r="J27" s="4" t="s">
        <v>105</v>
      </c>
      <c r="K27" s="4"/>
      <c r="L27" s="263"/>
      <c r="M27" s="262"/>
      <c r="N27" s="262" t="s">
        <v>295</v>
      </c>
      <c r="O27" s="211" t="s">
        <v>104</v>
      </c>
      <c r="P27" s="264"/>
      <c r="Q27" s="265"/>
      <c r="R27" s="215">
        <f>(COUNTA(C27:Q27))/6</f>
        <v>1</v>
      </c>
      <c r="S27" s="197">
        <f>COUNTBLANK(E27:Q27)-1</f>
        <v>6</v>
      </c>
      <c r="T27" s="206"/>
      <c r="U27" s="581"/>
      <c r="V27" s="582"/>
      <c r="W27" s="582"/>
      <c r="X27" s="582"/>
      <c r="Y27" s="582"/>
      <c r="Z27" s="583"/>
    </row>
    <row r="28" spans="1:32" s="200" customFormat="1" ht="27.95" customHeight="1" thickBot="1">
      <c r="A28" s="266" t="s">
        <v>103</v>
      </c>
      <c r="B28" s="267" t="s">
        <v>31</v>
      </c>
      <c r="C28" s="587"/>
      <c r="D28" s="588"/>
      <c r="E28" s="211" t="s">
        <v>222</v>
      </c>
      <c r="F28" s="211" t="s">
        <v>102</v>
      </c>
      <c r="G28" s="211"/>
      <c r="H28" s="211"/>
      <c r="I28" s="211" t="s">
        <v>294</v>
      </c>
      <c r="J28" s="211"/>
      <c r="K28" s="207"/>
      <c r="L28" s="268"/>
      <c r="M28" s="211"/>
      <c r="N28" s="211"/>
      <c r="O28" s="211" t="s">
        <v>94</v>
      </c>
      <c r="P28" s="210" t="s">
        <v>16</v>
      </c>
      <c r="Q28" s="211" t="s">
        <v>101</v>
      </c>
      <c r="R28" s="215">
        <f>(COUNTA(C28:Q28))/7</f>
        <v>0.8571428571428571</v>
      </c>
      <c r="S28" s="197">
        <f>COUNTBLANK(E28:Q28)-1</f>
        <v>6</v>
      </c>
      <c r="T28" s="206"/>
      <c r="U28" s="584"/>
      <c r="V28" s="585"/>
      <c r="W28" s="585"/>
      <c r="X28" s="585"/>
      <c r="Y28" s="585"/>
      <c r="Z28" s="586"/>
    </row>
    <row r="29" spans="1:32" s="200" customFormat="1" ht="9.9499999999999993" customHeight="1" thickBot="1">
      <c r="A29" s="269"/>
      <c r="B29" s="270"/>
      <c r="C29" s="270"/>
      <c r="D29" s="270"/>
      <c r="E29" s="5"/>
      <c r="F29" s="271"/>
      <c r="G29" s="272"/>
      <c r="H29" s="272"/>
      <c r="I29" s="272"/>
      <c r="J29" s="272"/>
      <c r="K29" s="5"/>
      <c r="L29" s="271"/>
      <c r="M29" s="5"/>
      <c r="N29" s="272"/>
      <c r="O29" s="271"/>
      <c r="P29" s="271"/>
      <c r="Q29" s="273"/>
      <c r="R29" s="274"/>
      <c r="S29" s="197"/>
      <c r="T29" s="206"/>
      <c r="U29" s="352"/>
      <c r="V29" s="352"/>
      <c r="W29" s="352"/>
      <c r="X29" s="352"/>
      <c r="Y29" s="352"/>
      <c r="Z29" s="352"/>
    </row>
    <row r="30" spans="1:32" s="200" customFormat="1" ht="109.5" customHeight="1">
      <c r="A30" s="589"/>
      <c r="B30" s="591" t="s">
        <v>100</v>
      </c>
      <c r="C30" s="593"/>
      <c r="D30" s="594"/>
      <c r="E30" s="265" t="s">
        <v>256</v>
      </c>
      <c r="F30" s="276" t="s">
        <v>278</v>
      </c>
      <c r="G30" s="265" t="s">
        <v>281</v>
      </c>
      <c r="H30" s="265" t="s">
        <v>289</v>
      </c>
      <c r="I30" s="211" t="s">
        <v>279</v>
      </c>
      <c r="J30" s="213" t="s">
        <v>280</v>
      </c>
      <c r="K30" s="211" t="s">
        <v>264</v>
      </c>
      <c r="L30" s="212"/>
      <c r="M30" s="213" t="s">
        <v>282</v>
      </c>
      <c r="N30" s="277" t="s">
        <v>276</v>
      </c>
      <c r="O30" s="276" t="s">
        <v>297</v>
      </c>
      <c r="P30" s="277" t="s">
        <v>288</v>
      </c>
      <c r="Q30" s="211" t="s">
        <v>296</v>
      </c>
      <c r="R30" s="215">
        <f>(COUNTA(C30:Q30))/12</f>
        <v>1</v>
      </c>
      <c r="S30" s="197"/>
      <c r="T30" s="206"/>
      <c r="U30" s="599" t="s">
        <v>639</v>
      </c>
      <c r="V30" s="600"/>
      <c r="W30" s="600"/>
      <c r="X30" s="600"/>
      <c r="Y30" s="600"/>
      <c r="Z30" s="601"/>
    </row>
    <row r="31" spans="1:32" s="200" customFormat="1" ht="125.1" customHeight="1">
      <c r="A31" s="590"/>
      <c r="B31" s="592"/>
      <c r="C31" s="595"/>
      <c r="D31" s="596"/>
      <c r="E31" s="278" t="s">
        <v>557</v>
      </c>
      <c r="F31" s="353" t="s">
        <v>627</v>
      </c>
      <c r="G31" s="279" t="s">
        <v>558</v>
      </c>
      <c r="H31" s="353" t="s">
        <v>619</v>
      </c>
      <c r="I31" s="214" t="s">
        <v>302</v>
      </c>
      <c r="J31" s="210" t="s">
        <v>559</v>
      </c>
      <c r="K31" s="210" t="s">
        <v>560</v>
      </c>
      <c r="L31" s="210"/>
      <c r="M31" s="353" t="s">
        <v>628</v>
      </c>
      <c r="N31" s="278" t="s">
        <v>303</v>
      </c>
      <c r="O31" s="349" t="s">
        <v>341</v>
      </c>
      <c r="P31" s="216" t="s">
        <v>304</v>
      </c>
      <c r="Q31" s="210" t="s">
        <v>561</v>
      </c>
      <c r="R31" s="274"/>
      <c r="S31" s="197"/>
      <c r="T31" s="206"/>
      <c r="U31" s="602"/>
      <c r="V31" s="603"/>
      <c r="W31" s="603"/>
      <c r="X31" s="603"/>
      <c r="Y31" s="603"/>
      <c r="Z31" s="604"/>
    </row>
    <row r="32" spans="1:32" s="200" customFormat="1" ht="69.95" customHeight="1" thickBot="1">
      <c r="A32" s="280"/>
      <c r="B32" s="246" t="s">
        <v>99</v>
      </c>
      <c r="C32" s="597"/>
      <c r="D32" s="598"/>
      <c r="E32" s="281" t="s">
        <v>98</v>
      </c>
      <c r="F32" s="282" t="s">
        <v>257</v>
      </c>
      <c r="G32" s="248" t="s">
        <v>242</v>
      </c>
      <c r="H32" s="248" t="s">
        <v>97</v>
      </c>
      <c r="I32" s="231" t="s">
        <v>227</v>
      </c>
      <c r="J32" s="248" t="s">
        <v>215</v>
      </c>
      <c r="K32" s="248" t="s">
        <v>290</v>
      </c>
      <c r="L32" s="283"/>
      <c r="M32" s="248" t="s">
        <v>283</v>
      </c>
      <c r="N32" s="231" t="s">
        <v>277</v>
      </c>
      <c r="O32" s="224" t="s">
        <v>259</v>
      </c>
      <c r="P32" s="248"/>
      <c r="Q32" s="284" t="s">
        <v>96</v>
      </c>
      <c r="R32" s="215">
        <f>(COUNTA(F32:P32))/9</f>
        <v>1</v>
      </c>
      <c r="S32" s="285"/>
      <c r="T32" s="206"/>
      <c r="U32" s="605"/>
      <c r="V32" s="606"/>
      <c r="W32" s="606"/>
      <c r="X32" s="606"/>
      <c r="Y32" s="606"/>
      <c r="Z32" s="607"/>
      <c r="AC32" s="198"/>
      <c r="AD32" s="198"/>
      <c r="AE32" s="198"/>
      <c r="AF32" s="198"/>
    </row>
    <row r="33" spans="1:28" ht="9.9499999999999993" customHeight="1">
      <c r="A33" s="286"/>
      <c r="B33" s="286"/>
      <c r="C33" s="287"/>
      <c r="D33" s="287"/>
      <c r="O33" s="289"/>
      <c r="T33" s="206"/>
      <c r="AB33" s="200"/>
    </row>
    <row r="34" spans="1:28" ht="21" customHeight="1">
      <c r="B34" s="291"/>
      <c r="C34" s="291"/>
      <c r="D34" s="292" t="s">
        <v>95</v>
      </c>
      <c r="E34" s="293" t="s">
        <v>0</v>
      </c>
      <c r="F34" s="293" t="s">
        <v>1</v>
      </c>
      <c r="G34" s="293" t="s">
        <v>2</v>
      </c>
      <c r="H34" s="293" t="s">
        <v>32</v>
      </c>
      <c r="I34" s="293" t="s">
        <v>33</v>
      </c>
      <c r="J34" s="293" t="s">
        <v>34</v>
      </c>
      <c r="K34" s="293" t="s">
        <v>35</v>
      </c>
      <c r="L34" s="294" t="s">
        <v>36</v>
      </c>
      <c r="M34" s="293" t="s">
        <v>37</v>
      </c>
      <c r="N34" s="293" t="s">
        <v>6</v>
      </c>
      <c r="O34" s="293" t="s">
        <v>7</v>
      </c>
      <c r="P34" s="293" t="s">
        <v>8</v>
      </c>
      <c r="Q34" s="295" t="s">
        <v>9</v>
      </c>
      <c r="R34" s="296"/>
      <c r="U34" s="297"/>
      <c r="V34" s="298"/>
      <c r="W34" s="298"/>
      <c r="X34" s="298"/>
      <c r="Y34" s="298"/>
      <c r="AB34" s="200"/>
    </row>
    <row r="35" spans="1:28" ht="45.75" customHeight="1">
      <c r="B35" s="291"/>
      <c r="C35" s="291"/>
      <c r="D35" s="299" t="s">
        <v>93</v>
      </c>
      <c r="E35" s="241" t="s">
        <v>92</v>
      </c>
      <c r="F35" s="241" t="s">
        <v>91</v>
      </c>
      <c r="G35" s="241" t="s">
        <v>90</v>
      </c>
      <c r="H35" s="217" t="s">
        <v>613</v>
      </c>
      <c r="I35" s="241" t="s">
        <v>12</v>
      </c>
      <c r="J35" s="241" t="s">
        <v>48</v>
      </c>
      <c r="K35" s="241" t="s">
        <v>89</v>
      </c>
      <c r="L35" s="241"/>
      <c r="M35" s="300" t="s">
        <v>230</v>
      </c>
      <c r="N35" s="301" t="s">
        <v>308</v>
      </c>
      <c r="O35" s="301" t="s">
        <v>269</v>
      </c>
      <c r="P35" s="302" t="s">
        <v>614</v>
      </c>
      <c r="Q35" s="303" t="s">
        <v>11</v>
      </c>
      <c r="R35" s="296"/>
      <c r="U35" s="298"/>
      <c r="V35" s="298"/>
      <c r="W35" s="298"/>
      <c r="X35" s="298"/>
      <c r="Y35" s="298"/>
      <c r="AB35" s="200"/>
    </row>
    <row r="36" spans="1:28" ht="27.95" customHeight="1">
      <c r="B36" s="291"/>
      <c r="C36" s="291"/>
      <c r="D36" s="299" t="s">
        <v>88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304"/>
      <c r="P36" s="241"/>
      <c r="Q36" s="305" t="s">
        <v>87</v>
      </c>
      <c r="R36" s="296"/>
      <c r="U36" s="298"/>
      <c r="V36" s="298"/>
      <c r="W36" s="298"/>
      <c r="X36" s="298"/>
      <c r="Y36" s="298"/>
    </row>
    <row r="37" spans="1:28" ht="27.95" customHeight="1">
      <c r="B37" s="291"/>
      <c r="C37" s="291"/>
      <c r="D37" s="299" t="s">
        <v>86</v>
      </c>
      <c r="E37" s="214"/>
      <c r="F37" s="306" t="s">
        <v>300</v>
      </c>
      <c r="G37" s="214"/>
      <c r="H37" s="214" t="s">
        <v>316</v>
      </c>
      <c r="I37" s="308"/>
      <c r="J37" s="309" t="s">
        <v>30</v>
      </c>
      <c r="K37" s="310" t="s">
        <v>118</v>
      </c>
      <c r="L37" s="241"/>
      <c r="M37" s="241" t="s">
        <v>27</v>
      </c>
      <c r="N37" s="350" t="s">
        <v>134</v>
      </c>
      <c r="O37" s="309" t="s">
        <v>85</v>
      </c>
      <c r="P37" s="241" t="s">
        <v>84</v>
      </c>
      <c r="Q37" s="370" t="s">
        <v>317</v>
      </c>
      <c r="R37" s="296"/>
      <c r="U37" s="298"/>
      <c r="V37" s="298"/>
      <c r="W37" s="298"/>
      <c r="X37" s="298"/>
      <c r="Y37" s="298"/>
    </row>
    <row r="38" spans="1:28" ht="42" customHeight="1">
      <c r="B38" s="198"/>
      <c r="C38" s="198"/>
      <c r="D38" s="311" t="s">
        <v>83</v>
      </c>
      <c r="E38" s="312" t="s">
        <v>608</v>
      </c>
      <c r="F38" s="312" t="s">
        <v>246</v>
      </c>
      <c r="G38" s="312" t="s">
        <v>309</v>
      </c>
      <c r="H38" s="312" t="s">
        <v>609</v>
      </c>
      <c r="I38" s="351" t="s">
        <v>612</v>
      </c>
      <c r="J38" s="369" t="s">
        <v>49</v>
      </c>
      <c r="K38" s="312" t="s">
        <v>617</v>
      </c>
      <c r="L38" s="312"/>
      <c r="M38" s="313" t="s">
        <v>616</v>
      </c>
      <c r="N38" s="312" t="s">
        <v>225</v>
      </c>
      <c r="O38" s="314" t="s">
        <v>314</v>
      </c>
      <c r="P38" s="312" t="s">
        <v>245</v>
      </c>
      <c r="Q38" s="315" t="s">
        <v>312</v>
      </c>
    </row>
    <row r="39" spans="1:28" ht="9.9499999999999993" customHeight="1">
      <c r="E39" s="288"/>
      <c r="F39" s="288"/>
      <c r="G39" s="288"/>
      <c r="H39" s="288"/>
      <c r="I39" s="288"/>
      <c r="J39" s="288"/>
      <c r="K39" s="288"/>
      <c r="M39" s="288"/>
      <c r="N39" s="288"/>
      <c r="O39" s="288"/>
    </row>
    <row r="40" spans="1:28" ht="27.95" customHeight="1">
      <c r="A40" s="317"/>
      <c r="B40" s="317"/>
      <c r="C40" s="317"/>
      <c r="D40" s="560" t="s">
        <v>638</v>
      </c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2"/>
      <c r="R40" s="296"/>
    </row>
    <row r="41" spans="1:28" ht="27.95" customHeight="1">
      <c r="A41" s="317"/>
      <c r="B41" s="317"/>
      <c r="C41" s="317"/>
      <c r="D41" s="563"/>
      <c r="E41" s="564"/>
      <c r="F41" s="564"/>
      <c r="G41" s="564"/>
      <c r="H41" s="564"/>
      <c r="I41" s="564"/>
      <c r="J41" s="564"/>
      <c r="K41" s="564"/>
      <c r="L41" s="564"/>
      <c r="M41" s="564"/>
      <c r="N41" s="564"/>
      <c r="O41" s="564"/>
      <c r="P41" s="564"/>
      <c r="Q41" s="565"/>
      <c r="R41" s="296"/>
    </row>
    <row r="42" spans="1:28" ht="27.95" customHeight="1">
      <c r="A42" s="317"/>
      <c r="B42" s="317"/>
      <c r="C42" s="317"/>
      <c r="D42" s="563"/>
      <c r="E42" s="564"/>
      <c r="F42" s="564"/>
      <c r="G42" s="564"/>
      <c r="H42" s="564"/>
      <c r="I42" s="564"/>
      <c r="J42" s="564"/>
      <c r="K42" s="564"/>
      <c r="L42" s="564"/>
      <c r="M42" s="564"/>
      <c r="N42" s="564"/>
      <c r="O42" s="564"/>
      <c r="P42" s="564"/>
      <c r="Q42" s="565"/>
      <c r="R42" s="296"/>
    </row>
    <row r="43" spans="1:28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28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28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28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28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28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6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8"/>
      <c r="R50" s="296"/>
    </row>
    <row r="51" spans="1:18" ht="9.9499999999999993" customHeight="1"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6"/>
    </row>
    <row r="52" spans="1:18" ht="24">
      <c r="D52" s="318"/>
      <c r="E52" s="319" t="s">
        <v>0</v>
      </c>
      <c r="F52" s="320" t="s">
        <v>1</v>
      </c>
      <c r="G52" s="320" t="s">
        <v>2</v>
      </c>
      <c r="H52" s="320" t="s">
        <v>3</v>
      </c>
      <c r="I52" s="320" t="s">
        <v>81</v>
      </c>
      <c r="J52" s="320" t="s">
        <v>80</v>
      </c>
      <c r="K52" s="320" t="s">
        <v>79</v>
      </c>
      <c r="L52" s="321"/>
      <c r="M52" s="320" t="s">
        <v>5</v>
      </c>
      <c r="N52" s="320" t="s">
        <v>6</v>
      </c>
      <c r="O52" s="320" t="s">
        <v>7</v>
      </c>
      <c r="P52" s="320" t="s">
        <v>8</v>
      </c>
      <c r="Q52" s="322" t="s">
        <v>9</v>
      </c>
      <c r="R52" s="323" t="s">
        <v>78</v>
      </c>
    </row>
    <row r="53" spans="1:18" ht="30" customHeight="1">
      <c r="D53" s="324" t="s">
        <v>77</v>
      </c>
      <c r="E53" s="325"/>
      <c r="F53" s="326"/>
      <c r="G53" s="228"/>
      <c r="H53" s="228" t="s">
        <v>273</v>
      </c>
      <c r="I53" s="228"/>
      <c r="J53" s="228"/>
      <c r="K53" s="228"/>
      <c r="L53" s="327"/>
      <c r="M53" s="212"/>
      <c r="N53" s="354" t="s">
        <v>620</v>
      </c>
      <c r="O53" s="326"/>
      <c r="P53" s="326"/>
      <c r="Q53" s="326"/>
      <c r="R53" s="328"/>
    </row>
    <row r="54" spans="1:18" ht="30" customHeight="1">
      <c r="D54" s="329" t="s">
        <v>76</v>
      </c>
      <c r="E54" s="330"/>
      <c r="F54" s="331"/>
      <c r="G54" s="242" t="s">
        <v>319</v>
      </c>
      <c r="H54" s="242" t="s">
        <v>204</v>
      </c>
      <c r="I54" s="238"/>
      <c r="J54" s="242"/>
      <c r="K54" s="242" t="s">
        <v>216</v>
      </c>
      <c r="L54" s="309"/>
      <c r="M54" s="242"/>
      <c r="N54" s="242"/>
      <c r="O54" s="331"/>
      <c r="P54" s="331"/>
      <c r="Q54" s="242"/>
      <c r="R54" s="332"/>
    </row>
    <row r="55" spans="1:18" ht="50.1" customHeight="1">
      <c r="D55" s="333" t="s">
        <v>75</v>
      </c>
      <c r="E55" s="330"/>
      <c r="F55" s="238" t="s">
        <v>251</v>
      </c>
      <c r="G55" s="238" t="s">
        <v>60</v>
      </c>
      <c r="H55" s="238"/>
      <c r="I55" s="242" t="s">
        <v>228</v>
      </c>
      <c r="J55" s="238" t="s">
        <v>271</v>
      </c>
      <c r="K55" s="238" t="s">
        <v>301</v>
      </c>
      <c r="L55" s="219"/>
      <c r="M55" s="238"/>
      <c r="N55" s="242"/>
      <c r="O55" s="242" t="s">
        <v>250</v>
      </c>
      <c r="P55" s="242" t="s">
        <v>239</v>
      </c>
      <c r="Q55" s="242" t="s">
        <v>61</v>
      </c>
      <c r="R55" s="334"/>
    </row>
    <row r="56" spans="1:18" ht="30" customHeight="1">
      <c r="D56" s="324" t="s">
        <v>38</v>
      </c>
      <c r="E56" s="330"/>
      <c r="F56" s="331"/>
      <c r="G56" s="242"/>
      <c r="H56" s="242"/>
      <c r="I56" s="242"/>
      <c r="J56" s="242"/>
      <c r="K56" s="242"/>
      <c r="L56" s="309"/>
      <c r="M56" s="331"/>
      <c r="N56" s="331"/>
      <c r="O56" s="331"/>
      <c r="P56" s="331"/>
      <c r="Q56" s="331"/>
      <c r="R56" s="332"/>
    </row>
    <row r="57" spans="1:18" ht="30" customHeight="1">
      <c r="D57" s="335" t="s">
        <v>74</v>
      </c>
      <c r="E57" s="336"/>
      <c r="F57" s="337"/>
      <c r="G57" s="338"/>
      <c r="H57" s="337"/>
      <c r="I57" s="337"/>
      <c r="J57" s="337"/>
      <c r="K57" s="337"/>
      <c r="L57" s="339"/>
      <c r="M57" s="337"/>
      <c r="N57" s="337"/>
      <c r="O57" s="338" t="s">
        <v>24</v>
      </c>
      <c r="P57" s="338"/>
      <c r="Q57" s="337"/>
      <c r="R57" s="340"/>
    </row>
    <row r="60" spans="1:18" ht="24">
      <c r="D60" s="356"/>
      <c r="E60" s="320" t="s">
        <v>0</v>
      </c>
      <c r="F60" s="320" t="s">
        <v>1</v>
      </c>
      <c r="G60" s="320" t="s">
        <v>2</v>
      </c>
      <c r="H60" s="320" t="s">
        <v>3</v>
      </c>
      <c r="I60" s="320" t="s">
        <v>81</v>
      </c>
      <c r="J60" s="320" t="s">
        <v>80</v>
      </c>
      <c r="K60" s="320" t="s">
        <v>79</v>
      </c>
      <c r="L60" s="321"/>
      <c r="M60" s="320" t="s">
        <v>5</v>
      </c>
      <c r="N60" s="320" t="s">
        <v>6</v>
      </c>
      <c r="O60" s="320" t="s">
        <v>7</v>
      </c>
      <c r="P60" s="320" t="s">
        <v>8</v>
      </c>
      <c r="Q60" s="320" t="s">
        <v>9</v>
      </c>
      <c r="R60" s="323" t="s">
        <v>78</v>
      </c>
    </row>
    <row r="61" spans="1:18">
      <c r="D61" s="357" t="s">
        <v>629</v>
      </c>
      <c r="E61" s="358"/>
      <c r="F61" s="358"/>
      <c r="G61" s="358"/>
      <c r="H61" s="359" t="s">
        <v>624</v>
      </c>
      <c r="I61" s="358"/>
      <c r="J61" s="358"/>
      <c r="K61" s="358"/>
      <c r="L61" s="360"/>
      <c r="M61" s="358"/>
      <c r="N61" s="358"/>
      <c r="O61" s="358"/>
      <c r="P61" s="358"/>
      <c r="Q61" s="358"/>
      <c r="R61" s="361"/>
    </row>
    <row r="62" spans="1:18">
      <c r="D62" s="362"/>
      <c r="E62" s="363"/>
      <c r="F62" s="363"/>
      <c r="G62" s="363"/>
      <c r="H62" s="363"/>
      <c r="I62" s="364" t="s">
        <v>625</v>
      </c>
      <c r="J62" s="364" t="s">
        <v>626</v>
      </c>
      <c r="K62" s="363"/>
      <c r="L62" s="365"/>
      <c r="M62" s="363"/>
      <c r="N62" s="363"/>
      <c r="O62" s="363"/>
      <c r="P62" s="363"/>
      <c r="Q62" s="363"/>
      <c r="R62" s="366"/>
    </row>
  </sheetData>
  <mergeCells count="23">
    <mergeCell ref="D40:Q50"/>
    <mergeCell ref="P23:Q26"/>
    <mergeCell ref="U23:Z23"/>
    <mergeCell ref="U24:Z28"/>
    <mergeCell ref="C27:D28"/>
    <mergeCell ref="A30:A31"/>
    <mergeCell ref="B30:B31"/>
    <mergeCell ref="C30:D32"/>
    <mergeCell ref="U30:Z32"/>
    <mergeCell ref="P11:Q14"/>
    <mergeCell ref="U11:Z18"/>
    <mergeCell ref="C15:D15"/>
    <mergeCell ref="C16:D21"/>
    <mergeCell ref="U19:Z19"/>
    <mergeCell ref="U20:Z22"/>
    <mergeCell ref="C22:D22"/>
    <mergeCell ref="A1:Q1"/>
    <mergeCell ref="A2:Q2"/>
    <mergeCell ref="C4:D10"/>
    <mergeCell ref="E4:F4"/>
    <mergeCell ref="U4:Z4"/>
    <mergeCell ref="U5:Z9"/>
    <mergeCell ref="U10:Z10"/>
  </mergeCells>
  <phoneticPr fontId="3" type="noConversion"/>
  <pageMargins left="0.7" right="0.7" top="0.75" bottom="0.75" header="0.3" footer="0.3"/>
  <pageSetup paperSize="9" scale="26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5"/>
  <sheetViews>
    <sheetView topLeftCell="A2" zoomScale="85" zoomScaleNormal="85" workbookViewId="0">
      <selection activeCell="U26" sqref="U26:Z30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11.875" style="197" customWidth="1"/>
    <col min="20" max="20" width="1.625" style="198" customWidth="1"/>
    <col min="21" max="26" width="8.125" style="198" customWidth="1"/>
    <col min="27" max="16384" width="9" style="198"/>
  </cols>
  <sheetData>
    <row r="1" spans="1:31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1" ht="18" customHeight="1">
      <c r="A2" s="623" t="s">
        <v>647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U2" s="200"/>
      <c r="V2" s="200"/>
      <c r="W2" s="200"/>
      <c r="X2" s="200"/>
      <c r="Y2" s="200"/>
      <c r="Z2" s="200"/>
      <c r="AB2" s="200"/>
      <c r="AC2" s="200"/>
      <c r="AD2" s="200"/>
      <c r="AE2" s="200"/>
    </row>
    <row r="3" spans="1:31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AVERAGE(R4:R34)</f>
        <v>0.9642857142857143</v>
      </c>
      <c r="T3" s="206"/>
      <c r="U3" s="200"/>
      <c r="V3" s="200"/>
      <c r="W3" s="200"/>
      <c r="X3" s="200"/>
      <c r="Y3" s="200"/>
      <c r="Z3" s="200"/>
      <c r="AA3" s="207"/>
      <c r="AB3" s="200"/>
      <c r="AC3" s="200"/>
      <c r="AD3" s="200"/>
      <c r="AE3" s="200"/>
    </row>
    <row r="4" spans="1:31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210" t="s">
        <v>73</v>
      </c>
      <c r="H4" s="211" t="s">
        <v>183</v>
      </c>
      <c r="I4" s="211" t="s">
        <v>206</v>
      </c>
      <c r="J4" s="212" t="s">
        <v>191</v>
      </c>
      <c r="K4" s="277" t="s">
        <v>656</v>
      </c>
      <c r="L4" s="213"/>
      <c r="M4" s="211" t="s">
        <v>91</v>
      </c>
      <c r="N4" s="210" t="s">
        <v>285</v>
      </c>
      <c r="O4" s="211" t="s">
        <v>253</v>
      </c>
      <c r="P4" s="214" t="s">
        <v>46</v>
      </c>
      <c r="Q4" s="1" t="s">
        <v>189</v>
      </c>
      <c r="R4" s="215">
        <f>(COUNTA(G4:Q4))/10</f>
        <v>1</v>
      </c>
      <c r="S4" s="197">
        <f t="shared" ref="S4:S11" si="0">COUNTBLANK(E4:Q4)-1</f>
        <v>1</v>
      </c>
      <c r="T4" s="206"/>
      <c r="U4" s="633" t="s">
        <v>188</v>
      </c>
      <c r="V4" s="634"/>
      <c r="W4" s="634"/>
      <c r="X4" s="634"/>
      <c r="Y4" s="634"/>
      <c r="Z4" s="635"/>
    </row>
    <row r="5" spans="1:31" s="200" customFormat="1" ht="27.95" customHeight="1">
      <c r="A5" s="208">
        <v>2</v>
      </c>
      <c r="B5" s="209" t="s">
        <v>165</v>
      </c>
      <c r="C5" s="627"/>
      <c r="D5" s="628"/>
      <c r="E5" s="214" t="s">
        <v>89</v>
      </c>
      <c r="F5" s="214" t="s">
        <v>229</v>
      </c>
      <c r="G5" s="2" t="s">
        <v>144</v>
      </c>
      <c r="H5" s="210" t="s">
        <v>164</v>
      </c>
      <c r="I5" s="210" t="s">
        <v>163</v>
      </c>
      <c r="J5" s="210" t="s">
        <v>377</v>
      </c>
      <c r="K5" s="214" t="s">
        <v>162</v>
      </c>
      <c r="L5" s="214"/>
      <c r="M5" s="210" t="s">
        <v>266</v>
      </c>
      <c r="N5" s="216" t="s">
        <v>161</v>
      </c>
      <c r="O5" s="210" t="s">
        <v>203</v>
      </c>
      <c r="P5" s="214" t="s">
        <v>200</v>
      </c>
      <c r="Q5" s="210" t="s">
        <v>10</v>
      </c>
      <c r="R5" s="215">
        <f t="shared" ref="R5:R25" si="1">(COUNTA(C5:Q5))/12</f>
        <v>1</v>
      </c>
      <c r="S5" s="197"/>
      <c r="T5" s="206"/>
      <c r="U5" s="578"/>
      <c r="V5" s="579"/>
      <c r="W5" s="579"/>
      <c r="X5" s="579"/>
      <c r="Y5" s="579"/>
      <c r="Z5" s="580"/>
    </row>
    <row r="6" spans="1:31" s="200" customFormat="1" ht="27.95" customHeight="1">
      <c r="A6" s="208">
        <v>3</v>
      </c>
      <c r="B6" s="218" t="s">
        <v>160</v>
      </c>
      <c r="C6" s="627"/>
      <c r="D6" s="628"/>
      <c r="E6" s="210" t="s">
        <v>158</v>
      </c>
      <c r="F6" s="210" t="s">
        <v>159</v>
      </c>
      <c r="G6" s="210" t="s">
        <v>11</v>
      </c>
      <c r="H6" s="210" t="s">
        <v>158</v>
      </c>
      <c r="I6" s="210" t="s">
        <v>157</v>
      </c>
      <c r="J6" s="421" t="s">
        <v>661</v>
      </c>
      <c r="K6" s="2" t="s">
        <v>156</v>
      </c>
      <c r="L6" s="210"/>
      <c r="M6" s="210" t="s">
        <v>10</v>
      </c>
      <c r="N6" s="219" t="s">
        <v>155</v>
      </c>
      <c r="O6" s="220" t="s">
        <v>154</v>
      </c>
      <c r="P6" s="210" t="s">
        <v>64</v>
      </c>
      <c r="Q6" s="346" t="s">
        <v>235</v>
      </c>
      <c r="R6" s="215">
        <f t="shared" si="1"/>
        <v>1</v>
      </c>
      <c r="S6" s="197">
        <f>COUNTBLANK(E13:Q13)-1</f>
        <v>3</v>
      </c>
      <c r="T6" s="206"/>
      <c r="U6" s="581"/>
      <c r="V6" s="582"/>
      <c r="W6" s="582"/>
      <c r="X6" s="582"/>
      <c r="Y6" s="582"/>
      <c r="Z6" s="583"/>
    </row>
    <row r="7" spans="1:31" s="200" customFormat="1" ht="27.95" customHeight="1">
      <c r="A7" s="208"/>
      <c r="B7" s="218" t="s">
        <v>646</v>
      </c>
      <c r="C7" s="627"/>
      <c r="D7" s="628"/>
      <c r="E7" s="408"/>
      <c r="F7" s="408"/>
      <c r="G7" s="408"/>
      <c r="H7" s="408"/>
      <c r="I7" s="408"/>
      <c r="J7" s="408"/>
      <c r="K7" s="409"/>
      <c r="L7" s="408"/>
      <c r="M7" s="408"/>
      <c r="N7" s="410"/>
      <c r="O7" s="411"/>
      <c r="P7" s="412"/>
      <c r="Q7" s="413"/>
      <c r="R7" s="215"/>
      <c r="S7" s="197"/>
      <c r="T7" s="206"/>
      <c r="U7" s="581"/>
      <c r="V7" s="582"/>
      <c r="W7" s="582"/>
      <c r="X7" s="582"/>
      <c r="Y7" s="582"/>
      <c r="Z7" s="583"/>
    </row>
    <row r="8" spans="1:31" s="200" customFormat="1" ht="27.95" customHeight="1">
      <c r="A8" s="208">
        <v>4</v>
      </c>
      <c r="B8" s="221" t="s">
        <v>153</v>
      </c>
      <c r="C8" s="627"/>
      <c r="D8" s="628"/>
      <c r="E8" s="2" t="s">
        <v>159</v>
      </c>
      <c r="F8" s="214" t="s">
        <v>152</v>
      </c>
      <c r="G8" s="210" t="s">
        <v>336</v>
      </c>
      <c r="H8" s="210" t="s">
        <v>151</v>
      </c>
      <c r="I8" s="2" t="s">
        <v>150</v>
      </c>
      <c r="J8" s="214" t="s">
        <v>659</v>
      </c>
      <c r="K8" s="210" t="s">
        <v>208</v>
      </c>
      <c r="L8" s="210"/>
      <c r="M8" s="210" t="s">
        <v>12</v>
      </c>
      <c r="N8" s="214" t="s">
        <v>149</v>
      </c>
      <c r="O8" s="213" t="s">
        <v>148</v>
      </c>
      <c r="P8" s="347" t="s">
        <v>57</v>
      </c>
      <c r="Q8" s="210" t="s">
        <v>53</v>
      </c>
      <c r="R8" s="215">
        <f t="shared" si="1"/>
        <v>1</v>
      </c>
      <c r="S8" s="197">
        <f>COUNTBLANK(E14:Q14)-1</f>
        <v>2</v>
      </c>
      <c r="T8" s="206"/>
      <c r="U8" s="581"/>
      <c r="V8" s="582"/>
      <c r="W8" s="582"/>
      <c r="X8" s="582"/>
      <c r="Y8" s="582"/>
      <c r="Z8" s="583"/>
    </row>
    <row r="9" spans="1:31" s="200" customFormat="1" ht="27.95" customHeight="1">
      <c r="A9" s="208">
        <v>5</v>
      </c>
      <c r="B9" s="222" t="s">
        <v>175</v>
      </c>
      <c r="C9" s="627"/>
      <c r="D9" s="628"/>
      <c r="E9" s="210" t="s">
        <v>64</v>
      </c>
      <c r="F9" s="210" t="s">
        <v>167</v>
      </c>
      <c r="G9" s="212" t="s">
        <v>174</v>
      </c>
      <c r="H9" s="210" t="s">
        <v>173</v>
      </c>
      <c r="I9" s="210" t="s">
        <v>145</v>
      </c>
      <c r="J9" s="214" t="s">
        <v>13</v>
      </c>
      <c r="K9" s="207" t="s">
        <v>274</v>
      </c>
      <c r="L9" s="210"/>
      <c r="M9" s="213" t="s">
        <v>172</v>
      </c>
      <c r="N9" s="375" t="s">
        <v>666</v>
      </c>
      <c r="O9" s="2" t="s">
        <v>235</v>
      </c>
      <c r="P9" s="213" t="s">
        <v>265</v>
      </c>
      <c r="Q9" s="210" t="s">
        <v>208</v>
      </c>
      <c r="R9" s="215">
        <f t="shared" si="1"/>
        <v>1</v>
      </c>
      <c r="S9" s="197">
        <f t="shared" si="0"/>
        <v>0</v>
      </c>
      <c r="T9" s="206"/>
      <c r="U9" s="581"/>
      <c r="V9" s="582"/>
      <c r="W9" s="582"/>
      <c r="X9" s="582"/>
      <c r="Y9" s="582"/>
      <c r="Z9" s="583"/>
    </row>
    <row r="10" spans="1:31" s="200" customFormat="1" ht="27.95" customHeight="1" thickBot="1">
      <c r="A10" s="208">
        <v>6</v>
      </c>
      <c r="B10" s="221" t="s">
        <v>59</v>
      </c>
      <c r="C10" s="627"/>
      <c r="D10" s="628"/>
      <c r="E10" s="2" t="s">
        <v>621</v>
      </c>
      <c r="F10" s="214" t="s">
        <v>147</v>
      </c>
      <c r="G10" s="210" t="s">
        <v>57</v>
      </c>
      <c r="H10" s="210" t="s">
        <v>53</v>
      </c>
      <c r="I10" s="2" t="s">
        <v>248</v>
      </c>
      <c r="J10" s="214" t="s">
        <v>146</v>
      </c>
      <c r="K10" s="210" t="s">
        <v>258</v>
      </c>
      <c r="L10" s="210"/>
      <c r="M10" s="210" t="s">
        <v>145</v>
      </c>
      <c r="N10" s="214" t="s">
        <v>144</v>
      </c>
      <c r="O10" s="214" t="s">
        <v>45</v>
      </c>
      <c r="P10" s="214" t="s">
        <v>305</v>
      </c>
      <c r="Q10" s="347" t="s">
        <v>336</v>
      </c>
      <c r="R10" s="215">
        <f t="shared" si="1"/>
        <v>1</v>
      </c>
      <c r="S10" s="197">
        <f>COUNTBLANK(E15:Q15)-1</f>
        <v>2</v>
      </c>
      <c r="T10" s="206"/>
      <c r="U10" s="584"/>
      <c r="V10" s="585"/>
      <c r="W10" s="585"/>
      <c r="X10" s="585"/>
      <c r="Y10" s="585"/>
      <c r="Z10" s="586"/>
    </row>
    <row r="11" spans="1:31" s="200" customFormat="1" ht="27.95" customHeight="1" thickBot="1">
      <c r="A11" s="208">
        <v>7</v>
      </c>
      <c r="B11" s="223" t="s">
        <v>168</v>
      </c>
      <c r="C11" s="629"/>
      <c r="D11" s="630"/>
      <c r="E11" s="224" t="s">
        <v>154</v>
      </c>
      <c r="F11" s="405" t="s">
        <v>53</v>
      </c>
      <c r="G11" s="406" t="s">
        <v>261</v>
      </c>
      <c r="H11" s="406" t="s">
        <v>167</v>
      </c>
      <c r="I11" s="379" t="s">
        <v>285</v>
      </c>
      <c r="J11" s="406" t="s">
        <v>206</v>
      </c>
      <c r="K11" s="406" t="s">
        <v>46</v>
      </c>
      <c r="L11" s="407"/>
      <c r="M11" s="406" t="s">
        <v>150</v>
      </c>
      <c r="N11" s="406" t="s">
        <v>244</v>
      </c>
      <c r="O11" s="406" t="s">
        <v>151</v>
      </c>
      <c r="P11" s="224" t="s">
        <v>174</v>
      </c>
      <c r="Q11" s="224" t="s">
        <v>200</v>
      </c>
      <c r="R11" s="215">
        <f t="shared" si="1"/>
        <v>1</v>
      </c>
      <c r="S11" s="197">
        <f t="shared" si="0"/>
        <v>0</v>
      </c>
      <c r="T11" s="206"/>
      <c r="U11" s="575" t="s">
        <v>166</v>
      </c>
      <c r="V11" s="576"/>
      <c r="W11" s="576"/>
      <c r="X11" s="576"/>
      <c r="Y11" s="576"/>
      <c r="Z11" s="577"/>
    </row>
    <row r="12" spans="1:31" s="200" customFormat="1" ht="27.95" customHeight="1">
      <c r="A12" s="208">
        <v>8</v>
      </c>
      <c r="B12" s="402" t="s">
        <v>653</v>
      </c>
      <c r="C12" s="426"/>
      <c r="D12" s="426"/>
      <c r="E12" s="374" t="s">
        <v>261</v>
      </c>
      <c r="F12" s="418" t="s">
        <v>106</v>
      </c>
      <c r="G12" s="374" t="s">
        <v>142</v>
      </c>
      <c r="H12" s="383" t="s">
        <v>335</v>
      </c>
      <c r="I12" s="422"/>
      <c r="J12" s="374" t="s">
        <v>248</v>
      </c>
      <c r="K12" s="374" t="s">
        <v>146</v>
      </c>
      <c r="L12" s="419"/>
      <c r="M12" s="422"/>
      <c r="N12" s="423"/>
      <c r="O12" s="383" t="s">
        <v>320</v>
      </c>
      <c r="P12" s="569"/>
      <c r="Q12" s="570"/>
      <c r="R12" s="215">
        <f t="shared" si="1"/>
        <v>0.58333333333333337</v>
      </c>
      <c r="S12" s="197"/>
      <c r="T12" s="206"/>
      <c r="U12" s="578" t="s">
        <v>676</v>
      </c>
      <c r="V12" s="579"/>
      <c r="W12" s="579"/>
      <c r="X12" s="579"/>
      <c r="Y12" s="579"/>
      <c r="Z12" s="580"/>
    </row>
    <row r="13" spans="1:31" s="200" customFormat="1" ht="27.95" customHeight="1">
      <c r="A13" s="208">
        <v>9</v>
      </c>
      <c r="B13" s="403" t="s">
        <v>654</v>
      </c>
      <c r="C13" s="427"/>
      <c r="D13" s="427"/>
      <c r="E13" s="419" t="s">
        <v>174</v>
      </c>
      <c r="F13" s="372" t="s">
        <v>145</v>
      </c>
      <c r="G13" s="372" t="s">
        <v>186</v>
      </c>
      <c r="H13" s="375" t="s">
        <v>161</v>
      </c>
      <c r="I13" s="375" t="s">
        <v>664</v>
      </c>
      <c r="J13" s="374" t="s">
        <v>202</v>
      </c>
      <c r="K13" s="372" t="s">
        <v>430</v>
      </c>
      <c r="L13" s="375"/>
      <c r="M13" s="372" t="s">
        <v>254</v>
      </c>
      <c r="N13" s="372" t="s">
        <v>183</v>
      </c>
      <c r="O13" s="422"/>
      <c r="P13" s="571"/>
      <c r="Q13" s="572"/>
      <c r="R13" s="215">
        <f t="shared" si="1"/>
        <v>0.75</v>
      </c>
      <c r="S13" s="197">
        <f>COUNTBLANK(E5:Q5)-3</f>
        <v>-2</v>
      </c>
      <c r="T13" s="206"/>
      <c r="U13" s="581"/>
      <c r="V13" s="582"/>
      <c r="W13" s="582"/>
      <c r="X13" s="582"/>
      <c r="Y13" s="582"/>
      <c r="Z13" s="583"/>
      <c r="AA13" s="229"/>
    </row>
    <row r="14" spans="1:31" s="200" customFormat="1" ht="27.95" customHeight="1">
      <c r="A14" s="208">
        <v>10</v>
      </c>
      <c r="B14" s="209" t="s">
        <v>181</v>
      </c>
      <c r="C14" s="424" t="s">
        <v>203</v>
      </c>
      <c r="D14" s="424" t="s">
        <v>203</v>
      </c>
      <c r="E14" s="2" t="s">
        <v>180</v>
      </c>
      <c r="F14" s="210" t="s">
        <v>179</v>
      </c>
      <c r="G14" s="210" t="s">
        <v>621</v>
      </c>
      <c r="H14" s="210" t="s">
        <v>106</v>
      </c>
      <c r="I14" s="211" t="s">
        <v>178</v>
      </c>
      <c r="J14" s="3" t="s">
        <v>177</v>
      </c>
      <c r="K14" s="210" t="s">
        <v>377</v>
      </c>
      <c r="L14" s="214"/>
      <c r="M14" s="214" t="s">
        <v>164</v>
      </c>
      <c r="N14" s="211" t="s">
        <v>57</v>
      </c>
      <c r="O14" s="210" t="s">
        <v>176</v>
      </c>
      <c r="P14" s="571"/>
      <c r="Q14" s="572"/>
      <c r="R14" s="215">
        <f t="shared" si="1"/>
        <v>1</v>
      </c>
      <c r="S14" s="197">
        <f>COUNTBLANK(E6:Q6)-3</f>
        <v>-2</v>
      </c>
      <c r="T14" s="206"/>
      <c r="U14" s="581"/>
      <c r="V14" s="582"/>
      <c r="W14" s="582"/>
      <c r="X14" s="582"/>
      <c r="Y14" s="582"/>
      <c r="Z14" s="583"/>
    </row>
    <row r="15" spans="1:31" s="200" customFormat="1" ht="27.95" customHeight="1" thickBot="1">
      <c r="A15" s="208">
        <v>11</v>
      </c>
      <c r="B15" s="223" t="s">
        <v>171</v>
      </c>
      <c r="C15" s="425" t="s">
        <v>307</v>
      </c>
      <c r="D15" s="425" t="s">
        <v>298</v>
      </c>
      <c r="E15" s="231" t="s">
        <v>170</v>
      </c>
      <c r="F15" s="231" t="s">
        <v>151</v>
      </c>
      <c r="G15" s="231" t="s">
        <v>207</v>
      </c>
      <c r="H15" s="231" t="s">
        <v>220</v>
      </c>
      <c r="I15" s="231" t="s">
        <v>265</v>
      </c>
      <c r="J15" s="231" t="s">
        <v>169</v>
      </c>
      <c r="K15" s="11" t="s">
        <v>238</v>
      </c>
      <c r="L15" s="231"/>
      <c r="M15" s="231" t="s">
        <v>199</v>
      </c>
      <c r="N15" s="232" t="s">
        <v>203</v>
      </c>
      <c r="O15" s="226" t="s">
        <v>255</v>
      </c>
      <c r="P15" s="573"/>
      <c r="Q15" s="574"/>
      <c r="R15" s="215">
        <f t="shared" si="1"/>
        <v>1</v>
      </c>
      <c r="S15" s="197"/>
      <c r="T15" s="206"/>
      <c r="U15" s="581"/>
      <c r="V15" s="582"/>
      <c r="W15" s="582"/>
      <c r="X15" s="582"/>
      <c r="Y15" s="582"/>
      <c r="Z15" s="583"/>
    </row>
    <row r="16" spans="1:31" s="236" customFormat="1" ht="27.95" customHeight="1" thickBot="1">
      <c r="A16" s="208">
        <v>12</v>
      </c>
      <c r="B16" s="233" t="s">
        <v>141</v>
      </c>
      <c r="C16" s="608"/>
      <c r="D16" s="609"/>
      <c r="E16" s="226" t="s">
        <v>140</v>
      </c>
      <c r="F16" s="234" t="s">
        <v>274</v>
      </c>
      <c r="G16" s="235" t="s">
        <v>172</v>
      </c>
      <c r="H16" s="234" t="s">
        <v>67</v>
      </c>
      <c r="I16" s="226" t="s">
        <v>377</v>
      </c>
      <c r="J16" s="224" t="s">
        <v>238</v>
      </c>
      <c r="K16" s="224" t="s">
        <v>261</v>
      </c>
      <c r="L16" s="226"/>
      <c r="M16" s="224" t="s">
        <v>206</v>
      </c>
      <c r="N16" s="224" t="s">
        <v>236</v>
      </c>
      <c r="O16" s="224" t="s">
        <v>295</v>
      </c>
      <c r="P16" s="226" t="s">
        <v>205</v>
      </c>
      <c r="Q16" s="226"/>
      <c r="R16" s="215">
        <f t="shared" si="1"/>
        <v>0.91666666666666663</v>
      </c>
      <c r="S16" s="197">
        <f>COUNTBLANK(E16:Q16)-3</f>
        <v>-1</v>
      </c>
      <c r="T16" s="206"/>
      <c r="U16" s="581"/>
      <c r="V16" s="582"/>
      <c r="W16" s="582"/>
      <c r="X16" s="582"/>
      <c r="Y16" s="582"/>
      <c r="Z16" s="583"/>
    </row>
    <row r="17" spans="1:26" s="236" customFormat="1" ht="27.95" customHeight="1">
      <c r="A17" s="208">
        <v>13</v>
      </c>
      <c r="B17" s="218" t="s">
        <v>14</v>
      </c>
      <c r="C17" s="610"/>
      <c r="D17" s="611"/>
      <c r="E17" s="211" t="s">
        <v>198</v>
      </c>
      <c r="F17" s="213" t="s">
        <v>15</v>
      </c>
      <c r="G17" s="213" t="s">
        <v>16</v>
      </c>
      <c r="H17" s="213" t="s">
        <v>62</v>
      </c>
      <c r="I17" s="211" t="s">
        <v>51</v>
      </c>
      <c r="J17" s="383" t="s">
        <v>660</v>
      </c>
      <c r="K17" s="211" t="s">
        <v>54</v>
      </c>
      <c r="L17" s="213"/>
      <c r="M17" s="211" t="s">
        <v>18</v>
      </c>
      <c r="N17" s="211" t="s">
        <v>25</v>
      </c>
      <c r="O17" s="213" t="s">
        <v>262</v>
      </c>
      <c r="P17" s="214" t="s">
        <v>23</v>
      </c>
      <c r="Q17" s="262" t="s">
        <v>44</v>
      </c>
      <c r="R17" s="215">
        <f t="shared" si="1"/>
        <v>1</v>
      </c>
      <c r="S17" s="197"/>
      <c r="T17" s="206"/>
      <c r="U17" s="581"/>
      <c r="V17" s="582"/>
      <c r="W17" s="582"/>
      <c r="X17" s="582"/>
      <c r="Y17" s="582"/>
      <c r="Z17" s="583"/>
    </row>
    <row r="18" spans="1:26" s="236" customFormat="1" ht="27.95" customHeight="1">
      <c r="A18" s="208">
        <v>14</v>
      </c>
      <c r="B18" s="237" t="s">
        <v>119</v>
      </c>
      <c r="C18" s="612"/>
      <c r="D18" s="613"/>
      <c r="E18" s="211" t="s">
        <v>662</v>
      </c>
      <c r="F18" s="213" t="s">
        <v>20</v>
      </c>
      <c r="G18" s="211" t="s">
        <v>240</v>
      </c>
      <c r="H18" s="211" t="s">
        <v>247</v>
      </c>
      <c r="I18" s="213" t="s">
        <v>118</v>
      </c>
      <c r="J18" s="238" t="s">
        <v>234</v>
      </c>
      <c r="K18" s="213" t="s">
        <v>117</v>
      </c>
      <c r="L18" s="212"/>
      <c r="M18" s="143" t="s">
        <v>292</v>
      </c>
      <c r="N18" s="212" t="s">
        <v>116</v>
      </c>
      <c r="O18" s="210" t="s">
        <v>237</v>
      </c>
      <c r="P18" s="214" t="s">
        <v>72</v>
      </c>
      <c r="Q18" s="211" t="s">
        <v>272</v>
      </c>
      <c r="R18" s="215">
        <f t="shared" si="1"/>
        <v>1</v>
      </c>
      <c r="S18" s="197" t="e">
        <f>COUNTBLANK(#REF!)-1</f>
        <v>#REF!</v>
      </c>
      <c r="T18" s="206"/>
      <c r="U18" s="581"/>
      <c r="V18" s="582"/>
      <c r="W18" s="582"/>
      <c r="X18" s="582"/>
      <c r="Y18" s="582"/>
      <c r="Z18" s="583"/>
    </row>
    <row r="19" spans="1:26" s="236" customFormat="1" ht="27.95" customHeight="1" thickBot="1">
      <c r="A19" s="208">
        <v>15</v>
      </c>
      <c r="B19" s="239" t="s">
        <v>139</v>
      </c>
      <c r="C19" s="612"/>
      <c r="D19" s="613"/>
      <c r="E19" s="2" t="s">
        <v>260</v>
      </c>
      <c r="F19" s="238" t="s">
        <v>663</v>
      </c>
      <c r="G19" s="211" t="s">
        <v>94</v>
      </c>
      <c r="H19" s="210" t="s">
        <v>226</v>
      </c>
      <c r="I19" s="170" t="s">
        <v>665</v>
      </c>
      <c r="J19" s="211" t="s">
        <v>138</v>
      </c>
      <c r="K19" s="214" t="s">
        <v>623</v>
      </c>
      <c r="L19" s="214"/>
      <c r="M19" s="211" t="s">
        <v>275</v>
      </c>
      <c r="N19" s="211" t="s">
        <v>137</v>
      </c>
      <c r="O19" s="210" t="s">
        <v>136</v>
      </c>
      <c r="P19" s="240" t="s">
        <v>135</v>
      </c>
      <c r="Q19" s="211" t="s">
        <v>267</v>
      </c>
      <c r="R19" s="215">
        <f t="shared" si="1"/>
        <v>1</v>
      </c>
      <c r="S19" s="197"/>
      <c r="T19" s="206"/>
      <c r="U19" s="584"/>
      <c r="V19" s="585"/>
      <c r="W19" s="585"/>
      <c r="X19" s="585"/>
      <c r="Y19" s="585"/>
      <c r="Z19" s="586"/>
    </row>
    <row r="20" spans="1:26" s="200" customFormat="1" ht="27.95" customHeight="1" thickBot="1">
      <c r="A20" s="208">
        <v>16</v>
      </c>
      <c r="B20" s="237" t="s">
        <v>115</v>
      </c>
      <c r="C20" s="612"/>
      <c r="D20" s="613"/>
      <c r="E20" s="214" t="s">
        <v>22</v>
      </c>
      <c r="F20" s="210" t="s">
        <v>210</v>
      </c>
      <c r="G20" s="210" t="s">
        <v>52</v>
      </c>
      <c r="H20" s="214" t="s">
        <v>607</v>
      </c>
      <c r="I20" s="214" t="s">
        <v>275</v>
      </c>
      <c r="J20" s="211" t="s">
        <v>286</v>
      </c>
      <c r="K20" s="212" t="s">
        <v>113</v>
      </c>
      <c r="L20" s="214"/>
      <c r="M20" s="2" t="s">
        <v>221</v>
      </c>
      <c r="N20" s="242" t="s">
        <v>110</v>
      </c>
      <c r="O20" s="213" t="s">
        <v>610</v>
      </c>
      <c r="P20" s="214" t="s">
        <v>55</v>
      </c>
      <c r="Q20" s="214" t="s">
        <v>70</v>
      </c>
      <c r="R20" s="215">
        <f t="shared" si="1"/>
        <v>1</v>
      </c>
      <c r="S20" s="197">
        <f>COUNTBLANK(E19:Q19)-1</f>
        <v>0</v>
      </c>
      <c r="T20" s="206"/>
      <c r="U20" s="616" t="s">
        <v>306</v>
      </c>
      <c r="V20" s="617"/>
      <c r="W20" s="617"/>
      <c r="X20" s="617"/>
      <c r="Y20" s="617"/>
      <c r="Z20" s="618"/>
    </row>
    <row r="21" spans="1:26" s="200" customFormat="1" ht="27.95" customHeight="1" thickBot="1">
      <c r="A21" s="208"/>
      <c r="B21" s="243" t="s">
        <v>645</v>
      </c>
      <c r="C21" s="612"/>
      <c r="D21" s="613"/>
      <c r="E21" s="414"/>
      <c r="F21" s="408"/>
      <c r="G21" s="408"/>
      <c r="H21" s="414"/>
      <c r="I21" s="414"/>
      <c r="J21" s="415"/>
      <c r="K21" s="416"/>
      <c r="L21" s="414"/>
      <c r="M21" s="409"/>
      <c r="N21" s="411"/>
      <c r="O21" s="385"/>
      <c r="P21" s="385"/>
      <c r="Q21" s="417"/>
      <c r="R21" s="215"/>
      <c r="S21" s="197"/>
      <c r="T21" s="206"/>
      <c r="U21" s="399"/>
      <c r="V21" s="400"/>
      <c r="W21" s="400"/>
      <c r="X21" s="400"/>
      <c r="Y21" s="400"/>
      <c r="Z21" s="401"/>
    </row>
    <row r="22" spans="1:26" s="200" customFormat="1" ht="27.95" customHeight="1">
      <c r="A22" s="208">
        <v>17</v>
      </c>
      <c r="B22" s="243" t="s">
        <v>130</v>
      </c>
      <c r="C22" s="612"/>
      <c r="D22" s="613"/>
      <c r="E22" s="210" t="s">
        <v>243</v>
      </c>
      <c r="F22" s="210" t="s">
        <v>129</v>
      </c>
      <c r="G22" s="210" t="s">
        <v>249</v>
      </c>
      <c r="H22" s="214" t="s">
        <v>209</v>
      </c>
      <c r="I22" s="210" t="s">
        <v>128</v>
      </c>
      <c r="J22" s="210" t="s">
        <v>127</v>
      </c>
      <c r="K22" s="210" t="s">
        <v>201</v>
      </c>
      <c r="L22" s="241"/>
      <c r="M22" s="214" t="s">
        <v>284</v>
      </c>
      <c r="N22" s="2" t="s">
        <v>126</v>
      </c>
      <c r="O22" s="211" t="s">
        <v>287</v>
      </c>
      <c r="P22" s="244" t="s">
        <v>125</v>
      </c>
      <c r="Q22" s="245" t="s">
        <v>249</v>
      </c>
      <c r="R22" s="215">
        <f t="shared" si="1"/>
        <v>1</v>
      </c>
      <c r="S22" s="197">
        <f>COUNTBLANK(E26:Q26)-1</f>
        <v>2</v>
      </c>
      <c r="T22" s="206"/>
      <c r="U22" s="578" t="s">
        <v>677</v>
      </c>
      <c r="V22" s="579"/>
      <c r="W22" s="579"/>
      <c r="X22" s="579"/>
      <c r="Y22" s="579"/>
      <c r="Z22" s="580"/>
    </row>
    <row r="23" spans="1:26" s="200" customFormat="1" ht="27.95" customHeight="1" thickBot="1">
      <c r="A23" s="208">
        <v>18</v>
      </c>
      <c r="B23" s="246" t="s">
        <v>124</v>
      </c>
      <c r="C23" s="614"/>
      <c r="D23" s="615"/>
      <c r="E23" s="247" t="s">
        <v>237</v>
      </c>
      <c r="F23" s="248" t="s">
        <v>197</v>
      </c>
      <c r="G23" s="11" t="s">
        <v>19</v>
      </c>
      <c r="H23" s="231" t="s">
        <v>262</v>
      </c>
      <c r="I23" s="231" t="s">
        <v>263</v>
      </c>
      <c r="J23" s="248" t="s">
        <v>232</v>
      </c>
      <c r="K23" s="231" t="s">
        <v>339</v>
      </c>
      <c r="L23" s="283"/>
      <c r="M23" s="248" t="s">
        <v>291</v>
      </c>
      <c r="N23" s="231" t="s">
        <v>71</v>
      </c>
      <c r="O23" s="231" t="s">
        <v>114</v>
      </c>
      <c r="P23" s="248" t="s">
        <v>123</v>
      </c>
      <c r="Q23" s="231" t="s">
        <v>122</v>
      </c>
      <c r="R23" s="215">
        <f t="shared" si="1"/>
        <v>1</v>
      </c>
      <c r="S23" s="197">
        <f>COUNTBLANK(E27:Q27)-1</f>
        <v>2</v>
      </c>
      <c r="T23" s="206"/>
      <c r="U23" s="581"/>
      <c r="V23" s="582"/>
      <c r="W23" s="582"/>
      <c r="X23" s="582"/>
      <c r="Y23" s="582"/>
      <c r="Z23" s="583"/>
    </row>
    <row r="24" spans="1:26" s="200" customFormat="1" ht="27.95" customHeight="1" thickBot="1">
      <c r="A24" s="208">
        <v>19</v>
      </c>
      <c r="B24" s="249" t="s">
        <v>112</v>
      </c>
      <c r="C24" s="619"/>
      <c r="D24" s="620"/>
      <c r="E24" s="224" t="s">
        <v>268</v>
      </c>
      <c r="F24" s="224" t="s">
        <v>237</v>
      </c>
      <c r="G24" s="250" t="s">
        <v>233</v>
      </c>
      <c r="H24" s="224" t="s">
        <v>294</v>
      </c>
      <c r="I24" s="224" t="s">
        <v>111</v>
      </c>
      <c r="J24" s="224" t="s">
        <v>69</v>
      </c>
      <c r="K24" s="234" t="s">
        <v>657</v>
      </c>
      <c r="L24" s="234"/>
      <c r="M24" s="234" t="s">
        <v>249</v>
      </c>
      <c r="N24" s="226" t="s">
        <v>338</v>
      </c>
      <c r="O24" s="235" t="s">
        <v>109</v>
      </c>
      <c r="P24" s="226" t="s">
        <v>209</v>
      </c>
      <c r="Q24" s="224" t="s">
        <v>72</v>
      </c>
      <c r="R24" s="215">
        <f t="shared" si="1"/>
        <v>1</v>
      </c>
      <c r="S24" s="197">
        <f>COUNTBLANK(E22:Q22)-1</f>
        <v>0</v>
      </c>
      <c r="T24" s="206"/>
      <c r="U24" s="584"/>
      <c r="V24" s="585"/>
      <c r="W24" s="585"/>
      <c r="X24" s="585"/>
      <c r="Y24" s="585"/>
      <c r="Z24" s="586"/>
    </row>
    <row r="25" spans="1:26" s="200" customFormat="1" ht="27.95" customHeight="1" thickBot="1">
      <c r="A25" s="208">
        <v>20</v>
      </c>
      <c r="B25" s="341" t="s">
        <v>26</v>
      </c>
      <c r="C25" s="251" t="s">
        <v>65</v>
      </c>
      <c r="D25" s="251" t="s">
        <v>66</v>
      </c>
      <c r="E25" s="252" t="s">
        <v>252</v>
      </c>
      <c r="F25" s="211" t="s">
        <v>27</v>
      </c>
      <c r="G25" s="213" t="s">
        <v>47</v>
      </c>
      <c r="H25" s="3" t="s">
        <v>28</v>
      </c>
      <c r="I25" s="211" t="s">
        <v>68</v>
      </c>
      <c r="J25" s="211" t="s">
        <v>275</v>
      </c>
      <c r="K25" s="211" t="s">
        <v>50</v>
      </c>
      <c r="L25" s="253"/>
      <c r="M25" s="228" t="s">
        <v>58</v>
      </c>
      <c r="N25" s="211" t="s">
        <v>232</v>
      </c>
      <c r="O25" s="3" t="s">
        <v>24</v>
      </c>
      <c r="P25" s="569"/>
      <c r="Q25" s="570"/>
      <c r="R25" s="215">
        <f t="shared" si="1"/>
        <v>1</v>
      </c>
      <c r="S25" s="197">
        <f>COUNTBLANK(E25:Q25)-3</f>
        <v>0</v>
      </c>
      <c r="T25" s="206"/>
      <c r="U25" s="575" t="s">
        <v>120</v>
      </c>
      <c r="V25" s="576"/>
      <c r="W25" s="576"/>
      <c r="X25" s="576"/>
      <c r="Y25" s="576"/>
      <c r="Z25" s="577"/>
    </row>
    <row r="26" spans="1:26" s="200" customFormat="1" ht="27.95" customHeight="1">
      <c r="A26" s="208">
        <v>21</v>
      </c>
      <c r="B26" s="342" t="s">
        <v>515</v>
      </c>
      <c r="C26" s="254" t="s">
        <v>310</v>
      </c>
      <c r="D26" s="254" t="s">
        <v>311</v>
      </c>
      <c r="E26" s="255" t="s">
        <v>241</v>
      </c>
      <c r="F26" s="210" t="s">
        <v>44</v>
      </c>
      <c r="G26" s="3" t="s">
        <v>516</v>
      </c>
      <c r="H26" s="211" t="s">
        <v>517</v>
      </c>
      <c r="I26" s="214" t="s">
        <v>231</v>
      </c>
      <c r="J26" s="211" t="s">
        <v>29</v>
      </c>
      <c r="K26" s="210" t="s">
        <v>268</v>
      </c>
      <c r="L26" s="219"/>
      <c r="M26" s="214" t="s">
        <v>30</v>
      </c>
      <c r="N26" s="170" t="s">
        <v>667</v>
      </c>
      <c r="O26" s="214" t="s">
        <v>209</v>
      </c>
      <c r="P26" s="571"/>
      <c r="Q26" s="572"/>
      <c r="R26" s="215"/>
      <c r="S26" s="197">
        <f>COUNTBLANK(E18:Q18)-3</f>
        <v>-2</v>
      </c>
      <c r="T26" s="206"/>
      <c r="U26" s="578" t="s">
        <v>678</v>
      </c>
      <c r="V26" s="579"/>
      <c r="W26" s="579"/>
      <c r="X26" s="579"/>
      <c r="Y26" s="579"/>
      <c r="Z26" s="580"/>
    </row>
    <row r="27" spans="1:26" s="200" customFormat="1" ht="27.95" customHeight="1">
      <c r="A27" s="208">
        <v>22</v>
      </c>
      <c r="B27" s="343" t="s">
        <v>133</v>
      </c>
      <c r="C27" s="254" t="s">
        <v>313</v>
      </c>
      <c r="D27" s="254" t="s">
        <v>315</v>
      </c>
      <c r="E27" s="216" t="s">
        <v>338</v>
      </c>
      <c r="F27" s="244" t="s">
        <v>132</v>
      </c>
      <c r="G27" s="211" t="s">
        <v>293</v>
      </c>
      <c r="H27" s="211" t="s">
        <v>131</v>
      </c>
      <c r="I27" s="211" t="s">
        <v>19</v>
      </c>
      <c r="J27" s="210" t="s">
        <v>211</v>
      </c>
      <c r="K27" s="376" t="s">
        <v>110</v>
      </c>
      <c r="L27" s="213"/>
      <c r="M27" s="211" t="s">
        <v>219</v>
      </c>
      <c r="N27" s="213" t="s">
        <v>262</v>
      </c>
      <c r="O27" s="242" t="s">
        <v>58</v>
      </c>
      <c r="P27" s="571"/>
      <c r="Q27" s="572"/>
      <c r="R27" s="215">
        <f>(COUNTA(C27:Q27))/12</f>
        <v>1</v>
      </c>
      <c r="S27" s="197">
        <f>COUNTBLANK(E20:Q20)-3</f>
        <v>-2</v>
      </c>
      <c r="T27" s="206"/>
      <c r="U27" s="581"/>
      <c r="V27" s="582"/>
      <c r="W27" s="582"/>
      <c r="X27" s="582"/>
      <c r="Y27" s="582"/>
      <c r="Z27" s="583"/>
    </row>
    <row r="28" spans="1:26" s="200" customFormat="1" ht="27.95" customHeight="1" thickBot="1">
      <c r="A28" s="208">
        <v>23</v>
      </c>
      <c r="B28" s="344" t="s">
        <v>528</v>
      </c>
      <c r="C28" s="256" t="s">
        <v>623</v>
      </c>
      <c r="D28" s="256" t="s">
        <v>623</v>
      </c>
      <c r="E28" s="348" t="s">
        <v>114</v>
      </c>
      <c r="F28" s="248" t="s">
        <v>223</v>
      </c>
      <c r="G28" s="11" t="s">
        <v>198</v>
      </c>
      <c r="H28" s="226" t="s">
        <v>70</v>
      </c>
      <c r="I28" s="257" t="s">
        <v>531</v>
      </c>
      <c r="J28" s="258" t="s">
        <v>532</v>
      </c>
      <c r="K28" s="226" t="s">
        <v>294</v>
      </c>
      <c r="L28" s="258"/>
      <c r="M28" s="248" t="s">
        <v>21</v>
      </c>
      <c r="N28" s="259" t="s">
        <v>121</v>
      </c>
      <c r="O28" s="11" t="s">
        <v>210</v>
      </c>
      <c r="P28" s="573"/>
      <c r="Q28" s="574"/>
      <c r="R28" s="215"/>
      <c r="S28" s="197">
        <f>COUNTBLANK(E24:Q24)-3</f>
        <v>-2</v>
      </c>
      <c r="T28" s="206"/>
      <c r="U28" s="581"/>
      <c r="V28" s="582"/>
      <c r="W28" s="582"/>
      <c r="X28" s="582"/>
      <c r="Y28" s="582"/>
      <c r="Z28" s="583"/>
    </row>
    <row r="29" spans="1:26" s="200" customFormat="1" ht="27.95" customHeight="1">
      <c r="A29" s="260" t="s">
        <v>108</v>
      </c>
      <c r="B29" s="261" t="s">
        <v>107</v>
      </c>
      <c r="C29" s="587"/>
      <c r="D29" s="588"/>
      <c r="E29" s="4"/>
      <c r="F29" s="262"/>
      <c r="G29" s="262" t="s">
        <v>217</v>
      </c>
      <c r="H29" s="213" t="s">
        <v>218</v>
      </c>
      <c r="I29" s="262" t="s">
        <v>106</v>
      </c>
      <c r="J29" s="4" t="s">
        <v>105</v>
      </c>
      <c r="K29" s="4"/>
      <c r="L29" s="263"/>
      <c r="M29" s="262"/>
      <c r="N29" s="262" t="s">
        <v>295</v>
      </c>
      <c r="O29" s="211" t="s">
        <v>104</v>
      </c>
      <c r="P29" s="264"/>
      <c r="Q29" s="265"/>
      <c r="R29" s="215">
        <f>(COUNTA(C29:Q29))/6</f>
        <v>1</v>
      </c>
      <c r="S29" s="197">
        <f>COUNTBLANK(E29:Q29)-1</f>
        <v>6</v>
      </c>
      <c r="T29" s="206"/>
      <c r="U29" s="581"/>
      <c r="V29" s="582"/>
      <c r="W29" s="582"/>
      <c r="X29" s="582"/>
      <c r="Y29" s="582"/>
      <c r="Z29" s="583"/>
    </row>
    <row r="30" spans="1:26" s="200" customFormat="1" ht="27.95" customHeight="1" thickBot="1">
      <c r="A30" s="266" t="s">
        <v>103</v>
      </c>
      <c r="B30" s="267" t="s">
        <v>31</v>
      </c>
      <c r="C30" s="587"/>
      <c r="D30" s="588"/>
      <c r="E30" s="211" t="s">
        <v>222</v>
      </c>
      <c r="F30" s="211" t="s">
        <v>102</v>
      </c>
      <c r="G30" s="211"/>
      <c r="H30" s="211"/>
      <c r="I30" s="211" t="s">
        <v>294</v>
      </c>
      <c r="J30" s="211"/>
      <c r="K30" s="207"/>
      <c r="L30" s="268"/>
      <c r="M30" s="211"/>
      <c r="N30" s="211"/>
      <c r="O30" s="211" t="s">
        <v>94</v>
      </c>
      <c r="P30" s="210" t="s">
        <v>16</v>
      </c>
      <c r="Q30" s="211" t="s">
        <v>101</v>
      </c>
      <c r="R30" s="215">
        <f>(COUNTA(C30:Q30))/7</f>
        <v>0.8571428571428571</v>
      </c>
      <c r="S30" s="197">
        <f>COUNTBLANK(E30:Q30)-1</f>
        <v>6</v>
      </c>
      <c r="T30" s="206"/>
      <c r="U30" s="584"/>
      <c r="V30" s="585"/>
      <c r="W30" s="585"/>
      <c r="X30" s="585"/>
      <c r="Y30" s="585"/>
      <c r="Z30" s="586"/>
    </row>
    <row r="31" spans="1:26" s="200" customFormat="1" ht="9.9499999999999993" customHeight="1" thickBot="1">
      <c r="A31" s="269"/>
      <c r="B31" s="270"/>
      <c r="C31" s="270"/>
      <c r="D31" s="270"/>
      <c r="E31" s="5"/>
      <c r="F31" s="271"/>
      <c r="G31" s="272"/>
      <c r="H31" s="272"/>
      <c r="I31" s="272"/>
      <c r="J31" s="272"/>
      <c r="K31" s="5"/>
      <c r="L31" s="271"/>
      <c r="M31" s="5"/>
      <c r="N31" s="272"/>
      <c r="O31" s="271"/>
      <c r="P31" s="271"/>
      <c r="Q31" s="273"/>
      <c r="R31" s="274"/>
      <c r="S31" s="197"/>
      <c r="T31" s="206"/>
      <c r="U31" s="395"/>
      <c r="V31" s="395"/>
      <c r="W31" s="395"/>
      <c r="X31" s="395"/>
      <c r="Y31" s="395"/>
      <c r="Z31" s="395"/>
    </row>
    <row r="32" spans="1:26" s="200" customFormat="1" ht="109.5" customHeight="1">
      <c r="A32" s="589"/>
      <c r="B32" s="591" t="s">
        <v>100</v>
      </c>
      <c r="C32" s="593"/>
      <c r="D32" s="594"/>
      <c r="E32" s="265" t="s">
        <v>648</v>
      </c>
      <c r="F32" s="276" t="s">
        <v>278</v>
      </c>
      <c r="G32" s="265" t="s">
        <v>281</v>
      </c>
      <c r="H32" s="265" t="s">
        <v>289</v>
      </c>
      <c r="I32" s="396" t="s">
        <v>642</v>
      </c>
      <c r="J32" s="213" t="s">
        <v>641</v>
      </c>
      <c r="K32" s="211" t="s">
        <v>649</v>
      </c>
      <c r="L32" s="212"/>
      <c r="M32" s="213" t="s">
        <v>282</v>
      </c>
      <c r="N32" s="277" t="s">
        <v>276</v>
      </c>
      <c r="O32" s="276" t="s">
        <v>297</v>
      </c>
      <c r="P32" s="277" t="s">
        <v>288</v>
      </c>
      <c r="Q32" s="211" t="s">
        <v>296</v>
      </c>
      <c r="R32" s="215">
        <f>(COUNTA(C32:Q32))/12</f>
        <v>1</v>
      </c>
      <c r="S32" s="197"/>
      <c r="T32" s="206"/>
      <c r="U32" s="599" t="s">
        <v>673</v>
      </c>
      <c r="V32" s="600"/>
      <c r="W32" s="600"/>
      <c r="X32" s="600"/>
      <c r="Y32" s="600"/>
      <c r="Z32" s="601"/>
    </row>
    <row r="33" spans="1:32" s="200" customFormat="1" ht="125.1" customHeight="1">
      <c r="A33" s="590"/>
      <c r="B33" s="592"/>
      <c r="C33" s="595"/>
      <c r="D33" s="596"/>
      <c r="E33" s="278" t="s">
        <v>557</v>
      </c>
      <c r="F33" s="210" t="s">
        <v>671</v>
      </c>
      <c r="G33" s="279" t="s">
        <v>558</v>
      </c>
      <c r="H33" s="210" t="s">
        <v>668</v>
      </c>
      <c r="I33" s="214" t="s">
        <v>302</v>
      </c>
      <c r="J33" s="210" t="s">
        <v>347</v>
      </c>
      <c r="K33" s="210" t="s">
        <v>674</v>
      </c>
      <c r="L33" s="210"/>
      <c r="M33" s="210" t="s">
        <v>670</v>
      </c>
      <c r="N33" s="278" t="s">
        <v>669</v>
      </c>
      <c r="O33" s="349" t="s">
        <v>675</v>
      </c>
      <c r="P33" s="216" t="s">
        <v>304</v>
      </c>
      <c r="Q33" s="210" t="s">
        <v>323</v>
      </c>
      <c r="R33" s="274"/>
      <c r="S33" s="197"/>
      <c r="T33" s="206"/>
      <c r="U33" s="602"/>
      <c r="V33" s="603"/>
      <c r="W33" s="603"/>
      <c r="X33" s="603"/>
      <c r="Y33" s="603"/>
      <c r="Z33" s="604"/>
    </row>
    <row r="34" spans="1:32" s="200" customFormat="1" ht="69.95" customHeight="1" thickBot="1">
      <c r="A34" s="280"/>
      <c r="B34" s="404" t="s">
        <v>655</v>
      </c>
      <c r="C34" s="597"/>
      <c r="D34" s="598"/>
      <c r="E34" s="281" t="s">
        <v>98</v>
      </c>
      <c r="F34" s="282" t="s">
        <v>257</v>
      </c>
      <c r="G34" s="248" t="s">
        <v>650</v>
      </c>
      <c r="H34" s="248" t="s">
        <v>97</v>
      </c>
      <c r="I34" s="231" t="s">
        <v>227</v>
      </c>
      <c r="J34" s="397" t="s">
        <v>644</v>
      </c>
      <c r="K34" s="248" t="s">
        <v>290</v>
      </c>
      <c r="L34" s="283"/>
      <c r="M34" s="248" t="s">
        <v>643</v>
      </c>
      <c r="N34" s="231" t="s">
        <v>277</v>
      </c>
      <c r="O34" s="224" t="s">
        <v>259</v>
      </c>
      <c r="P34" s="248"/>
      <c r="Q34" s="284" t="s">
        <v>96</v>
      </c>
      <c r="R34" s="215">
        <f>(COUNTA(F34:P34))/9</f>
        <v>1</v>
      </c>
      <c r="S34" s="285"/>
      <c r="T34" s="206"/>
      <c r="U34" s="605"/>
      <c r="V34" s="606"/>
      <c r="W34" s="606"/>
      <c r="X34" s="606"/>
      <c r="Y34" s="606"/>
      <c r="Z34" s="607"/>
      <c r="AC34" s="198"/>
      <c r="AD34" s="198"/>
      <c r="AE34" s="198"/>
      <c r="AF34" s="198"/>
    </row>
    <row r="35" spans="1:32" ht="9.9499999999999993" customHeight="1">
      <c r="A35" s="286"/>
      <c r="B35" s="286"/>
      <c r="C35" s="287"/>
      <c r="D35" s="287"/>
      <c r="O35" s="289"/>
      <c r="T35" s="206"/>
      <c r="AB35" s="200"/>
    </row>
    <row r="36" spans="1:32" ht="21" customHeight="1">
      <c r="B36" s="291"/>
      <c r="C36" s="291"/>
      <c r="D36" s="292" t="s">
        <v>95</v>
      </c>
      <c r="E36" s="293" t="s">
        <v>0</v>
      </c>
      <c r="F36" s="293" t="s">
        <v>1</v>
      </c>
      <c r="G36" s="293" t="s">
        <v>2</v>
      </c>
      <c r="H36" s="293" t="s">
        <v>32</v>
      </c>
      <c r="I36" s="293" t="s">
        <v>33</v>
      </c>
      <c r="J36" s="293" t="s">
        <v>34</v>
      </c>
      <c r="K36" s="293" t="s">
        <v>35</v>
      </c>
      <c r="L36" s="294" t="s">
        <v>36</v>
      </c>
      <c r="M36" s="293" t="s">
        <v>37</v>
      </c>
      <c r="N36" s="293" t="s">
        <v>6</v>
      </c>
      <c r="O36" s="293" t="s">
        <v>7</v>
      </c>
      <c r="P36" s="293" t="s">
        <v>8</v>
      </c>
      <c r="Q36" s="295" t="s">
        <v>9</v>
      </c>
      <c r="R36" s="296"/>
      <c r="U36" s="297"/>
      <c r="V36" s="298"/>
      <c r="W36" s="298"/>
      <c r="X36" s="298"/>
      <c r="Y36" s="298"/>
      <c r="AB36" s="200"/>
    </row>
    <row r="37" spans="1:32" ht="45.75" customHeight="1">
      <c r="B37" s="291"/>
      <c r="C37" s="291"/>
      <c r="D37" s="299" t="s">
        <v>93</v>
      </c>
      <c r="E37" s="241" t="s">
        <v>92</v>
      </c>
      <c r="F37" s="241" t="s">
        <v>91</v>
      </c>
      <c r="G37" s="241" t="s">
        <v>90</v>
      </c>
      <c r="H37" s="214" t="s">
        <v>651</v>
      </c>
      <c r="I37" s="214" t="s">
        <v>12</v>
      </c>
      <c r="J37" s="214" t="s">
        <v>48</v>
      </c>
      <c r="K37" s="214" t="s">
        <v>89</v>
      </c>
      <c r="L37" s="214"/>
      <c r="M37" s="349" t="s">
        <v>230</v>
      </c>
      <c r="N37" s="210" t="s">
        <v>308</v>
      </c>
      <c r="O37" s="301" t="s">
        <v>269</v>
      </c>
      <c r="P37" s="302" t="s">
        <v>614</v>
      </c>
      <c r="Q37" s="303" t="s">
        <v>11</v>
      </c>
      <c r="R37" s="296"/>
      <c r="U37" s="298"/>
      <c r="V37" s="298"/>
      <c r="W37" s="298"/>
      <c r="X37" s="298"/>
      <c r="Y37" s="298"/>
      <c r="AB37" s="200"/>
    </row>
    <row r="38" spans="1:32" ht="27.95" customHeight="1">
      <c r="B38" s="291"/>
      <c r="C38" s="291"/>
      <c r="D38" s="299" t="s">
        <v>88</v>
      </c>
      <c r="E38" s="241"/>
      <c r="F38" s="241"/>
      <c r="G38" s="241"/>
      <c r="H38" s="214"/>
      <c r="I38" s="214"/>
      <c r="J38" s="214"/>
      <c r="K38" s="214"/>
      <c r="L38" s="214"/>
      <c r="M38" s="214"/>
      <c r="N38" s="214"/>
      <c r="O38" s="304"/>
      <c r="P38" s="241"/>
      <c r="Q38" s="305" t="s">
        <v>87</v>
      </c>
      <c r="R38" s="296"/>
      <c r="U38" s="298"/>
      <c r="V38" s="298"/>
      <c r="W38" s="298"/>
      <c r="X38" s="298"/>
      <c r="Y38" s="298"/>
    </row>
    <row r="39" spans="1:32" ht="27.95" customHeight="1">
      <c r="B39" s="291"/>
      <c r="C39" s="291"/>
      <c r="D39" s="299" t="s">
        <v>86</v>
      </c>
      <c r="E39" s="214"/>
      <c r="F39" s="306" t="s">
        <v>300</v>
      </c>
      <c r="G39" s="214"/>
      <c r="H39" s="307" t="s">
        <v>316</v>
      </c>
      <c r="I39" s="388"/>
      <c r="J39" s="219"/>
      <c r="K39" s="420" t="s">
        <v>658</v>
      </c>
      <c r="L39" s="214"/>
      <c r="M39" s="214" t="s">
        <v>27</v>
      </c>
      <c r="N39" s="238" t="s">
        <v>134</v>
      </c>
      <c r="O39" s="309" t="s">
        <v>85</v>
      </c>
      <c r="P39" s="241" t="s">
        <v>84</v>
      </c>
      <c r="Q39" s="370" t="s">
        <v>317</v>
      </c>
      <c r="R39" s="296"/>
      <c r="U39" s="298"/>
      <c r="V39" s="298"/>
      <c r="W39" s="298"/>
      <c r="X39" s="298"/>
      <c r="Y39" s="298"/>
    </row>
    <row r="40" spans="1:32" ht="42" customHeight="1">
      <c r="B40" s="198"/>
      <c r="C40" s="198"/>
      <c r="D40" s="311" t="s">
        <v>83</v>
      </c>
      <c r="E40" s="345" t="s">
        <v>608</v>
      </c>
      <c r="F40" s="312" t="s">
        <v>246</v>
      </c>
      <c r="G40" s="312" t="s">
        <v>309</v>
      </c>
      <c r="H40" s="314" t="s">
        <v>609</v>
      </c>
      <c r="I40" s="314" t="s">
        <v>612</v>
      </c>
      <c r="J40" s="390" t="s">
        <v>49</v>
      </c>
      <c r="K40" s="314" t="s">
        <v>617</v>
      </c>
      <c r="L40" s="314"/>
      <c r="M40" s="313" t="s">
        <v>616</v>
      </c>
      <c r="N40" s="314" t="s">
        <v>652</v>
      </c>
      <c r="O40" s="314" t="s">
        <v>314</v>
      </c>
      <c r="P40" s="312" t="s">
        <v>245</v>
      </c>
      <c r="Q40" s="315" t="s">
        <v>312</v>
      </c>
    </row>
    <row r="41" spans="1:32" ht="9.9499999999999993" customHeight="1">
      <c r="E41" s="288"/>
      <c r="F41" s="288"/>
      <c r="G41" s="288"/>
      <c r="H41" s="288"/>
      <c r="I41" s="288"/>
      <c r="J41" s="288"/>
      <c r="K41" s="288"/>
      <c r="M41" s="288"/>
      <c r="N41" s="288"/>
      <c r="O41" s="288"/>
    </row>
    <row r="42" spans="1:32" ht="27.95" customHeight="1">
      <c r="A42" s="317"/>
      <c r="B42" s="317"/>
      <c r="C42" s="317"/>
      <c r="D42" s="560" t="s">
        <v>640</v>
      </c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2"/>
      <c r="R42" s="296"/>
    </row>
    <row r="43" spans="1:32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32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32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32" ht="27.95" customHeight="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32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32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296"/>
    </row>
    <row r="51" spans="1:18">
      <c r="A51" s="317"/>
      <c r="B51" s="317"/>
      <c r="C51" s="317"/>
      <c r="D51" s="563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5"/>
      <c r="R51" s="296"/>
    </row>
    <row r="52" spans="1:18">
      <c r="A52" s="317"/>
      <c r="B52" s="317"/>
      <c r="C52" s="317"/>
      <c r="D52" s="566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296"/>
    </row>
    <row r="53" spans="1:18" ht="9.9499999999999993" customHeight="1"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6"/>
    </row>
    <row r="54" spans="1:18" ht="24">
      <c r="D54" s="318"/>
      <c r="E54" s="319" t="s">
        <v>0</v>
      </c>
      <c r="F54" s="320" t="s">
        <v>1</v>
      </c>
      <c r="G54" s="320" t="s">
        <v>2</v>
      </c>
      <c r="H54" s="320" t="s">
        <v>3</v>
      </c>
      <c r="I54" s="320" t="s">
        <v>81</v>
      </c>
      <c r="J54" s="320" t="s">
        <v>80</v>
      </c>
      <c r="K54" s="320" t="s">
        <v>79</v>
      </c>
      <c r="L54" s="321"/>
      <c r="M54" s="320" t="s">
        <v>5</v>
      </c>
      <c r="N54" s="320" t="s">
        <v>6</v>
      </c>
      <c r="O54" s="320" t="s">
        <v>7</v>
      </c>
      <c r="P54" s="320" t="s">
        <v>8</v>
      </c>
      <c r="Q54" s="322" t="s">
        <v>9</v>
      </c>
      <c r="R54" s="323" t="s">
        <v>78</v>
      </c>
    </row>
    <row r="55" spans="1:18" ht="30" customHeight="1">
      <c r="D55" s="324" t="s">
        <v>77</v>
      </c>
      <c r="E55" s="325"/>
      <c r="F55" s="326"/>
      <c r="G55" s="228"/>
      <c r="H55" s="228"/>
      <c r="I55" s="228"/>
      <c r="J55" s="228"/>
      <c r="K55" s="228"/>
      <c r="L55" s="212"/>
      <c r="M55" s="212"/>
      <c r="N55" s="228" t="s">
        <v>620</v>
      </c>
      <c r="O55" s="326"/>
      <c r="P55" s="326"/>
      <c r="Q55" s="326"/>
      <c r="R55" s="328"/>
    </row>
    <row r="56" spans="1:18" ht="30" customHeight="1">
      <c r="D56" s="329" t="s">
        <v>76</v>
      </c>
      <c r="E56" s="330"/>
      <c r="F56" s="331"/>
      <c r="G56" s="242" t="s">
        <v>319</v>
      </c>
      <c r="H56" s="242" t="s">
        <v>204</v>
      </c>
      <c r="I56" s="238"/>
      <c r="J56" s="242"/>
      <c r="K56" s="242" t="s">
        <v>216</v>
      </c>
      <c r="L56" s="219"/>
      <c r="M56" s="242"/>
      <c r="N56" s="242"/>
      <c r="O56" s="331"/>
      <c r="P56" s="331"/>
      <c r="Q56" s="242"/>
      <c r="R56" s="332"/>
    </row>
    <row r="57" spans="1:18" ht="50.1" customHeight="1">
      <c r="D57" s="333" t="s">
        <v>75</v>
      </c>
      <c r="E57" s="330"/>
      <c r="F57" s="238" t="s">
        <v>251</v>
      </c>
      <c r="G57" s="238" t="s">
        <v>60</v>
      </c>
      <c r="H57" s="238"/>
      <c r="I57" s="242" t="s">
        <v>228</v>
      </c>
      <c r="J57" s="238" t="s">
        <v>271</v>
      </c>
      <c r="K57" s="238" t="s">
        <v>301</v>
      </c>
      <c r="L57" s="219"/>
      <c r="M57" s="238"/>
      <c r="N57" s="242"/>
      <c r="O57" s="242" t="s">
        <v>250</v>
      </c>
      <c r="P57" s="242" t="s">
        <v>239</v>
      </c>
      <c r="Q57" s="242" t="s">
        <v>61</v>
      </c>
      <c r="R57" s="334"/>
    </row>
    <row r="58" spans="1:18" ht="30" customHeight="1">
      <c r="D58" s="324" t="s">
        <v>38</v>
      </c>
      <c r="E58" s="330"/>
      <c r="F58" s="331"/>
      <c r="G58" s="242"/>
      <c r="H58" s="242"/>
      <c r="I58" s="242"/>
      <c r="J58" s="242"/>
      <c r="K58" s="242"/>
      <c r="L58" s="309"/>
      <c r="M58" s="331"/>
      <c r="N58" s="331"/>
      <c r="O58" s="331"/>
      <c r="P58" s="331"/>
      <c r="Q58" s="331"/>
      <c r="R58" s="332"/>
    </row>
    <row r="59" spans="1:18" ht="30" customHeight="1">
      <c r="D59" s="335" t="s">
        <v>74</v>
      </c>
      <c r="E59" s="336"/>
      <c r="F59" s="337"/>
      <c r="G59" s="338"/>
      <c r="H59" s="337"/>
      <c r="I59" s="337"/>
      <c r="J59" s="337"/>
      <c r="K59" s="337"/>
      <c r="L59" s="339"/>
      <c r="M59" s="337"/>
      <c r="N59" s="337"/>
      <c r="O59" s="338" t="s">
        <v>24</v>
      </c>
      <c r="P59" s="338"/>
      <c r="Q59" s="337"/>
      <c r="R59" s="340"/>
    </row>
    <row r="62" spans="1:18" ht="24">
      <c r="D62" s="356"/>
      <c r="E62" s="320" t="s">
        <v>0</v>
      </c>
      <c r="F62" s="320" t="s">
        <v>1</v>
      </c>
      <c r="G62" s="320" t="s">
        <v>2</v>
      </c>
      <c r="H62" s="320" t="s">
        <v>3</v>
      </c>
      <c r="I62" s="320" t="s">
        <v>81</v>
      </c>
      <c r="J62" s="320" t="s">
        <v>80</v>
      </c>
      <c r="K62" s="320" t="s">
        <v>79</v>
      </c>
      <c r="L62" s="321"/>
      <c r="M62" s="320" t="s">
        <v>5</v>
      </c>
      <c r="N62" s="320" t="s">
        <v>6</v>
      </c>
      <c r="O62" s="320" t="s">
        <v>7</v>
      </c>
      <c r="P62" s="320" t="s">
        <v>8</v>
      </c>
      <c r="Q62" s="320" t="s">
        <v>9</v>
      </c>
      <c r="R62" s="323" t="s">
        <v>78</v>
      </c>
    </row>
    <row r="63" spans="1:18">
      <c r="D63" s="357" t="s">
        <v>629</v>
      </c>
      <c r="E63" s="358"/>
      <c r="F63" s="358"/>
      <c r="G63" s="358"/>
      <c r="H63" s="391" t="s">
        <v>624</v>
      </c>
      <c r="I63" s="392"/>
      <c r="J63" s="392"/>
      <c r="K63" s="358"/>
      <c r="L63" s="360"/>
      <c r="M63" s="358"/>
      <c r="N63" s="358"/>
      <c r="O63" s="358"/>
      <c r="P63" s="358"/>
      <c r="Q63" s="358"/>
      <c r="R63" s="361"/>
    </row>
    <row r="64" spans="1:18">
      <c r="D64" s="362"/>
      <c r="E64" s="363"/>
      <c r="F64" s="363"/>
      <c r="G64" s="363"/>
      <c r="H64" s="393"/>
      <c r="I64" s="394" t="s">
        <v>625</v>
      </c>
      <c r="J64" s="394" t="s">
        <v>625</v>
      </c>
      <c r="K64" s="363"/>
      <c r="L64" s="365"/>
      <c r="M64" s="363"/>
      <c r="N64" s="363"/>
      <c r="O64" s="363"/>
      <c r="P64" s="363"/>
      <c r="Q64" s="363"/>
      <c r="R64" s="366"/>
    </row>
    <row r="65" spans="8:10">
      <c r="H65" s="200"/>
      <c r="I65" s="200"/>
      <c r="J65" s="200"/>
    </row>
  </sheetData>
  <mergeCells count="23">
    <mergeCell ref="D42:Q52"/>
    <mergeCell ref="P25:Q28"/>
    <mergeCell ref="U25:Z25"/>
    <mergeCell ref="U26:Z30"/>
    <mergeCell ref="C29:D30"/>
    <mergeCell ref="A32:A33"/>
    <mergeCell ref="B32:B33"/>
    <mergeCell ref="C32:D34"/>
    <mergeCell ref="U32:Z34"/>
    <mergeCell ref="P12:Q15"/>
    <mergeCell ref="U12:Z19"/>
    <mergeCell ref="C16:D16"/>
    <mergeCell ref="C17:D23"/>
    <mergeCell ref="U20:Z20"/>
    <mergeCell ref="U22:Z24"/>
    <mergeCell ref="C24:D24"/>
    <mergeCell ref="A1:Q1"/>
    <mergeCell ref="A2:Q2"/>
    <mergeCell ref="C4:D11"/>
    <mergeCell ref="E4:F4"/>
    <mergeCell ref="U4:Z4"/>
    <mergeCell ref="U5:Z10"/>
    <mergeCell ref="U11:Z11"/>
  </mergeCells>
  <phoneticPr fontId="3" type="noConversion"/>
  <pageMargins left="0.7" right="0.7" top="0.75" bottom="0.75" header="0.3" footer="0.3"/>
  <pageSetup paperSize="9" scale="26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5"/>
  <sheetViews>
    <sheetView topLeftCell="A2" zoomScale="85" zoomScaleNormal="85" workbookViewId="0">
      <selection activeCell="O6" sqref="O6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11.875" style="197" customWidth="1"/>
    <col min="20" max="20" width="1.625" style="198" customWidth="1"/>
    <col min="21" max="26" width="8.125" style="198" customWidth="1"/>
    <col min="27" max="16384" width="9" style="198"/>
  </cols>
  <sheetData>
    <row r="1" spans="1:31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1" ht="18" customHeight="1">
      <c r="A2" s="623" t="s">
        <v>681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U2" s="200"/>
      <c r="V2" s="200"/>
      <c r="W2" s="200"/>
      <c r="X2" s="200"/>
      <c r="Y2" s="200"/>
      <c r="Z2" s="200"/>
      <c r="AB2" s="200"/>
      <c r="AC2" s="200"/>
      <c r="AD2" s="200"/>
      <c r="AE2" s="200"/>
    </row>
    <row r="3" spans="1:31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AVERAGE(R4:R34)</f>
        <v>0.96761904761904771</v>
      </c>
      <c r="T3" s="206"/>
      <c r="U3" s="200"/>
      <c r="V3" s="200"/>
      <c r="W3" s="200"/>
      <c r="X3" s="200"/>
      <c r="Y3" s="200"/>
      <c r="Z3" s="200"/>
      <c r="AA3" s="207"/>
      <c r="AB3" s="200"/>
      <c r="AC3" s="200"/>
      <c r="AD3" s="200"/>
      <c r="AE3" s="200"/>
    </row>
    <row r="4" spans="1:31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210" t="s">
        <v>73</v>
      </c>
      <c r="H4" s="211" t="s">
        <v>183</v>
      </c>
      <c r="I4" s="211" t="s">
        <v>206</v>
      </c>
      <c r="J4" s="212" t="s">
        <v>191</v>
      </c>
      <c r="K4" s="211" t="s">
        <v>190</v>
      </c>
      <c r="L4" s="213"/>
      <c r="M4" s="211" t="s">
        <v>91</v>
      </c>
      <c r="N4" s="210" t="s">
        <v>285</v>
      </c>
      <c r="O4" s="211" t="s">
        <v>253</v>
      </c>
      <c r="P4" s="214" t="s">
        <v>46</v>
      </c>
      <c r="Q4" s="1" t="s">
        <v>189</v>
      </c>
      <c r="R4" s="215">
        <f>(COUNTA(G4:Q4))/10</f>
        <v>1</v>
      </c>
      <c r="S4" s="197">
        <f t="shared" ref="S4:S11" si="0">COUNTBLANK(E4:Q4)-1</f>
        <v>1</v>
      </c>
      <c r="T4" s="206"/>
      <c r="U4" s="633" t="s">
        <v>188</v>
      </c>
      <c r="V4" s="634"/>
      <c r="W4" s="634"/>
      <c r="X4" s="634"/>
      <c r="Y4" s="634"/>
      <c r="Z4" s="635"/>
    </row>
    <row r="5" spans="1:31" s="200" customFormat="1" ht="27.95" customHeight="1">
      <c r="A5" s="208">
        <v>2</v>
      </c>
      <c r="B5" s="209" t="s">
        <v>165</v>
      </c>
      <c r="C5" s="627"/>
      <c r="D5" s="628"/>
      <c r="E5" s="214" t="s">
        <v>89</v>
      </c>
      <c r="F5" s="214" t="s">
        <v>229</v>
      </c>
      <c r="G5" s="2" t="s">
        <v>144</v>
      </c>
      <c r="H5" s="210" t="s">
        <v>164</v>
      </c>
      <c r="I5" s="210" t="s">
        <v>163</v>
      </c>
      <c r="J5" s="210" t="s">
        <v>377</v>
      </c>
      <c r="K5" s="214" t="s">
        <v>162</v>
      </c>
      <c r="L5" s="214"/>
      <c r="M5" s="210" t="s">
        <v>266</v>
      </c>
      <c r="N5" s="216" t="s">
        <v>161</v>
      </c>
      <c r="O5" s="210" t="s">
        <v>203</v>
      </c>
      <c r="P5" s="214" t="s">
        <v>200</v>
      </c>
      <c r="Q5" s="210" t="s">
        <v>10</v>
      </c>
      <c r="R5" s="215">
        <f t="shared" ref="R5:R25" si="1">(COUNTA(C5:Q5))/12</f>
        <v>1</v>
      </c>
      <c r="S5" s="197"/>
      <c r="T5" s="206"/>
      <c r="U5" s="578"/>
      <c r="V5" s="579"/>
      <c r="W5" s="579"/>
      <c r="X5" s="579"/>
      <c r="Y5" s="579"/>
      <c r="Z5" s="580"/>
    </row>
    <row r="6" spans="1:31" s="200" customFormat="1" ht="27.95" customHeight="1">
      <c r="A6" s="208">
        <v>3</v>
      </c>
      <c r="B6" s="218" t="s">
        <v>160</v>
      </c>
      <c r="C6" s="627"/>
      <c r="D6" s="628"/>
      <c r="E6" s="210" t="s">
        <v>158</v>
      </c>
      <c r="F6" s="210" t="s">
        <v>159</v>
      </c>
      <c r="G6" s="210" t="s">
        <v>11</v>
      </c>
      <c r="H6" s="210" t="s">
        <v>158</v>
      </c>
      <c r="I6" s="210" t="s">
        <v>157</v>
      </c>
      <c r="J6" s="210" t="s">
        <v>214</v>
      </c>
      <c r="K6" s="2" t="s">
        <v>156</v>
      </c>
      <c r="L6" s="210"/>
      <c r="M6" s="210" t="s">
        <v>10</v>
      </c>
      <c r="N6" s="219" t="s">
        <v>155</v>
      </c>
      <c r="O6" s="220" t="s">
        <v>154</v>
      </c>
      <c r="P6" s="210" t="s">
        <v>64</v>
      </c>
      <c r="Q6" s="346" t="s">
        <v>235</v>
      </c>
      <c r="R6" s="215">
        <f t="shared" si="1"/>
        <v>1</v>
      </c>
      <c r="S6" s="197">
        <f>COUNTBLANK(E13:Q13)-1</f>
        <v>2</v>
      </c>
      <c r="T6" s="206"/>
      <c r="U6" s="581"/>
      <c r="V6" s="582"/>
      <c r="W6" s="582"/>
      <c r="X6" s="582"/>
      <c r="Y6" s="582"/>
      <c r="Z6" s="583"/>
    </row>
    <row r="7" spans="1:31" s="200" customFormat="1" ht="27.95" customHeight="1">
      <c r="A7" s="208"/>
      <c r="B7" s="218" t="s">
        <v>646</v>
      </c>
      <c r="C7" s="627"/>
      <c r="D7" s="628"/>
      <c r="E7" s="432"/>
      <c r="F7" s="432"/>
      <c r="G7" s="432"/>
      <c r="H7" s="432"/>
      <c r="I7" s="432"/>
      <c r="J7" s="432"/>
      <c r="K7" s="435"/>
      <c r="L7" s="432"/>
      <c r="M7" s="432"/>
      <c r="N7" s="436"/>
      <c r="O7" s="437"/>
      <c r="P7" s="438"/>
      <c r="Q7" s="439"/>
      <c r="R7" s="215"/>
      <c r="S7" s="197"/>
      <c r="T7" s="206"/>
      <c r="U7" s="581"/>
      <c r="V7" s="582"/>
      <c r="W7" s="582"/>
      <c r="X7" s="582"/>
      <c r="Y7" s="582"/>
      <c r="Z7" s="583"/>
    </row>
    <row r="8" spans="1:31" s="200" customFormat="1" ht="27.95" customHeight="1">
      <c r="A8" s="208">
        <v>4</v>
      </c>
      <c r="B8" s="221" t="s">
        <v>153</v>
      </c>
      <c r="C8" s="627"/>
      <c r="D8" s="628"/>
      <c r="E8" s="2" t="s">
        <v>159</v>
      </c>
      <c r="F8" s="214" t="s">
        <v>152</v>
      </c>
      <c r="G8" s="210" t="s">
        <v>336</v>
      </c>
      <c r="H8" s="210" t="s">
        <v>151</v>
      </c>
      <c r="I8" s="2" t="s">
        <v>150</v>
      </c>
      <c r="J8" s="214" t="s">
        <v>254</v>
      </c>
      <c r="K8" s="210" t="s">
        <v>208</v>
      </c>
      <c r="L8" s="210"/>
      <c r="M8" s="210" t="s">
        <v>12</v>
      </c>
      <c r="N8" s="214" t="s">
        <v>149</v>
      </c>
      <c r="O8" s="213" t="s">
        <v>148</v>
      </c>
      <c r="P8" s="347" t="s">
        <v>57</v>
      </c>
      <c r="Q8" s="210" t="s">
        <v>53</v>
      </c>
      <c r="R8" s="215">
        <f t="shared" si="1"/>
        <v>1</v>
      </c>
      <c r="S8" s="197">
        <f>COUNTBLANK(E14:Q14)-1</f>
        <v>2</v>
      </c>
      <c r="T8" s="206"/>
      <c r="U8" s="581"/>
      <c r="V8" s="582"/>
      <c r="W8" s="582"/>
      <c r="X8" s="582"/>
      <c r="Y8" s="582"/>
      <c r="Z8" s="583"/>
    </row>
    <row r="9" spans="1:31" s="200" customFormat="1" ht="27.95" customHeight="1">
      <c r="A9" s="208">
        <v>5</v>
      </c>
      <c r="B9" s="222" t="s">
        <v>175</v>
      </c>
      <c r="C9" s="627"/>
      <c r="D9" s="628"/>
      <c r="E9" s="210" t="s">
        <v>64</v>
      </c>
      <c r="F9" s="210" t="s">
        <v>167</v>
      </c>
      <c r="G9" s="212" t="s">
        <v>174</v>
      </c>
      <c r="H9" s="210" t="s">
        <v>173</v>
      </c>
      <c r="I9" s="210" t="s">
        <v>145</v>
      </c>
      <c r="J9" s="214" t="s">
        <v>13</v>
      </c>
      <c r="K9" s="207" t="s">
        <v>274</v>
      </c>
      <c r="L9" s="210"/>
      <c r="M9" s="213" t="s">
        <v>172</v>
      </c>
      <c r="N9" s="214" t="s">
        <v>147</v>
      </c>
      <c r="O9" s="2" t="s">
        <v>235</v>
      </c>
      <c r="P9" s="213" t="s">
        <v>265</v>
      </c>
      <c r="Q9" s="210" t="s">
        <v>208</v>
      </c>
      <c r="R9" s="215">
        <f t="shared" si="1"/>
        <v>1</v>
      </c>
      <c r="S9" s="197">
        <f t="shared" si="0"/>
        <v>0</v>
      </c>
      <c r="T9" s="206"/>
      <c r="U9" s="581"/>
      <c r="V9" s="582"/>
      <c r="W9" s="582"/>
      <c r="X9" s="582"/>
      <c r="Y9" s="582"/>
      <c r="Z9" s="583"/>
    </row>
    <row r="10" spans="1:31" s="200" customFormat="1" ht="27.95" customHeight="1" thickBot="1">
      <c r="A10" s="208">
        <v>6</v>
      </c>
      <c r="B10" s="221" t="s">
        <v>59</v>
      </c>
      <c r="C10" s="627"/>
      <c r="D10" s="628"/>
      <c r="E10" s="2" t="s">
        <v>621</v>
      </c>
      <c r="F10" s="214" t="s">
        <v>147</v>
      </c>
      <c r="G10" s="210" t="s">
        <v>57</v>
      </c>
      <c r="H10" s="210" t="s">
        <v>53</v>
      </c>
      <c r="I10" s="2" t="s">
        <v>248</v>
      </c>
      <c r="J10" s="214" t="s">
        <v>146</v>
      </c>
      <c r="K10" s="210" t="s">
        <v>258</v>
      </c>
      <c r="L10" s="210"/>
      <c r="M10" s="210" t="s">
        <v>145</v>
      </c>
      <c r="N10" s="214" t="s">
        <v>144</v>
      </c>
      <c r="O10" s="214" t="s">
        <v>45</v>
      </c>
      <c r="P10" s="214" t="s">
        <v>305</v>
      </c>
      <c r="Q10" s="347" t="s">
        <v>336</v>
      </c>
      <c r="R10" s="215">
        <f t="shared" si="1"/>
        <v>1</v>
      </c>
      <c r="S10" s="197">
        <f>COUNTBLANK(E15:Q15)-1</f>
        <v>2</v>
      </c>
      <c r="T10" s="206"/>
      <c r="U10" s="584"/>
      <c r="V10" s="585"/>
      <c r="W10" s="585"/>
      <c r="X10" s="585"/>
      <c r="Y10" s="585"/>
      <c r="Z10" s="586"/>
    </row>
    <row r="11" spans="1:31" s="200" customFormat="1" ht="27.95" customHeight="1" thickBot="1">
      <c r="A11" s="208">
        <v>7</v>
      </c>
      <c r="B11" s="223" t="s">
        <v>168</v>
      </c>
      <c r="C11" s="629"/>
      <c r="D11" s="630"/>
      <c r="E11" s="224" t="s">
        <v>154</v>
      </c>
      <c r="F11" s="225" t="s">
        <v>53</v>
      </c>
      <c r="G11" s="224" t="s">
        <v>261</v>
      </c>
      <c r="H11" s="224" t="s">
        <v>167</v>
      </c>
      <c r="I11" s="226" t="s">
        <v>285</v>
      </c>
      <c r="J11" s="224" t="s">
        <v>206</v>
      </c>
      <c r="K11" s="224" t="s">
        <v>46</v>
      </c>
      <c r="L11" s="10"/>
      <c r="M11" s="224" t="s">
        <v>150</v>
      </c>
      <c r="N11" s="224" t="s">
        <v>244</v>
      </c>
      <c r="O11" s="224" t="s">
        <v>151</v>
      </c>
      <c r="P11" s="224" t="s">
        <v>174</v>
      </c>
      <c r="Q11" s="224" t="s">
        <v>200</v>
      </c>
      <c r="R11" s="215">
        <f t="shared" si="1"/>
        <v>1</v>
      </c>
      <c r="S11" s="197">
        <f t="shared" si="0"/>
        <v>0</v>
      </c>
      <c r="T11" s="206"/>
      <c r="U11" s="575" t="s">
        <v>166</v>
      </c>
      <c r="V11" s="576"/>
      <c r="W11" s="576"/>
      <c r="X11" s="576"/>
      <c r="Y11" s="576"/>
      <c r="Z11" s="577"/>
    </row>
    <row r="12" spans="1:31" s="200" customFormat="1" ht="27.95" customHeight="1">
      <c r="A12" s="208">
        <v>8</v>
      </c>
      <c r="B12" s="428" t="s">
        <v>653</v>
      </c>
      <c r="C12" s="227"/>
      <c r="D12" s="227"/>
      <c r="E12" s="374" t="s">
        <v>261</v>
      </c>
      <c r="F12" s="418" t="s">
        <v>106</v>
      </c>
      <c r="G12" s="374" t="s">
        <v>142</v>
      </c>
      <c r="H12" s="383" t="s">
        <v>335</v>
      </c>
      <c r="I12" s="374" t="s">
        <v>173</v>
      </c>
      <c r="J12" s="445"/>
      <c r="K12" s="374" t="s">
        <v>146</v>
      </c>
      <c r="L12" s="419"/>
      <c r="M12" s="445"/>
      <c r="N12" s="419" t="s">
        <v>274</v>
      </c>
      <c r="O12" s="383" t="s">
        <v>320</v>
      </c>
      <c r="P12" s="569"/>
      <c r="Q12" s="570"/>
      <c r="R12" s="215">
        <f t="shared" si="1"/>
        <v>0.66666666666666663</v>
      </c>
      <c r="S12" s="197"/>
      <c r="T12" s="206"/>
      <c r="U12" s="578" t="s">
        <v>698</v>
      </c>
      <c r="V12" s="579"/>
      <c r="W12" s="579"/>
      <c r="X12" s="579"/>
      <c r="Y12" s="579"/>
      <c r="Z12" s="580"/>
    </row>
    <row r="13" spans="1:31" s="200" customFormat="1" ht="27.95" customHeight="1">
      <c r="A13" s="208">
        <v>9</v>
      </c>
      <c r="B13" s="429" t="s">
        <v>682</v>
      </c>
      <c r="C13" s="424"/>
      <c r="D13" s="424"/>
      <c r="E13" s="419" t="s">
        <v>174</v>
      </c>
      <c r="F13" s="372" t="s">
        <v>145</v>
      </c>
      <c r="G13" s="372" t="s">
        <v>186</v>
      </c>
      <c r="H13" s="375" t="s">
        <v>161</v>
      </c>
      <c r="I13" s="375" t="s">
        <v>184</v>
      </c>
      <c r="J13" s="374" t="s">
        <v>202</v>
      </c>
      <c r="K13" s="372" t="s">
        <v>430</v>
      </c>
      <c r="L13" s="375"/>
      <c r="M13" s="372" t="s">
        <v>254</v>
      </c>
      <c r="N13" s="372" t="s">
        <v>183</v>
      </c>
      <c r="O13" s="374" t="s">
        <v>182</v>
      </c>
      <c r="P13" s="571"/>
      <c r="Q13" s="572"/>
      <c r="R13" s="215">
        <f t="shared" si="1"/>
        <v>0.83333333333333337</v>
      </c>
      <c r="S13" s="197">
        <f>COUNTBLANK(E5:Q5)-3</f>
        <v>-2</v>
      </c>
      <c r="T13" s="206"/>
      <c r="U13" s="581"/>
      <c r="V13" s="582"/>
      <c r="W13" s="582"/>
      <c r="X13" s="582"/>
      <c r="Y13" s="582"/>
      <c r="Z13" s="583"/>
      <c r="AA13" s="229"/>
    </row>
    <row r="14" spans="1:31" s="200" customFormat="1" ht="27.95" customHeight="1">
      <c r="A14" s="208">
        <v>10</v>
      </c>
      <c r="B14" s="209" t="s">
        <v>181</v>
      </c>
      <c r="C14" s="424" t="s">
        <v>203</v>
      </c>
      <c r="D14" s="424" t="s">
        <v>203</v>
      </c>
      <c r="E14" s="2" t="s">
        <v>180</v>
      </c>
      <c r="F14" s="210" t="s">
        <v>179</v>
      </c>
      <c r="G14" s="210" t="s">
        <v>621</v>
      </c>
      <c r="H14" s="210" t="s">
        <v>106</v>
      </c>
      <c r="I14" s="211" t="s">
        <v>178</v>
      </c>
      <c r="J14" s="3" t="s">
        <v>177</v>
      </c>
      <c r="K14" s="210" t="s">
        <v>377</v>
      </c>
      <c r="L14" s="214"/>
      <c r="M14" s="214" t="s">
        <v>164</v>
      </c>
      <c r="N14" s="211" t="s">
        <v>57</v>
      </c>
      <c r="O14" s="210" t="s">
        <v>176</v>
      </c>
      <c r="P14" s="571"/>
      <c r="Q14" s="572"/>
      <c r="R14" s="215">
        <f t="shared" si="1"/>
        <v>1</v>
      </c>
      <c r="S14" s="197">
        <f>COUNTBLANK(E6:Q6)-3</f>
        <v>-2</v>
      </c>
      <c r="T14" s="206"/>
      <c r="U14" s="581"/>
      <c r="V14" s="582"/>
      <c r="W14" s="582"/>
      <c r="X14" s="582"/>
      <c r="Y14" s="582"/>
      <c r="Z14" s="583"/>
    </row>
    <row r="15" spans="1:31" s="200" customFormat="1" ht="27.95" customHeight="1" thickBot="1">
      <c r="A15" s="208">
        <v>11</v>
      </c>
      <c r="B15" s="223" t="s">
        <v>171</v>
      </c>
      <c r="C15" s="425" t="s">
        <v>307</v>
      </c>
      <c r="D15" s="425" t="s">
        <v>298</v>
      </c>
      <c r="E15" s="231" t="s">
        <v>170</v>
      </c>
      <c r="F15" s="231" t="s">
        <v>151</v>
      </c>
      <c r="G15" s="231" t="s">
        <v>207</v>
      </c>
      <c r="H15" s="231" t="s">
        <v>220</v>
      </c>
      <c r="I15" s="231" t="s">
        <v>265</v>
      </c>
      <c r="J15" s="446" t="s">
        <v>693</v>
      </c>
      <c r="K15" s="11" t="s">
        <v>238</v>
      </c>
      <c r="L15" s="231"/>
      <c r="M15" s="231" t="s">
        <v>199</v>
      </c>
      <c r="N15" s="232" t="s">
        <v>203</v>
      </c>
      <c r="O15" s="226" t="s">
        <v>255</v>
      </c>
      <c r="P15" s="573"/>
      <c r="Q15" s="574"/>
      <c r="R15" s="215">
        <f t="shared" si="1"/>
        <v>1</v>
      </c>
      <c r="S15" s="197"/>
      <c r="T15" s="206"/>
      <c r="U15" s="581"/>
      <c r="V15" s="582"/>
      <c r="W15" s="582"/>
      <c r="X15" s="582"/>
      <c r="Y15" s="582"/>
      <c r="Z15" s="583"/>
    </row>
    <row r="16" spans="1:31" s="236" customFormat="1" ht="27.95" customHeight="1" thickBot="1">
      <c r="A16" s="208">
        <v>12</v>
      </c>
      <c r="B16" s="233" t="s">
        <v>141</v>
      </c>
      <c r="C16" s="608"/>
      <c r="D16" s="609"/>
      <c r="E16" s="226" t="s">
        <v>140</v>
      </c>
      <c r="F16" s="234" t="s">
        <v>274</v>
      </c>
      <c r="G16" s="235" t="s">
        <v>172</v>
      </c>
      <c r="H16" s="234" t="s">
        <v>67</v>
      </c>
      <c r="I16" s="226" t="s">
        <v>377</v>
      </c>
      <c r="J16" s="224" t="s">
        <v>238</v>
      </c>
      <c r="K16" s="224" t="s">
        <v>261</v>
      </c>
      <c r="L16" s="226"/>
      <c r="M16" s="224" t="s">
        <v>206</v>
      </c>
      <c r="N16" s="224" t="s">
        <v>236</v>
      </c>
      <c r="O16" s="224" t="s">
        <v>295</v>
      </c>
      <c r="P16" s="226" t="s">
        <v>205</v>
      </c>
      <c r="Q16" s="379" t="s">
        <v>692</v>
      </c>
      <c r="R16" s="215">
        <f t="shared" si="1"/>
        <v>1</v>
      </c>
      <c r="S16" s="197">
        <f>COUNTBLANK(E16:Q16)-3</f>
        <v>-2</v>
      </c>
      <c r="T16" s="206"/>
      <c r="U16" s="581"/>
      <c r="V16" s="582"/>
      <c r="W16" s="582"/>
      <c r="X16" s="582"/>
      <c r="Y16" s="582"/>
      <c r="Z16" s="583"/>
    </row>
    <row r="17" spans="1:26" s="236" customFormat="1" ht="27.95" customHeight="1">
      <c r="A17" s="208">
        <v>13</v>
      </c>
      <c r="B17" s="218" t="s">
        <v>14</v>
      </c>
      <c r="C17" s="610"/>
      <c r="D17" s="611"/>
      <c r="E17" s="211" t="s">
        <v>198</v>
      </c>
      <c r="F17" s="213" t="s">
        <v>15</v>
      </c>
      <c r="G17" s="213" t="s">
        <v>16</v>
      </c>
      <c r="H17" s="213" t="s">
        <v>62</v>
      </c>
      <c r="I17" s="211" t="s">
        <v>51</v>
      </c>
      <c r="J17" s="213" t="s">
        <v>17</v>
      </c>
      <c r="K17" s="211" t="s">
        <v>54</v>
      </c>
      <c r="L17" s="213"/>
      <c r="M17" s="211" t="s">
        <v>18</v>
      </c>
      <c r="N17" s="211" t="s">
        <v>25</v>
      </c>
      <c r="O17" s="213" t="s">
        <v>262</v>
      </c>
      <c r="P17" s="214" t="s">
        <v>23</v>
      </c>
      <c r="Q17" s="262" t="s">
        <v>44</v>
      </c>
      <c r="R17" s="215">
        <f t="shared" si="1"/>
        <v>1</v>
      </c>
      <c r="S17" s="197"/>
      <c r="T17" s="206"/>
      <c r="U17" s="581"/>
      <c r="V17" s="582"/>
      <c r="W17" s="582"/>
      <c r="X17" s="582"/>
      <c r="Y17" s="582"/>
      <c r="Z17" s="583"/>
    </row>
    <row r="18" spans="1:26" s="236" customFormat="1" ht="27.95" customHeight="1">
      <c r="A18" s="208">
        <v>14</v>
      </c>
      <c r="B18" s="237" t="s">
        <v>119</v>
      </c>
      <c r="C18" s="612"/>
      <c r="D18" s="613"/>
      <c r="E18" s="211" t="s">
        <v>688</v>
      </c>
      <c r="F18" s="213" t="s">
        <v>20</v>
      </c>
      <c r="G18" s="211" t="s">
        <v>240</v>
      </c>
      <c r="H18" s="211" t="s">
        <v>247</v>
      </c>
      <c r="I18" s="213" t="s">
        <v>118</v>
      </c>
      <c r="J18" s="238" t="s">
        <v>234</v>
      </c>
      <c r="K18" s="213" t="s">
        <v>117</v>
      </c>
      <c r="L18" s="212"/>
      <c r="M18" s="143" t="s">
        <v>292</v>
      </c>
      <c r="N18" s="212" t="s">
        <v>116</v>
      </c>
      <c r="O18" s="210" t="s">
        <v>237</v>
      </c>
      <c r="P18" s="214" t="s">
        <v>72</v>
      </c>
      <c r="Q18" s="211" t="s">
        <v>272</v>
      </c>
      <c r="R18" s="215">
        <f t="shared" si="1"/>
        <v>1</v>
      </c>
      <c r="S18" s="197" t="e">
        <f>COUNTBLANK(#REF!)-1</f>
        <v>#REF!</v>
      </c>
      <c r="T18" s="206"/>
      <c r="U18" s="581"/>
      <c r="V18" s="582"/>
      <c r="W18" s="582"/>
      <c r="X18" s="582"/>
      <c r="Y18" s="582"/>
      <c r="Z18" s="583"/>
    </row>
    <row r="19" spans="1:26" s="236" customFormat="1" ht="27.95" customHeight="1" thickBot="1">
      <c r="A19" s="208">
        <v>15</v>
      </c>
      <c r="B19" s="239" t="s">
        <v>139</v>
      </c>
      <c r="C19" s="612"/>
      <c r="D19" s="613"/>
      <c r="E19" s="2" t="s">
        <v>260</v>
      </c>
      <c r="F19" s="238" t="s">
        <v>689</v>
      </c>
      <c r="G19" s="211" t="s">
        <v>94</v>
      </c>
      <c r="H19" s="210" t="s">
        <v>226</v>
      </c>
      <c r="I19" s="2" t="s">
        <v>635</v>
      </c>
      <c r="J19" s="211" t="s">
        <v>138</v>
      </c>
      <c r="K19" s="214" t="s">
        <v>623</v>
      </c>
      <c r="L19" s="214"/>
      <c r="M19" s="211" t="s">
        <v>275</v>
      </c>
      <c r="N19" s="211" t="s">
        <v>137</v>
      </c>
      <c r="O19" s="210" t="s">
        <v>136</v>
      </c>
      <c r="P19" s="240" t="s">
        <v>135</v>
      </c>
      <c r="Q19" s="211" t="s">
        <v>267</v>
      </c>
      <c r="R19" s="215">
        <f t="shared" si="1"/>
        <v>1</v>
      </c>
      <c r="S19" s="197"/>
      <c r="T19" s="206"/>
      <c r="U19" s="584"/>
      <c r="V19" s="585"/>
      <c r="W19" s="585"/>
      <c r="X19" s="585"/>
      <c r="Y19" s="585"/>
      <c r="Z19" s="586"/>
    </row>
    <row r="20" spans="1:26" s="200" customFormat="1" ht="27.95" customHeight="1" thickBot="1">
      <c r="A20" s="208">
        <v>16</v>
      </c>
      <c r="B20" s="430" t="s">
        <v>683</v>
      </c>
      <c r="C20" s="612"/>
      <c r="D20" s="613"/>
      <c r="E20" s="214" t="s">
        <v>22</v>
      </c>
      <c r="F20" s="210" t="s">
        <v>210</v>
      </c>
      <c r="G20" s="210" t="s">
        <v>52</v>
      </c>
      <c r="H20" s="214" t="s">
        <v>607</v>
      </c>
      <c r="I20" s="214" t="s">
        <v>275</v>
      </c>
      <c r="J20" s="211" t="s">
        <v>286</v>
      </c>
      <c r="K20" s="212" t="s">
        <v>113</v>
      </c>
      <c r="L20" s="214"/>
      <c r="M20" s="170" t="s">
        <v>221</v>
      </c>
      <c r="N20" s="443"/>
      <c r="O20" s="383" t="s">
        <v>610</v>
      </c>
      <c r="P20" s="375" t="s">
        <v>55</v>
      </c>
      <c r="Q20" s="444"/>
      <c r="R20" s="215">
        <f t="shared" si="1"/>
        <v>0.83333333333333337</v>
      </c>
      <c r="S20" s="197">
        <f>COUNTBLANK(E19:Q19)-1</f>
        <v>0</v>
      </c>
      <c r="T20" s="206"/>
      <c r="U20" s="616" t="s">
        <v>306</v>
      </c>
      <c r="V20" s="617"/>
      <c r="W20" s="617"/>
      <c r="X20" s="617"/>
      <c r="Y20" s="617"/>
      <c r="Z20" s="618"/>
    </row>
    <row r="21" spans="1:26" s="200" customFormat="1" ht="27.95" customHeight="1">
      <c r="A21" s="208"/>
      <c r="B21" s="243" t="s">
        <v>645</v>
      </c>
      <c r="C21" s="612"/>
      <c r="D21" s="613"/>
      <c r="E21" s="433"/>
      <c r="F21" s="432"/>
      <c r="G21" s="432"/>
      <c r="H21" s="433"/>
      <c r="I21" s="433"/>
      <c r="J21" s="434"/>
      <c r="K21" s="431"/>
      <c r="L21" s="433"/>
      <c r="M21" s="435"/>
      <c r="N21" s="437"/>
      <c r="O21" s="440"/>
      <c r="P21" s="440"/>
      <c r="Q21" s="441"/>
      <c r="R21" s="215"/>
      <c r="S21" s="197"/>
      <c r="T21" s="206"/>
      <c r="U21" s="578" t="s">
        <v>694</v>
      </c>
      <c r="V21" s="579"/>
      <c r="W21" s="579"/>
      <c r="X21" s="579"/>
      <c r="Y21" s="579"/>
      <c r="Z21" s="580"/>
    </row>
    <row r="22" spans="1:26" s="200" customFormat="1" ht="27.95" customHeight="1">
      <c r="A22" s="208">
        <v>17</v>
      </c>
      <c r="B22" s="243" t="s">
        <v>130</v>
      </c>
      <c r="C22" s="612"/>
      <c r="D22" s="613"/>
      <c r="E22" s="210" t="s">
        <v>243</v>
      </c>
      <c r="F22" s="210" t="s">
        <v>129</v>
      </c>
      <c r="G22" s="210" t="s">
        <v>249</v>
      </c>
      <c r="H22" s="214" t="s">
        <v>209</v>
      </c>
      <c r="I22" s="210" t="s">
        <v>128</v>
      </c>
      <c r="J22" s="210" t="s">
        <v>127</v>
      </c>
      <c r="K22" s="210" t="s">
        <v>201</v>
      </c>
      <c r="L22" s="241"/>
      <c r="M22" s="214" t="s">
        <v>284</v>
      </c>
      <c r="N22" s="2" t="s">
        <v>126</v>
      </c>
      <c r="O22" s="211" t="s">
        <v>287</v>
      </c>
      <c r="P22" s="244" t="s">
        <v>125</v>
      </c>
      <c r="Q22" s="245" t="s">
        <v>249</v>
      </c>
      <c r="R22" s="215">
        <f t="shared" si="1"/>
        <v>1</v>
      </c>
      <c r="S22" s="197">
        <f>COUNTBLANK(E26:Q26)-1</f>
        <v>2</v>
      </c>
      <c r="T22" s="206"/>
      <c r="U22" s="581"/>
      <c r="V22" s="582"/>
      <c r="W22" s="582"/>
      <c r="X22" s="582"/>
      <c r="Y22" s="582"/>
      <c r="Z22" s="583"/>
    </row>
    <row r="23" spans="1:26" s="200" customFormat="1" ht="27.95" customHeight="1" thickBot="1">
      <c r="A23" s="208">
        <v>18</v>
      </c>
      <c r="B23" s="246" t="s">
        <v>124</v>
      </c>
      <c r="C23" s="614"/>
      <c r="D23" s="615"/>
      <c r="E23" s="247" t="s">
        <v>237</v>
      </c>
      <c r="F23" s="248" t="s">
        <v>197</v>
      </c>
      <c r="G23" s="11" t="s">
        <v>19</v>
      </c>
      <c r="H23" s="231" t="s">
        <v>262</v>
      </c>
      <c r="I23" s="231" t="s">
        <v>263</v>
      </c>
      <c r="J23" s="248" t="s">
        <v>232</v>
      </c>
      <c r="K23" s="231" t="s">
        <v>339</v>
      </c>
      <c r="L23" s="283"/>
      <c r="M23" s="248" t="s">
        <v>291</v>
      </c>
      <c r="N23" s="231" t="s">
        <v>71</v>
      </c>
      <c r="O23" s="231" t="s">
        <v>114</v>
      </c>
      <c r="P23" s="248" t="s">
        <v>123</v>
      </c>
      <c r="Q23" s="231" t="s">
        <v>122</v>
      </c>
      <c r="R23" s="215">
        <f t="shared" si="1"/>
        <v>1</v>
      </c>
      <c r="S23" s="197">
        <f>COUNTBLANK(E27:Q27)-1</f>
        <v>2</v>
      </c>
      <c r="T23" s="206"/>
      <c r="U23" s="581"/>
      <c r="V23" s="582"/>
      <c r="W23" s="582"/>
      <c r="X23" s="582"/>
      <c r="Y23" s="582"/>
      <c r="Z23" s="583"/>
    </row>
    <row r="24" spans="1:26" s="200" customFormat="1" ht="27.95" customHeight="1" thickBot="1">
      <c r="A24" s="208">
        <v>19</v>
      </c>
      <c r="B24" s="249" t="s">
        <v>112</v>
      </c>
      <c r="C24" s="619"/>
      <c r="D24" s="620"/>
      <c r="E24" s="224" t="s">
        <v>268</v>
      </c>
      <c r="F24" s="224" t="s">
        <v>237</v>
      </c>
      <c r="G24" s="250" t="s">
        <v>233</v>
      </c>
      <c r="H24" s="224" t="s">
        <v>294</v>
      </c>
      <c r="I24" s="224" t="s">
        <v>111</v>
      </c>
      <c r="J24" s="224" t="s">
        <v>69</v>
      </c>
      <c r="K24" s="234" t="s">
        <v>110</v>
      </c>
      <c r="L24" s="234"/>
      <c r="M24" s="234" t="s">
        <v>249</v>
      </c>
      <c r="N24" s="226" t="s">
        <v>338</v>
      </c>
      <c r="O24" s="235" t="s">
        <v>109</v>
      </c>
      <c r="P24" s="226" t="s">
        <v>209</v>
      </c>
      <c r="Q24" s="224" t="s">
        <v>72</v>
      </c>
      <c r="R24" s="215">
        <f t="shared" si="1"/>
        <v>1</v>
      </c>
      <c r="S24" s="197">
        <f>COUNTBLANK(E22:Q22)-1</f>
        <v>0</v>
      </c>
      <c r="T24" s="206"/>
      <c r="U24" s="584"/>
      <c r="V24" s="585"/>
      <c r="W24" s="585"/>
      <c r="X24" s="585"/>
      <c r="Y24" s="585"/>
      <c r="Z24" s="586"/>
    </row>
    <row r="25" spans="1:26" s="200" customFormat="1" ht="27.95" customHeight="1" thickBot="1">
      <c r="A25" s="208">
        <v>20</v>
      </c>
      <c r="B25" s="341" t="s">
        <v>26</v>
      </c>
      <c r="C25" s="251" t="s">
        <v>65</v>
      </c>
      <c r="D25" s="251" t="s">
        <v>66</v>
      </c>
      <c r="E25" s="252" t="s">
        <v>252</v>
      </c>
      <c r="F25" s="211" t="s">
        <v>27</v>
      </c>
      <c r="G25" s="213" t="s">
        <v>47</v>
      </c>
      <c r="H25" s="3" t="s">
        <v>28</v>
      </c>
      <c r="I25" s="211" t="s">
        <v>68</v>
      </c>
      <c r="J25" s="211" t="s">
        <v>275</v>
      </c>
      <c r="K25" s="211" t="s">
        <v>50</v>
      </c>
      <c r="L25" s="253"/>
      <c r="M25" s="228" t="s">
        <v>58</v>
      </c>
      <c r="N25" s="211" t="s">
        <v>232</v>
      </c>
      <c r="O25" s="3" t="s">
        <v>24</v>
      </c>
      <c r="P25" s="569"/>
      <c r="Q25" s="570"/>
      <c r="R25" s="215">
        <f t="shared" si="1"/>
        <v>1</v>
      </c>
      <c r="S25" s="197">
        <f>COUNTBLANK(E25:Q25)-3</f>
        <v>0</v>
      </c>
      <c r="T25" s="206"/>
      <c r="U25" s="575" t="s">
        <v>120</v>
      </c>
      <c r="V25" s="576"/>
      <c r="W25" s="576"/>
      <c r="X25" s="576"/>
      <c r="Y25" s="576"/>
      <c r="Z25" s="577"/>
    </row>
    <row r="26" spans="1:26" s="200" customFormat="1" ht="27.95" customHeight="1">
      <c r="A26" s="208">
        <v>21</v>
      </c>
      <c r="B26" s="342" t="s">
        <v>515</v>
      </c>
      <c r="C26" s="254" t="s">
        <v>310</v>
      </c>
      <c r="D26" s="254" t="s">
        <v>311</v>
      </c>
      <c r="E26" s="255" t="s">
        <v>241</v>
      </c>
      <c r="F26" s="210" t="s">
        <v>44</v>
      </c>
      <c r="G26" s="3" t="s">
        <v>516</v>
      </c>
      <c r="H26" s="211" t="s">
        <v>517</v>
      </c>
      <c r="I26" s="214" t="s">
        <v>231</v>
      </c>
      <c r="J26" s="211" t="s">
        <v>29</v>
      </c>
      <c r="K26" s="210" t="s">
        <v>268</v>
      </c>
      <c r="L26" s="219"/>
      <c r="M26" s="214" t="s">
        <v>30</v>
      </c>
      <c r="N26" s="170" t="s">
        <v>691</v>
      </c>
      <c r="O26" s="214" t="s">
        <v>209</v>
      </c>
      <c r="P26" s="571"/>
      <c r="Q26" s="572"/>
      <c r="R26" s="215"/>
      <c r="S26" s="197">
        <f>COUNTBLANK(E18:Q18)-3</f>
        <v>-2</v>
      </c>
      <c r="T26" s="206"/>
      <c r="U26" s="578" t="s">
        <v>699</v>
      </c>
      <c r="V26" s="579"/>
      <c r="W26" s="579"/>
      <c r="X26" s="579"/>
      <c r="Y26" s="579"/>
      <c r="Z26" s="580"/>
    </row>
    <row r="27" spans="1:26" s="200" customFormat="1" ht="27.95" customHeight="1">
      <c r="A27" s="208">
        <v>22</v>
      </c>
      <c r="B27" s="343" t="s">
        <v>133</v>
      </c>
      <c r="C27" s="254" t="s">
        <v>313</v>
      </c>
      <c r="D27" s="254" t="s">
        <v>315</v>
      </c>
      <c r="E27" s="216" t="s">
        <v>338</v>
      </c>
      <c r="F27" s="244" t="s">
        <v>132</v>
      </c>
      <c r="G27" s="211" t="s">
        <v>293</v>
      </c>
      <c r="H27" s="211" t="s">
        <v>131</v>
      </c>
      <c r="I27" s="211" t="s">
        <v>19</v>
      </c>
      <c r="J27" s="210" t="s">
        <v>211</v>
      </c>
      <c r="K27" s="442" t="s">
        <v>327</v>
      </c>
      <c r="L27" s="213"/>
      <c r="M27" s="211" t="s">
        <v>219</v>
      </c>
      <c r="N27" s="213" t="s">
        <v>262</v>
      </c>
      <c r="O27" s="242" t="s">
        <v>58</v>
      </c>
      <c r="P27" s="571"/>
      <c r="Q27" s="572"/>
      <c r="R27" s="215">
        <f>(COUNTA(C27:Q27))/12</f>
        <v>1</v>
      </c>
      <c r="S27" s="197">
        <f>COUNTBLANK(E20:Q20)-3</f>
        <v>0</v>
      </c>
      <c r="T27" s="206"/>
      <c r="U27" s="581"/>
      <c r="V27" s="582"/>
      <c r="W27" s="582"/>
      <c r="X27" s="582"/>
      <c r="Y27" s="582"/>
      <c r="Z27" s="583"/>
    </row>
    <row r="28" spans="1:26" s="200" customFormat="1" ht="27.95" customHeight="1" thickBot="1">
      <c r="A28" s="208">
        <v>23</v>
      </c>
      <c r="B28" s="344" t="s">
        <v>528</v>
      </c>
      <c r="C28" s="256" t="s">
        <v>623</v>
      </c>
      <c r="D28" s="256" t="s">
        <v>623</v>
      </c>
      <c r="E28" s="348" t="s">
        <v>114</v>
      </c>
      <c r="F28" s="248" t="s">
        <v>223</v>
      </c>
      <c r="G28" s="11" t="s">
        <v>198</v>
      </c>
      <c r="H28" s="226" t="s">
        <v>70</v>
      </c>
      <c r="I28" s="257" t="s">
        <v>531</v>
      </c>
      <c r="J28" s="258" t="s">
        <v>532</v>
      </c>
      <c r="K28" s="248" t="s">
        <v>294</v>
      </c>
      <c r="L28" s="258"/>
      <c r="M28" s="248" t="s">
        <v>21</v>
      </c>
      <c r="N28" s="259" t="s">
        <v>121</v>
      </c>
      <c r="O28" s="11" t="s">
        <v>210</v>
      </c>
      <c r="P28" s="573"/>
      <c r="Q28" s="574"/>
      <c r="R28" s="215"/>
      <c r="S28" s="197">
        <f>COUNTBLANK(E24:Q24)-3</f>
        <v>-2</v>
      </c>
      <c r="T28" s="206"/>
      <c r="U28" s="581"/>
      <c r="V28" s="582"/>
      <c r="W28" s="582"/>
      <c r="X28" s="582"/>
      <c r="Y28" s="582"/>
      <c r="Z28" s="583"/>
    </row>
    <row r="29" spans="1:26" s="200" customFormat="1" ht="27.95" customHeight="1">
      <c r="A29" s="260" t="s">
        <v>108</v>
      </c>
      <c r="B29" s="261" t="s">
        <v>107</v>
      </c>
      <c r="C29" s="587"/>
      <c r="D29" s="588"/>
      <c r="E29" s="4"/>
      <c r="F29" s="262"/>
      <c r="G29" s="262" t="s">
        <v>217</v>
      </c>
      <c r="H29" s="213" t="s">
        <v>218</v>
      </c>
      <c r="I29" s="262" t="s">
        <v>106</v>
      </c>
      <c r="J29" s="4" t="s">
        <v>105</v>
      </c>
      <c r="K29" s="4"/>
      <c r="L29" s="263"/>
      <c r="M29" s="262"/>
      <c r="N29" s="262" t="s">
        <v>690</v>
      </c>
      <c r="O29" s="211" t="s">
        <v>104</v>
      </c>
      <c r="P29" s="264"/>
      <c r="Q29" s="265"/>
      <c r="R29" s="215">
        <f>(COUNTA(C29:Q29))/6</f>
        <v>1</v>
      </c>
      <c r="S29" s="197">
        <f>COUNTBLANK(E29:Q29)-1</f>
        <v>6</v>
      </c>
      <c r="T29" s="206"/>
      <c r="U29" s="581"/>
      <c r="V29" s="582"/>
      <c r="W29" s="582"/>
      <c r="X29" s="582"/>
      <c r="Y29" s="582"/>
      <c r="Z29" s="583"/>
    </row>
    <row r="30" spans="1:26" s="200" customFormat="1" ht="27.95" customHeight="1" thickBot="1">
      <c r="A30" s="266" t="s">
        <v>103</v>
      </c>
      <c r="B30" s="267" t="s">
        <v>31</v>
      </c>
      <c r="C30" s="587"/>
      <c r="D30" s="588"/>
      <c r="E30" s="211" t="s">
        <v>222</v>
      </c>
      <c r="F30" s="211" t="s">
        <v>102</v>
      </c>
      <c r="G30" s="211"/>
      <c r="H30" s="211"/>
      <c r="I30" s="211" t="s">
        <v>294</v>
      </c>
      <c r="J30" s="211"/>
      <c r="K30" s="207"/>
      <c r="L30" s="268"/>
      <c r="M30" s="211"/>
      <c r="N30" s="211"/>
      <c r="O30" s="211" t="s">
        <v>94</v>
      </c>
      <c r="P30" s="210" t="s">
        <v>16</v>
      </c>
      <c r="Q30" s="211" t="s">
        <v>101</v>
      </c>
      <c r="R30" s="215">
        <f>(COUNTA(C30:Q30))/7</f>
        <v>0.8571428571428571</v>
      </c>
      <c r="S30" s="197">
        <f>COUNTBLANK(E30:Q30)-1</f>
        <v>6</v>
      </c>
      <c r="T30" s="206"/>
      <c r="U30" s="584"/>
      <c r="V30" s="585"/>
      <c r="W30" s="585"/>
      <c r="X30" s="585"/>
      <c r="Y30" s="585"/>
      <c r="Z30" s="586"/>
    </row>
    <row r="31" spans="1:26" s="200" customFormat="1" ht="9.9499999999999993" customHeight="1" thickBot="1">
      <c r="A31" s="269"/>
      <c r="B31" s="270"/>
      <c r="C31" s="270"/>
      <c r="D31" s="270"/>
      <c r="E31" s="5"/>
      <c r="F31" s="271"/>
      <c r="G31" s="272"/>
      <c r="H31" s="272"/>
      <c r="I31" s="272"/>
      <c r="J31" s="272"/>
      <c r="K31" s="5"/>
      <c r="L31" s="271"/>
      <c r="M31" s="5"/>
      <c r="N31" s="272"/>
      <c r="O31" s="271"/>
      <c r="P31" s="271"/>
      <c r="Q31" s="273"/>
      <c r="R31" s="274"/>
      <c r="S31" s="197"/>
      <c r="T31" s="206"/>
      <c r="U31" s="398"/>
      <c r="V31" s="398"/>
      <c r="W31" s="398"/>
      <c r="X31" s="398"/>
      <c r="Y31" s="398"/>
      <c r="Z31" s="398"/>
    </row>
    <row r="32" spans="1:26" s="200" customFormat="1" ht="109.5" customHeight="1">
      <c r="A32" s="589"/>
      <c r="B32" s="591" t="s">
        <v>100</v>
      </c>
      <c r="C32" s="593"/>
      <c r="D32" s="594"/>
      <c r="E32" s="265" t="s">
        <v>256</v>
      </c>
      <c r="F32" s="276" t="s">
        <v>278</v>
      </c>
      <c r="G32" s="265" t="s">
        <v>281</v>
      </c>
      <c r="H32" s="265" t="s">
        <v>289</v>
      </c>
      <c r="I32" s="211" t="s">
        <v>679</v>
      </c>
      <c r="J32" s="213" t="s">
        <v>641</v>
      </c>
      <c r="K32" s="211" t="s">
        <v>264</v>
      </c>
      <c r="L32" s="212"/>
      <c r="M32" s="213" t="s">
        <v>282</v>
      </c>
      <c r="N32" s="277" t="s">
        <v>276</v>
      </c>
      <c r="O32" s="276" t="s">
        <v>297</v>
      </c>
      <c r="P32" s="277" t="s">
        <v>288</v>
      </c>
      <c r="Q32" s="211" t="s">
        <v>296</v>
      </c>
      <c r="R32" s="215">
        <f>(COUNTA(C32:Q32))/12</f>
        <v>1</v>
      </c>
      <c r="S32" s="197"/>
      <c r="T32" s="206"/>
      <c r="U32" s="599" t="s">
        <v>672</v>
      </c>
      <c r="V32" s="600"/>
      <c r="W32" s="600"/>
      <c r="X32" s="600"/>
      <c r="Y32" s="600"/>
      <c r="Z32" s="601"/>
    </row>
    <row r="33" spans="1:32" s="200" customFormat="1" ht="125.1" customHeight="1">
      <c r="A33" s="590"/>
      <c r="B33" s="592"/>
      <c r="C33" s="595"/>
      <c r="D33" s="596"/>
      <c r="E33" s="278" t="s">
        <v>687</v>
      </c>
      <c r="F33" s="210" t="s">
        <v>696</v>
      </c>
      <c r="G33" s="279" t="s">
        <v>558</v>
      </c>
      <c r="H33" s="210" t="s">
        <v>684</v>
      </c>
      <c r="I33" s="214" t="s">
        <v>302</v>
      </c>
      <c r="J33" s="210" t="s">
        <v>347</v>
      </c>
      <c r="K33" s="210" t="s">
        <v>686</v>
      </c>
      <c r="L33" s="210"/>
      <c r="M33" s="210" t="s">
        <v>685</v>
      </c>
      <c r="N33" s="278" t="s">
        <v>669</v>
      </c>
      <c r="O33" s="349" t="s">
        <v>675</v>
      </c>
      <c r="P33" s="447" t="s">
        <v>697</v>
      </c>
      <c r="Q33" s="210" t="s">
        <v>323</v>
      </c>
      <c r="R33" s="274"/>
      <c r="S33" s="197"/>
      <c r="T33" s="206"/>
      <c r="U33" s="602"/>
      <c r="V33" s="603"/>
      <c r="W33" s="603"/>
      <c r="X33" s="603"/>
      <c r="Y33" s="603"/>
      <c r="Z33" s="604"/>
    </row>
    <row r="34" spans="1:32" s="200" customFormat="1" ht="69.95" customHeight="1" thickBot="1">
      <c r="A34" s="280"/>
      <c r="B34" s="246" t="s">
        <v>99</v>
      </c>
      <c r="C34" s="597"/>
      <c r="D34" s="598"/>
      <c r="E34" s="281" t="s">
        <v>98</v>
      </c>
      <c r="F34" s="282" t="s">
        <v>680</v>
      </c>
      <c r="G34" s="248" t="s">
        <v>242</v>
      </c>
      <c r="H34" s="248" t="s">
        <v>97</v>
      </c>
      <c r="I34" s="231" t="s">
        <v>227</v>
      </c>
      <c r="J34" s="248" t="s">
        <v>644</v>
      </c>
      <c r="K34" s="248" t="s">
        <v>290</v>
      </c>
      <c r="L34" s="283"/>
      <c r="M34" s="248" t="s">
        <v>643</v>
      </c>
      <c r="N34" s="231" t="s">
        <v>277</v>
      </c>
      <c r="O34" s="224" t="s">
        <v>259</v>
      </c>
      <c r="P34" s="248"/>
      <c r="Q34" s="284" t="s">
        <v>96</v>
      </c>
      <c r="R34" s="215">
        <f>(COUNTA(F34:P34))/9</f>
        <v>1</v>
      </c>
      <c r="S34" s="285"/>
      <c r="T34" s="206"/>
      <c r="U34" s="605"/>
      <c r="V34" s="606"/>
      <c r="W34" s="606"/>
      <c r="X34" s="606"/>
      <c r="Y34" s="606"/>
      <c r="Z34" s="607"/>
      <c r="AC34" s="198"/>
      <c r="AD34" s="198"/>
      <c r="AE34" s="198"/>
      <c r="AF34" s="198"/>
    </row>
    <row r="35" spans="1:32" ht="9.9499999999999993" customHeight="1">
      <c r="A35" s="286"/>
      <c r="B35" s="286"/>
      <c r="C35" s="287"/>
      <c r="D35" s="287"/>
      <c r="O35" s="289"/>
      <c r="T35" s="206"/>
      <c r="AB35" s="200"/>
    </row>
    <row r="36" spans="1:32" ht="21" customHeight="1">
      <c r="B36" s="291"/>
      <c r="C36" s="291"/>
      <c r="D36" s="292" t="s">
        <v>95</v>
      </c>
      <c r="E36" s="293" t="s">
        <v>0</v>
      </c>
      <c r="F36" s="293" t="s">
        <v>1</v>
      </c>
      <c r="G36" s="293" t="s">
        <v>2</v>
      </c>
      <c r="H36" s="293" t="s">
        <v>32</v>
      </c>
      <c r="I36" s="293" t="s">
        <v>33</v>
      </c>
      <c r="J36" s="293" t="s">
        <v>34</v>
      </c>
      <c r="K36" s="293" t="s">
        <v>35</v>
      </c>
      <c r="L36" s="294" t="s">
        <v>36</v>
      </c>
      <c r="M36" s="293" t="s">
        <v>37</v>
      </c>
      <c r="N36" s="293" t="s">
        <v>6</v>
      </c>
      <c r="O36" s="293" t="s">
        <v>7</v>
      </c>
      <c r="P36" s="293" t="s">
        <v>8</v>
      </c>
      <c r="Q36" s="295" t="s">
        <v>9</v>
      </c>
      <c r="R36" s="296"/>
      <c r="U36" s="297"/>
      <c r="V36" s="298"/>
      <c r="W36" s="298"/>
      <c r="X36" s="298"/>
      <c r="Y36" s="298"/>
      <c r="AB36" s="200"/>
    </row>
    <row r="37" spans="1:32" ht="45.75" customHeight="1">
      <c r="B37" s="291"/>
      <c r="C37" s="291"/>
      <c r="D37" s="299" t="s">
        <v>93</v>
      </c>
      <c r="E37" s="241" t="s">
        <v>92</v>
      </c>
      <c r="F37" s="241" t="s">
        <v>91</v>
      </c>
      <c r="G37" s="241" t="s">
        <v>90</v>
      </c>
      <c r="H37" s="214" t="s">
        <v>613</v>
      </c>
      <c r="I37" s="214" t="s">
        <v>12</v>
      </c>
      <c r="J37" s="214" t="s">
        <v>48</v>
      </c>
      <c r="K37" s="214" t="s">
        <v>89</v>
      </c>
      <c r="L37" s="214"/>
      <c r="M37" s="349" t="s">
        <v>230</v>
      </c>
      <c r="N37" s="210" t="s">
        <v>308</v>
      </c>
      <c r="O37" s="301" t="s">
        <v>269</v>
      </c>
      <c r="P37" s="302" t="s">
        <v>614</v>
      </c>
      <c r="Q37" s="303" t="s">
        <v>11</v>
      </c>
      <c r="R37" s="296"/>
      <c r="U37" s="298"/>
      <c r="V37" s="298"/>
      <c r="W37" s="298"/>
      <c r="X37" s="298"/>
      <c r="Y37" s="298"/>
      <c r="AB37" s="200"/>
    </row>
    <row r="38" spans="1:32" ht="27.95" customHeight="1">
      <c r="B38" s="291"/>
      <c r="C38" s="291"/>
      <c r="D38" s="299" t="s">
        <v>88</v>
      </c>
      <c r="E38" s="241"/>
      <c r="F38" s="241"/>
      <c r="G38" s="241"/>
      <c r="H38" s="214"/>
      <c r="I38" s="214"/>
      <c r="J38" s="214"/>
      <c r="K38" s="214"/>
      <c r="L38" s="214"/>
      <c r="M38" s="214"/>
      <c r="N38" s="214"/>
      <c r="O38" s="304"/>
      <c r="P38" s="241"/>
      <c r="Q38" s="305" t="s">
        <v>87</v>
      </c>
      <c r="R38" s="296"/>
      <c r="U38" s="298"/>
      <c r="V38" s="298"/>
      <c r="W38" s="298"/>
      <c r="X38" s="298"/>
      <c r="Y38" s="298"/>
    </row>
    <row r="39" spans="1:32" ht="27.95" customHeight="1">
      <c r="B39" s="291"/>
      <c r="C39" s="291"/>
      <c r="D39" s="299" t="s">
        <v>86</v>
      </c>
      <c r="E39" s="214"/>
      <c r="F39" s="306" t="s">
        <v>300</v>
      </c>
      <c r="G39" s="214"/>
      <c r="H39" s="307" t="s">
        <v>316</v>
      </c>
      <c r="I39" s="388"/>
      <c r="J39" s="219" t="s">
        <v>30</v>
      </c>
      <c r="K39" s="389" t="s">
        <v>118</v>
      </c>
      <c r="L39" s="214"/>
      <c r="M39" s="214" t="s">
        <v>27</v>
      </c>
      <c r="N39" s="238" t="s">
        <v>134</v>
      </c>
      <c r="O39" s="309" t="s">
        <v>85</v>
      </c>
      <c r="P39" s="241" t="s">
        <v>84</v>
      </c>
      <c r="Q39" s="370" t="s">
        <v>317</v>
      </c>
      <c r="R39" s="296"/>
      <c r="U39" s="298"/>
      <c r="V39" s="298"/>
      <c r="W39" s="298"/>
      <c r="X39" s="298"/>
      <c r="Y39" s="298"/>
    </row>
    <row r="40" spans="1:32" ht="42" customHeight="1">
      <c r="B40" s="198"/>
      <c r="C40" s="198"/>
      <c r="D40" s="311" t="s">
        <v>83</v>
      </c>
      <c r="E40" s="345" t="s">
        <v>608</v>
      </c>
      <c r="F40" s="312" t="s">
        <v>246</v>
      </c>
      <c r="G40" s="312" t="s">
        <v>309</v>
      </c>
      <c r="H40" s="314" t="s">
        <v>609</v>
      </c>
      <c r="I40" s="314" t="s">
        <v>612</v>
      </c>
      <c r="J40" s="390" t="s">
        <v>49</v>
      </c>
      <c r="K40" s="314" t="s">
        <v>617</v>
      </c>
      <c r="L40" s="314"/>
      <c r="M40" s="313" t="s">
        <v>616</v>
      </c>
      <c r="N40" s="314" t="s">
        <v>225</v>
      </c>
      <c r="O40" s="314" t="s">
        <v>314</v>
      </c>
      <c r="P40" s="312" t="s">
        <v>245</v>
      </c>
      <c r="Q40" s="315" t="s">
        <v>312</v>
      </c>
    </row>
    <row r="41" spans="1:32" ht="9.9499999999999993" customHeight="1">
      <c r="E41" s="288"/>
      <c r="F41" s="288"/>
      <c r="G41" s="288"/>
      <c r="H41" s="288"/>
      <c r="I41" s="288"/>
      <c r="J41" s="288"/>
      <c r="K41" s="288"/>
      <c r="M41" s="288"/>
      <c r="N41" s="288"/>
      <c r="O41" s="288"/>
    </row>
    <row r="42" spans="1:32" ht="27.95" customHeight="1">
      <c r="A42" s="317"/>
      <c r="B42" s="317"/>
      <c r="C42" s="317"/>
      <c r="D42" s="560" t="s">
        <v>640</v>
      </c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2"/>
      <c r="R42" s="296"/>
    </row>
    <row r="43" spans="1:32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32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32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32" ht="27.95" customHeight="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32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32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296"/>
    </row>
    <row r="51" spans="1:18">
      <c r="A51" s="317"/>
      <c r="B51" s="317"/>
      <c r="C51" s="317"/>
      <c r="D51" s="563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5"/>
      <c r="R51" s="296"/>
    </row>
    <row r="52" spans="1:18">
      <c r="A52" s="317"/>
      <c r="B52" s="317"/>
      <c r="C52" s="317"/>
      <c r="D52" s="566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296"/>
    </row>
    <row r="53" spans="1:18" ht="9.9499999999999993" customHeight="1"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6"/>
    </row>
    <row r="54" spans="1:18" ht="24">
      <c r="D54" s="318"/>
      <c r="E54" s="319" t="s">
        <v>0</v>
      </c>
      <c r="F54" s="320" t="s">
        <v>1</v>
      </c>
      <c r="G54" s="320" t="s">
        <v>2</v>
      </c>
      <c r="H54" s="320" t="s">
        <v>3</v>
      </c>
      <c r="I54" s="320" t="s">
        <v>81</v>
      </c>
      <c r="J54" s="320" t="s">
        <v>80</v>
      </c>
      <c r="K54" s="320" t="s">
        <v>79</v>
      </c>
      <c r="L54" s="321"/>
      <c r="M54" s="320" t="s">
        <v>5</v>
      </c>
      <c r="N54" s="320" t="s">
        <v>6</v>
      </c>
      <c r="O54" s="320" t="s">
        <v>7</v>
      </c>
      <c r="P54" s="320" t="s">
        <v>8</v>
      </c>
      <c r="Q54" s="322" t="s">
        <v>9</v>
      </c>
      <c r="R54" s="323" t="s">
        <v>78</v>
      </c>
    </row>
    <row r="55" spans="1:18" ht="30" customHeight="1">
      <c r="D55" s="324" t="s">
        <v>77</v>
      </c>
      <c r="E55" s="325"/>
      <c r="F55" s="326"/>
      <c r="G55" s="228"/>
      <c r="H55" s="228"/>
      <c r="I55" s="228"/>
      <c r="J55" s="354" t="s">
        <v>695</v>
      </c>
      <c r="K55" s="228"/>
      <c r="L55" s="212"/>
      <c r="M55" s="212"/>
      <c r="N55" s="228" t="s">
        <v>620</v>
      </c>
      <c r="O55" s="326"/>
      <c r="P55" s="326"/>
      <c r="Q55" s="326"/>
      <c r="R55" s="328"/>
    </row>
    <row r="56" spans="1:18" ht="30" customHeight="1">
      <c r="D56" s="329" t="s">
        <v>76</v>
      </c>
      <c r="E56" s="330"/>
      <c r="F56" s="331"/>
      <c r="G56" s="242" t="s">
        <v>319</v>
      </c>
      <c r="H56" s="242" t="s">
        <v>204</v>
      </c>
      <c r="I56" s="238"/>
      <c r="J56" s="242"/>
      <c r="K56" s="242" t="s">
        <v>216</v>
      </c>
      <c r="L56" s="219"/>
      <c r="M56" s="242"/>
      <c r="N56" s="242"/>
      <c r="O56" s="331"/>
      <c r="P56" s="331"/>
      <c r="Q56" s="242"/>
      <c r="R56" s="332"/>
    </row>
    <row r="57" spans="1:18" ht="50.1" customHeight="1">
      <c r="D57" s="333" t="s">
        <v>75</v>
      </c>
      <c r="E57" s="330"/>
      <c r="F57" s="238" t="s">
        <v>251</v>
      </c>
      <c r="G57" s="238" t="s">
        <v>60</v>
      </c>
      <c r="H57" s="238"/>
      <c r="I57" s="242" t="s">
        <v>228</v>
      </c>
      <c r="J57" s="238" t="s">
        <v>271</v>
      </c>
      <c r="K57" s="238" t="s">
        <v>301</v>
      </c>
      <c r="L57" s="219"/>
      <c r="M57" s="238"/>
      <c r="N57" s="242"/>
      <c r="O57" s="242" t="s">
        <v>250</v>
      </c>
      <c r="P57" s="242" t="s">
        <v>239</v>
      </c>
      <c r="Q57" s="242" t="s">
        <v>61</v>
      </c>
      <c r="R57" s="334"/>
    </row>
    <row r="58" spans="1:18" ht="30" customHeight="1">
      <c r="D58" s="324" t="s">
        <v>38</v>
      </c>
      <c r="E58" s="330"/>
      <c r="F58" s="331"/>
      <c r="G58" s="242"/>
      <c r="H58" s="242"/>
      <c r="I58" s="242"/>
      <c r="J58" s="242"/>
      <c r="K58" s="242"/>
      <c r="L58" s="309"/>
      <c r="M58" s="331"/>
      <c r="N58" s="331"/>
      <c r="O58" s="331"/>
      <c r="P58" s="331"/>
      <c r="Q58" s="331"/>
      <c r="R58" s="332"/>
    </row>
    <row r="59" spans="1:18" ht="30" customHeight="1">
      <c r="D59" s="335" t="s">
        <v>74</v>
      </c>
      <c r="E59" s="336"/>
      <c r="F59" s="337"/>
      <c r="G59" s="338"/>
      <c r="H59" s="337"/>
      <c r="I59" s="337"/>
      <c r="J59" s="337"/>
      <c r="K59" s="337"/>
      <c r="L59" s="339"/>
      <c r="M59" s="337"/>
      <c r="N59" s="337"/>
      <c r="O59" s="338" t="s">
        <v>24</v>
      </c>
      <c r="P59" s="338"/>
      <c r="Q59" s="337"/>
      <c r="R59" s="340"/>
    </row>
    <row r="62" spans="1:18" ht="24">
      <c r="D62" s="356"/>
      <c r="E62" s="320" t="s">
        <v>0</v>
      </c>
      <c r="F62" s="320" t="s">
        <v>1</v>
      </c>
      <c r="G62" s="320" t="s">
        <v>2</v>
      </c>
      <c r="H62" s="320" t="s">
        <v>3</v>
      </c>
      <c r="I62" s="320" t="s">
        <v>81</v>
      </c>
      <c r="J62" s="320" t="s">
        <v>80</v>
      </c>
      <c r="K62" s="320" t="s">
        <v>79</v>
      </c>
      <c r="L62" s="321"/>
      <c r="M62" s="320" t="s">
        <v>5</v>
      </c>
      <c r="N62" s="320" t="s">
        <v>6</v>
      </c>
      <c r="O62" s="320" t="s">
        <v>7</v>
      </c>
      <c r="P62" s="320" t="s">
        <v>8</v>
      </c>
      <c r="Q62" s="320" t="s">
        <v>9</v>
      </c>
      <c r="R62" s="323" t="s">
        <v>78</v>
      </c>
    </row>
    <row r="63" spans="1:18">
      <c r="D63" s="357" t="s">
        <v>629</v>
      </c>
      <c r="E63" s="358"/>
      <c r="F63" s="358"/>
      <c r="G63" s="358"/>
      <c r="H63" s="391" t="s">
        <v>624</v>
      </c>
      <c r="I63" s="392"/>
      <c r="J63" s="392"/>
      <c r="K63" s="358"/>
      <c r="L63" s="360"/>
      <c r="M63" s="358"/>
      <c r="N63" s="358"/>
      <c r="O63" s="358"/>
      <c r="P63" s="358"/>
      <c r="Q63" s="358"/>
      <c r="R63" s="361"/>
    </row>
    <row r="64" spans="1:18">
      <c r="D64" s="362"/>
      <c r="E64" s="363"/>
      <c r="F64" s="363"/>
      <c r="G64" s="363"/>
      <c r="H64" s="393"/>
      <c r="I64" s="394" t="s">
        <v>625</v>
      </c>
      <c r="J64" s="394" t="s">
        <v>625</v>
      </c>
      <c r="K64" s="363"/>
      <c r="L64" s="365"/>
      <c r="M64" s="363"/>
      <c r="N64" s="363"/>
      <c r="O64" s="363"/>
      <c r="P64" s="363"/>
      <c r="Q64" s="363"/>
      <c r="R64" s="366"/>
    </row>
    <row r="65" spans="8:10">
      <c r="H65" s="200"/>
      <c r="I65" s="200"/>
      <c r="J65" s="200"/>
    </row>
  </sheetData>
  <mergeCells count="23">
    <mergeCell ref="A1:Q1"/>
    <mergeCell ref="A2:Q2"/>
    <mergeCell ref="C4:D11"/>
    <mergeCell ref="E4:F4"/>
    <mergeCell ref="U4:Z4"/>
    <mergeCell ref="U5:Z10"/>
    <mergeCell ref="U11:Z11"/>
    <mergeCell ref="A32:A33"/>
    <mergeCell ref="B32:B33"/>
    <mergeCell ref="C32:D34"/>
    <mergeCell ref="U32:Z34"/>
    <mergeCell ref="P12:Q15"/>
    <mergeCell ref="U12:Z19"/>
    <mergeCell ref="C16:D16"/>
    <mergeCell ref="C17:D23"/>
    <mergeCell ref="U20:Z20"/>
    <mergeCell ref="U21:Z24"/>
    <mergeCell ref="C24:D24"/>
    <mergeCell ref="D42:Q52"/>
    <mergeCell ref="P25:Q28"/>
    <mergeCell ref="U25:Z25"/>
    <mergeCell ref="U26:Z30"/>
    <mergeCell ref="C29:D30"/>
  </mergeCells>
  <phoneticPr fontId="3" type="noConversion"/>
  <pageMargins left="0.7" right="0.7" top="0.75" bottom="0.75" header="0.3" footer="0.3"/>
  <pageSetup paperSize="9" scale="26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5"/>
  <sheetViews>
    <sheetView topLeftCell="A5" zoomScale="85" zoomScaleNormal="85" workbookViewId="0">
      <selection activeCell="AA22" sqref="AA22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6.125" style="198" customWidth="1"/>
    <col min="20" max="25" width="8.125" style="198" customWidth="1"/>
    <col min="26" max="16384" width="9" style="198"/>
  </cols>
  <sheetData>
    <row r="1" spans="1:30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0" ht="18" customHeight="1">
      <c r="A2" s="623" t="s">
        <v>709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T2" s="200"/>
      <c r="U2" s="200"/>
      <c r="V2" s="200"/>
      <c r="W2" s="200"/>
      <c r="X2" s="200"/>
      <c r="Y2" s="200"/>
      <c r="AA2" s="200"/>
      <c r="AB2" s="200"/>
      <c r="AC2" s="200"/>
      <c r="AD2" s="200"/>
    </row>
    <row r="3" spans="1:30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AVERAGE(R4:R34)</f>
        <v>0.9245714285714286</v>
      </c>
      <c r="S3" s="206"/>
      <c r="T3" s="200"/>
      <c r="U3" s="200"/>
      <c r="V3" s="200"/>
      <c r="W3" s="200"/>
      <c r="X3" s="200"/>
      <c r="Y3" s="200"/>
      <c r="Z3" s="207"/>
      <c r="AA3" s="200"/>
      <c r="AB3" s="200"/>
      <c r="AC3" s="200"/>
      <c r="AD3" s="200"/>
    </row>
    <row r="4" spans="1:30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210" t="s">
        <v>73</v>
      </c>
      <c r="H4" s="211" t="s">
        <v>183</v>
      </c>
      <c r="I4" s="211" t="s">
        <v>206</v>
      </c>
      <c r="J4" s="212" t="s">
        <v>191</v>
      </c>
      <c r="K4" s="211" t="s">
        <v>190</v>
      </c>
      <c r="L4" s="213"/>
      <c r="M4" s="211" t="s">
        <v>91</v>
      </c>
      <c r="N4" s="210" t="s">
        <v>285</v>
      </c>
      <c r="O4" s="211" t="s">
        <v>253</v>
      </c>
      <c r="P4" s="214" t="s">
        <v>46</v>
      </c>
      <c r="Q4" s="1"/>
      <c r="R4" s="215">
        <f>(COUNTA(G4:Q4))/10</f>
        <v>0.9</v>
      </c>
      <c r="S4" s="206"/>
      <c r="T4" s="633" t="s">
        <v>188</v>
      </c>
      <c r="U4" s="634"/>
      <c r="V4" s="634"/>
      <c r="W4" s="634"/>
      <c r="X4" s="634"/>
      <c r="Y4" s="635"/>
    </row>
    <row r="5" spans="1:30" s="200" customFormat="1" ht="27.95" customHeight="1">
      <c r="A5" s="208">
        <v>2</v>
      </c>
      <c r="B5" s="209" t="s">
        <v>165</v>
      </c>
      <c r="C5" s="627"/>
      <c r="D5" s="628"/>
      <c r="E5" s="214" t="s">
        <v>89</v>
      </c>
      <c r="F5" s="214" t="s">
        <v>229</v>
      </c>
      <c r="G5" s="2" t="s">
        <v>144</v>
      </c>
      <c r="H5" s="210" t="s">
        <v>164</v>
      </c>
      <c r="I5" s="210" t="s">
        <v>163</v>
      </c>
      <c r="J5" s="210" t="s">
        <v>377</v>
      </c>
      <c r="K5" s="214" t="s">
        <v>162</v>
      </c>
      <c r="L5" s="214"/>
      <c r="M5" s="210" t="s">
        <v>266</v>
      </c>
      <c r="N5" s="216" t="s">
        <v>161</v>
      </c>
      <c r="O5" s="210" t="s">
        <v>203</v>
      </c>
      <c r="P5" s="214" t="s">
        <v>200</v>
      </c>
      <c r="Q5" s="210" t="s">
        <v>10</v>
      </c>
      <c r="R5" s="215">
        <f t="shared" ref="R5:R25" si="0">(COUNTA(C5:Q5))/12</f>
        <v>1</v>
      </c>
      <c r="S5" s="206"/>
      <c r="T5" s="578"/>
      <c r="U5" s="579"/>
      <c r="V5" s="579"/>
      <c r="W5" s="579"/>
      <c r="X5" s="579"/>
      <c r="Y5" s="580"/>
    </row>
    <row r="6" spans="1:30" s="200" customFormat="1" ht="27.95" customHeight="1">
      <c r="A6" s="208">
        <v>3</v>
      </c>
      <c r="B6" s="218" t="s">
        <v>160</v>
      </c>
      <c r="C6" s="627"/>
      <c r="D6" s="628"/>
      <c r="E6" s="210" t="s">
        <v>158</v>
      </c>
      <c r="F6" s="210" t="s">
        <v>159</v>
      </c>
      <c r="G6" s="210" t="s">
        <v>11</v>
      </c>
      <c r="H6" s="210" t="s">
        <v>158</v>
      </c>
      <c r="I6" s="210" t="s">
        <v>157</v>
      </c>
      <c r="J6" s="210" t="s">
        <v>214</v>
      </c>
      <c r="K6" s="2" t="s">
        <v>156</v>
      </c>
      <c r="L6" s="210"/>
      <c r="M6" s="210" t="s">
        <v>10</v>
      </c>
      <c r="N6" s="219" t="s">
        <v>155</v>
      </c>
      <c r="O6" s="220" t="s">
        <v>154</v>
      </c>
      <c r="P6" s="210" t="s">
        <v>64</v>
      </c>
      <c r="Q6" s="346" t="s">
        <v>235</v>
      </c>
      <c r="R6" s="215">
        <f t="shared" si="0"/>
        <v>1</v>
      </c>
      <c r="S6" s="206"/>
      <c r="T6" s="581"/>
      <c r="U6" s="582"/>
      <c r="V6" s="582"/>
      <c r="W6" s="582"/>
      <c r="X6" s="582"/>
      <c r="Y6" s="583"/>
    </row>
    <row r="7" spans="1:30" s="200" customFormat="1" ht="27.95" customHeight="1">
      <c r="A7" s="208"/>
      <c r="B7" s="218" t="s">
        <v>646</v>
      </c>
      <c r="C7" s="627"/>
      <c r="D7" s="628"/>
      <c r="E7" s="432"/>
      <c r="F7" s="432"/>
      <c r="G7" s="432"/>
      <c r="H7" s="432"/>
      <c r="I7" s="432"/>
      <c r="J7" s="432"/>
      <c r="K7" s="435"/>
      <c r="L7" s="432"/>
      <c r="M7" s="432"/>
      <c r="N7" s="436"/>
      <c r="O7" s="437"/>
      <c r="P7" s="438"/>
      <c r="Q7" s="439"/>
      <c r="R7" s="215"/>
      <c r="S7" s="206"/>
      <c r="T7" s="581"/>
      <c r="U7" s="582"/>
      <c r="V7" s="582"/>
      <c r="W7" s="582"/>
      <c r="X7" s="582"/>
      <c r="Y7" s="583"/>
    </row>
    <row r="8" spans="1:30" s="200" customFormat="1" ht="27.95" customHeight="1">
      <c r="A8" s="208">
        <v>4</v>
      </c>
      <c r="B8" s="221" t="s">
        <v>153</v>
      </c>
      <c r="C8" s="627"/>
      <c r="D8" s="628"/>
      <c r="E8" s="2" t="s">
        <v>159</v>
      </c>
      <c r="F8" s="214" t="s">
        <v>152</v>
      </c>
      <c r="G8" s="210" t="s">
        <v>336</v>
      </c>
      <c r="H8" s="210" t="s">
        <v>151</v>
      </c>
      <c r="I8" s="2" t="s">
        <v>150</v>
      </c>
      <c r="J8" s="214" t="s">
        <v>254</v>
      </c>
      <c r="K8" s="210" t="s">
        <v>208</v>
      </c>
      <c r="L8" s="210"/>
      <c r="M8" s="210" t="s">
        <v>12</v>
      </c>
      <c r="N8" s="214" t="s">
        <v>149</v>
      </c>
      <c r="O8" s="213" t="s">
        <v>148</v>
      </c>
      <c r="P8" s="347"/>
      <c r="Q8" s="210" t="s">
        <v>53</v>
      </c>
      <c r="R8" s="215">
        <f t="shared" si="0"/>
        <v>0.91666666666666663</v>
      </c>
      <c r="S8" s="206"/>
      <c r="T8" s="581"/>
      <c r="U8" s="582"/>
      <c r="V8" s="582"/>
      <c r="W8" s="582"/>
      <c r="X8" s="582"/>
      <c r="Y8" s="583"/>
    </row>
    <row r="9" spans="1:30" s="200" customFormat="1" ht="27.95" customHeight="1">
      <c r="A9" s="208">
        <v>5</v>
      </c>
      <c r="B9" s="222" t="s">
        <v>175</v>
      </c>
      <c r="C9" s="627"/>
      <c r="D9" s="628"/>
      <c r="E9" s="210" t="s">
        <v>64</v>
      </c>
      <c r="F9" s="210" t="s">
        <v>167</v>
      </c>
      <c r="G9" s="212" t="s">
        <v>174</v>
      </c>
      <c r="H9" s="210" t="s">
        <v>173</v>
      </c>
      <c r="I9" s="210" t="s">
        <v>145</v>
      </c>
      <c r="J9" s="214" t="s">
        <v>13</v>
      </c>
      <c r="K9" s="207" t="s">
        <v>274</v>
      </c>
      <c r="L9" s="210"/>
      <c r="M9" s="213" t="s">
        <v>172</v>
      </c>
      <c r="N9" s="214" t="s">
        <v>147</v>
      </c>
      <c r="O9" s="2" t="s">
        <v>235</v>
      </c>
      <c r="P9" s="213" t="s">
        <v>265</v>
      </c>
      <c r="Q9" s="210" t="s">
        <v>208</v>
      </c>
      <c r="R9" s="215">
        <f t="shared" si="0"/>
        <v>1</v>
      </c>
      <c r="S9" s="206"/>
      <c r="T9" s="581"/>
      <c r="U9" s="582"/>
      <c r="V9" s="582"/>
      <c r="W9" s="582"/>
      <c r="X9" s="582"/>
      <c r="Y9" s="583"/>
    </row>
    <row r="10" spans="1:30" s="200" customFormat="1" ht="27.95" customHeight="1" thickBot="1">
      <c r="A10" s="208">
        <v>6</v>
      </c>
      <c r="B10" s="221" t="s">
        <v>59</v>
      </c>
      <c r="C10" s="627"/>
      <c r="D10" s="628"/>
      <c r="E10" s="2" t="s">
        <v>621</v>
      </c>
      <c r="F10" s="214" t="s">
        <v>147</v>
      </c>
      <c r="G10" s="210" t="s">
        <v>57</v>
      </c>
      <c r="H10" s="210" t="s">
        <v>53</v>
      </c>
      <c r="I10" s="2" t="s">
        <v>248</v>
      </c>
      <c r="J10" s="214" t="s">
        <v>146</v>
      </c>
      <c r="K10" s="210" t="s">
        <v>258</v>
      </c>
      <c r="L10" s="210"/>
      <c r="M10" s="210" t="s">
        <v>145</v>
      </c>
      <c r="N10" s="214" t="s">
        <v>144</v>
      </c>
      <c r="O10" s="214" t="s">
        <v>45</v>
      </c>
      <c r="P10" s="214" t="s">
        <v>305</v>
      </c>
      <c r="Q10" s="347" t="s">
        <v>336</v>
      </c>
      <c r="R10" s="215">
        <f t="shared" si="0"/>
        <v>1</v>
      </c>
      <c r="S10" s="206"/>
      <c r="T10" s="584"/>
      <c r="U10" s="585"/>
      <c r="V10" s="585"/>
      <c r="W10" s="585"/>
      <c r="X10" s="585"/>
      <c r="Y10" s="586"/>
    </row>
    <row r="11" spans="1:30" s="200" customFormat="1" ht="27.95" customHeight="1" thickBot="1">
      <c r="A11" s="208">
        <v>7</v>
      </c>
      <c r="B11" s="223" t="s">
        <v>168</v>
      </c>
      <c r="C11" s="629"/>
      <c r="D11" s="630"/>
      <c r="E11" s="224" t="s">
        <v>154</v>
      </c>
      <c r="F11" s="225" t="s">
        <v>53</v>
      </c>
      <c r="G11" s="224" t="s">
        <v>261</v>
      </c>
      <c r="H11" s="224" t="s">
        <v>167</v>
      </c>
      <c r="I11" s="226" t="s">
        <v>285</v>
      </c>
      <c r="J11" s="224" t="s">
        <v>206</v>
      </c>
      <c r="K11" s="224" t="s">
        <v>46</v>
      </c>
      <c r="L11" s="10"/>
      <c r="M11" s="224" t="s">
        <v>150</v>
      </c>
      <c r="N11" s="224" t="s">
        <v>244</v>
      </c>
      <c r="O11" s="224" t="s">
        <v>151</v>
      </c>
      <c r="P11" s="224" t="s">
        <v>174</v>
      </c>
      <c r="Q11" s="224" t="s">
        <v>200</v>
      </c>
      <c r="R11" s="215">
        <f t="shared" si="0"/>
        <v>1</v>
      </c>
      <c r="S11" s="206"/>
      <c r="T11" s="575" t="s">
        <v>166</v>
      </c>
      <c r="U11" s="576"/>
      <c r="V11" s="576"/>
      <c r="W11" s="576"/>
      <c r="X11" s="576"/>
      <c r="Y11" s="577"/>
    </row>
    <row r="12" spans="1:30" s="200" customFormat="1" ht="27.95" customHeight="1">
      <c r="A12" s="208">
        <v>8</v>
      </c>
      <c r="B12" s="428" t="s">
        <v>653</v>
      </c>
      <c r="C12" s="227"/>
      <c r="D12" s="227"/>
      <c r="E12" s="445" t="s">
        <v>261</v>
      </c>
      <c r="F12" s="451" t="s">
        <v>106</v>
      </c>
      <c r="G12" s="445" t="s">
        <v>142</v>
      </c>
      <c r="H12" s="452"/>
      <c r="I12" s="445"/>
      <c r="J12" s="445" t="s">
        <v>248</v>
      </c>
      <c r="K12" s="445" t="s">
        <v>146</v>
      </c>
      <c r="L12" s="453"/>
      <c r="M12" s="445"/>
      <c r="N12" s="453"/>
      <c r="O12" s="452"/>
      <c r="P12" s="569"/>
      <c r="Q12" s="570"/>
      <c r="R12" s="215">
        <f t="shared" si="0"/>
        <v>0.41666666666666669</v>
      </c>
      <c r="S12" s="206"/>
      <c r="T12" s="578" t="s">
        <v>728</v>
      </c>
      <c r="U12" s="579"/>
      <c r="V12" s="579"/>
      <c r="W12" s="579"/>
      <c r="X12" s="579"/>
      <c r="Y12" s="580"/>
    </row>
    <row r="13" spans="1:30" s="200" customFormat="1" ht="27.95" customHeight="1">
      <c r="A13" s="208">
        <v>9</v>
      </c>
      <c r="B13" s="429" t="s">
        <v>710</v>
      </c>
      <c r="C13" s="424"/>
      <c r="D13" s="424"/>
      <c r="E13" s="453" t="s">
        <v>174</v>
      </c>
      <c r="F13" s="454" t="s">
        <v>145</v>
      </c>
      <c r="G13" s="454" t="s">
        <v>186</v>
      </c>
      <c r="H13" s="444" t="s">
        <v>161</v>
      </c>
      <c r="I13" s="444" t="s">
        <v>184</v>
      </c>
      <c r="J13" s="445"/>
      <c r="K13" s="454" t="s">
        <v>430</v>
      </c>
      <c r="L13" s="444"/>
      <c r="M13" s="454" t="s">
        <v>254</v>
      </c>
      <c r="N13" s="454"/>
      <c r="O13" s="445"/>
      <c r="P13" s="571"/>
      <c r="Q13" s="572"/>
      <c r="R13" s="215">
        <f t="shared" si="0"/>
        <v>0.58333333333333337</v>
      </c>
      <c r="S13" s="206"/>
      <c r="T13" s="581"/>
      <c r="U13" s="582"/>
      <c r="V13" s="582"/>
      <c r="W13" s="582"/>
      <c r="X13" s="582"/>
      <c r="Y13" s="583"/>
      <c r="Z13" s="229"/>
    </row>
    <row r="14" spans="1:30" s="200" customFormat="1" ht="27.95" customHeight="1">
      <c r="A14" s="208">
        <v>10</v>
      </c>
      <c r="B14" s="209" t="s">
        <v>181</v>
      </c>
      <c r="C14" s="424" t="s">
        <v>203</v>
      </c>
      <c r="D14" s="424" t="s">
        <v>203</v>
      </c>
      <c r="E14" s="2" t="s">
        <v>180</v>
      </c>
      <c r="F14" s="210" t="s">
        <v>179</v>
      </c>
      <c r="G14" s="210" t="s">
        <v>621</v>
      </c>
      <c r="H14" s="210" t="s">
        <v>106</v>
      </c>
      <c r="I14" s="211" t="s">
        <v>178</v>
      </c>
      <c r="J14" s="3" t="s">
        <v>177</v>
      </c>
      <c r="K14" s="210" t="s">
        <v>377</v>
      </c>
      <c r="L14" s="214"/>
      <c r="M14" s="214" t="s">
        <v>164</v>
      </c>
      <c r="N14" s="374" t="s">
        <v>666</v>
      </c>
      <c r="O14" s="210" t="s">
        <v>176</v>
      </c>
      <c r="P14" s="571"/>
      <c r="Q14" s="572"/>
      <c r="R14" s="215">
        <f t="shared" si="0"/>
        <v>1</v>
      </c>
      <c r="S14" s="206"/>
      <c r="T14" s="581"/>
      <c r="U14" s="582"/>
      <c r="V14" s="582"/>
      <c r="W14" s="582"/>
      <c r="X14" s="582"/>
      <c r="Y14" s="583"/>
    </row>
    <row r="15" spans="1:30" s="200" customFormat="1" ht="27.95" customHeight="1" thickBot="1">
      <c r="A15" s="208">
        <v>11</v>
      </c>
      <c r="B15" s="223" t="s">
        <v>171</v>
      </c>
      <c r="C15" s="425" t="s">
        <v>307</v>
      </c>
      <c r="D15" s="425" t="s">
        <v>298</v>
      </c>
      <c r="E15" s="231" t="s">
        <v>170</v>
      </c>
      <c r="F15" s="231" t="s">
        <v>151</v>
      </c>
      <c r="G15" s="231" t="s">
        <v>207</v>
      </c>
      <c r="H15" s="231" t="s">
        <v>220</v>
      </c>
      <c r="I15" s="231" t="s">
        <v>265</v>
      </c>
      <c r="J15" s="446" t="s">
        <v>725</v>
      </c>
      <c r="K15" s="11" t="s">
        <v>238</v>
      </c>
      <c r="L15" s="231"/>
      <c r="M15" s="231" t="s">
        <v>199</v>
      </c>
      <c r="N15" s="232" t="s">
        <v>203</v>
      </c>
      <c r="O15" s="226" t="s">
        <v>255</v>
      </c>
      <c r="P15" s="573"/>
      <c r="Q15" s="574"/>
      <c r="R15" s="215">
        <f t="shared" si="0"/>
        <v>1</v>
      </c>
      <c r="S15" s="206"/>
      <c r="T15" s="581"/>
      <c r="U15" s="582"/>
      <c r="V15" s="582"/>
      <c r="W15" s="582"/>
      <c r="X15" s="582"/>
      <c r="Y15" s="583"/>
    </row>
    <row r="16" spans="1:30" s="236" customFormat="1" ht="27.95" customHeight="1" thickBot="1">
      <c r="A16" s="208">
        <v>12</v>
      </c>
      <c r="B16" s="233" t="s">
        <v>141</v>
      </c>
      <c r="C16" s="608"/>
      <c r="D16" s="609"/>
      <c r="E16" s="226" t="s">
        <v>140</v>
      </c>
      <c r="F16" s="234" t="s">
        <v>274</v>
      </c>
      <c r="G16" s="235" t="s">
        <v>172</v>
      </c>
      <c r="H16" s="234" t="s">
        <v>67</v>
      </c>
      <c r="I16" s="226" t="s">
        <v>377</v>
      </c>
      <c r="J16" s="224" t="s">
        <v>238</v>
      </c>
      <c r="K16" s="224" t="s">
        <v>261</v>
      </c>
      <c r="L16" s="226"/>
      <c r="M16" s="224" t="s">
        <v>206</v>
      </c>
      <c r="N16" s="406" t="s">
        <v>724</v>
      </c>
      <c r="O16" s="406" t="s">
        <v>727</v>
      </c>
      <c r="P16" s="226"/>
      <c r="Q16" s="226"/>
      <c r="R16" s="215">
        <f t="shared" si="0"/>
        <v>0.83333333333333337</v>
      </c>
      <c r="S16" s="206"/>
      <c r="T16" s="581"/>
      <c r="U16" s="582"/>
      <c r="V16" s="582"/>
      <c r="W16" s="582"/>
      <c r="X16" s="582"/>
      <c r="Y16" s="583"/>
    </row>
    <row r="17" spans="1:25" s="236" customFormat="1" ht="27.95" customHeight="1">
      <c r="A17" s="208">
        <v>13</v>
      </c>
      <c r="B17" s="218" t="s">
        <v>14</v>
      </c>
      <c r="C17" s="610"/>
      <c r="D17" s="611"/>
      <c r="E17" s="211" t="s">
        <v>198</v>
      </c>
      <c r="F17" s="213" t="s">
        <v>15</v>
      </c>
      <c r="G17" s="213" t="s">
        <v>16</v>
      </c>
      <c r="H17" s="213" t="s">
        <v>62</v>
      </c>
      <c r="I17" s="211" t="s">
        <v>51</v>
      </c>
      <c r="J17" s="213" t="s">
        <v>17</v>
      </c>
      <c r="K17" s="211" t="s">
        <v>54</v>
      </c>
      <c r="L17" s="213"/>
      <c r="M17" s="211" t="s">
        <v>18</v>
      </c>
      <c r="N17" s="211" t="s">
        <v>25</v>
      </c>
      <c r="O17" s="213" t="s">
        <v>262</v>
      </c>
      <c r="P17" s="214" t="s">
        <v>23</v>
      </c>
      <c r="Q17" s="262"/>
      <c r="R17" s="215">
        <f t="shared" si="0"/>
        <v>0.91666666666666663</v>
      </c>
      <c r="S17" s="206"/>
      <c r="T17" s="581"/>
      <c r="U17" s="582"/>
      <c r="V17" s="582"/>
      <c r="W17" s="582"/>
      <c r="X17" s="582"/>
      <c r="Y17" s="583"/>
    </row>
    <row r="18" spans="1:25" s="236" customFormat="1" ht="27.95" customHeight="1">
      <c r="A18" s="208">
        <v>14</v>
      </c>
      <c r="B18" s="237" t="s">
        <v>119</v>
      </c>
      <c r="C18" s="612"/>
      <c r="D18" s="613"/>
      <c r="E18" s="211" t="s">
        <v>716</v>
      </c>
      <c r="F18" s="213" t="s">
        <v>20</v>
      </c>
      <c r="G18" s="211" t="s">
        <v>240</v>
      </c>
      <c r="H18" s="211" t="s">
        <v>247</v>
      </c>
      <c r="I18" s="213" t="s">
        <v>118</v>
      </c>
      <c r="J18" s="238" t="s">
        <v>234</v>
      </c>
      <c r="K18" s="213" t="s">
        <v>117</v>
      </c>
      <c r="L18" s="212"/>
      <c r="M18" s="143" t="s">
        <v>292</v>
      </c>
      <c r="N18" s="212" t="s">
        <v>116</v>
      </c>
      <c r="O18" s="372" t="s">
        <v>320</v>
      </c>
      <c r="P18" s="214" t="s">
        <v>72</v>
      </c>
      <c r="Q18" s="211" t="s">
        <v>272</v>
      </c>
      <c r="R18" s="215">
        <f t="shared" si="0"/>
        <v>1</v>
      </c>
      <c r="S18" s="206"/>
      <c r="T18" s="581"/>
      <c r="U18" s="582"/>
      <c r="V18" s="582"/>
      <c r="W18" s="582"/>
      <c r="X18" s="582"/>
      <c r="Y18" s="583"/>
    </row>
    <row r="19" spans="1:25" s="236" customFormat="1" ht="27.95" customHeight="1" thickBot="1">
      <c r="A19" s="208">
        <v>15</v>
      </c>
      <c r="B19" s="239" t="s">
        <v>139</v>
      </c>
      <c r="C19" s="612"/>
      <c r="D19" s="613"/>
      <c r="E19" s="2" t="s">
        <v>260</v>
      </c>
      <c r="F19" s="238" t="s">
        <v>717</v>
      </c>
      <c r="G19" s="211" t="s">
        <v>94</v>
      </c>
      <c r="H19" s="210" t="s">
        <v>226</v>
      </c>
      <c r="I19" s="170" t="s">
        <v>665</v>
      </c>
      <c r="J19" s="211" t="s">
        <v>138</v>
      </c>
      <c r="K19" s="214" t="s">
        <v>623</v>
      </c>
      <c r="L19" s="214"/>
      <c r="M19" s="211" t="s">
        <v>275</v>
      </c>
      <c r="N19" s="211" t="s">
        <v>137</v>
      </c>
      <c r="O19" s="210" t="s">
        <v>136</v>
      </c>
      <c r="P19" s="240" t="s">
        <v>135</v>
      </c>
      <c r="Q19" s="211" t="s">
        <v>267</v>
      </c>
      <c r="R19" s="215">
        <f t="shared" si="0"/>
        <v>1</v>
      </c>
      <c r="S19" s="206"/>
      <c r="T19" s="584"/>
      <c r="U19" s="585"/>
      <c r="V19" s="585"/>
      <c r="W19" s="585"/>
      <c r="X19" s="585"/>
      <c r="Y19" s="586"/>
    </row>
    <row r="20" spans="1:25" s="200" customFormat="1" ht="27.95" customHeight="1" thickBot="1">
      <c r="A20" s="208">
        <v>16</v>
      </c>
      <c r="B20" s="237" t="s">
        <v>115</v>
      </c>
      <c r="C20" s="612"/>
      <c r="D20" s="613"/>
      <c r="E20" s="214" t="s">
        <v>22</v>
      </c>
      <c r="F20" s="210" t="s">
        <v>210</v>
      </c>
      <c r="G20" s="210" t="s">
        <v>52</v>
      </c>
      <c r="H20" s="214" t="s">
        <v>607</v>
      </c>
      <c r="I20" s="214" t="s">
        <v>275</v>
      </c>
      <c r="J20" s="244" t="s">
        <v>286</v>
      </c>
      <c r="K20" s="212" t="s">
        <v>113</v>
      </c>
      <c r="L20" s="214"/>
      <c r="M20" s="2" t="s">
        <v>221</v>
      </c>
      <c r="N20" s="242" t="s">
        <v>110</v>
      </c>
      <c r="O20" s="213" t="s">
        <v>610</v>
      </c>
      <c r="P20" s="214" t="s">
        <v>55</v>
      </c>
      <c r="Q20" s="214" t="s">
        <v>70</v>
      </c>
      <c r="R20" s="215">
        <f t="shared" si="0"/>
        <v>1</v>
      </c>
      <c r="S20" s="206"/>
      <c r="T20" s="616" t="s">
        <v>306</v>
      </c>
      <c r="U20" s="617"/>
      <c r="V20" s="617"/>
      <c r="W20" s="617"/>
      <c r="X20" s="617"/>
      <c r="Y20" s="618"/>
    </row>
    <row r="21" spans="1:25" s="200" customFormat="1" ht="27.95" customHeight="1">
      <c r="A21" s="208"/>
      <c r="B21" s="243" t="s">
        <v>645</v>
      </c>
      <c r="C21" s="612"/>
      <c r="D21" s="613"/>
      <c r="E21" s="433"/>
      <c r="F21" s="432"/>
      <c r="G21" s="432"/>
      <c r="H21" s="433"/>
      <c r="I21" s="433"/>
      <c r="J21" s="434"/>
      <c r="K21" s="431"/>
      <c r="L21" s="433"/>
      <c r="M21" s="435"/>
      <c r="N21" s="437"/>
      <c r="O21" s="440"/>
      <c r="P21" s="440"/>
      <c r="Q21" s="441"/>
      <c r="R21" s="215"/>
      <c r="S21" s="206"/>
      <c r="T21" s="578" t="s">
        <v>729</v>
      </c>
      <c r="U21" s="579"/>
      <c r="V21" s="579"/>
      <c r="W21" s="579"/>
      <c r="X21" s="579"/>
      <c r="Y21" s="580"/>
    </row>
    <row r="22" spans="1:25" s="200" customFormat="1" ht="27.95" customHeight="1">
      <c r="A22" s="208">
        <v>17</v>
      </c>
      <c r="B22" s="243" t="s">
        <v>130</v>
      </c>
      <c r="C22" s="612"/>
      <c r="D22" s="613"/>
      <c r="E22" s="210" t="s">
        <v>243</v>
      </c>
      <c r="F22" s="210" t="s">
        <v>129</v>
      </c>
      <c r="G22" s="210" t="s">
        <v>249</v>
      </c>
      <c r="H22" s="214" t="s">
        <v>209</v>
      </c>
      <c r="I22" s="210" t="s">
        <v>128</v>
      </c>
      <c r="J22" s="210" t="s">
        <v>127</v>
      </c>
      <c r="K22" s="210" t="s">
        <v>201</v>
      </c>
      <c r="L22" s="241"/>
      <c r="M22" s="214" t="s">
        <v>284</v>
      </c>
      <c r="N22" s="2" t="s">
        <v>126</v>
      </c>
      <c r="O22" s="211" t="s">
        <v>287</v>
      </c>
      <c r="P22" s="244" t="s">
        <v>125</v>
      </c>
      <c r="Q22" s="245" t="s">
        <v>249</v>
      </c>
      <c r="R22" s="215">
        <f t="shared" si="0"/>
        <v>1</v>
      </c>
      <c r="S22" s="206"/>
      <c r="T22" s="581"/>
      <c r="U22" s="582"/>
      <c r="V22" s="582"/>
      <c r="W22" s="582"/>
      <c r="X22" s="582"/>
      <c r="Y22" s="583"/>
    </row>
    <row r="23" spans="1:25" s="200" customFormat="1" ht="27.95" customHeight="1" thickBot="1">
      <c r="A23" s="208">
        <v>18</v>
      </c>
      <c r="B23" s="246" t="s">
        <v>124</v>
      </c>
      <c r="C23" s="614"/>
      <c r="D23" s="615"/>
      <c r="E23" s="247" t="s">
        <v>237</v>
      </c>
      <c r="F23" s="248" t="s">
        <v>197</v>
      </c>
      <c r="G23" s="11" t="s">
        <v>19</v>
      </c>
      <c r="H23" s="231" t="s">
        <v>262</v>
      </c>
      <c r="I23" s="231" t="s">
        <v>263</v>
      </c>
      <c r="J23" s="248" t="s">
        <v>232</v>
      </c>
      <c r="K23" s="231" t="s">
        <v>339</v>
      </c>
      <c r="L23" s="283"/>
      <c r="M23" s="248" t="s">
        <v>291</v>
      </c>
      <c r="N23" s="231" t="s">
        <v>71</v>
      </c>
      <c r="O23" s="446" t="s">
        <v>305</v>
      </c>
      <c r="P23" s="248" t="s">
        <v>123</v>
      </c>
      <c r="Q23" s="231" t="s">
        <v>122</v>
      </c>
      <c r="R23" s="215">
        <f t="shared" si="0"/>
        <v>1</v>
      </c>
      <c r="S23" s="206"/>
      <c r="T23" s="581"/>
      <c r="U23" s="582"/>
      <c r="V23" s="582"/>
      <c r="W23" s="582"/>
      <c r="X23" s="582"/>
      <c r="Y23" s="583"/>
    </row>
    <row r="24" spans="1:25" s="200" customFormat="1" ht="27.95" customHeight="1" thickBot="1">
      <c r="A24" s="208">
        <v>19</v>
      </c>
      <c r="B24" s="249" t="s">
        <v>112</v>
      </c>
      <c r="C24" s="619"/>
      <c r="D24" s="620"/>
      <c r="E24" s="224" t="s">
        <v>268</v>
      </c>
      <c r="F24" s="224" t="s">
        <v>237</v>
      </c>
      <c r="G24" s="250" t="s">
        <v>233</v>
      </c>
      <c r="H24" s="224" t="s">
        <v>294</v>
      </c>
      <c r="I24" s="224" t="s">
        <v>111</v>
      </c>
      <c r="J24" s="224" t="s">
        <v>69</v>
      </c>
      <c r="K24" s="234" t="s">
        <v>110</v>
      </c>
      <c r="L24" s="234"/>
      <c r="M24" s="234" t="s">
        <v>249</v>
      </c>
      <c r="N24" s="226" t="s">
        <v>338</v>
      </c>
      <c r="O24" s="235" t="s">
        <v>109</v>
      </c>
      <c r="P24" s="226" t="s">
        <v>209</v>
      </c>
      <c r="Q24" s="224" t="s">
        <v>72</v>
      </c>
      <c r="R24" s="215">
        <f t="shared" si="0"/>
        <v>1</v>
      </c>
      <c r="S24" s="206"/>
      <c r="T24" s="584"/>
      <c r="U24" s="585"/>
      <c r="V24" s="585"/>
      <c r="W24" s="585"/>
      <c r="X24" s="585"/>
      <c r="Y24" s="586"/>
    </row>
    <row r="25" spans="1:25" s="200" customFormat="1" ht="27.95" customHeight="1" thickBot="1">
      <c r="A25" s="208">
        <v>20</v>
      </c>
      <c r="B25" s="341" t="s">
        <v>26</v>
      </c>
      <c r="C25" s="251" t="s">
        <v>65</v>
      </c>
      <c r="D25" s="251" t="s">
        <v>66</v>
      </c>
      <c r="E25" s="252" t="s">
        <v>252</v>
      </c>
      <c r="F25" s="211" t="s">
        <v>27</v>
      </c>
      <c r="G25" s="213" t="s">
        <v>47</v>
      </c>
      <c r="H25" s="373" t="s">
        <v>726</v>
      </c>
      <c r="I25" s="211" t="s">
        <v>68</v>
      </c>
      <c r="J25" s="211" t="s">
        <v>275</v>
      </c>
      <c r="K25" s="211" t="s">
        <v>50</v>
      </c>
      <c r="L25" s="253"/>
      <c r="M25" s="228" t="s">
        <v>58</v>
      </c>
      <c r="N25" s="211" t="s">
        <v>232</v>
      </c>
      <c r="O25" s="3" t="s">
        <v>24</v>
      </c>
      <c r="P25" s="569"/>
      <c r="Q25" s="570"/>
      <c r="R25" s="215">
        <f t="shared" si="0"/>
        <v>1</v>
      </c>
      <c r="S25" s="206"/>
      <c r="T25" s="575" t="s">
        <v>120</v>
      </c>
      <c r="U25" s="576"/>
      <c r="V25" s="576"/>
      <c r="W25" s="576"/>
      <c r="X25" s="576"/>
      <c r="Y25" s="577"/>
    </row>
    <row r="26" spans="1:25" s="200" customFormat="1" ht="27.95" customHeight="1">
      <c r="A26" s="208">
        <v>21</v>
      </c>
      <c r="B26" s="342" t="s">
        <v>515</v>
      </c>
      <c r="C26" s="254" t="s">
        <v>310</v>
      </c>
      <c r="D26" s="254" t="s">
        <v>311</v>
      </c>
      <c r="E26" s="455" t="s">
        <v>721</v>
      </c>
      <c r="F26" s="456" t="s">
        <v>723</v>
      </c>
      <c r="G26" s="3" t="s">
        <v>516</v>
      </c>
      <c r="H26" s="211" t="s">
        <v>517</v>
      </c>
      <c r="I26" s="214" t="s">
        <v>231</v>
      </c>
      <c r="J26" s="211" t="s">
        <v>29</v>
      </c>
      <c r="K26" s="210" t="s">
        <v>268</v>
      </c>
      <c r="L26" s="219"/>
      <c r="M26" s="214" t="s">
        <v>30</v>
      </c>
      <c r="N26" s="2"/>
      <c r="O26" s="214" t="s">
        <v>209</v>
      </c>
      <c r="P26" s="571"/>
      <c r="Q26" s="572"/>
      <c r="R26" s="215"/>
      <c r="S26" s="206"/>
      <c r="T26" s="578"/>
      <c r="U26" s="579"/>
      <c r="V26" s="579"/>
      <c r="W26" s="579"/>
      <c r="X26" s="579"/>
      <c r="Y26" s="580"/>
    </row>
    <row r="27" spans="1:25" s="200" customFormat="1" ht="27.95" customHeight="1">
      <c r="A27" s="208">
        <v>22</v>
      </c>
      <c r="B27" s="343" t="s">
        <v>133</v>
      </c>
      <c r="C27" s="254" t="s">
        <v>313</v>
      </c>
      <c r="D27" s="254" t="s">
        <v>315</v>
      </c>
      <c r="E27" s="216" t="s">
        <v>338</v>
      </c>
      <c r="F27" s="244" t="s">
        <v>132</v>
      </c>
      <c r="G27" s="211" t="s">
        <v>293</v>
      </c>
      <c r="H27" s="211" t="s">
        <v>131</v>
      </c>
      <c r="I27" s="211" t="s">
        <v>19</v>
      </c>
      <c r="J27" s="210" t="s">
        <v>211</v>
      </c>
      <c r="K27" s="442" t="s">
        <v>327</v>
      </c>
      <c r="L27" s="213"/>
      <c r="M27" s="211" t="s">
        <v>219</v>
      </c>
      <c r="N27" s="213" t="s">
        <v>262</v>
      </c>
      <c r="O27" s="242" t="s">
        <v>58</v>
      </c>
      <c r="P27" s="571"/>
      <c r="Q27" s="572"/>
      <c r="R27" s="215">
        <f>(COUNTA(C27:Q27))/12</f>
        <v>1</v>
      </c>
      <c r="S27" s="206"/>
      <c r="T27" s="581"/>
      <c r="U27" s="582"/>
      <c r="V27" s="582"/>
      <c r="W27" s="582"/>
      <c r="X27" s="582"/>
      <c r="Y27" s="583"/>
    </row>
    <row r="28" spans="1:25" s="200" customFormat="1" ht="27.95" customHeight="1" thickBot="1">
      <c r="A28" s="208">
        <v>23</v>
      </c>
      <c r="B28" s="344" t="s">
        <v>528</v>
      </c>
      <c r="C28" s="256" t="s">
        <v>623</v>
      </c>
      <c r="D28" s="256" t="s">
        <v>623</v>
      </c>
      <c r="E28" s="348" t="s">
        <v>114</v>
      </c>
      <c r="F28" s="248" t="s">
        <v>223</v>
      </c>
      <c r="G28" s="11" t="s">
        <v>198</v>
      </c>
      <c r="H28" s="226" t="s">
        <v>70</v>
      </c>
      <c r="I28" s="257" t="s">
        <v>531</v>
      </c>
      <c r="J28" s="258" t="s">
        <v>532</v>
      </c>
      <c r="K28" s="248" t="s">
        <v>294</v>
      </c>
      <c r="L28" s="258"/>
      <c r="M28" s="248" t="s">
        <v>21</v>
      </c>
      <c r="N28" s="259" t="s">
        <v>121</v>
      </c>
      <c r="O28" s="11" t="s">
        <v>210</v>
      </c>
      <c r="P28" s="573"/>
      <c r="Q28" s="574"/>
      <c r="R28" s="215"/>
      <c r="S28" s="206"/>
      <c r="T28" s="581"/>
      <c r="U28" s="582"/>
      <c r="V28" s="582"/>
      <c r="W28" s="582"/>
      <c r="X28" s="582"/>
      <c r="Y28" s="583"/>
    </row>
    <row r="29" spans="1:25" s="200" customFormat="1" ht="27.95" customHeight="1">
      <c r="A29" s="260" t="s">
        <v>108</v>
      </c>
      <c r="B29" s="261" t="s">
        <v>107</v>
      </c>
      <c r="C29" s="587"/>
      <c r="D29" s="588"/>
      <c r="E29" s="4"/>
      <c r="F29" s="262"/>
      <c r="G29" s="262"/>
      <c r="H29" s="213" t="s">
        <v>218</v>
      </c>
      <c r="I29" s="262" t="s">
        <v>106</v>
      </c>
      <c r="J29" s="4" t="s">
        <v>105</v>
      </c>
      <c r="K29" s="4"/>
      <c r="L29" s="263"/>
      <c r="M29" s="262"/>
      <c r="N29" s="262" t="s">
        <v>295</v>
      </c>
      <c r="O29" s="211" t="s">
        <v>104</v>
      </c>
      <c r="P29" s="264"/>
      <c r="Q29" s="265"/>
      <c r="R29" s="215">
        <f>(COUNTA(C29:Q29))/6</f>
        <v>0.83333333333333337</v>
      </c>
      <c r="S29" s="206"/>
      <c r="T29" s="581"/>
      <c r="U29" s="582"/>
      <c r="V29" s="582"/>
      <c r="W29" s="582"/>
      <c r="X29" s="582"/>
      <c r="Y29" s="583"/>
    </row>
    <row r="30" spans="1:25" s="200" customFormat="1" ht="27.95" customHeight="1" thickBot="1">
      <c r="A30" s="266" t="s">
        <v>103</v>
      </c>
      <c r="B30" s="267" t="s">
        <v>31</v>
      </c>
      <c r="C30" s="587"/>
      <c r="D30" s="588"/>
      <c r="E30" s="211"/>
      <c r="F30" s="211" t="s">
        <v>102</v>
      </c>
      <c r="G30" s="211"/>
      <c r="H30" s="211"/>
      <c r="I30" s="211" t="s">
        <v>294</v>
      </c>
      <c r="J30" s="211"/>
      <c r="K30" s="207"/>
      <c r="L30" s="268"/>
      <c r="M30" s="211"/>
      <c r="N30" s="211"/>
      <c r="O30" s="211" t="s">
        <v>94</v>
      </c>
      <c r="P30" s="210" t="s">
        <v>16</v>
      </c>
      <c r="Q30" s="211" t="s">
        <v>101</v>
      </c>
      <c r="R30" s="215">
        <f>(COUNTA(C30:Q30))/7</f>
        <v>0.7142857142857143</v>
      </c>
      <c r="S30" s="206"/>
      <c r="T30" s="584"/>
      <c r="U30" s="585"/>
      <c r="V30" s="585"/>
      <c r="W30" s="585"/>
      <c r="X30" s="585"/>
      <c r="Y30" s="586"/>
    </row>
    <row r="31" spans="1:25" s="200" customFormat="1" ht="9.9499999999999993" customHeight="1" thickBot="1">
      <c r="A31" s="269"/>
      <c r="B31" s="270"/>
      <c r="C31" s="270"/>
      <c r="D31" s="270"/>
      <c r="E31" s="5"/>
      <c r="F31" s="271"/>
      <c r="G31" s="272"/>
      <c r="H31" s="272"/>
      <c r="I31" s="272"/>
      <c r="J31" s="272"/>
      <c r="K31" s="5"/>
      <c r="L31" s="271"/>
      <c r="M31" s="5"/>
      <c r="N31" s="272"/>
      <c r="O31" s="271"/>
      <c r="P31" s="271"/>
      <c r="Q31" s="273"/>
      <c r="R31" s="274"/>
      <c r="S31" s="206"/>
      <c r="T31" s="448"/>
      <c r="U31" s="448"/>
      <c r="V31" s="448"/>
      <c r="W31" s="448"/>
      <c r="X31" s="448"/>
      <c r="Y31" s="448"/>
    </row>
    <row r="32" spans="1:25" s="200" customFormat="1" ht="109.5" customHeight="1">
      <c r="A32" s="589"/>
      <c r="B32" s="591" t="s">
        <v>100</v>
      </c>
      <c r="C32" s="593"/>
      <c r="D32" s="594"/>
      <c r="E32" s="265" t="s">
        <v>256</v>
      </c>
      <c r="F32" s="276" t="s">
        <v>278</v>
      </c>
      <c r="G32" s="265" t="s">
        <v>281</v>
      </c>
      <c r="H32" s="265" t="s">
        <v>289</v>
      </c>
      <c r="I32" s="211" t="s">
        <v>679</v>
      </c>
      <c r="J32" s="213" t="s">
        <v>641</v>
      </c>
      <c r="K32" s="211" t="s">
        <v>264</v>
      </c>
      <c r="L32" s="212"/>
      <c r="M32" s="213" t="s">
        <v>282</v>
      </c>
      <c r="N32" s="277" t="s">
        <v>276</v>
      </c>
      <c r="O32" s="276" t="s">
        <v>297</v>
      </c>
      <c r="P32" s="277" t="s">
        <v>712</v>
      </c>
      <c r="Q32" s="211" t="s">
        <v>296</v>
      </c>
      <c r="R32" s="215">
        <f>(COUNTA(C32:Q32))/12</f>
        <v>1</v>
      </c>
      <c r="S32" s="206"/>
      <c r="T32" s="599" t="s">
        <v>701</v>
      </c>
      <c r="U32" s="600"/>
      <c r="V32" s="600"/>
      <c r="W32" s="600"/>
      <c r="X32" s="600"/>
      <c r="Y32" s="601"/>
    </row>
    <row r="33" spans="1:31" s="200" customFormat="1" ht="129.94999999999999" customHeight="1">
      <c r="A33" s="590"/>
      <c r="B33" s="592"/>
      <c r="C33" s="595"/>
      <c r="D33" s="596"/>
      <c r="E33" s="278" t="s">
        <v>687</v>
      </c>
      <c r="F33" s="210" t="s">
        <v>722</v>
      </c>
      <c r="G33" s="279" t="s">
        <v>558</v>
      </c>
      <c r="H33" s="210" t="s">
        <v>668</v>
      </c>
      <c r="I33" s="214" t="s">
        <v>702</v>
      </c>
      <c r="J33" s="210" t="s">
        <v>347</v>
      </c>
      <c r="K33" s="210" t="s">
        <v>720</v>
      </c>
      <c r="L33" s="210"/>
      <c r="M33" s="210" t="s">
        <v>718</v>
      </c>
      <c r="N33" s="278" t="s">
        <v>719</v>
      </c>
      <c r="O33" s="349" t="s">
        <v>711</v>
      </c>
      <c r="P33" s="216" t="s">
        <v>704</v>
      </c>
      <c r="Q33" s="210" t="s">
        <v>323</v>
      </c>
      <c r="R33" s="274"/>
      <c r="S33" s="206"/>
      <c r="T33" s="602"/>
      <c r="U33" s="603"/>
      <c r="V33" s="603"/>
      <c r="W33" s="603"/>
      <c r="X33" s="603"/>
      <c r="Y33" s="604"/>
    </row>
    <row r="34" spans="1:31" s="200" customFormat="1" ht="69.95" customHeight="1" thickBot="1">
      <c r="A34" s="280"/>
      <c r="B34" s="246" t="s">
        <v>99</v>
      </c>
      <c r="C34" s="597"/>
      <c r="D34" s="598"/>
      <c r="E34" s="281" t="s">
        <v>98</v>
      </c>
      <c r="F34" s="282" t="s">
        <v>680</v>
      </c>
      <c r="G34" s="248" t="s">
        <v>242</v>
      </c>
      <c r="H34" s="248" t="s">
        <v>97</v>
      </c>
      <c r="I34" s="231" t="s">
        <v>227</v>
      </c>
      <c r="J34" s="248" t="s">
        <v>644</v>
      </c>
      <c r="K34" s="248" t="s">
        <v>290</v>
      </c>
      <c r="L34" s="283"/>
      <c r="M34" s="248" t="s">
        <v>643</v>
      </c>
      <c r="N34" s="231" t="s">
        <v>277</v>
      </c>
      <c r="O34" s="224" t="s">
        <v>713</v>
      </c>
      <c r="P34" s="248"/>
      <c r="Q34" s="284" t="s">
        <v>96</v>
      </c>
      <c r="R34" s="215">
        <f>(COUNTA(F34:P34))/9</f>
        <v>1</v>
      </c>
      <c r="S34" s="206"/>
      <c r="T34" s="605"/>
      <c r="U34" s="606"/>
      <c r="V34" s="606"/>
      <c r="W34" s="606"/>
      <c r="X34" s="606"/>
      <c r="Y34" s="607"/>
      <c r="AB34" s="198"/>
      <c r="AC34" s="198"/>
      <c r="AD34" s="198"/>
      <c r="AE34" s="198"/>
    </row>
    <row r="35" spans="1:31" ht="9.9499999999999993" customHeight="1">
      <c r="A35" s="286"/>
      <c r="B35" s="286"/>
      <c r="C35" s="287"/>
      <c r="D35" s="287"/>
      <c r="O35" s="289"/>
      <c r="S35" s="206"/>
      <c r="AA35" s="200"/>
    </row>
    <row r="36" spans="1:31" ht="21" customHeight="1">
      <c r="B36" s="291"/>
      <c r="C36" s="291"/>
      <c r="D36" s="292" t="s">
        <v>95</v>
      </c>
      <c r="E36" s="293" t="s">
        <v>0</v>
      </c>
      <c r="F36" s="293" t="s">
        <v>1</v>
      </c>
      <c r="G36" s="293" t="s">
        <v>2</v>
      </c>
      <c r="H36" s="293" t="s">
        <v>32</v>
      </c>
      <c r="I36" s="293" t="s">
        <v>33</v>
      </c>
      <c r="J36" s="293" t="s">
        <v>34</v>
      </c>
      <c r="K36" s="293" t="s">
        <v>35</v>
      </c>
      <c r="L36" s="294" t="s">
        <v>36</v>
      </c>
      <c r="M36" s="293" t="s">
        <v>37</v>
      </c>
      <c r="N36" s="293" t="s">
        <v>6</v>
      </c>
      <c r="O36" s="293" t="s">
        <v>7</v>
      </c>
      <c r="P36" s="293" t="s">
        <v>8</v>
      </c>
      <c r="Q36" s="295" t="s">
        <v>9</v>
      </c>
      <c r="R36" s="296"/>
      <c r="T36" s="297"/>
      <c r="U36" s="298"/>
      <c r="V36" s="298"/>
      <c r="W36" s="298"/>
      <c r="X36" s="298"/>
      <c r="AA36" s="200"/>
    </row>
    <row r="37" spans="1:31" ht="45.75" customHeight="1">
      <c r="B37" s="291"/>
      <c r="C37" s="291"/>
      <c r="D37" s="299" t="s">
        <v>93</v>
      </c>
      <c r="E37" s="241" t="s">
        <v>92</v>
      </c>
      <c r="F37" s="241" t="s">
        <v>708</v>
      </c>
      <c r="G37" s="241" t="s">
        <v>707</v>
      </c>
      <c r="H37" s="214" t="s">
        <v>613</v>
      </c>
      <c r="I37" s="214" t="s">
        <v>12</v>
      </c>
      <c r="J37" s="214" t="s">
        <v>714</v>
      </c>
      <c r="K37" s="214" t="s">
        <v>89</v>
      </c>
      <c r="L37" s="214"/>
      <c r="M37" s="349" t="s">
        <v>230</v>
      </c>
      <c r="N37" s="210" t="s">
        <v>308</v>
      </c>
      <c r="O37" s="301" t="s">
        <v>269</v>
      </c>
      <c r="P37" s="302" t="s">
        <v>614</v>
      </c>
      <c r="Q37" s="303" t="s">
        <v>11</v>
      </c>
      <c r="R37" s="296"/>
      <c r="T37" s="298"/>
      <c r="U37" s="298"/>
      <c r="V37" s="298"/>
      <c r="W37" s="298"/>
      <c r="X37" s="298"/>
      <c r="AA37" s="200"/>
    </row>
    <row r="38" spans="1:31" ht="27.95" customHeight="1">
      <c r="B38" s="291"/>
      <c r="C38" s="291"/>
      <c r="D38" s="299" t="s">
        <v>88</v>
      </c>
      <c r="E38" s="241"/>
      <c r="F38" s="241"/>
      <c r="G38" s="241"/>
      <c r="H38" s="214"/>
      <c r="I38" s="214"/>
      <c r="J38" s="214"/>
      <c r="K38" s="214"/>
      <c r="L38" s="214"/>
      <c r="M38" s="214"/>
      <c r="N38" s="214"/>
      <c r="O38" s="304"/>
      <c r="P38" s="241"/>
      <c r="Q38" s="305" t="s">
        <v>87</v>
      </c>
      <c r="R38" s="296"/>
      <c r="T38" s="298"/>
      <c r="U38" s="298"/>
      <c r="V38" s="298"/>
      <c r="W38" s="298"/>
      <c r="X38" s="298"/>
    </row>
    <row r="39" spans="1:31" ht="27.95" customHeight="1">
      <c r="B39" s="291"/>
      <c r="C39" s="291"/>
      <c r="D39" s="299" t="s">
        <v>86</v>
      </c>
      <c r="E39" s="214"/>
      <c r="F39" s="306" t="s">
        <v>300</v>
      </c>
      <c r="G39" s="214"/>
      <c r="H39" s="307" t="s">
        <v>316</v>
      </c>
      <c r="I39" s="388"/>
      <c r="J39" s="219" t="s">
        <v>30</v>
      </c>
      <c r="K39" s="389" t="s">
        <v>118</v>
      </c>
      <c r="L39" s="214"/>
      <c r="M39" s="214" t="s">
        <v>27</v>
      </c>
      <c r="N39" s="238" t="s">
        <v>134</v>
      </c>
      <c r="O39" s="309" t="s">
        <v>85</v>
      </c>
      <c r="P39" s="241" t="s">
        <v>84</v>
      </c>
      <c r="Q39" s="370" t="s">
        <v>317</v>
      </c>
      <c r="R39" s="296"/>
      <c r="T39" s="298"/>
      <c r="U39" s="298"/>
      <c r="V39" s="298"/>
      <c r="W39" s="298"/>
      <c r="X39" s="298"/>
    </row>
    <row r="40" spans="1:31" ht="42" customHeight="1">
      <c r="B40" s="198"/>
      <c r="C40" s="198"/>
      <c r="D40" s="311" t="s">
        <v>83</v>
      </c>
      <c r="E40" s="345" t="s">
        <v>608</v>
      </c>
      <c r="F40" s="312" t="s">
        <v>246</v>
      </c>
      <c r="G40" s="345" t="s">
        <v>715</v>
      </c>
      <c r="H40" s="314" t="s">
        <v>609</v>
      </c>
      <c r="I40" s="314" t="s">
        <v>612</v>
      </c>
      <c r="J40" s="390" t="s">
        <v>49</v>
      </c>
      <c r="K40" s="314" t="s">
        <v>617</v>
      </c>
      <c r="L40" s="314"/>
      <c r="M40" s="313" t="s">
        <v>616</v>
      </c>
      <c r="N40" s="314" t="s">
        <v>225</v>
      </c>
      <c r="O40" s="314" t="s">
        <v>314</v>
      </c>
      <c r="P40" s="312" t="s">
        <v>245</v>
      </c>
      <c r="Q40" s="315" t="s">
        <v>312</v>
      </c>
    </row>
    <row r="41" spans="1:31" ht="9.9499999999999993" customHeight="1">
      <c r="E41" s="288"/>
      <c r="F41" s="288"/>
      <c r="G41" s="288"/>
      <c r="H41" s="288"/>
      <c r="I41" s="288"/>
      <c r="J41" s="288"/>
      <c r="K41" s="288"/>
      <c r="M41" s="288"/>
      <c r="N41" s="288"/>
      <c r="O41" s="288"/>
    </row>
    <row r="42" spans="1:31" ht="27.95" customHeight="1">
      <c r="A42" s="317"/>
      <c r="B42" s="317"/>
      <c r="C42" s="317"/>
      <c r="D42" s="560" t="s">
        <v>703</v>
      </c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2"/>
      <c r="R42" s="296"/>
    </row>
    <row r="43" spans="1:31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31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31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31" ht="27.95" customHeight="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31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31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296"/>
    </row>
    <row r="51" spans="1:18">
      <c r="A51" s="317"/>
      <c r="B51" s="317"/>
      <c r="C51" s="317"/>
      <c r="D51" s="563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5"/>
      <c r="R51" s="296"/>
    </row>
    <row r="52" spans="1:18">
      <c r="A52" s="317"/>
      <c r="B52" s="317"/>
      <c r="C52" s="317"/>
      <c r="D52" s="566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296"/>
    </row>
    <row r="53" spans="1:18" ht="9.9499999999999993" customHeight="1"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6"/>
    </row>
    <row r="54" spans="1:18" ht="24">
      <c r="D54" s="318"/>
      <c r="E54" s="319" t="s">
        <v>0</v>
      </c>
      <c r="F54" s="320" t="s">
        <v>1</v>
      </c>
      <c r="G54" s="320" t="s">
        <v>2</v>
      </c>
      <c r="H54" s="320" t="s">
        <v>3</v>
      </c>
      <c r="I54" s="320" t="s">
        <v>81</v>
      </c>
      <c r="J54" s="320" t="s">
        <v>80</v>
      </c>
      <c r="K54" s="320" t="s">
        <v>79</v>
      </c>
      <c r="L54" s="321"/>
      <c r="M54" s="320" t="s">
        <v>5</v>
      </c>
      <c r="N54" s="320" t="s">
        <v>6</v>
      </c>
      <c r="O54" s="320" t="s">
        <v>7</v>
      </c>
      <c r="P54" s="320" t="s">
        <v>8</v>
      </c>
      <c r="Q54" s="322" t="s">
        <v>9</v>
      </c>
      <c r="R54" s="323" t="s">
        <v>78</v>
      </c>
    </row>
    <row r="55" spans="1:18" ht="30" customHeight="1">
      <c r="D55" s="324" t="s">
        <v>77</v>
      </c>
      <c r="E55" s="325"/>
      <c r="F55" s="326"/>
      <c r="G55" s="450" t="s">
        <v>706</v>
      </c>
      <c r="H55" s="228"/>
      <c r="I55" s="228"/>
      <c r="J55" s="228"/>
      <c r="K55" s="228"/>
      <c r="L55" s="212"/>
      <c r="M55" s="212"/>
      <c r="N55" s="228" t="s">
        <v>620</v>
      </c>
      <c r="O55" s="326"/>
      <c r="P55" s="326"/>
      <c r="Q55" s="228"/>
      <c r="R55" s="328"/>
    </row>
    <row r="56" spans="1:18" ht="30" customHeight="1">
      <c r="D56" s="329" t="s">
        <v>76</v>
      </c>
      <c r="E56" s="330"/>
      <c r="F56" s="331"/>
      <c r="G56" s="242" t="s">
        <v>319</v>
      </c>
      <c r="H56" s="242" t="s">
        <v>204</v>
      </c>
      <c r="I56" s="238"/>
      <c r="J56" s="242"/>
      <c r="K56" s="242" t="s">
        <v>216</v>
      </c>
      <c r="L56" s="219"/>
      <c r="M56" s="242"/>
      <c r="N56" s="242"/>
      <c r="O56" s="331"/>
      <c r="P56" s="331"/>
      <c r="Q56" s="242"/>
      <c r="R56" s="332"/>
    </row>
    <row r="57" spans="1:18" ht="50.1" customHeight="1">
      <c r="D57" s="333" t="s">
        <v>75</v>
      </c>
      <c r="E57" s="449" t="s">
        <v>705</v>
      </c>
      <c r="F57" s="238" t="s">
        <v>251</v>
      </c>
      <c r="G57" s="238" t="s">
        <v>60</v>
      </c>
      <c r="H57" s="238"/>
      <c r="I57" s="242" t="s">
        <v>228</v>
      </c>
      <c r="J57" s="238" t="s">
        <v>271</v>
      </c>
      <c r="K57" s="238" t="s">
        <v>301</v>
      </c>
      <c r="L57" s="219"/>
      <c r="M57" s="238"/>
      <c r="N57" s="242"/>
      <c r="O57" s="242"/>
      <c r="P57" s="242" t="s">
        <v>239</v>
      </c>
      <c r="Q57" s="242" t="s">
        <v>61</v>
      </c>
      <c r="R57" s="334"/>
    </row>
    <row r="58" spans="1:18" ht="30" customHeight="1">
      <c r="D58" s="324" t="s">
        <v>38</v>
      </c>
      <c r="E58" s="330"/>
      <c r="F58" s="331"/>
      <c r="G58" s="242"/>
      <c r="H58" s="242"/>
      <c r="I58" s="242"/>
      <c r="J58" s="242"/>
      <c r="K58" s="242"/>
      <c r="L58" s="309"/>
      <c r="M58" s="331"/>
      <c r="N58" s="331"/>
      <c r="O58" s="331"/>
      <c r="P58" s="331"/>
      <c r="Q58" s="331"/>
      <c r="R58" s="332"/>
    </row>
    <row r="59" spans="1:18" ht="30" customHeight="1">
      <c r="D59" s="335" t="s">
        <v>74</v>
      </c>
      <c r="E59" s="336"/>
      <c r="F59" s="337"/>
      <c r="G59" s="338"/>
      <c r="H59" s="337"/>
      <c r="I59" s="337"/>
      <c r="J59" s="337"/>
      <c r="K59" s="337"/>
      <c r="L59" s="339"/>
      <c r="M59" s="337"/>
      <c r="N59" s="337"/>
      <c r="O59" s="338" t="s">
        <v>24</v>
      </c>
      <c r="P59" s="338"/>
      <c r="Q59" s="337"/>
      <c r="R59" s="340"/>
    </row>
    <row r="62" spans="1:18" ht="24">
      <c r="D62" s="356"/>
      <c r="E62" s="320" t="s">
        <v>0</v>
      </c>
      <c r="F62" s="320" t="s">
        <v>1</v>
      </c>
      <c r="G62" s="320" t="s">
        <v>2</v>
      </c>
      <c r="H62" s="320" t="s">
        <v>3</v>
      </c>
      <c r="I62" s="320" t="s">
        <v>81</v>
      </c>
      <c r="J62" s="320" t="s">
        <v>80</v>
      </c>
      <c r="K62" s="320" t="s">
        <v>79</v>
      </c>
      <c r="L62" s="321"/>
      <c r="M62" s="320" t="s">
        <v>5</v>
      </c>
      <c r="N62" s="320" t="s">
        <v>6</v>
      </c>
      <c r="O62" s="320" t="s">
        <v>7</v>
      </c>
      <c r="P62" s="320" t="s">
        <v>8</v>
      </c>
      <c r="Q62" s="320" t="s">
        <v>9</v>
      </c>
      <c r="R62" s="323" t="s">
        <v>78</v>
      </c>
    </row>
    <row r="63" spans="1:18">
      <c r="D63" s="357" t="s">
        <v>629</v>
      </c>
      <c r="E63" s="358"/>
      <c r="F63" s="358"/>
      <c r="G63" s="358"/>
      <c r="H63" s="391" t="s">
        <v>624</v>
      </c>
      <c r="I63" s="392"/>
      <c r="J63" s="392"/>
      <c r="K63" s="358"/>
      <c r="L63" s="360"/>
      <c r="M63" s="358"/>
      <c r="N63" s="358"/>
      <c r="O63" s="358"/>
      <c r="P63" s="358"/>
      <c r="Q63" s="358"/>
      <c r="R63" s="361"/>
    </row>
    <row r="64" spans="1:18">
      <c r="D64" s="362"/>
      <c r="E64" s="363"/>
      <c r="F64" s="363"/>
      <c r="G64" s="363"/>
      <c r="H64" s="393"/>
      <c r="I64" s="394" t="s">
        <v>625</v>
      </c>
      <c r="J64" s="394" t="s">
        <v>625</v>
      </c>
      <c r="K64" s="363"/>
      <c r="L64" s="365"/>
      <c r="M64" s="363"/>
      <c r="N64" s="363"/>
      <c r="O64" s="363"/>
      <c r="P64" s="363"/>
      <c r="Q64" s="363"/>
      <c r="R64" s="366"/>
    </row>
    <row r="65" spans="8:10">
      <c r="H65" s="200"/>
      <c r="I65" s="200"/>
      <c r="J65" s="200"/>
    </row>
  </sheetData>
  <mergeCells count="23">
    <mergeCell ref="A1:Q1"/>
    <mergeCell ref="A2:Q2"/>
    <mergeCell ref="C4:D11"/>
    <mergeCell ref="E4:F4"/>
    <mergeCell ref="T4:Y4"/>
    <mergeCell ref="T5:Y10"/>
    <mergeCell ref="T11:Y11"/>
    <mergeCell ref="A32:A33"/>
    <mergeCell ref="B32:B33"/>
    <mergeCell ref="C32:D34"/>
    <mergeCell ref="T32:Y34"/>
    <mergeCell ref="P12:Q15"/>
    <mergeCell ref="T12:Y19"/>
    <mergeCell ref="C16:D16"/>
    <mergeCell ref="C17:D23"/>
    <mergeCell ref="T20:Y20"/>
    <mergeCell ref="T21:Y24"/>
    <mergeCell ref="C24:D24"/>
    <mergeCell ref="D42:Q52"/>
    <mergeCell ref="P25:Q28"/>
    <mergeCell ref="T25:Y25"/>
    <mergeCell ref="T26:Y30"/>
    <mergeCell ref="C29:D30"/>
  </mergeCells>
  <phoneticPr fontId="3" type="noConversion"/>
  <pageMargins left="0.7" right="0.7" top="0.75" bottom="0.75" header="0.3" footer="0.3"/>
  <pageSetup paperSize="9" scale="26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5"/>
  <sheetViews>
    <sheetView topLeftCell="A8" zoomScale="85" zoomScaleNormal="85" workbookViewId="0">
      <selection activeCell="T26" sqref="T26:Y30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6.125" style="198" customWidth="1"/>
    <col min="20" max="25" width="8.125" style="198" customWidth="1"/>
    <col min="26" max="16384" width="9" style="198"/>
  </cols>
  <sheetData>
    <row r="1" spans="1:30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0" ht="18" customHeight="1">
      <c r="A2" s="623" t="s">
        <v>758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T2" s="200"/>
      <c r="U2" s="200"/>
      <c r="V2" s="200"/>
      <c r="W2" s="200"/>
      <c r="X2" s="200"/>
      <c r="Y2" s="200"/>
      <c r="AA2" s="200"/>
      <c r="AB2" s="200"/>
      <c r="AC2" s="200"/>
      <c r="AD2" s="200"/>
    </row>
    <row r="3" spans="1:30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AVERAGE(R4:R34)</f>
        <v>0.91095238095238107</v>
      </c>
      <c r="S3" s="206"/>
      <c r="T3" s="200"/>
      <c r="U3" s="200"/>
      <c r="V3" s="200"/>
      <c r="W3" s="200"/>
      <c r="X3" s="200"/>
      <c r="Y3" s="200"/>
      <c r="Z3" s="207"/>
      <c r="AA3" s="200"/>
      <c r="AB3" s="200"/>
      <c r="AC3" s="200"/>
      <c r="AD3" s="200"/>
    </row>
    <row r="4" spans="1:30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210" t="s">
        <v>73</v>
      </c>
      <c r="H4" s="211" t="s">
        <v>183</v>
      </c>
      <c r="I4" s="211" t="s">
        <v>206</v>
      </c>
      <c r="J4" s="212" t="s">
        <v>191</v>
      </c>
      <c r="K4" s="211" t="s">
        <v>190</v>
      </c>
      <c r="L4" s="213"/>
      <c r="M4" s="211" t="s">
        <v>91</v>
      </c>
      <c r="N4" s="210" t="s">
        <v>285</v>
      </c>
      <c r="O4" s="211" t="s">
        <v>253</v>
      </c>
      <c r="P4" s="214" t="s">
        <v>46</v>
      </c>
      <c r="Q4" s="1" t="s">
        <v>189</v>
      </c>
      <c r="R4" s="215">
        <f>(COUNTA(G4:Q4))/10</f>
        <v>1</v>
      </c>
      <c r="S4" s="206"/>
      <c r="T4" s="633" t="s">
        <v>188</v>
      </c>
      <c r="U4" s="634"/>
      <c r="V4" s="634"/>
      <c r="W4" s="634"/>
      <c r="X4" s="634"/>
      <c r="Y4" s="635"/>
    </row>
    <row r="5" spans="1:30" s="200" customFormat="1" ht="27.95" customHeight="1">
      <c r="A5" s="208">
        <v>2</v>
      </c>
      <c r="B5" s="467" t="s">
        <v>756</v>
      </c>
      <c r="C5" s="627"/>
      <c r="D5" s="628"/>
      <c r="E5" s="444"/>
      <c r="F5" s="444"/>
      <c r="G5" s="468"/>
      <c r="H5" s="454"/>
      <c r="I5" s="454"/>
      <c r="J5" s="454"/>
      <c r="K5" s="444"/>
      <c r="L5" s="444"/>
      <c r="M5" s="454" t="s">
        <v>266</v>
      </c>
      <c r="N5" s="469"/>
      <c r="O5" s="454"/>
      <c r="P5" s="444"/>
      <c r="Q5" s="454"/>
      <c r="R5" s="215">
        <f t="shared" ref="R5:R25" si="0">(COUNTA(C5:Q5))/12</f>
        <v>8.3333333333333329E-2</v>
      </c>
      <c r="S5" s="206"/>
      <c r="T5" s="578" t="s">
        <v>741</v>
      </c>
      <c r="U5" s="579"/>
      <c r="V5" s="579"/>
      <c r="W5" s="579"/>
      <c r="X5" s="579"/>
      <c r="Y5" s="580"/>
    </row>
    <row r="6" spans="1:30" s="200" customFormat="1" ht="27.95" customHeight="1">
      <c r="A6" s="208">
        <v>3</v>
      </c>
      <c r="B6" s="218" t="s">
        <v>160</v>
      </c>
      <c r="C6" s="627"/>
      <c r="D6" s="628"/>
      <c r="E6" s="210" t="s">
        <v>158</v>
      </c>
      <c r="F6" s="372" t="s">
        <v>229</v>
      </c>
      <c r="G6" s="210" t="s">
        <v>11</v>
      </c>
      <c r="H6" s="372" t="s">
        <v>773</v>
      </c>
      <c r="I6" s="210" t="s">
        <v>157</v>
      </c>
      <c r="J6" s="210" t="s">
        <v>214</v>
      </c>
      <c r="K6" s="2" t="s">
        <v>156</v>
      </c>
      <c r="L6" s="210"/>
      <c r="M6" s="210" t="s">
        <v>10</v>
      </c>
      <c r="N6" s="219" t="s">
        <v>155</v>
      </c>
      <c r="O6" s="220" t="s">
        <v>154</v>
      </c>
      <c r="P6" s="210" t="s">
        <v>64</v>
      </c>
      <c r="Q6" s="346" t="s">
        <v>235</v>
      </c>
      <c r="R6" s="215">
        <f t="shared" si="0"/>
        <v>1</v>
      </c>
      <c r="S6" s="206"/>
      <c r="T6" s="581"/>
      <c r="U6" s="582"/>
      <c r="V6" s="582"/>
      <c r="W6" s="582"/>
      <c r="X6" s="582"/>
      <c r="Y6" s="583"/>
    </row>
    <row r="7" spans="1:30" s="200" customFormat="1" ht="27.95" customHeight="1">
      <c r="A7" s="208"/>
      <c r="B7" s="218" t="s">
        <v>646</v>
      </c>
      <c r="C7" s="627"/>
      <c r="D7" s="628"/>
      <c r="E7" s="432"/>
      <c r="F7" s="432"/>
      <c r="G7" s="432"/>
      <c r="H7" s="432"/>
      <c r="I7" s="432"/>
      <c r="J7" s="432"/>
      <c r="K7" s="435"/>
      <c r="L7" s="432"/>
      <c r="M7" s="432"/>
      <c r="N7" s="436"/>
      <c r="O7" s="437"/>
      <c r="P7" s="438"/>
      <c r="Q7" s="439"/>
      <c r="R7" s="215"/>
      <c r="S7" s="206"/>
      <c r="T7" s="581"/>
      <c r="U7" s="582"/>
      <c r="V7" s="582"/>
      <c r="W7" s="582"/>
      <c r="X7" s="582"/>
      <c r="Y7" s="583"/>
    </row>
    <row r="8" spans="1:30" s="200" customFormat="1" ht="27.95" customHeight="1">
      <c r="A8" s="208">
        <v>4</v>
      </c>
      <c r="B8" s="221" t="s">
        <v>153</v>
      </c>
      <c r="C8" s="627"/>
      <c r="D8" s="628"/>
      <c r="E8" s="170" t="s">
        <v>794</v>
      </c>
      <c r="F8" s="214" t="s">
        <v>152</v>
      </c>
      <c r="G8" s="372" t="s">
        <v>772</v>
      </c>
      <c r="H8" s="372" t="s">
        <v>774</v>
      </c>
      <c r="I8" s="2" t="s">
        <v>150</v>
      </c>
      <c r="J8" s="214" t="s">
        <v>254</v>
      </c>
      <c r="K8" s="372" t="s">
        <v>778</v>
      </c>
      <c r="L8" s="210"/>
      <c r="M8" s="210" t="s">
        <v>12</v>
      </c>
      <c r="N8" s="214" t="s">
        <v>149</v>
      </c>
      <c r="O8" s="213" t="s">
        <v>148</v>
      </c>
      <c r="P8" s="461" t="s">
        <v>745</v>
      </c>
      <c r="Q8" s="210" t="s">
        <v>53</v>
      </c>
      <c r="R8" s="215">
        <f t="shared" si="0"/>
        <v>1</v>
      </c>
      <c r="S8" s="206"/>
      <c r="T8" s="581"/>
      <c r="U8" s="582"/>
      <c r="V8" s="582"/>
      <c r="W8" s="582"/>
      <c r="X8" s="582"/>
      <c r="Y8" s="583"/>
    </row>
    <row r="9" spans="1:30" s="200" customFormat="1" ht="27.95" customHeight="1">
      <c r="A9" s="208">
        <v>5</v>
      </c>
      <c r="B9" s="222" t="s">
        <v>175</v>
      </c>
      <c r="C9" s="627"/>
      <c r="D9" s="628"/>
      <c r="E9" s="210" t="s">
        <v>64</v>
      </c>
      <c r="F9" s="210" t="s">
        <v>167</v>
      </c>
      <c r="G9" s="212" t="s">
        <v>174</v>
      </c>
      <c r="H9" s="210" t="s">
        <v>173</v>
      </c>
      <c r="I9" s="210" t="s">
        <v>145</v>
      </c>
      <c r="J9" s="214" t="s">
        <v>13</v>
      </c>
      <c r="K9" s="207" t="s">
        <v>274</v>
      </c>
      <c r="L9" s="210"/>
      <c r="M9" s="213" t="s">
        <v>172</v>
      </c>
      <c r="N9" s="214" t="s">
        <v>147</v>
      </c>
      <c r="O9" s="2" t="s">
        <v>235</v>
      </c>
      <c r="P9" s="213" t="s">
        <v>265</v>
      </c>
      <c r="Q9" s="210" t="s">
        <v>208</v>
      </c>
      <c r="R9" s="215">
        <f t="shared" si="0"/>
        <v>1</v>
      </c>
      <c r="S9" s="206"/>
      <c r="T9" s="581"/>
      <c r="U9" s="582"/>
      <c r="V9" s="582"/>
      <c r="W9" s="582"/>
      <c r="X9" s="582"/>
      <c r="Y9" s="583"/>
    </row>
    <row r="10" spans="1:30" s="200" customFormat="1" ht="27.95" customHeight="1" thickBot="1">
      <c r="A10" s="208">
        <v>6</v>
      </c>
      <c r="B10" s="221" t="s">
        <v>59</v>
      </c>
      <c r="C10" s="627"/>
      <c r="D10" s="628"/>
      <c r="E10" s="2" t="s">
        <v>793</v>
      </c>
      <c r="F10" s="214" t="s">
        <v>147</v>
      </c>
      <c r="G10" s="353" t="s">
        <v>757</v>
      </c>
      <c r="H10" s="210" t="s">
        <v>53</v>
      </c>
      <c r="I10" s="2" t="s">
        <v>248</v>
      </c>
      <c r="J10" s="214" t="s">
        <v>146</v>
      </c>
      <c r="K10" s="210" t="s">
        <v>258</v>
      </c>
      <c r="L10" s="210"/>
      <c r="M10" s="210" t="s">
        <v>145</v>
      </c>
      <c r="N10" s="214" t="s">
        <v>144</v>
      </c>
      <c r="O10" s="214" t="s">
        <v>45</v>
      </c>
      <c r="P10" s="214" t="s">
        <v>305</v>
      </c>
      <c r="Q10" s="347" t="s">
        <v>336</v>
      </c>
      <c r="R10" s="215">
        <f t="shared" si="0"/>
        <v>1</v>
      </c>
      <c r="S10" s="206"/>
      <c r="T10" s="584"/>
      <c r="U10" s="585"/>
      <c r="V10" s="585"/>
      <c r="W10" s="585"/>
      <c r="X10" s="585"/>
      <c r="Y10" s="586"/>
    </row>
    <row r="11" spans="1:30" s="200" customFormat="1" ht="27.95" customHeight="1" thickBot="1">
      <c r="A11" s="208">
        <v>7</v>
      </c>
      <c r="B11" s="466" t="s">
        <v>755</v>
      </c>
      <c r="C11" s="629"/>
      <c r="D11" s="630"/>
      <c r="E11" s="470"/>
      <c r="F11" s="471"/>
      <c r="G11" s="470"/>
      <c r="H11" s="470"/>
      <c r="I11" s="472" t="s">
        <v>285</v>
      </c>
      <c r="J11" s="470" t="s">
        <v>206</v>
      </c>
      <c r="K11" s="470"/>
      <c r="L11" s="473"/>
      <c r="M11" s="470"/>
      <c r="N11" s="470"/>
      <c r="O11" s="470"/>
      <c r="P11" s="470" t="s">
        <v>791</v>
      </c>
      <c r="Q11" s="470"/>
      <c r="R11" s="215">
        <f t="shared" si="0"/>
        <v>0.25</v>
      </c>
      <c r="S11" s="206"/>
      <c r="T11" s="575" t="s">
        <v>166</v>
      </c>
      <c r="U11" s="576"/>
      <c r="V11" s="576"/>
      <c r="W11" s="576"/>
      <c r="X11" s="576"/>
      <c r="Y11" s="577"/>
    </row>
    <row r="12" spans="1:30" s="200" customFormat="1" ht="27.95" customHeight="1">
      <c r="A12" s="208">
        <v>8</v>
      </c>
      <c r="B12" s="222" t="s">
        <v>143</v>
      </c>
      <c r="C12" s="227" t="s">
        <v>154</v>
      </c>
      <c r="D12" s="227" t="s">
        <v>154</v>
      </c>
      <c r="E12" s="211" t="s">
        <v>261</v>
      </c>
      <c r="F12" s="207" t="s">
        <v>106</v>
      </c>
      <c r="G12" s="211" t="s">
        <v>142</v>
      </c>
      <c r="H12" s="213"/>
      <c r="I12" s="211" t="s">
        <v>173</v>
      </c>
      <c r="J12" s="211" t="s">
        <v>248</v>
      </c>
      <c r="K12" s="211" t="s">
        <v>146</v>
      </c>
      <c r="L12" s="212"/>
      <c r="M12" s="374" t="s">
        <v>779</v>
      </c>
      <c r="N12" s="228" t="s">
        <v>274</v>
      </c>
      <c r="O12" s="213" t="s">
        <v>320</v>
      </c>
      <c r="P12" s="569"/>
      <c r="Q12" s="570"/>
      <c r="R12" s="215">
        <f t="shared" si="0"/>
        <v>0.91666666666666663</v>
      </c>
      <c r="S12" s="206"/>
      <c r="T12" s="578" t="s">
        <v>739</v>
      </c>
      <c r="U12" s="579"/>
      <c r="V12" s="579"/>
      <c r="W12" s="579"/>
      <c r="X12" s="579"/>
      <c r="Y12" s="580"/>
    </row>
    <row r="13" spans="1:30" s="200" customFormat="1" ht="27.95" customHeight="1">
      <c r="A13" s="208">
        <v>9</v>
      </c>
      <c r="B13" s="239" t="s">
        <v>187</v>
      </c>
      <c r="C13" s="424" t="s">
        <v>173</v>
      </c>
      <c r="D13" s="424" t="s">
        <v>173</v>
      </c>
      <c r="E13" s="212" t="s">
        <v>174</v>
      </c>
      <c r="F13" s="210" t="s">
        <v>145</v>
      </c>
      <c r="G13" s="210" t="s">
        <v>186</v>
      </c>
      <c r="H13" s="214" t="s">
        <v>161</v>
      </c>
      <c r="I13" s="214" t="s">
        <v>184</v>
      </c>
      <c r="J13" s="477" t="s">
        <v>769</v>
      </c>
      <c r="K13" s="210" t="s">
        <v>786</v>
      </c>
      <c r="L13" s="214"/>
      <c r="M13" s="210" t="s">
        <v>254</v>
      </c>
      <c r="N13" s="210" t="s">
        <v>183</v>
      </c>
      <c r="O13" s="211" t="s">
        <v>182</v>
      </c>
      <c r="P13" s="571"/>
      <c r="Q13" s="572"/>
      <c r="R13" s="215">
        <f t="shared" si="0"/>
        <v>1</v>
      </c>
      <c r="S13" s="206"/>
      <c r="T13" s="581"/>
      <c r="U13" s="582"/>
      <c r="V13" s="582"/>
      <c r="W13" s="582"/>
      <c r="X13" s="582"/>
      <c r="Y13" s="583"/>
      <c r="Z13" s="229"/>
    </row>
    <row r="14" spans="1:30" s="200" customFormat="1" ht="27.95" customHeight="1">
      <c r="A14" s="208">
        <v>10</v>
      </c>
      <c r="B14" s="209" t="s">
        <v>181</v>
      </c>
      <c r="C14" s="424" t="s">
        <v>172</v>
      </c>
      <c r="D14" s="424" t="s">
        <v>172</v>
      </c>
      <c r="E14" s="2" t="s">
        <v>180</v>
      </c>
      <c r="F14" s="210" t="s">
        <v>179</v>
      </c>
      <c r="G14" s="210" t="s">
        <v>621</v>
      </c>
      <c r="H14" s="210" t="s">
        <v>106</v>
      </c>
      <c r="I14" s="211" t="s">
        <v>178</v>
      </c>
      <c r="J14" s="3" t="s">
        <v>177</v>
      </c>
      <c r="K14" s="210" t="s">
        <v>787</v>
      </c>
      <c r="L14" s="214"/>
      <c r="M14" s="214" t="s">
        <v>164</v>
      </c>
      <c r="N14" s="211"/>
      <c r="O14" s="210" t="s">
        <v>176</v>
      </c>
      <c r="P14" s="571"/>
      <c r="Q14" s="572"/>
      <c r="R14" s="215">
        <f t="shared" si="0"/>
        <v>0.91666666666666663</v>
      </c>
      <c r="S14" s="206"/>
      <c r="T14" s="581"/>
      <c r="U14" s="582"/>
      <c r="V14" s="582"/>
      <c r="W14" s="582"/>
      <c r="X14" s="582"/>
      <c r="Y14" s="583"/>
    </row>
    <row r="15" spans="1:30" s="200" customFormat="1" ht="27.95" customHeight="1" thickBot="1">
      <c r="A15" s="208">
        <v>11</v>
      </c>
      <c r="B15" s="223" t="s">
        <v>171</v>
      </c>
      <c r="C15" s="425" t="s">
        <v>261</v>
      </c>
      <c r="D15" s="425" t="s">
        <v>261</v>
      </c>
      <c r="E15" s="231" t="s">
        <v>170</v>
      </c>
      <c r="F15" s="476" t="s">
        <v>723</v>
      </c>
      <c r="G15" s="446" t="s">
        <v>783</v>
      </c>
      <c r="H15" s="231" t="s">
        <v>220</v>
      </c>
      <c r="I15" s="231" t="s">
        <v>265</v>
      </c>
      <c r="J15" s="463" t="s">
        <v>743</v>
      </c>
      <c r="K15" s="464" t="s">
        <v>751</v>
      </c>
      <c r="L15" s="231"/>
      <c r="M15" s="231" t="s">
        <v>199</v>
      </c>
      <c r="N15" s="232"/>
      <c r="O15" s="226" t="s">
        <v>255</v>
      </c>
      <c r="P15" s="573"/>
      <c r="Q15" s="574"/>
      <c r="R15" s="215">
        <f t="shared" si="0"/>
        <v>0.91666666666666663</v>
      </c>
      <c r="S15" s="206"/>
      <c r="T15" s="581"/>
      <c r="U15" s="582"/>
      <c r="V15" s="582"/>
      <c r="W15" s="582"/>
      <c r="X15" s="582"/>
      <c r="Y15" s="583"/>
    </row>
    <row r="16" spans="1:30" s="236" customFormat="1" ht="27.95" customHeight="1" thickBot="1">
      <c r="A16" s="208">
        <v>12</v>
      </c>
      <c r="B16" s="233" t="s">
        <v>141</v>
      </c>
      <c r="C16" s="608"/>
      <c r="D16" s="609"/>
      <c r="E16" s="226" t="s">
        <v>140</v>
      </c>
      <c r="F16" s="234" t="s">
        <v>274</v>
      </c>
      <c r="G16" s="235" t="s">
        <v>172</v>
      </c>
      <c r="H16" s="234" t="s">
        <v>67</v>
      </c>
      <c r="I16" s="379" t="s">
        <v>785</v>
      </c>
      <c r="J16" s="406" t="s">
        <v>775</v>
      </c>
      <c r="K16" s="406" t="s">
        <v>788</v>
      </c>
      <c r="L16" s="226"/>
      <c r="M16" s="224" t="s">
        <v>206</v>
      </c>
      <c r="N16" s="406" t="s">
        <v>789</v>
      </c>
      <c r="O16" s="224" t="s">
        <v>295</v>
      </c>
      <c r="P16" s="465" t="s">
        <v>751</v>
      </c>
      <c r="Q16" s="379" t="s">
        <v>790</v>
      </c>
      <c r="R16" s="215">
        <f t="shared" si="0"/>
        <v>1</v>
      </c>
      <c r="S16" s="206"/>
      <c r="T16" s="581"/>
      <c r="U16" s="582"/>
      <c r="V16" s="582"/>
      <c r="W16" s="582"/>
      <c r="X16" s="582"/>
      <c r="Y16" s="583"/>
    </row>
    <row r="17" spans="1:25" s="236" customFormat="1" ht="27.95" customHeight="1">
      <c r="A17" s="208">
        <v>13</v>
      </c>
      <c r="B17" s="218" t="s">
        <v>14</v>
      </c>
      <c r="C17" s="610"/>
      <c r="D17" s="611"/>
      <c r="E17" s="211" t="s">
        <v>198</v>
      </c>
      <c r="F17" s="213" t="s">
        <v>15</v>
      </c>
      <c r="G17" s="213"/>
      <c r="H17" s="213" t="s">
        <v>62</v>
      </c>
      <c r="I17" s="211" t="s">
        <v>51</v>
      </c>
      <c r="J17" s="213" t="s">
        <v>17</v>
      </c>
      <c r="K17" s="211" t="s">
        <v>54</v>
      </c>
      <c r="L17" s="213"/>
      <c r="M17" s="211" t="s">
        <v>18</v>
      </c>
      <c r="N17" s="211" t="s">
        <v>25</v>
      </c>
      <c r="O17" s="213" t="s">
        <v>262</v>
      </c>
      <c r="P17" s="214" t="s">
        <v>23</v>
      </c>
      <c r="Q17" s="478" t="s">
        <v>771</v>
      </c>
      <c r="R17" s="215">
        <f t="shared" si="0"/>
        <v>0.91666666666666663</v>
      </c>
      <c r="S17" s="206"/>
      <c r="T17" s="581"/>
      <c r="U17" s="582"/>
      <c r="V17" s="582"/>
      <c r="W17" s="582"/>
      <c r="X17" s="582"/>
      <c r="Y17" s="583"/>
    </row>
    <row r="18" spans="1:25" s="236" customFormat="1" ht="27.95" customHeight="1">
      <c r="A18" s="208">
        <v>14</v>
      </c>
      <c r="B18" s="237" t="s">
        <v>119</v>
      </c>
      <c r="C18" s="612"/>
      <c r="D18" s="613"/>
      <c r="E18" s="211" t="s">
        <v>780</v>
      </c>
      <c r="F18" s="213" t="s">
        <v>20</v>
      </c>
      <c r="G18" s="211" t="s">
        <v>240</v>
      </c>
      <c r="H18" s="211" t="s">
        <v>247</v>
      </c>
      <c r="I18" s="213" t="s">
        <v>118</v>
      </c>
      <c r="J18" s="238" t="s">
        <v>234</v>
      </c>
      <c r="K18" s="213" t="s">
        <v>117</v>
      </c>
      <c r="L18" s="212"/>
      <c r="M18" s="143" t="s">
        <v>292</v>
      </c>
      <c r="N18" s="212" t="s">
        <v>116</v>
      </c>
      <c r="O18" s="353" t="s">
        <v>749</v>
      </c>
      <c r="P18" s="375" t="s">
        <v>790</v>
      </c>
      <c r="Q18" s="211" t="s">
        <v>272</v>
      </c>
      <c r="R18" s="215">
        <f t="shared" si="0"/>
        <v>1</v>
      </c>
      <c r="S18" s="206"/>
      <c r="T18" s="581"/>
      <c r="U18" s="582"/>
      <c r="V18" s="582"/>
      <c r="W18" s="582"/>
      <c r="X18" s="582"/>
      <c r="Y18" s="583"/>
    </row>
    <row r="19" spans="1:25" s="236" customFormat="1" ht="27.95" customHeight="1" thickBot="1">
      <c r="A19" s="208">
        <v>15</v>
      </c>
      <c r="B19" s="239" t="s">
        <v>139</v>
      </c>
      <c r="C19" s="612"/>
      <c r="D19" s="613"/>
      <c r="E19" s="2" t="s">
        <v>260</v>
      </c>
      <c r="F19" s="238" t="s">
        <v>781</v>
      </c>
      <c r="G19" s="211" t="s">
        <v>94</v>
      </c>
      <c r="H19" s="210" t="s">
        <v>226</v>
      </c>
      <c r="I19" s="170" t="s">
        <v>775</v>
      </c>
      <c r="J19" s="211" t="s">
        <v>138</v>
      </c>
      <c r="K19" s="214" t="s">
        <v>623</v>
      </c>
      <c r="L19" s="214"/>
      <c r="M19" s="211" t="s">
        <v>275</v>
      </c>
      <c r="N19" s="211" t="s">
        <v>137</v>
      </c>
      <c r="O19" s="210" t="s">
        <v>136</v>
      </c>
      <c r="P19" s="240" t="s">
        <v>135</v>
      </c>
      <c r="Q19" s="211" t="s">
        <v>267</v>
      </c>
      <c r="R19" s="215">
        <f t="shared" si="0"/>
        <v>1</v>
      </c>
      <c r="S19" s="206"/>
      <c r="T19" s="584"/>
      <c r="U19" s="585"/>
      <c r="V19" s="585"/>
      <c r="W19" s="585"/>
      <c r="X19" s="585"/>
      <c r="Y19" s="586"/>
    </row>
    <row r="20" spans="1:25" s="200" customFormat="1" ht="27.95" customHeight="1" thickBot="1">
      <c r="A20" s="208">
        <v>16</v>
      </c>
      <c r="B20" s="237" t="s">
        <v>115</v>
      </c>
      <c r="C20" s="612"/>
      <c r="D20" s="613"/>
      <c r="E20" s="214" t="s">
        <v>22</v>
      </c>
      <c r="F20" s="210" t="s">
        <v>210</v>
      </c>
      <c r="G20" s="210" t="s">
        <v>52</v>
      </c>
      <c r="H20" s="217" t="s">
        <v>753</v>
      </c>
      <c r="I20" s="214" t="s">
        <v>275</v>
      </c>
      <c r="J20" s="244" t="s">
        <v>286</v>
      </c>
      <c r="K20" s="212" t="s">
        <v>113</v>
      </c>
      <c r="L20" s="214"/>
      <c r="M20" s="2" t="s">
        <v>221</v>
      </c>
      <c r="N20" s="242" t="s">
        <v>110</v>
      </c>
      <c r="O20" s="213" t="s">
        <v>610</v>
      </c>
      <c r="P20" s="214" t="s">
        <v>55</v>
      </c>
      <c r="Q20" s="214" t="s">
        <v>70</v>
      </c>
      <c r="R20" s="215">
        <f t="shared" si="0"/>
        <v>1</v>
      </c>
      <c r="S20" s="206"/>
      <c r="T20" s="616" t="s">
        <v>306</v>
      </c>
      <c r="U20" s="617"/>
      <c r="V20" s="617"/>
      <c r="W20" s="617"/>
      <c r="X20" s="617"/>
      <c r="Y20" s="618"/>
    </row>
    <row r="21" spans="1:25" s="200" customFormat="1" ht="27.95" customHeight="1">
      <c r="A21" s="208"/>
      <c r="B21" s="243" t="s">
        <v>645</v>
      </c>
      <c r="C21" s="612"/>
      <c r="D21" s="613"/>
      <c r="E21" s="433"/>
      <c r="F21" s="432"/>
      <c r="G21" s="432"/>
      <c r="H21" s="433"/>
      <c r="I21" s="433"/>
      <c r="J21" s="434"/>
      <c r="K21" s="431"/>
      <c r="L21" s="433"/>
      <c r="M21" s="435"/>
      <c r="N21" s="437"/>
      <c r="O21" s="440"/>
      <c r="P21" s="440"/>
      <c r="Q21" s="441"/>
      <c r="R21" s="215"/>
      <c r="S21" s="206"/>
      <c r="T21" s="578" t="s">
        <v>742</v>
      </c>
      <c r="U21" s="579"/>
      <c r="V21" s="579"/>
      <c r="W21" s="579"/>
      <c r="X21" s="579"/>
      <c r="Y21" s="580"/>
    </row>
    <row r="22" spans="1:25" s="200" customFormat="1" ht="27.95" customHeight="1">
      <c r="A22" s="208">
        <v>17</v>
      </c>
      <c r="B22" s="243" t="s">
        <v>130</v>
      </c>
      <c r="C22" s="612"/>
      <c r="D22" s="613"/>
      <c r="E22" s="210" t="s">
        <v>243</v>
      </c>
      <c r="F22" s="372" t="s">
        <v>776</v>
      </c>
      <c r="G22" s="210" t="s">
        <v>249</v>
      </c>
      <c r="H22" s="214" t="s">
        <v>209</v>
      </c>
      <c r="I22" s="210" t="s">
        <v>128</v>
      </c>
      <c r="J22" s="210" t="s">
        <v>127</v>
      </c>
      <c r="K22" s="372" t="s">
        <v>777</v>
      </c>
      <c r="L22" s="241"/>
      <c r="M22" s="214" t="s">
        <v>284</v>
      </c>
      <c r="N22" s="2" t="s">
        <v>126</v>
      </c>
      <c r="O22" s="211" t="s">
        <v>287</v>
      </c>
      <c r="P22" s="244" t="s">
        <v>125</v>
      </c>
      <c r="Q22" s="245" t="s">
        <v>249</v>
      </c>
      <c r="R22" s="215">
        <f t="shared" si="0"/>
        <v>1</v>
      </c>
      <c r="S22" s="206"/>
      <c r="T22" s="581"/>
      <c r="U22" s="582"/>
      <c r="V22" s="582"/>
      <c r="W22" s="582"/>
      <c r="X22" s="582"/>
      <c r="Y22" s="583"/>
    </row>
    <row r="23" spans="1:25" s="200" customFormat="1" ht="27.95" customHeight="1" thickBot="1">
      <c r="A23" s="208">
        <v>18</v>
      </c>
      <c r="B23" s="246" t="s">
        <v>124</v>
      </c>
      <c r="C23" s="614"/>
      <c r="D23" s="615"/>
      <c r="E23" s="474" t="s">
        <v>759</v>
      </c>
      <c r="F23" s="248" t="s">
        <v>197</v>
      </c>
      <c r="G23" s="11" t="s">
        <v>19</v>
      </c>
      <c r="H23" s="231" t="s">
        <v>262</v>
      </c>
      <c r="I23" s="231" t="s">
        <v>263</v>
      </c>
      <c r="J23" s="248" t="s">
        <v>232</v>
      </c>
      <c r="K23" s="446" t="s">
        <v>783</v>
      </c>
      <c r="L23" s="283"/>
      <c r="M23" s="248" t="s">
        <v>291</v>
      </c>
      <c r="N23" s="446" t="s">
        <v>244</v>
      </c>
      <c r="O23" s="463" t="s">
        <v>752</v>
      </c>
      <c r="P23" s="248" t="s">
        <v>123</v>
      </c>
      <c r="Q23" s="231" t="s">
        <v>122</v>
      </c>
      <c r="R23" s="215">
        <f t="shared" si="0"/>
        <v>1</v>
      </c>
      <c r="S23" s="206"/>
      <c r="T23" s="581"/>
      <c r="U23" s="582"/>
      <c r="V23" s="582"/>
      <c r="W23" s="582"/>
      <c r="X23" s="582"/>
      <c r="Y23" s="583"/>
    </row>
    <row r="24" spans="1:25" s="200" customFormat="1" ht="27.95" customHeight="1" thickBot="1">
      <c r="A24" s="208">
        <v>19</v>
      </c>
      <c r="B24" s="249" t="s">
        <v>112</v>
      </c>
      <c r="C24" s="619"/>
      <c r="D24" s="620"/>
      <c r="E24" s="224" t="s">
        <v>268</v>
      </c>
      <c r="F24" s="406" t="s">
        <v>784</v>
      </c>
      <c r="G24" s="250" t="s">
        <v>233</v>
      </c>
      <c r="H24" s="224" t="s">
        <v>294</v>
      </c>
      <c r="I24" s="224" t="s">
        <v>111</v>
      </c>
      <c r="J24" s="224" t="s">
        <v>69</v>
      </c>
      <c r="K24" s="234" t="s">
        <v>110</v>
      </c>
      <c r="L24" s="234"/>
      <c r="M24" s="234" t="s">
        <v>249</v>
      </c>
      <c r="N24" s="226" t="s">
        <v>338</v>
      </c>
      <c r="O24" s="235" t="s">
        <v>109</v>
      </c>
      <c r="P24" s="226" t="s">
        <v>209</v>
      </c>
      <c r="Q24" s="406" t="s">
        <v>795</v>
      </c>
      <c r="R24" s="215">
        <f t="shared" si="0"/>
        <v>1</v>
      </c>
      <c r="S24" s="206"/>
      <c r="T24" s="584"/>
      <c r="U24" s="585"/>
      <c r="V24" s="585"/>
      <c r="W24" s="585"/>
      <c r="X24" s="585"/>
      <c r="Y24" s="586"/>
    </row>
    <row r="25" spans="1:25" s="200" customFormat="1" ht="27.95" customHeight="1" thickBot="1">
      <c r="A25" s="208">
        <v>20</v>
      </c>
      <c r="B25" s="341" t="s">
        <v>26</v>
      </c>
      <c r="C25" s="251" t="s">
        <v>232</v>
      </c>
      <c r="D25" s="251" t="s">
        <v>232</v>
      </c>
      <c r="E25" s="252" t="s">
        <v>252</v>
      </c>
      <c r="F25" s="211" t="s">
        <v>27</v>
      </c>
      <c r="G25" s="213" t="s">
        <v>47</v>
      </c>
      <c r="H25" s="3" t="s">
        <v>28</v>
      </c>
      <c r="I25" s="211" t="s">
        <v>68</v>
      </c>
      <c r="J25" s="211" t="s">
        <v>275</v>
      </c>
      <c r="K25" s="211" t="s">
        <v>50</v>
      </c>
      <c r="L25" s="253"/>
      <c r="M25" s="228" t="s">
        <v>58</v>
      </c>
      <c r="N25" s="211" t="s">
        <v>232</v>
      </c>
      <c r="O25" s="3" t="s">
        <v>24</v>
      </c>
      <c r="P25" s="569"/>
      <c r="Q25" s="570"/>
      <c r="R25" s="215">
        <f t="shared" si="0"/>
        <v>1</v>
      </c>
      <c r="S25" s="206"/>
      <c r="T25" s="575" t="s">
        <v>120</v>
      </c>
      <c r="U25" s="576"/>
      <c r="V25" s="576"/>
      <c r="W25" s="576"/>
      <c r="X25" s="576"/>
      <c r="Y25" s="577"/>
    </row>
    <row r="26" spans="1:25" s="200" customFormat="1" ht="27.95" customHeight="1">
      <c r="A26" s="208">
        <v>21</v>
      </c>
      <c r="B26" s="342" t="s">
        <v>515</v>
      </c>
      <c r="C26" s="254" t="s">
        <v>209</v>
      </c>
      <c r="D26" s="254" t="s">
        <v>209</v>
      </c>
      <c r="E26" s="475" t="s">
        <v>761</v>
      </c>
      <c r="F26" s="353" t="s">
        <v>748</v>
      </c>
      <c r="G26" s="3" t="s">
        <v>516</v>
      </c>
      <c r="H26" s="211" t="s">
        <v>517</v>
      </c>
      <c r="I26" s="214" t="s">
        <v>231</v>
      </c>
      <c r="J26" s="211" t="s">
        <v>29</v>
      </c>
      <c r="K26" s="210" t="s">
        <v>268</v>
      </c>
      <c r="L26" s="219"/>
      <c r="M26" s="214" t="s">
        <v>30</v>
      </c>
      <c r="N26" s="2"/>
      <c r="O26" s="214" t="s">
        <v>209</v>
      </c>
      <c r="P26" s="571"/>
      <c r="Q26" s="572"/>
      <c r="R26" s="215"/>
      <c r="S26" s="206"/>
      <c r="T26" s="578" t="s">
        <v>796</v>
      </c>
      <c r="U26" s="579"/>
      <c r="V26" s="579"/>
      <c r="W26" s="579"/>
      <c r="X26" s="579"/>
      <c r="Y26" s="580"/>
    </row>
    <row r="27" spans="1:25" s="200" customFormat="1" ht="27.95" customHeight="1">
      <c r="A27" s="208">
        <v>22</v>
      </c>
      <c r="B27" s="343" t="s">
        <v>133</v>
      </c>
      <c r="C27" s="254" t="s">
        <v>268</v>
      </c>
      <c r="D27" s="254" t="s">
        <v>268</v>
      </c>
      <c r="E27" s="479" t="s">
        <v>784</v>
      </c>
      <c r="F27" s="244" t="s">
        <v>132</v>
      </c>
      <c r="G27" s="211" t="s">
        <v>293</v>
      </c>
      <c r="H27" s="211" t="s">
        <v>131</v>
      </c>
      <c r="I27" s="211" t="s">
        <v>19</v>
      </c>
      <c r="J27" s="210" t="s">
        <v>211</v>
      </c>
      <c r="K27" s="213"/>
      <c r="L27" s="213"/>
      <c r="M27" s="211" t="s">
        <v>219</v>
      </c>
      <c r="N27" s="213" t="s">
        <v>262</v>
      </c>
      <c r="O27" s="242" t="s">
        <v>58</v>
      </c>
      <c r="P27" s="571"/>
      <c r="Q27" s="572"/>
      <c r="R27" s="215">
        <f>(COUNTA(C27:Q27))/12</f>
        <v>0.91666666666666663</v>
      </c>
      <c r="S27" s="206"/>
      <c r="T27" s="581"/>
      <c r="U27" s="582"/>
      <c r="V27" s="582"/>
      <c r="W27" s="582"/>
      <c r="X27" s="582"/>
      <c r="Y27" s="583"/>
    </row>
    <row r="28" spans="1:25" s="200" customFormat="1" ht="27.95" customHeight="1" thickBot="1">
      <c r="A28" s="208">
        <v>23</v>
      </c>
      <c r="B28" s="344" t="s">
        <v>528</v>
      </c>
      <c r="C28" s="256" t="s">
        <v>72</v>
      </c>
      <c r="D28" s="256" t="s">
        <v>72</v>
      </c>
      <c r="E28" s="377" t="s">
        <v>792</v>
      </c>
      <c r="F28" s="397" t="s">
        <v>740</v>
      </c>
      <c r="G28" s="11" t="s">
        <v>198</v>
      </c>
      <c r="H28" s="226" t="s">
        <v>70</v>
      </c>
      <c r="I28" s="257" t="s">
        <v>531</v>
      </c>
      <c r="J28" s="258" t="s">
        <v>532</v>
      </c>
      <c r="K28" s="248" t="s">
        <v>294</v>
      </c>
      <c r="L28" s="258"/>
      <c r="M28" s="248" t="s">
        <v>21</v>
      </c>
      <c r="N28" s="259" t="s">
        <v>121</v>
      </c>
      <c r="O28" s="11" t="s">
        <v>210</v>
      </c>
      <c r="P28" s="573"/>
      <c r="Q28" s="574"/>
      <c r="R28" s="215"/>
      <c r="S28" s="206"/>
      <c r="T28" s="581"/>
      <c r="U28" s="582"/>
      <c r="V28" s="582"/>
      <c r="W28" s="582"/>
      <c r="X28" s="582"/>
      <c r="Y28" s="583"/>
    </row>
    <row r="29" spans="1:25" s="200" customFormat="1" ht="27.95" customHeight="1">
      <c r="A29" s="260" t="s">
        <v>108</v>
      </c>
      <c r="B29" s="261" t="s">
        <v>107</v>
      </c>
      <c r="C29" s="587"/>
      <c r="D29" s="588"/>
      <c r="E29" s="4"/>
      <c r="F29" s="262"/>
      <c r="G29" s="462" t="s">
        <v>746</v>
      </c>
      <c r="H29" s="213" t="s">
        <v>218</v>
      </c>
      <c r="I29" s="262" t="s">
        <v>106</v>
      </c>
      <c r="J29" s="4" t="s">
        <v>105</v>
      </c>
      <c r="K29" s="4"/>
      <c r="L29" s="263"/>
      <c r="M29" s="262"/>
      <c r="N29" s="262" t="s">
        <v>295</v>
      </c>
      <c r="O29" s="211" t="s">
        <v>104</v>
      </c>
      <c r="P29" s="264"/>
      <c r="Q29" s="265"/>
      <c r="R29" s="215">
        <f>(COUNTA(C29:Q29))/6</f>
        <v>1</v>
      </c>
      <c r="S29" s="206"/>
      <c r="T29" s="581"/>
      <c r="U29" s="582"/>
      <c r="V29" s="582"/>
      <c r="W29" s="582"/>
      <c r="X29" s="582"/>
      <c r="Y29" s="583"/>
    </row>
    <row r="30" spans="1:25" s="200" customFormat="1" ht="27.95" customHeight="1" thickBot="1">
      <c r="A30" s="266" t="s">
        <v>103</v>
      </c>
      <c r="B30" s="267" t="s">
        <v>31</v>
      </c>
      <c r="C30" s="587"/>
      <c r="D30" s="588"/>
      <c r="E30" s="396" t="s">
        <v>747</v>
      </c>
      <c r="F30" s="211" t="s">
        <v>102</v>
      </c>
      <c r="G30" s="211"/>
      <c r="H30" s="211"/>
      <c r="I30" s="211" t="s">
        <v>294</v>
      </c>
      <c r="J30" s="211"/>
      <c r="K30" s="207"/>
      <c r="L30" s="268"/>
      <c r="M30" s="211"/>
      <c r="N30" s="211"/>
      <c r="O30" s="211" t="s">
        <v>94</v>
      </c>
      <c r="P30" s="210" t="s">
        <v>16</v>
      </c>
      <c r="Q30" s="211" t="s">
        <v>101</v>
      </c>
      <c r="R30" s="215">
        <f>(COUNTA(C30:Q30))/7</f>
        <v>0.8571428571428571</v>
      </c>
      <c r="S30" s="206"/>
      <c r="T30" s="584"/>
      <c r="U30" s="585"/>
      <c r="V30" s="585"/>
      <c r="W30" s="585"/>
      <c r="X30" s="585"/>
      <c r="Y30" s="586"/>
    </row>
    <row r="31" spans="1:25" s="200" customFormat="1" ht="9.9499999999999993" customHeight="1" thickBot="1">
      <c r="A31" s="269"/>
      <c r="B31" s="270"/>
      <c r="C31" s="270"/>
      <c r="D31" s="270"/>
      <c r="E31" s="5"/>
      <c r="F31" s="271"/>
      <c r="G31" s="272"/>
      <c r="H31" s="272"/>
      <c r="I31" s="272"/>
      <c r="J31" s="272"/>
      <c r="K31" s="5"/>
      <c r="L31" s="271"/>
      <c r="M31" s="5"/>
      <c r="N31" s="272"/>
      <c r="O31" s="271"/>
      <c r="P31" s="271"/>
      <c r="Q31" s="273"/>
      <c r="R31" s="274"/>
      <c r="S31" s="206"/>
      <c r="T31" s="460"/>
      <c r="U31" s="460"/>
      <c r="V31" s="460"/>
      <c r="W31" s="460"/>
      <c r="X31" s="460"/>
      <c r="Y31" s="460"/>
    </row>
    <row r="32" spans="1:25" s="200" customFormat="1" ht="109.5" customHeight="1">
      <c r="A32" s="589"/>
      <c r="B32" s="591" t="s">
        <v>100</v>
      </c>
      <c r="C32" s="593"/>
      <c r="D32" s="594"/>
      <c r="E32" s="459" t="s">
        <v>735</v>
      </c>
      <c r="F32" s="276" t="s">
        <v>278</v>
      </c>
      <c r="G32" s="265" t="s">
        <v>281</v>
      </c>
      <c r="H32" s="265" t="s">
        <v>289</v>
      </c>
      <c r="I32" s="211" t="s">
        <v>679</v>
      </c>
      <c r="J32" s="213" t="s">
        <v>641</v>
      </c>
      <c r="K32" s="211" t="s">
        <v>734</v>
      </c>
      <c r="L32" s="212"/>
      <c r="M32" s="213" t="s">
        <v>282</v>
      </c>
      <c r="N32" s="277" t="s">
        <v>276</v>
      </c>
      <c r="O32" s="276" t="s">
        <v>297</v>
      </c>
      <c r="P32" s="277" t="s">
        <v>288</v>
      </c>
      <c r="Q32" s="211" t="s">
        <v>296</v>
      </c>
      <c r="R32" s="215">
        <f>(COUNTA(C32:Q32))/12</f>
        <v>1</v>
      </c>
      <c r="S32" s="206"/>
      <c r="T32" s="599" t="s">
        <v>754</v>
      </c>
      <c r="U32" s="600"/>
      <c r="V32" s="600"/>
      <c r="W32" s="600"/>
      <c r="X32" s="600"/>
      <c r="Y32" s="601"/>
    </row>
    <row r="33" spans="1:31" s="200" customFormat="1" ht="129.94999999999999" customHeight="1">
      <c r="A33" s="590"/>
      <c r="B33" s="592"/>
      <c r="C33" s="595"/>
      <c r="D33" s="596"/>
      <c r="E33" s="278" t="s">
        <v>764</v>
      </c>
      <c r="F33" s="210" t="s">
        <v>767</v>
      </c>
      <c r="G33" s="279" t="s">
        <v>765</v>
      </c>
      <c r="H33" s="458" t="s">
        <v>762</v>
      </c>
      <c r="I33" s="217" t="s">
        <v>766</v>
      </c>
      <c r="J33" s="353" t="s">
        <v>768</v>
      </c>
      <c r="K33" s="210" t="s">
        <v>736</v>
      </c>
      <c r="L33" s="210"/>
      <c r="M33" s="210" t="s">
        <v>782</v>
      </c>
      <c r="N33" s="278" t="s">
        <v>763</v>
      </c>
      <c r="O33" s="349" t="s">
        <v>737</v>
      </c>
      <c r="P33" s="216" t="s">
        <v>704</v>
      </c>
      <c r="Q33" s="353" t="s">
        <v>770</v>
      </c>
      <c r="R33" s="274"/>
      <c r="S33" s="206"/>
      <c r="T33" s="602"/>
      <c r="U33" s="603"/>
      <c r="V33" s="603"/>
      <c r="W33" s="603"/>
      <c r="X33" s="603"/>
      <c r="Y33" s="604"/>
    </row>
    <row r="34" spans="1:31" s="200" customFormat="1" ht="69.95" customHeight="1" thickBot="1">
      <c r="A34" s="280"/>
      <c r="B34" s="246" t="s">
        <v>99</v>
      </c>
      <c r="C34" s="597"/>
      <c r="D34" s="598"/>
      <c r="E34" s="281" t="s">
        <v>98</v>
      </c>
      <c r="F34" s="282" t="s">
        <v>680</v>
      </c>
      <c r="G34" s="248" t="s">
        <v>242</v>
      </c>
      <c r="H34" s="248" t="s">
        <v>97</v>
      </c>
      <c r="I34" s="231" t="s">
        <v>227</v>
      </c>
      <c r="J34" s="248" t="s">
        <v>644</v>
      </c>
      <c r="K34" s="248" t="s">
        <v>290</v>
      </c>
      <c r="L34" s="283"/>
      <c r="M34" s="248" t="s">
        <v>643</v>
      </c>
      <c r="N34" s="231" t="s">
        <v>277</v>
      </c>
      <c r="O34" s="224" t="s">
        <v>259</v>
      </c>
      <c r="P34" s="248"/>
      <c r="Q34" s="284" t="s">
        <v>96</v>
      </c>
      <c r="R34" s="215">
        <f>(COUNTA(F34:P34))/9</f>
        <v>1</v>
      </c>
      <c r="S34" s="206"/>
      <c r="T34" s="605"/>
      <c r="U34" s="606"/>
      <c r="V34" s="606"/>
      <c r="W34" s="606"/>
      <c r="X34" s="606"/>
      <c r="Y34" s="607"/>
      <c r="AB34" s="198"/>
      <c r="AC34" s="198"/>
      <c r="AD34" s="198"/>
      <c r="AE34" s="198"/>
    </row>
    <row r="35" spans="1:31" ht="9.9499999999999993" customHeight="1">
      <c r="A35" s="286"/>
      <c r="B35" s="286"/>
      <c r="C35" s="287"/>
      <c r="D35" s="287"/>
      <c r="O35" s="289"/>
      <c r="S35" s="206"/>
      <c r="AA35" s="200"/>
    </row>
    <row r="36" spans="1:31" ht="21" customHeight="1">
      <c r="B36" s="291"/>
      <c r="C36" s="291"/>
      <c r="D36" s="292" t="s">
        <v>95</v>
      </c>
      <c r="E36" s="293" t="s">
        <v>0</v>
      </c>
      <c r="F36" s="293" t="s">
        <v>1</v>
      </c>
      <c r="G36" s="293" t="s">
        <v>2</v>
      </c>
      <c r="H36" s="293" t="s">
        <v>32</v>
      </c>
      <c r="I36" s="293" t="s">
        <v>33</v>
      </c>
      <c r="J36" s="293" t="s">
        <v>34</v>
      </c>
      <c r="K36" s="293" t="s">
        <v>35</v>
      </c>
      <c r="L36" s="294" t="s">
        <v>36</v>
      </c>
      <c r="M36" s="293" t="s">
        <v>37</v>
      </c>
      <c r="N36" s="293" t="s">
        <v>6</v>
      </c>
      <c r="O36" s="293" t="s">
        <v>7</v>
      </c>
      <c r="P36" s="293" t="s">
        <v>8</v>
      </c>
      <c r="Q36" s="295" t="s">
        <v>9</v>
      </c>
      <c r="R36" s="296"/>
      <c r="T36" s="297"/>
      <c r="U36" s="298"/>
      <c r="V36" s="298"/>
      <c r="W36" s="298"/>
      <c r="X36" s="298"/>
      <c r="AA36" s="200"/>
    </row>
    <row r="37" spans="1:31" ht="45.75" customHeight="1">
      <c r="B37" s="291"/>
      <c r="C37" s="291"/>
      <c r="D37" s="299" t="s">
        <v>93</v>
      </c>
      <c r="E37" s="241" t="s">
        <v>92</v>
      </c>
      <c r="F37" s="241" t="s">
        <v>708</v>
      </c>
      <c r="G37" s="241" t="s">
        <v>170</v>
      </c>
      <c r="H37" s="214" t="s">
        <v>613</v>
      </c>
      <c r="I37" s="214" t="s">
        <v>12</v>
      </c>
      <c r="J37" s="214" t="s">
        <v>48</v>
      </c>
      <c r="K37" s="214" t="s">
        <v>89</v>
      </c>
      <c r="L37" s="214"/>
      <c r="M37" s="349" t="s">
        <v>230</v>
      </c>
      <c r="N37" s="210" t="s">
        <v>733</v>
      </c>
      <c r="O37" s="301" t="s">
        <v>269</v>
      </c>
      <c r="P37" s="238" t="s">
        <v>730</v>
      </c>
      <c r="Q37" s="303" t="s">
        <v>11</v>
      </c>
      <c r="R37" s="296"/>
      <c r="T37" s="298"/>
      <c r="U37" s="298"/>
      <c r="V37" s="298"/>
      <c r="W37" s="298"/>
      <c r="X37" s="298"/>
      <c r="AA37" s="200"/>
    </row>
    <row r="38" spans="1:31" ht="27.95" customHeight="1">
      <c r="B38" s="291"/>
      <c r="C38" s="291"/>
      <c r="D38" s="299" t="s">
        <v>88</v>
      </c>
      <c r="E38" s="241"/>
      <c r="F38" s="241"/>
      <c r="G38" s="241"/>
      <c r="H38" s="214"/>
      <c r="I38" s="214"/>
      <c r="J38" s="214"/>
      <c r="K38" s="214"/>
      <c r="L38" s="214"/>
      <c r="M38" s="214"/>
      <c r="N38" s="214"/>
      <c r="O38" s="304"/>
      <c r="P38" s="241"/>
      <c r="Q38" s="305" t="s">
        <v>87</v>
      </c>
      <c r="R38" s="296"/>
      <c r="T38" s="298"/>
      <c r="U38" s="298"/>
      <c r="V38" s="298"/>
      <c r="W38" s="298"/>
      <c r="X38" s="298"/>
    </row>
    <row r="39" spans="1:31" ht="27.95" customHeight="1">
      <c r="B39" s="291"/>
      <c r="C39" s="291"/>
      <c r="D39" s="299" t="s">
        <v>86</v>
      </c>
      <c r="E39" s="214"/>
      <c r="F39" s="306" t="s">
        <v>300</v>
      </c>
      <c r="G39" s="214"/>
      <c r="H39" s="214" t="s">
        <v>316</v>
      </c>
      <c r="I39" s="388"/>
      <c r="J39" s="219" t="s">
        <v>30</v>
      </c>
      <c r="K39" s="389" t="s">
        <v>118</v>
      </c>
      <c r="L39" s="214"/>
      <c r="M39" s="214" t="s">
        <v>27</v>
      </c>
      <c r="N39" s="238" t="s">
        <v>134</v>
      </c>
      <c r="O39" s="309" t="s">
        <v>85</v>
      </c>
      <c r="P39" s="241" t="s">
        <v>84</v>
      </c>
      <c r="Q39" s="370" t="s">
        <v>317</v>
      </c>
      <c r="R39" s="296"/>
      <c r="T39" s="298"/>
      <c r="U39" s="298"/>
      <c r="V39" s="298"/>
      <c r="W39" s="298"/>
      <c r="X39" s="298"/>
    </row>
    <row r="40" spans="1:31" ht="42" customHeight="1">
      <c r="B40" s="198"/>
      <c r="C40" s="198"/>
      <c r="D40" s="311" t="s">
        <v>83</v>
      </c>
      <c r="E40" s="312" t="s">
        <v>608</v>
      </c>
      <c r="F40" s="312" t="s">
        <v>246</v>
      </c>
      <c r="G40" s="312" t="s">
        <v>731</v>
      </c>
      <c r="H40" s="314" t="s">
        <v>609</v>
      </c>
      <c r="I40" s="314" t="s">
        <v>612</v>
      </c>
      <c r="J40" s="313" t="s">
        <v>49</v>
      </c>
      <c r="K40" s="314" t="s">
        <v>617</v>
      </c>
      <c r="L40" s="314"/>
      <c r="M40" s="313" t="s">
        <v>616</v>
      </c>
      <c r="N40" s="314" t="s">
        <v>225</v>
      </c>
      <c r="O40" s="314" t="s">
        <v>314</v>
      </c>
      <c r="P40" s="312" t="s">
        <v>245</v>
      </c>
      <c r="Q40" s="315" t="s">
        <v>732</v>
      </c>
    </row>
    <row r="41" spans="1:31" ht="9.9499999999999993" customHeight="1">
      <c r="E41" s="288"/>
      <c r="F41" s="288"/>
      <c r="G41" s="288"/>
      <c r="H41" s="288"/>
      <c r="I41" s="288"/>
      <c r="J41" s="288"/>
      <c r="K41" s="288"/>
      <c r="M41" s="288"/>
      <c r="N41" s="288"/>
      <c r="O41" s="288"/>
    </row>
    <row r="42" spans="1:31" ht="27.95" customHeight="1">
      <c r="A42" s="317"/>
      <c r="B42" s="317"/>
      <c r="C42" s="317"/>
      <c r="D42" s="560" t="s">
        <v>760</v>
      </c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2"/>
      <c r="R42" s="296"/>
    </row>
    <row r="43" spans="1:31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31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31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31" ht="27.95" customHeight="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31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31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296"/>
    </row>
    <row r="51" spans="1:18">
      <c r="A51" s="317"/>
      <c r="B51" s="317"/>
      <c r="C51" s="317"/>
      <c r="D51" s="563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5"/>
      <c r="R51" s="296"/>
    </row>
    <row r="52" spans="1:18">
      <c r="A52" s="317"/>
      <c r="B52" s="317"/>
      <c r="C52" s="317"/>
      <c r="D52" s="566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296"/>
    </row>
    <row r="53" spans="1:18" ht="9.9499999999999993" customHeight="1"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6"/>
    </row>
    <row r="54" spans="1:18" ht="24">
      <c r="D54" s="318"/>
      <c r="E54" s="319" t="s">
        <v>0</v>
      </c>
      <c r="F54" s="320" t="s">
        <v>1</v>
      </c>
      <c r="G54" s="320" t="s">
        <v>2</v>
      </c>
      <c r="H54" s="320" t="s">
        <v>3</v>
      </c>
      <c r="I54" s="320" t="s">
        <v>81</v>
      </c>
      <c r="J54" s="320" t="s">
        <v>80</v>
      </c>
      <c r="K54" s="320" t="s">
        <v>79</v>
      </c>
      <c r="L54" s="321"/>
      <c r="M54" s="320" t="s">
        <v>5</v>
      </c>
      <c r="N54" s="320" t="s">
        <v>6</v>
      </c>
      <c r="O54" s="320" t="s">
        <v>7</v>
      </c>
      <c r="P54" s="320" t="s">
        <v>8</v>
      </c>
      <c r="Q54" s="322" t="s">
        <v>9</v>
      </c>
      <c r="R54" s="323" t="s">
        <v>78</v>
      </c>
    </row>
    <row r="55" spans="1:18" ht="30" customHeight="1">
      <c r="D55" s="324" t="s">
        <v>77</v>
      </c>
      <c r="E55" s="325"/>
      <c r="F55" s="228"/>
      <c r="G55" s="265" t="s">
        <v>706</v>
      </c>
      <c r="H55" s="228"/>
      <c r="I55" s="228"/>
      <c r="J55" s="228"/>
      <c r="K55" s="228"/>
      <c r="L55" s="212"/>
      <c r="M55" s="212"/>
      <c r="N55" s="228" t="s">
        <v>620</v>
      </c>
      <c r="O55" s="326"/>
      <c r="P55" s="326"/>
      <c r="Q55" s="228"/>
      <c r="R55" s="328"/>
    </row>
    <row r="56" spans="1:18" ht="30" customHeight="1">
      <c r="D56" s="329" t="s">
        <v>76</v>
      </c>
      <c r="E56" s="457"/>
      <c r="F56" s="242"/>
      <c r="G56" s="242" t="s">
        <v>319</v>
      </c>
      <c r="H56" s="242"/>
      <c r="I56" s="238"/>
      <c r="J56" s="242"/>
      <c r="K56" s="242" t="s">
        <v>216</v>
      </c>
      <c r="L56" s="219"/>
      <c r="M56" s="242"/>
      <c r="N56" s="242"/>
      <c r="O56" s="331"/>
      <c r="P56" s="331"/>
      <c r="Q56" s="242"/>
      <c r="R56" s="332"/>
    </row>
    <row r="57" spans="1:18" ht="50.1" customHeight="1">
      <c r="D57" s="333" t="s">
        <v>75</v>
      </c>
      <c r="E57" s="457" t="s">
        <v>705</v>
      </c>
      <c r="F57" s="238" t="s">
        <v>251</v>
      </c>
      <c r="G57" s="238" t="s">
        <v>60</v>
      </c>
      <c r="H57" s="238"/>
      <c r="I57" s="242" t="s">
        <v>228</v>
      </c>
      <c r="J57" s="238" t="s">
        <v>271</v>
      </c>
      <c r="K57" s="238" t="s">
        <v>301</v>
      </c>
      <c r="L57" s="219"/>
      <c r="M57" s="238"/>
      <c r="N57" s="242"/>
      <c r="O57" s="242"/>
      <c r="P57" s="242" t="s">
        <v>239</v>
      </c>
      <c r="Q57" s="242"/>
      <c r="R57" s="334"/>
    </row>
    <row r="58" spans="1:18" ht="30" customHeight="1">
      <c r="D58" s="324" t="s">
        <v>38</v>
      </c>
      <c r="E58" s="330"/>
      <c r="F58" s="331"/>
      <c r="G58" s="242"/>
      <c r="H58" s="242"/>
      <c r="I58" s="242"/>
      <c r="J58" s="242"/>
      <c r="K58" s="242"/>
      <c r="L58" s="309"/>
      <c r="M58" s="331"/>
      <c r="N58" s="331"/>
      <c r="O58" s="331"/>
      <c r="P58" s="331"/>
      <c r="Q58" s="331"/>
      <c r="R58" s="332"/>
    </row>
    <row r="59" spans="1:18" ht="30" customHeight="1">
      <c r="D59" s="335" t="s">
        <v>74</v>
      </c>
      <c r="E59" s="336"/>
      <c r="F59" s="337"/>
      <c r="G59" s="338"/>
      <c r="H59" s="337"/>
      <c r="I59" s="337"/>
      <c r="J59" s="337"/>
      <c r="K59" s="337"/>
      <c r="L59" s="339"/>
      <c r="M59" s="337"/>
      <c r="N59" s="337"/>
      <c r="O59" s="338" t="s">
        <v>24</v>
      </c>
      <c r="P59" s="338"/>
      <c r="Q59" s="337"/>
      <c r="R59" s="340"/>
    </row>
    <row r="62" spans="1:18" ht="24">
      <c r="D62" s="356"/>
      <c r="E62" s="320" t="s">
        <v>0</v>
      </c>
      <c r="F62" s="320" t="s">
        <v>1</v>
      </c>
      <c r="G62" s="320" t="s">
        <v>2</v>
      </c>
      <c r="H62" s="320" t="s">
        <v>3</v>
      </c>
      <c r="I62" s="320" t="s">
        <v>81</v>
      </c>
      <c r="J62" s="320" t="s">
        <v>80</v>
      </c>
      <c r="K62" s="320" t="s">
        <v>79</v>
      </c>
      <c r="L62" s="321"/>
      <c r="M62" s="320" t="s">
        <v>5</v>
      </c>
      <c r="N62" s="320" t="s">
        <v>6</v>
      </c>
      <c r="O62" s="320" t="s">
        <v>7</v>
      </c>
      <c r="P62" s="320" t="s">
        <v>8</v>
      </c>
      <c r="Q62" s="320" t="s">
        <v>9</v>
      </c>
      <c r="R62" s="323" t="s">
        <v>78</v>
      </c>
    </row>
    <row r="63" spans="1:18">
      <c r="D63" s="357" t="s">
        <v>629</v>
      </c>
      <c r="E63" s="358"/>
      <c r="F63" s="358"/>
      <c r="G63" s="358"/>
      <c r="H63" s="391" t="s">
        <v>624</v>
      </c>
      <c r="I63" s="392"/>
      <c r="J63" s="392"/>
      <c r="K63" s="358"/>
      <c r="L63" s="360"/>
      <c r="M63" s="358"/>
      <c r="N63" s="358"/>
      <c r="O63" s="358"/>
      <c r="P63" s="358"/>
      <c r="Q63" s="358"/>
      <c r="R63" s="361"/>
    </row>
    <row r="64" spans="1:18">
      <c r="D64" s="362"/>
      <c r="E64" s="363"/>
      <c r="F64" s="363"/>
      <c r="G64" s="363"/>
      <c r="H64" s="393"/>
      <c r="I64" s="394" t="s">
        <v>625</v>
      </c>
      <c r="J64" s="394" t="s">
        <v>625</v>
      </c>
      <c r="K64" s="363"/>
      <c r="L64" s="365"/>
      <c r="M64" s="363"/>
      <c r="N64" s="363"/>
      <c r="O64" s="363"/>
      <c r="P64" s="363"/>
      <c r="Q64" s="363"/>
      <c r="R64" s="366"/>
    </row>
    <row r="65" spans="8:10">
      <c r="H65" s="200"/>
      <c r="I65" s="200"/>
      <c r="J65" s="200"/>
    </row>
  </sheetData>
  <mergeCells count="23">
    <mergeCell ref="D42:Q52"/>
    <mergeCell ref="P25:Q28"/>
    <mergeCell ref="T25:Y25"/>
    <mergeCell ref="T26:Y30"/>
    <mergeCell ref="C29:D30"/>
    <mergeCell ref="A32:A33"/>
    <mergeCell ref="B32:B33"/>
    <mergeCell ref="C32:D34"/>
    <mergeCell ref="T32:Y34"/>
    <mergeCell ref="P12:Q15"/>
    <mergeCell ref="T12:Y19"/>
    <mergeCell ref="C16:D16"/>
    <mergeCell ref="C17:D23"/>
    <mergeCell ref="T20:Y20"/>
    <mergeCell ref="T21:Y24"/>
    <mergeCell ref="C24:D24"/>
    <mergeCell ref="A1:Q1"/>
    <mergeCell ref="A2:Q2"/>
    <mergeCell ref="C4:D11"/>
    <mergeCell ref="E4:F4"/>
    <mergeCell ref="T4:Y4"/>
    <mergeCell ref="T5:Y10"/>
    <mergeCell ref="T11:Y11"/>
  </mergeCells>
  <phoneticPr fontId="3" type="noConversion"/>
  <pageMargins left="0.7" right="0.7" top="0.75" bottom="0.75" header="0.3" footer="0.3"/>
  <pageSetup paperSize="9" scale="26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5"/>
  <sheetViews>
    <sheetView topLeftCell="A2" zoomScale="85" zoomScaleNormal="85" workbookViewId="0">
      <selection activeCell="S4" sqref="S4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6.125" style="198" customWidth="1"/>
    <col min="20" max="25" width="8.125" style="198" customWidth="1"/>
    <col min="26" max="16384" width="9" style="198"/>
  </cols>
  <sheetData>
    <row r="1" spans="1:30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0" ht="18" customHeight="1">
      <c r="A2" s="623" t="s">
        <v>816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T2" s="200"/>
      <c r="U2" s="200"/>
      <c r="V2" s="200"/>
      <c r="W2" s="200"/>
      <c r="X2" s="200"/>
      <c r="Y2" s="200"/>
      <c r="AA2" s="200"/>
      <c r="AB2" s="200"/>
      <c r="AC2" s="200"/>
      <c r="AD2" s="200"/>
    </row>
    <row r="3" spans="1:30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AVERAGE(R4:R34)</f>
        <v>0.91761904761904778</v>
      </c>
      <c r="S3" s="206"/>
      <c r="T3" s="200"/>
      <c r="U3" s="200"/>
      <c r="V3" s="200"/>
      <c r="W3" s="200"/>
      <c r="X3" s="200"/>
      <c r="Y3" s="200"/>
      <c r="Z3" s="207"/>
      <c r="AA3" s="200"/>
      <c r="AB3" s="200"/>
      <c r="AC3" s="200"/>
      <c r="AD3" s="200"/>
    </row>
    <row r="4" spans="1:30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210" t="s">
        <v>73</v>
      </c>
      <c r="H4" s="211" t="s">
        <v>183</v>
      </c>
      <c r="I4" s="211" t="s">
        <v>206</v>
      </c>
      <c r="J4" s="212" t="s">
        <v>191</v>
      </c>
      <c r="K4" s="211" t="s">
        <v>190</v>
      </c>
      <c r="L4" s="213"/>
      <c r="M4" s="211" t="s">
        <v>91</v>
      </c>
      <c r="N4" s="372" t="s">
        <v>828</v>
      </c>
      <c r="O4" s="211" t="s">
        <v>253</v>
      </c>
      <c r="P4" s="214" t="s">
        <v>46</v>
      </c>
      <c r="Q4" s="1" t="s">
        <v>189</v>
      </c>
      <c r="R4" s="215">
        <f>(COUNTA(G4:Q4))/10</f>
        <v>1</v>
      </c>
      <c r="S4" s="206"/>
      <c r="T4" s="633" t="s">
        <v>188</v>
      </c>
      <c r="U4" s="634"/>
      <c r="V4" s="634"/>
      <c r="W4" s="634"/>
      <c r="X4" s="634"/>
      <c r="Y4" s="635"/>
    </row>
    <row r="5" spans="1:30" s="200" customFormat="1" ht="27.95" customHeight="1">
      <c r="A5" s="208">
        <v>2</v>
      </c>
      <c r="B5" s="209" t="s">
        <v>165</v>
      </c>
      <c r="C5" s="627"/>
      <c r="D5" s="628"/>
      <c r="E5" s="214" t="s">
        <v>89</v>
      </c>
      <c r="F5" s="214" t="s">
        <v>229</v>
      </c>
      <c r="G5" s="2" t="s">
        <v>144</v>
      </c>
      <c r="H5" s="210" t="s">
        <v>164</v>
      </c>
      <c r="I5" s="210" t="s">
        <v>163</v>
      </c>
      <c r="J5" s="372" t="s">
        <v>254</v>
      </c>
      <c r="K5" s="214" t="s">
        <v>162</v>
      </c>
      <c r="L5" s="214"/>
      <c r="M5" s="210" t="s">
        <v>266</v>
      </c>
      <c r="N5" s="216" t="s">
        <v>161</v>
      </c>
      <c r="O5" s="372" t="s">
        <v>829</v>
      </c>
      <c r="P5" s="214" t="s">
        <v>200</v>
      </c>
      <c r="Q5" s="210" t="s">
        <v>10</v>
      </c>
      <c r="R5" s="215">
        <f t="shared" ref="R5:R25" si="0">(COUNTA(C5:Q5))/12</f>
        <v>1</v>
      </c>
      <c r="S5" s="206"/>
      <c r="T5" s="578" t="s">
        <v>834</v>
      </c>
      <c r="U5" s="579"/>
      <c r="V5" s="579"/>
      <c r="W5" s="579"/>
      <c r="X5" s="579"/>
      <c r="Y5" s="580"/>
    </row>
    <row r="6" spans="1:30" s="200" customFormat="1" ht="27.95" customHeight="1">
      <c r="A6" s="208">
        <v>3</v>
      </c>
      <c r="B6" s="218" t="s">
        <v>160</v>
      </c>
      <c r="C6" s="627"/>
      <c r="D6" s="628"/>
      <c r="E6" s="210" t="s">
        <v>158</v>
      </c>
      <c r="F6" s="210" t="s">
        <v>159</v>
      </c>
      <c r="G6" s="210" t="s">
        <v>11</v>
      </c>
      <c r="H6" s="210" t="s">
        <v>158</v>
      </c>
      <c r="I6" s="210" t="s">
        <v>157</v>
      </c>
      <c r="J6" s="210" t="s">
        <v>214</v>
      </c>
      <c r="K6" s="2" t="s">
        <v>156</v>
      </c>
      <c r="L6" s="210"/>
      <c r="M6" s="210" t="s">
        <v>10</v>
      </c>
      <c r="N6" s="219" t="s">
        <v>155</v>
      </c>
      <c r="O6" s="220" t="s">
        <v>154</v>
      </c>
      <c r="P6" s="210" t="s">
        <v>64</v>
      </c>
      <c r="Q6" s="486" t="s">
        <v>776</v>
      </c>
      <c r="R6" s="215">
        <f t="shared" si="0"/>
        <v>1</v>
      </c>
      <c r="S6" s="206"/>
      <c r="T6" s="581"/>
      <c r="U6" s="582"/>
      <c r="V6" s="582"/>
      <c r="W6" s="582"/>
      <c r="X6" s="582"/>
      <c r="Y6" s="583"/>
    </row>
    <row r="7" spans="1:30" s="200" customFormat="1" ht="27.95" customHeight="1">
      <c r="A7" s="208"/>
      <c r="B7" s="218" t="s">
        <v>646</v>
      </c>
      <c r="C7" s="627"/>
      <c r="D7" s="628"/>
      <c r="E7" s="432"/>
      <c r="F7" s="432"/>
      <c r="G7" s="432"/>
      <c r="H7" s="432"/>
      <c r="I7" s="432"/>
      <c r="J7" s="432"/>
      <c r="K7" s="435"/>
      <c r="L7" s="432"/>
      <c r="M7" s="432"/>
      <c r="N7" s="436"/>
      <c r="O7" s="437"/>
      <c r="P7" s="438"/>
      <c r="Q7" s="439"/>
      <c r="R7" s="215"/>
      <c r="S7" s="206"/>
      <c r="T7" s="581"/>
      <c r="U7" s="582"/>
      <c r="V7" s="582"/>
      <c r="W7" s="582"/>
      <c r="X7" s="582"/>
      <c r="Y7" s="583"/>
    </row>
    <row r="8" spans="1:30" s="200" customFormat="1" ht="27.95" customHeight="1">
      <c r="A8" s="208">
        <v>4</v>
      </c>
      <c r="B8" s="483" t="s">
        <v>815</v>
      </c>
      <c r="C8" s="627"/>
      <c r="D8" s="628"/>
      <c r="E8" s="468"/>
      <c r="F8" s="444" t="s">
        <v>152</v>
      </c>
      <c r="G8" s="454" t="s">
        <v>336</v>
      </c>
      <c r="H8" s="454" t="s">
        <v>151</v>
      </c>
      <c r="I8" s="468"/>
      <c r="J8" s="444"/>
      <c r="K8" s="454"/>
      <c r="L8" s="454"/>
      <c r="M8" s="454"/>
      <c r="N8" s="444"/>
      <c r="O8" s="452"/>
      <c r="P8" s="484" t="s">
        <v>745</v>
      </c>
      <c r="Q8" s="454" t="s">
        <v>53</v>
      </c>
      <c r="R8" s="215">
        <f t="shared" si="0"/>
        <v>0.41666666666666669</v>
      </c>
      <c r="S8" s="206"/>
      <c r="T8" s="581"/>
      <c r="U8" s="582"/>
      <c r="V8" s="582"/>
      <c r="W8" s="582"/>
      <c r="X8" s="582"/>
      <c r="Y8" s="583"/>
    </row>
    <row r="9" spans="1:30" s="200" customFormat="1" ht="27.95" customHeight="1">
      <c r="A9" s="208">
        <v>5</v>
      </c>
      <c r="B9" s="222" t="s">
        <v>175</v>
      </c>
      <c r="C9" s="627"/>
      <c r="D9" s="628"/>
      <c r="E9" s="210" t="s">
        <v>64</v>
      </c>
      <c r="F9" s="210" t="s">
        <v>167</v>
      </c>
      <c r="G9" s="212" t="s">
        <v>174</v>
      </c>
      <c r="H9" s="210" t="s">
        <v>173</v>
      </c>
      <c r="I9" s="210" t="s">
        <v>145</v>
      </c>
      <c r="J9" s="214" t="s">
        <v>13</v>
      </c>
      <c r="K9" s="207" t="s">
        <v>274</v>
      </c>
      <c r="L9" s="210"/>
      <c r="M9" s="213" t="s">
        <v>172</v>
      </c>
      <c r="N9" s="214" t="s">
        <v>147</v>
      </c>
      <c r="O9" s="170" t="s">
        <v>830</v>
      </c>
      <c r="P9" s="213" t="s">
        <v>265</v>
      </c>
      <c r="Q9" s="210" t="s">
        <v>208</v>
      </c>
      <c r="R9" s="215">
        <f t="shared" si="0"/>
        <v>1</v>
      </c>
      <c r="S9" s="206"/>
      <c r="T9" s="581"/>
      <c r="U9" s="582"/>
      <c r="V9" s="582"/>
      <c r="W9" s="582"/>
      <c r="X9" s="582"/>
      <c r="Y9" s="583"/>
    </row>
    <row r="10" spans="1:30" s="200" customFormat="1" ht="27.95" customHeight="1" thickBot="1">
      <c r="A10" s="208">
        <v>6</v>
      </c>
      <c r="B10" s="221" t="s">
        <v>59</v>
      </c>
      <c r="C10" s="627"/>
      <c r="D10" s="628"/>
      <c r="E10" s="2" t="s">
        <v>621</v>
      </c>
      <c r="F10" s="214" t="s">
        <v>147</v>
      </c>
      <c r="G10" s="210" t="s">
        <v>744</v>
      </c>
      <c r="H10" s="210" t="s">
        <v>53</v>
      </c>
      <c r="I10" s="2" t="s">
        <v>248</v>
      </c>
      <c r="J10" s="214" t="s">
        <v>146</v>
      </c>
      <c r="K10" s="210" t="s">
        <v>258</v>
      </c>
      <c r="L10" s="210"/>
      <c r="M10" s="210" t="s">
        <v>145</v>
      </c>
      <c r="N10" s="214" t="s">
        <v>144</v>
      </c>
      <c r="O10" s="214" t="s">
        <v>45</v>
      </c>
      <c r="P10" s="214" t="s">
        <v>305</v>
      </c>
      <c r="Q10" s="347" t="s">
        <v>336</v>
      </c>
      <c r="R10" s="215">
        <f t="shared" si="0"/>
        <v>1</v>
      </c>
      <c r="S10" s="206"/>
      <c r="T10" s="584"/>
      <c r="U10" s="585"/>
      <c r="V10" s="585"/>
      <c r="W10" s="585"/>
      <c r="X10" s="585"/>
      <c r="Y10" s="586"/>
    </row>
    <row r="11" spans="1:30" s="200" customFormat="1" ht="27.95" customHeight="1" thickBot="1">
      <c r="A11" s="208">
        <v>7</v>
      </c>
      <c r="B11" s="466" t="s">
        <v>814</v>
      </c>
      <c r="C11" s="629"/>
      <c r="D11" s="630"/>
      <c r="E11" s="470"/>
      <c r="F11" s="471" t="s">
        <v>53</v>
      </c>
      <c r="G11" s="470" t="s">
        <v>261</v>
      </c>
      <c r="H11" s="470" t="s">
        <v>167</v>
      </c>
      <c r="I11" s="472"/>
      <c r="J11" s="470"/>
      <c r="K11" s="470"/>
      <c r="L11" s="473"/>
      <c r="M11" s="470" t="s">
        <v>150</v>
      </c>
      <c r="N11" s="470"/>
      <c r="O11" s="470"/>
      <c r="P11" s="470" t="s">
        <v>174</v>
      </c>
      <c r="Q11" s="470"/>
      <c r="R11" s="215">
        <f t="shared" si="0"/>
        <v>0.41666666666666669</v>
      </c>
      <c r="S11" s="206"/>
      <c r="T11" s="575" t="s">
        <v>166</v>
      </c>
      <c r="U11" s="576"/>
      <c r="V11" s="576"/>
      <c r="W11" s="576"/>
      <c r="X11" s="576"/>
      <c r="Y11" s="577"/>
    </row>
    <row r="12" spans="1:30" s="200" customFormat="1" ht="27.95" customHeight="1">
      <c r="A12" s="208">
        <v>8</v>
      </c>
      <c r="B12" s="222" t="s">
        <v>143</v>
      </c>
      <c r="C12" s="227" t="s">
        <v>154</v>
      </c>
      <c r="D12" s="227" t="s">
        <v>154</v>
      </c>
      <c r="E12" s="211" t="s">
        <v>261</v>
      </c>
      <c r="F12" s="207" t="s">
        <v>106</v>
      </c>
      <c r="G12" s="211" t="s">
        <v>142</v>
      </c>
      <c r="H12" s="213" t="s">
        <v>335</v>
      </c>
      <c r="I12" s="211" t="s">
        <v>173</v>
      </c>
      <c r="J12" s="211" t="s">
        <v>248</v>
      </c>
      <c r="K12" s="211" t="s">
        <v>146</v>
      </c>
      <c r="L12" s="212"/>
      <c r="M12" s="374" t="s">
        <v>827</v>
      </c>
      <c r="N12" s="228" t="s">
        <v>274</v>
      </c>
      <c r="O12" s="213" t="s">
        <v>320</v>
      </c>
      <c r="P12" s="569"/>
      <c r="Q12" s="570"/>
      <c r="R12" s="215">
        <f t="shared" si="0"/>
        <v>1</v>
      </c>
      <c r="S12" s="206"/>
      <c r="T12" s="578" t="s">
        <v>835</v>
      </c>
      <c r="U12" s="579"/>
      <c r="V12" s="579"/>
      <c r="W12" s="579"/>
      <c r="X12" s="579"/>
      <c r="Y12" s="580"/>
    </row>
    <row r="13" spans="1:30" s="200" customFormat="1" ht="27.95" customHeight="1">
      <c r="A13" s="208">
        <v>9</v>
      </c>
      <c r="B13" s="239" t="s">
        <v>187</v>
      </c>
      <c r="C13" s="424" t="s">
        <v>173</v>
      </c>
      <c r="D13" s="424" t="s">
        <v>173</v>
      </c>
      <c r="E13" s="212" t="s">
        <v>174</v>
      </c>
      <c r="F13" s="210" t="s">
        <v>145</v>
      </c>
      <c r="G13" s="210" t="s">
        <v>186</v>
      </c>
      <c r="H13" s="214" t="s">
        <v>161</v>
      </c>
      <c r="I13" s="214" t="s">
        <v>184</v>
      </c>
      <c r="J13" s="396" t="s">
        <v>807</v>
      </c>
      <c r="K13" s="372" t="s">
        <v>777</v>
      </c>
      <c r="L13" s="214"/>
      <c r="M13" s="210" t="s">
        <v>254</v>
      </c>
      <c r="N13" s="210" t="s">
        <v>183</v>
      </c>
      <c r="O13" s="211" t="s">
        <v>182</v>
      </c>
      <c r="P13" s="571"/>
      <c r="Q13" s="572"/>
      <c r="R13" s="215">
        <f t="shared" si="0"/>
        <v>1</v>
      </c>
      <c r="S13" s="206"/>
      <c r="T13" s="581"/>
      <c r="U13" s="582"/>
      <c r="V13" s="582"/>
      <c r="W13" s="582"/>
      <c r="X13" s="582"/>
      <c r="Y13" s="583"/>
      <c r="Z13" s="229"/>
    </row>
    <row r="14" spans="1:30" s="200" customFormat="1" ht="27.95" customHeight="1">
      <c r="A14" s="208">
        <v>10</v>
      </c>
      <c r="B14" s="209" t="s">
        <v>181</v>
      </c>
      <c r="C14" s="424" t="s">
        <v>172</v>
      </c>
      <c r="D14" s="424" t="s">
        <v>172</v>
      </c>
      <c r="E14" s="2" t="s">
        <v>180</v>
      </c>
      <c r="F14" s="210" t="s">
        <v>179</v>
      </c>
      <c r="G14" s="210" t="s">
        <v>621</v>
      </c>
      <c r="H14" s="210" t="s">
        <v>106</v>
      </c>
      <c r="I14" s="211" t="s">
        <v>178</v>
      </c>
      <c r="J14" s="3" t="s">
        <v>177</v>
      </c>
      <c r="K14" s="372" t="s">
        <v>778</v>
      </c>
      <c r="L14" s="214"/>
      <c r="M14" s="214" t="s">
        <v>164</v>
      </c>
      <c r="N14" s="396" t="s">
        <v>811</v>
      </c>
      <c r="O14" s="210" t="s">
        <v>176</v>
      </c>
      <c r="P14" s="571"/>
      <c r="Q14" s="572"/>
      <c r="R14" s="215">
        <f t="shared" si="0"/>
        <v>1</v>
      </c>
      <c r="S14" s="206"/>
      <c r="T14" s="581"/>
      <c r="U14" s="582"/>
      <c r="V14" s="582"/>
      <c r="W14" s="582"/>
      <c r="X14" s="582"/>
      <c r="Y14" s="583"/>
    </row>
    <row r="15" spans="1:30" s="200" customFormat="1" ht="27.95" customHeight="1" thickBot="1">
      <c r="A15" s="208">
        <v>11</v>
      </c>
      <c r="B15" s="223" t="s">
        <v>171</v>
      </c>
      <c r="C15" s="425" t="s">
        <v>261</v>
      </c>
      <c r="D15" s="425" t="s">
        <v>261</v>
      </c>
      <c r="E15" s="231" t="s">
        <v>170</v>
      </c>
      <c r="F15" s="231" t="s">
        <v>151</v>
      </c>
      <c r="G15" s="231" t="s">
        <v>207</v>
      </c>
      <c r="H15" s="231" t="s">
        <v>220</v>
      </c>
      <c r="I15" s="231" t="s">
        <v>265</v>
      </c>
      <c r="J15" s="231" t="s">
        <v>743</v>
      </c>
      <c r="K15" s="11" t="s">
        <v>751</v>
      </c>
      <c r="L15" s="231"/>
      <c r="M15" s="231" t="s">
        <v>199</v>
      </c>
      <c r="N15" s="488" t="s">
        <v>244</v>
      </c>
      <c r="O15" s="226" t="s">
        <v>255</v>
      </c>
      <c r="P15" s="573"/>
      <c r="Q15" s="574"/>
      <c r="R15" s="215">
        <f t="shared" si="0"/>
        <v>1</v>
      </c>
      <c r="S15" s="206"/>
      <c r="T15" s="581"/>
      <c r="U15" s="582"/>
      <c r="V15" s="582"/>
      <c r="W15" s="582"/>
      <c r="X15" s="582"/>
      <c r="Y15" s="583"/>
    </row>
    <row r="16" spans="1:30" s="236" customFormat="1" ht="27.95" customHeight="1" thickBot="1">
      <c r="A16" s="208">
        <v>12</v>
      </c>
      <c r="B16" s="233" t="s">
        <v>141</v>
      </c>
      <c r="C16" s="608"/>
      <c r="D16" s="609"/>
      <c r="E16" s="226" t="s">
        <v>140</v>
      </c>
      <c r="F16" s="234" t="s">
        <v>274</v>
      </c>
      <c r="G16" s="235" t="s">
        <v>172</v>
      </c>
      <c r="H16" s="234" t="s">
        <v>67</v>
      </c>
      <c r="I16" s="465" t="s">
        <v>809</v>
      </c>
      <c r="J16" s="406" t="s">
        <v>826</v>
      </c>
      <c r="K16" s="224" t="s">
        <v>261</v>
      </c>
      <c r="L16" s="226"/>
      <c r="M16" s="224" t="s">
        <v>206</v>
      </c>
      <c r="N16" s="224"/>
      <c r="O16" s="224" t="s">
        <v>295</v>
      </c>
      <c r="P16" s="226" t="s">
        <v>751</v>
      </c>
      <c r="Q16" s="226"/>
      <c r="R16" s="215">
        <f t="shared" si="0"/>
        <v>0.83333333333333337</v>
      </c>
      <c r="S16" s="206"/>
      <c r="T16" s="581"/>
      <c r="U16" s="582"/>
      <c r="V16" s="582"/>
      <c r="W16" s="582"/>
      <c r="X16" s="582"/>
      <c r="Y16" s="583"/>
    </row>
    <row r="17" spans="1:25" s="236" customFormat="1" ht="27.95" customHeight="1">
      <c r="A17" s="208">
        <v>13</v>
      </c>
      <c r="B17" s="218" t="s">
        <v>14</v>
      </c>
      <c r="C17" s="610"/>
      <c r="D17" s="611"/>
      <c r="E17" s="374"/>
      <c r="F17" s="383" t="s">
        <v>15</v>
      </c>
      <c r="G17" s="383" t="s">
        <v>16</v>
      </c>
      <c r="H17" s="383"/>
      <c r="I17" s="211" t="s">
        <v>51</v>
      </c>
      <c r="J17" s="213" t="s">
        <v>17</v>
      </c>
      <c r="K17" s="211" t="s">
        <v>54</v>
      </c>
      <c r="L17" s="213"/>
      <c r="M17" s="211" t="s">
        <v>18</v>
      </c>
      <c r="N17" s="211" t="s">
        <v>25</v>
      </c>
      <c r="O17" s="213" t="s">
        <v>262</v>
      </c>
      <c r="P17" s="214" t="s">
        <v>23</v>
      </c>
      <c r="Q17" s="487" t="s">
        <v>790</v>
      </c>
      <c r="R17" s="215">
        <f t="shared" si="0"/>
        <v>0.83333333333333337</v>
      </c>
      <c r="S17" s="206"/>
      <c r="T17" s="581"/>
      <c r="U17" s="582"/>
      <c r="V17" s="582"/>
      <c r="W17" s="582"/>
      <c r="X17" s="582"/>
      <c r="Y17" s="583"/>
    </row>
    <row r="18" spans="1:25" s="236" customFormat="1" ht="27.95" customHeight="1">
      <c r="A18" s="208">
        <v>14</v>
      </c>
      <c r="B18" s="237" t="s">
        <v>119</v>
      </c>
      <c r="C18" s="612"/>
      <c r="D18" s="613"/>
      <c r="E18" s="211" t="s">
        <v>633</v>
      </c>
      <c r="F18" s="213" t="s">
        <v>20</v>
      </c>
      <c r="G18" s="396" t="s">
        <v>808</v>
      </c>
      <c r="H18" s="374" t="s">
        <v>831</v>
      </c>
      <c r="I18" s="213" t="s">
        <v>118</v>
      </c>
      <c r="J18" s="238" t="s">
        <v>234</v>
      </c>
      <c r="K18" s="213" t="s">
        <v>117</v>
      </c>
      <c r="L18" s="212"/>
      <c r="M18" s="143" t="s">
        <v>292</v>
      </c>
      <c r="N18" s="212" t="s">
        <v>116</v>
      </c>
      <c r="O18" s="210" t="s">
        <v>747</v>
      </c>
      <c r="P18" s="214" t="s">
        <v>72</v>
      </c>
      <c r="Q18" s="211" t="s">
        <v>272</v>
      </c>
      <c r="R18" s="215">
        <f t="shared" si="0"/>
        <v>1</v>
      </c>
      <c r="S18" s="206"/>
      <c r="T18" s="581"/>
      <c r="U18" s="582"/>
      <c r="V18" s="582"/>
      <c r="W18" s="582"/>
      <c r="X18" s="582"/>
      <c r="Y18" s="583"/>
    </row>
    <row r="19" spans="1:25" s="236" customFormat="1" ht="27.95" customHeight="1" thickBot="1">
      <c r="A19" s="208">
        <v>15</v>
      </c>
      <c r="B19" s="239" t="s">
        <v>139</v>
      </c>
      <c r="C19" s="612"/>
      <c r="D19" s="613"/>
      <c r="E19" s="2" t="s">
        <v>260</v>
      </c>
      <c r="F19" s="238" t="s">
        <v>833</v>
      </c>
      <c r="G19" s="211" t="s">
        <v>94</v>
      </c>
      <c r="H19" s="210" t="s">
        <v>226</v>
      </c>
      <c r="I19" s="170" t="s">
        <v>779</v>
      </c>
      <c r="J19" s="211" t="s">
        <v>138</v>
      </c>
      <c r="K19" s="214" t="s">
        <v>623</v>
      </c>
      <c r="L19" s="214"/>
      <c r="M19" s="211" t="s">
        <v>275</v>
      </c>
      <c r="N19" s="211" t="s">
        <v>137</v>
      </c>
      <c r="O19" s="210" t="s">
        <v>136</v>
      </c>
      <c r="P19" s="240" t="s">
        <v>135</v>
      </c>
      <c r="Q19" s="211" t="s">
        <v>267</v>
      </c>
      <c r="R19" s="215">
        <f t="shared" si="0"/>
        <v>1</v>
      </c>
      <c r="S19" s="206"/>
      <c r="T19" s="584"/>
      <c r="U19" s="585"/>
      <c r="V19" s="585"/>
      <c r="W19" s="585"/>
      <c r="X19" s="585"/>
      <c r="Y19" s="586"/>
    </row>
    <row r="20" spans="1:25" s="200" customFormat="1" ht="27.95" customHeight="1" thickBot="1">
      <c r="A20" s="208">
        <v>16</v>
      </c>
      <c r="B20" s="237" t="s">
        <v>115</v>
      </c>
      <c r="C20" s="612"/>
      <c r="D20" s="613"/>
      <c r="E20" s="214" t="s">
        <v>22</v>
      </c>
      <c r="F20" s="210" t="s">
        <v>210</v>
      </c>
      <c r="G20" s="210" t="s">
        <v>52</v>
      </c>
      <c r="H20" s="214" t="s">
        <v>797</v>
      </c>
      <c r="I20" s="214" t="s">
        <v>275</v>
      </c>
      <c r="J20" s="211"/>
      <c r="K20" s="212" t="s">
        <v>113</v>
      </c>
      <c r="L20" s="214"/>
      <c r="M20" s="2" t="s">
        <v>221</v>
      </c>
      <c r="N20" s="242" t="s">
        <v>110</v>
      </c>
      <c r="O20" s="213" t="s">
        <v>610</v>
      </c>
      <c r="P20" s="214" t="s">
        <v>55</v>
      </c>
      <c r="Q20" s="214" t="s">
        <v>70</v>
      </c>
      <c r="R20" s="215">
        <f t="shared" si="0"/>
        <v>0.91666666666666663</v>
      </c>
      <c r="S20" s="206"/>
      <c r="T20" s="616" t="s">
        <v>306</v>
      </c>
      <c r="U20" s="617"/>
      <c r="V20" s="617"/>
      <c r="W20" s="617"/>
      <c r="X20" s="617"/>
      <c r="Y20" s="618"/>
    </row>
    <row r="21" spans="1:25" s="200" customFormat="1" ht="27.95" customHeight="1">
      <c r="A21" s="208"/>
      <c r="B21" s="243" t="s">
        <v>645</v>
      </c>
      <c r="C21" s="612"/>
      <c r="D21" s="613"/>
      <c r="E21" s="433"/>
      <c r="F21" s="432"/>
      <c r="G21" s="432"/>
      <c r="H21" s="433"/>
      <c r="I21" s="433"/>
      <c r="J21" s="434"/>
      <c r="K21" s="431"/>
      <c r="L21" s="433"/>
      <c r="M21" s="435"/>
      <c r="N21" s="437"/>
      <c r="O21" s="440"/>
      <c r="P21" s="440"/>
      <c r="Q21" s="441"/>
      <c r="R21" s="215"/>
      <c r="S21" s="206"/>
      <c r="T21" s="578" t="s">
        <v>836</v>
      </c>
      <c r="U21" s="579"/>
      <c r="V21" s="579"/>
      <c r="W21" s="579"/>
      <c r="X21" s="579"/>
      <c r="Y21" s="580"/>
    </row>
    <row r="22" spans="1:25" s="200" customFormat="1" ht="27.95" customHeight="1">
      <c r="A22" s="208">
        <v>17</v>
      </c>
      <c r="B22" s="243" t="s">
        <v>130</v>
      </c>
      <c r="C22" s="612"/>
      <c r="D22" s="613"/>
      <c r="E22" s="210" t="s">
        <v>243</v>
      </c>
      <c r="F22" s="210" t="s">
        <v>129</v>
      </c>
      <c r="G22" s="210" t="s">
        <v>249</v>
      </c>
      <c r="H22" s="214" t="s">
        <v>209</v>
      </c>
      <c r="I22" s="210" t="s">
        <v>128</v>
      </c>
      <c r="J22" s="210" t="s">
        <v>127</v>
      </c>
      <c r="K22" s="210"/>
      <c r="L22" s="241"/>
      <c r="M22" s="214" t="s">
        <v>284</v>
      </c>
      <c r="N22" s="2" t="s">
        <v>126</v>
      </c>
      <c r="O22" s="211"/>
      <c r="P22" s="244" t="s">
        <v>125</v>
      </c>
      <c r="Q22" s="245" t="s">
        <v>249</v>
      </c>
      <c r="R22" s="215">
        <f t="shared" si="0"/>
        <v>0.83333333333333337</v>
      </c>
      <c r="S22" s="206"/>
      <c r="T22" s="581"/>
      <c r="U22" s="582"/>
      <c r="V22" s="582"/>
      <c r="W22" s="582"/>
      <c r="X22" s="582"/>
      <c r="Y22" s="583"/>
    </row>
    <row r="23" spans="1:25" s="200" customFormat="1" ht="27.95" customHeight="1" thickBot="1">
      <c r="A23" s="208">
        <v>18</v>
      </c>
      <c r="B23" s="246" t="s">
        <v>124</v>
      </c>
      <c r="C23" s="614"/>
      <c r="D23" s="615"/>
      <c r="E23" s="488" t="s">
        <v>832</v>
      </c>
      <c r="F23" s="248" t="s">
        <v>197</v>
      </c>
      <c r="G23" s="11" t="s">
        <v>19</v>
      </c>
      <c r="H23" s="231" t="s">
        <v>262</v>
      </c>
      <c r="I23" s="231" t="s">
        <v>263</v>
      </c>
      <c r="J23" s="485" t="s">
        <v>821</v>
      </c>
      <c r="K23" s="231" t="s">
        <v>339</v>
      </c>
      <c r="L23" s="283"/>
      <c r="M23" s="248" t="s">
        <v>822</v>
      </c>
      <c r="N23" s="231" t="s">
        <v>71</v>
      </c>
      <c r="O23" s="231" t="s">
        <v>752</v>
      </c>
      <c r="P23" s="248" t="s">
        <v>123</v>
      </c>
      <c r="Q23" s="231" t="s">
        <v>122</v>
      </c>
      <c r="R23" s="215">
        <f t="shared" si="0"/>
        <v>1</v>
      </c>
      <c r="S23" s="206"/>
      <c r="T23" s="581"/>
      <c r="U23" s="582"/>
      <c r="V23" s="582"/>
      <c r="W23" s="582"/>
      <c r="X23" s="582"/>
      <c r="Y23" s="583"/>
    </row>
    <row r="24" spans="1:25" s="200" customFormat="1" ht="27.95" customHeight="1" thickBot="1">
      <c r="A24" s="208">
        <v>19</v>
      </c>
      <c r="B24" s="249" t="s">
        <v>112</v>
      </c>
      <c r="C24" s="619"/>
      <c r="D24" s="620"/>
      <c r="E24" s="224" t="s">
        <v>268</v>
      </c>
      <c r="F24" s="224" t="s">
        <v>752</v>
      </c>
      <c r="G24" s="250" t="s">
        <v>233</v>
      </c>
      <c r="H24" s="224" t="s">
        <v>294</v>
      </c>
      <c r="I24" s="224" t="s">
        <v>111</v>
      </c>
      <c r="J24" s="224" t="s">
        <v>69</v>
      </c>
      <c r="K24" s="234" t="s">
        <v>110</v>
      </c>
      <c r="L24" s="234"/>
      <c r="M24" s="234" t="s">
        <v>249</v>
      </c>
      <c r="N24" s="226" t="s">
        <v>338</v>
      </c>
      <c r="O24" s="235" t="s">
        <v>109</v>
      </c>
      <c r="P24" s="226" t="s">
        <v>209</v>
      </c>
      <c r="Q24" s="224" t="s">
        <v>72</v>
      </c>
      <c r="R24" s="215">
        <f t="shared" si="0"/>
        <v>1</v>
      </c>
      <c r="S24" s="206"/>
      <c r="T24" s="584"/>
      <c r="U24" s="585"/>
      <c r="V24" s="585"/>
      <c r="W24" s="585"/>
      <c r="X24" s="585"/>
      <c r="Y24" s="586"/>
    </row>
    <row r="25" spans="1:25" s="200" customFormat="1" ht="27.95" customHeight="1" thickBot="1">
      <c r="A25" s="208">
        <v>20</v>
      </c>
      <c r="B25" s="341" t="s">
        <v>26</v>
      </c>
      <c r="C25" s="251" t="s">
        <v>804</v>
      </c>
      <c r="D25" s="251" t="s">
        <v>805</v>
      </c>
      <c r="E25" s="252" t="s">
        <v>252</v>
      </c>
      <c r="F25" s="211" t="s">
        <v>27</v>
      </c>
      <c r="G25" s="213" t="s">
        <v>47</v>
      </c>
      <c r="H25" s="3" t="s">
        <v>28</v>
      </c>
      <c r="I25" s="211" t="s">
        <v>68</v>
      </c>
      <c r="J25" s="211" t="s">
        <v>275</v>
      </c>
      <c r="K25" s="211" t="s">
        <v>50</v>
      </c>
      <c r="L25" s="253"/>
      <c r="M25" s="354" t="s">
        <v>810</v>
      </c>
      <c r="N25" s="211"/>
      <c r="O25" s="3" t="s">
        <v>24</v>
      </c>
      <c r="P25" s="569"/>
      <c r="Q25" s="570"/>
      <c r="R25" s="215">
        <f t="shared" si="0"/>
        <v>0.91666666666666663</v>
      </c>
      <c r="S25" s="206"/>
      <c r="T25" s="575" t="s">
        <v>120</v>
      </c>
      <c r="U25" s="576"/>
      <c r="V25" s="576"/>
      <c r="W25" s="576"/>
      <c r="X25" s="576"/>
      <c r="Y25" s="577"/>
    </row>
    <row r="26" spans="1:25" s="200" customFormat="1" ht="27.95" customHeight="1">
      <c r="A26" s="208">
        <v>21</v>
      </c>
      <c r="B26" s="342" t="s">
        <v>515</v>
      </c>
      <c r="C26" s="254" t="s">
        <v>209</v>
      </c>
      <c r="D26" s="254" t="s">
        <v>209</v>
      </c>
      <c r="E26" s="489" t="s">
        <v>792</v>
      </c>
      <c r="F26" s="210" t="s">
        <v>748</v>
      </c>
      <c r="G26" s="3" t="s">
        <v>516</v>
      </c>
      <c r="H26" s="211" t="s">
        <v>517</v>
      </c>
      <c r="I26" s="214" t="s">
        <v>231</v>
      </c>
      <c r="J26" s="211" t="s">
        <v>29</v>
      </c>
      <c r="K26" s="210" t="s">
        <v>268</v>
      </c>
      <c r="L26" s="219"/>
      <c r="M26" s="214" t="s">
        <v>30</v>
      </c>
      <c r="N26" s="2"/>
      <c r="O26" s="214" t="s">
        <v>209</v>
      </c>
      <c r="P26" s="571"/>
      <c r="Q26" s="572"/>
      <c r="R26" s="215"/>
      <c r="S26" s="206"/>
      <c r="T26" s="578"/>
      <c r="U26" s="579"/>
      <c r="V26" s="579"/>
      <c r="W26" s="579"/>
      <c r="X26" s="579"/>
      <c r="Y26" s="580"/>
    </row>
    <row r="27" spans="1:25" s="200" customFormat="1" ht="27.95" customHeight="1">
      <c r="A27" s="208">
        <v>22</v>
      </c>
      <c r="B27" s="343" t="s">
        <v>133</v>
      </c>
      <c r="C27" s="254" t="s">
        <v>268</v>
      </c>
      <c r="D27" s="254" t="s">
        <v>268</v>
      </c>
      <c r="E27" s="216" t="s">
        <v>338</v>
      </c>
      <c r="F27" s="244" t="s">
        <v>132</v>
      </c>
      <c r="G27" s="211" t="s">
        <v>293</v>
      </c>
      <c r="H27" s="211" t="s">
        <v>131</v>
      </c>
      <c r="I27" s="211" t="s">
        <v>19</v>
      </c>
      <c r="J27" s="210" t="s">
        <v>211</v>
      </c>
      <c r="K27" s="213"/>
      <c r="L27" s="213"/>
      <c r="M27" s="211" t="s">
        <v>219</v>
      </c>
      <c r="N27" s="213" t="s">
        <v>262</v>
      </c>
      <c r="O27" s="482" t="s">
        <v>812</v>
      </c>
      <c r="P27" s="571"/>
      <c r="Q27" s="572"/>
      <c r="R27" s="215">
        <f>(COUNTA(C27:Q27))/12</f>
        <v>0.91666666666666663</v>
      </c>
      <c r="S27" s="206"/>
      <c r="T27" s="581"/>
      <c r="U27" s="582"/>
      <c r="V27" s="582"/>
      <c r="W27" s="582"/>
      <c r="X27" s="582"/>
      <c r="Y27" s="583"/>
    </row>
    <row r="28" spans="1:25" s="200" customFormat="1" ht="27.95" customHeight="1" thickBot="1">
      <c r="A28" s="208">
        <v>23</v>
      </c>
      <c r="B28" s="344" t="s">
        <v>528</v>
      </c>
      <c r="C28" s="256" t="s">
        <v>72</v>
      </c>
      <c r="D28" s="256" t="s">
        <v>72</v>
      </c>
      <c r="E28" s="377" t="s">
        <v>784</v>
      </c>
      <c r="F28" s="248" t="s">
        <v>55</v>
      </c>
      <c r="G28" s="11" t="s">
        <v>198</v>
      </c>
      <c r="H28" s="226" t="s">
        <v>70</v>
      </c>
      <c r="I28" s="257" t="s">
        <v>531</v>
      </c>
      <c r="J28" s="258" t="s">
        <v>532</v>
      </c>
      <c r="K28" s="248" t="s">
        <v>294</v>
      </c>
      <c r="L28" s="258"/>
      <c r="M28" s="248" t="s">
        <v>21</v>
      </c>
      <c r="N28" s="259" t="s">
        <v>121</v>
      </c>
      <c r="O28" s="11" t="s">
        <v>210</v>
      </c>
      <c r="P28" s="573"/>
      <c r="Q28" s="574"/>
      <c r="R28" s="215"/>
      <c r="S28" s="206"/>
      <c r="T28" s="581"/>
      <c r="U28" s="582"/>
      <c r="V28" s="582"/>
      <c r="W28" s="582"/>
      <c r="X28" s="582"/>
      <c r="Y28" s="583"/>
    </row>
    <row r="29" spans="1:25" s="200" customFormat="1" ht="27.95" customHeight="1">
      <c r="A29" s="260" t="s">
        <v>108</v>
      </c>
      <c r="B29" s="261" t="s">
        <v>107</v>
      </c>
      <c r="C29" s="587"/>
      <c r="D29" s="588"/>
      <c r="E29" s="4"/>
      <c r="F29" s="262"/>
      <c r="G29" s="262" t="s">
        <v>746</v>
      </c>
      <c r="H29" s="213" t="s">
        <v>218</v>
      </c>
      <c r="I29" s="262" t="s">
        <v>106</v>
      </c>
      <c r="J29" s="4" t="s">
        <v>105</v>
      </c>
      <c r="K29" s="4"/>
      <c r="L29" s="263"/>
      <c r="M29" s="262"/>
      <c r="N29" s="262" t="s">
        <v>295</v>
      </c>
      <c r="O29" s="211" t="s">
        <v>104</v>
      </c>
      <c r="P29" s="264"/>
      <c r="Q29" s="265"/>
      <c r="R29" s="215">
        <f>(COUNTA(C29:Q29))/6</f>
        <v>1</v>
      </c>
      <c r="S29" s="206"/>
      <c r="T29" s="581"/>
      <c r="U29" s="582"/>
      <c r="V29" s="582"/>
      <c r="W29" s="582"/>
      <c r="X29" s="582"/>
      <c r="Y29" s="583"/>
    </row>
    <row r="30" spans="1:25" s="200" customFormat="1" ht="27.95" customHeight="1" thickBot="1">
      <c r="A30" s="266" t="s">
        <v>103</v>
      </c>
      <c r="B30" s="267" t="s">
        <v>31</v>
      </c>
      <c r="C30" s="587"/>
      <c r="D30" s="588"/>
      <c r="E30" s="211" t="s">
        <v>747</v>
      </c>
      <c r="F30" s="211" t="s">
        <v>102</v>
      </c>
      <c r="G30" s="211"/>
      <c r="H30" s="211"/>
      <c r="I30" s="211" t="s">
        <v>294</v>
      </c>
      <c r="J30" s="211"/>
      <c r="K30" s="207"/>
      <c r="L30" s="268"/>
      <c r="M30" s="211"/>
      <c r="N30" s="211"/>
      <c r="O30" s="211" t="s">
        <v>94</v>
      </c>
      <c r="P30" s="210" t="s">
        <v>16</v>
      </c>
      <c r="Q30" s="211" t="s">
        <v>101</v>
      </c>
      <c r="R30" s="215">
        <f>(COUNTA(C30:Q30))/7</f>
        <v>0.8571428571428571</v>
      </c>
      <c r="S30" s="206"/>
      <c r="T30" s="584"/>
      <c r="U30" s="585"/>
      <c r="V30" s="585"/>
      <c r="W30" s="585"/>
      <c r="X30" s="585"/>
      <c r="Y30" s="586"/>
    </row>
    <row r="31" spans="1:25" s="200" customFormat="1" ht="9.9499999999999993" customHeight="1" thickBot="1">
      <c r="A31" s="269"/>
      <c r="B31" s="270"/>
      <c r="C31" s="270"/>
      <c r="D31" s="270"/>
      <c r="E31" s="5"/>
      <c r="F31" s="271"/>
      <c r="G31" s="272"/>
      <c r="H31" s="272"/>
      <c r="I31" s="272"/>
      <c r="J31" s="272"/>
      <c r="K31" s="5"/>
      <c r="L31" s="271"/>
      <c r="M31" s="5"/>
      <c r="N31" s="272"/>
      <c r="O31" s="271"/>
      <c r="P31" s="271"/>
      <c r="Q31" s="273"/>
      <c r="R31" s="274"/>
      <c r="S31" s="206"/>
      <c r="T31" s="480"/>
      <c r="U31" s="480"/>
      <c r="V31" s="480"/>
      <c r="W31" s="480"/>
      <c r="X31" s="480"/>
      <c r="Y31" s="480"/>
    </row>
    <row r="32" spans="1:25" s="200" customFormat="1" ht="109.5" customHeight="1">
      <c r="A32" s="589"/>
      <c r="B32" s="591" t="s">
        <v>100</v>
      </c>
      <c r="C32" s="593"/>
      <c r="D32" s="594"/>
      <c r="E32" s="265" t="s">
        <v>735</v>
      </c>
      <c r="F32" s="276" t="s">
        <v>278</v>
      </c>
      <c r="G32" s="265" t="s">
        <v>281</v>
      </c>
      <c r="H32" s="265" t="s">
        <v>823</v>
      </c>
      <c r="I32" s="211" t="s">
        <v>679</v>
      </c>
      <c r="J32" s="213" t="s">
        <v>641</v>
      </c>
      <c r="K32" s="211" t="s">
        <v>734</v>
      </c>
      <c r="L32" s="212"/>
      <c r="M32" s="213" t="s">
        <v>282</v>
      </c>
      <c r="N32" s="277" t="s">
        <v>276</v>
      </c>
      <c r="O32" s="276" t="s">
        <v>297</v>
      </c>
      <c r="P32" s="277" t="s">
        <v>824</v>
      </c>
      <c r="Q32" s="211" t="s">
        <v>296</v>
      </c>
      <c r="R32" s="215">
        <f>(COUNTA(C32:Q32))/12</f>
        <v>1</v>
      </c>
      <c r="S32" s="206"/>
      <c r="T32" s="599" t="s">
        <v>801</v>
      </c>
      <c r="U32" s="600"/>
      <c r="V32" s="600"/>
      <c r="W32" s="600"/>
      <c r="X32" s="600"/>
      <c r="Y32" s="601"/>
    </row>
    <row r="33" spans="1:31" s="200" customFormat="1" ht="129.94999999999999" customHeight="1">
      <c r="A33" s="590"/>
      <c r="B33" s="592"/>
      <c r="C33" s="595"/>
      <c r="D33" s="596"/>
      <c r="E33" s="278" t="s">
        <v>799</v>
      </c>
      <c r="F33" s="353" t="s">
        <v>819</v>
      </c>
      <c r="G33" s="279" t="s">
        <v>738</v>
      </c>
      <c r="H33" s="353" t="s">
        <v>817</v>
      </c>
      <c r="I33" s="214" t="s">
        <v>750</v>
      </c>
      <c r="J33" s="210" t="s">
        <v>820</v>
      </c>
      <c r="K33" s="210" t="s">
        <v>736</v>
      </c>
      <c r="L33" s="210"/>
      <c r="M33" s="210" t="s">
        <v>802</v>
      </c>
      <c r="N33" s="278" t="s">
        <v>818</v>
      </c>
      <c r="O33" s="349" t="s">
        <v>737</v>
      </c>
      <c r="P33" s="216" t="s">
        <v>704</v>
      </c>
      <c r="Q33" s="210" t="s">
        <v>800</v>
      </c>
      <c r="R33" s="274"/>
      <c r="S33" s="206"/>
      <c r="T33" s="602"/>
      <c r="U33" s="603"/>
      <c r="V33" s="603"/>
      <c r="W33" s="603"/>
      <c r="X33" s="603"/>
      <c r="Y33" s="604"/>
    </row>
    <row r="34" spans="1:31" s="200" customFormat="1" ht="69.95" customHeight="1" thickBot="1">
      <c r="A34" s="280"/>
      <c r="B34" s="246" t="s">
        <v>99</v>
      </c>
      <c r="C34" s="597"/>
      <c r="D34" s="598"/>
      <c r="E34" s="281" t="s">
        <v>98</v>
      </c>
      <c r="F34" s="282" t="s">
        <v>680</v>
      </c>
      <c r="G34" s="248" t="s">
        <v>242</v>
      </c>
      <c r="H34" s="248" t="s">
        <v>97</v>
      </c>
      <c r="I34" s="231" t="s">
        <v>227</v>
      </c>
      <c r="J34" s="248" t="s">
        <v>644</v>
      </c>
      <c r="K34" s="248" t="s">
        <v>825</v>
      </c>
      <c r="L34" s="283"/>
      <c r="M34" s="248" t="s">
        <v>643</v>
      </c>
      <c r="N34" s="231" t="s">
        <v>277</v>
      </c>
      <c r="O34" s="224" t="s">
        <v>259</v>
      </c>
      <c r="P34" s="248"/>
      <c r="Q34" s="284" t="s">
        <v>96</v>
      </c>
      <c r="R34" s="215">
        <f>(COUNTA(F34:P34))/9</f>
        <v>1</v>
      </c>
      <c r="S34" s="206"/>
      <c r="T34" s="605"/>
      <c r="U34" s="606"/>
      <c r="V34" s="606"/>
      <c r="W34" s="606"/>
      <c r="X34" s="606"/>
      <c r="Y34" s="607"/>
      <c r="AB34" s="198"/>
      <c r="AC34" s="198"/>
      <c r="AD34" s="198"/>
      <c r="AE34" s="198"/>
    </row>
    <row r="35" spans="1:31" ht="9.9499999999999993" customHeight="1">
      <c r="A35" s="286"/>
      <c r="B35" s="286"/>
      <c r="C35" s="287"/>
      <c r="D35" s="287"/>
      <c r="O35" s="289"/>
      <c r="S35" s="206"/>
      <c r="AA35" s="200"/>
    </row>
    <row r="36" spans="1:31" ht="21" customHeight="1">
      <c r="B36" s="291"/>
      <c r="C36" s="291"/>
      <c r="D36" s="292" t="s">
        <v>95</v>
      </c>
      <c r="E36" s="293" t="s">
        <v>0</v>
      </c>
      <c r="F36" s="293" t="s">
        <v>1</v>
      </c>
      <c r="G36" s="293" t="s">
        <v>2</v>
      </c>
      <c r="H36" s="293" t="s">
        <v>32</v>
      </c>
      <c r="I36" s="293" t="s">
        <v>33</v>
      </c>
      <c r="J36" s="293" t="s">
        <v>34</v>
      </c>
      <c r="K36" s="293" t="s">
        <v>35</v>
      </c>
      <c r="L36" s="294" t="s">
        <v>36</v>
      </c>
      <c r="M36" s="293" t="s">
        <v>37</v>
      </c>
      <c r="N36" s="293" t="s">
        <v>6</v>
      </c>
      <c r="O36" s="293" t="s">
        <v>7</v>
      </c>
      <c r="P36" s="293" t="s">
        <v>8</v>
      </c>
      <c r="Q36" s="295" t="s">
        <v>9</v>
      </c>
      <c r="R36" s="296"/>
      <c r="T36" s="297"/>
      <c r="U36" s="298"/>
      <c r="V36" s="298"/>
      <c r="W36" s="298"/>
      <c r="X36" s="298"/>
      <c r="AA36" s="200"/>
    </row>
    <row r="37" spans="1:31" ht="45.75" customHeight="1">
      <c r="B37" s="291"/>
      <c r="C37" s="291"/>
      <c r="D37" s="299" t="s">
        <v>93</v>
      </c>
      <c r="E37" s="241" t="s">
        <v>92</v>
      </c>
      <c r="F37" s="241" t="s">
        <v>708</v>
      </c>
      <c r="G37" s="241" t="s">
        <v>170</v>
      </c>
      <c r="H37" s="214" t="s">
        <v>613</v>
      </c>
      <c r="I37" s="214" t="s">
        <v>12</v>
      </c>
      <c r="J37" s="214" t="s">
        <v>48</v>
      </c>
      <c r="K37" s="214" t="s">
        <v>89</v>
      </c>
      <c r="L37" s="214"/>
      <c r="M37" s="349" t="s">
        <v>230</v>
      </c>
      <c r="N37" s="210" t="s">
        <v>733</v>
      </c>
      <c r="O37" s="301" t="s">
        <v>269</v>
      </c>
      <c r="P37" s="238" t="s">
        <v>730</v>
      </c>
      <c r="Q37" s="303" t="s">
        <v>11</v>
      </c>
      <c r="R37" s="296"/>
      <c r="T37" s="298"/>
      <c r="U37" s="298"/>
      <c r="V37" s="298"/>
      <c r="W37" s="298"/>
      <c r="X37" s="298"/>
      <c r="AA37" s="200"/>
    </row>
    <row r="38" spans="1:31" ht="27.95" customHeight="1">
      <c r="B38" s="291"/>
      <c r="C38" s="291"/>
      <c r="D38" s="299" t="s">
        <v>88</v>
      </c>
      <c r="E38" s="241"/>
      <c r="F38" s="241"/>
      <c r="G38" s="241"/>
      <c r="H38" s="214"/>
      <c r="I38" s="214"/>
      <c r="J38" s="214"/>
      <c r="K38" s="214"/>
      <c r="L38" s="214"/>
      <c r="M38" s="214"/>
      <c r="N38" s="214"/>
      <c r="O38" s="304"/>
      <c r="P38" s="241"/>
      <c r="Q38" s="305" t="s">
        <v>87</v>
      </c>
      <c r="R38" s="296"/>
      <c r="T38" s="298"/>
      <c r="U38" s="298"/>
      <c r="V38" s="298"/>
      <c r="W38" s="298"/>
      <c r="X38" s="298"/>
    </row>
    <row r="39" spans="1:31" ht="27.95" customHeight="1">
      <c r="B39" s="291"/>
      <c r="C39" s="291"/>
      <c r="D39" s="299" t="s">
        <v>86</v>
      </c>
      <c r="E39" s="214"/>
      <c r="F39" s="306"/>
      <c r="G39" s="214"/>
      <c r="H39" s="214" t="s">
        <v>316</v>
      </c>
      <c r="I39" s="388"/>
      <c r="J39" s="219" t="s">
        <v>30</v>
      </c>
      <c r="K39" s="389" t="s">
        <v>118</v>
      </c>
      <c r="L39" s="214"/>
      <c r="M39" s="214" t="s">
        <v>27</v>
      </c>
      <c r="N39" s="238" t="s">
        <v>134</v>
      </c>
      <c r="O39" s="309" t="s">
        <v>85</v>
      </c>
      <c r="P39" s="241" t="s">
        <v>84</v>
      </c>
      <c r="Q39" s="370" t="s">
        <v>317</v>
      </c>
      <c r="R39" s="296"/>
      <c r="T39" s="298"/>
      <c r="U39" s="298"/>
      <c r="V39" s="298"/>
      <c r="W39" s="298"/>
      <c r="X39" s="298"/>
    </row>
    <row r="40" spans="1:31" ht="42" customHeight="1">
      <c r="B40" s="198"/>
      <c r="C40" s="198"/>
      <c r="D40" s="311" t="s">
        <v>83</v>
      </c>
      <c r="E40" s="312" t="s">
        <v>608</v>
      </c>
      <c r="F40" s="312" t="s">
        <v>246</v>
      </c>
      <c r="G40" s="312" t="s">
        <v>731</v>
      </c>
      <c r="H40" s="314" t="s">
        <v>609</v>
      </c>
      <c r="I40" s="314" t="s">
        <v>612</v>
      </c>
      <c r="J40" s="313" t="s">
        <v>49</v>
      </c>
      <c r="K40" s="314" t="s">
        <v>617</v>
      </c>
      <c r="L40" s="314"/>
      <c r="M40" s="390" t="s">
        <v>616</v>
      </c>
      <c r="N40" s="314" t="s">
        <v>803</v>
      </c>
      <c r="O40" s="314" t="s">
        <v>314</v>
      </c>
      <c r="P40" s="312" t="s">
        <v>245</v>
      </c>
      <c r="Q40" s="315" t="s">
        <v>732</v>
      </c>
    </row>
    <row r="41" spans="1:31" ht="9.9499999999999993" customHeight="1">
      <c r="E41" s="288"/>
      <c r="F41" s="288"/>
      <c r="G41" s="288"/>
      <c r="H41" s="288"/>
      <c r="I41" s="288"/>
      <c r="J41" s="288"/>
      <c r="K41" s="288"/>
      <c r="M41" s="288"/>
      <c r="N41" s="288"/>
      <c r="O41" s="288"/>
    </row>
    <row r="42" spans="1:31" ht="27.95" customHeight="1">
      <c r="A42" s="317"/>
      <c r="B42" s="317"/>
      <c r="C42" s="317"/>
      <c r="D42" s="560" t="s">
        <v>813</v>
      </c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2"/>
      <c r="R42" s="296"/>
    </row>
    <row r="43" spans="1:31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31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31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31" ht="27.95" customHeight="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31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31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296"/>
    </row>
    <row r="51" spans="1:18">
      <c r="A51" s="317"/>
      <c r="B51" s="317"/>
      <c r="C51" s="317"/>
      <c r="D51" s="563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5"/>
      <c r="R51" s="296"/>
    </row>
    <row r="52" spans="1:18">
      <c r="A52" s="317"/>
      <c r="B52" s="317"/>
      <c r="C52" s="317"/>
      <c r="D52" s="566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296"/>
    </row>
    <row r="53" spans="1:18" ht="9.9499999999999993" customHeight="1"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6"/>
    </row>
    <row r="54" spans="1:18" ht="24">
      <c r="D54" s="318"/>
      <c r="E54" s="319" t="s">
        <v>0</v>
      </c>
      <c r="F54" s="320" t="s">
        <v>1</v>
      </c>
      <c r="G54" s="320" t="s">
        <v>2</v>
      </c>
      <c r="H54" s="320" t="s">
        <v>3</v>
      </c>
      <c r="I54" s="320" t="s">
        <v>81</v>
      </c>
      <c r="J54" s="320" t="s">
        <v>80</v>
      </c>
      <c r="K54" s="320" t="s">
        <v>79</v>
      </c>
      <c r="L54" s="321"/>
      <c r="M54" s="320" t="s">
        <v>5</v>
      </c>
      <c r="N54" s="320" t="s">
        <v>6</v>
      </c>
      <c r="O54" s="320" t="s">
        <v>7</v>
      </c>
      <c r="P54" s="320" t="s">
        <v>8</v>
      </c>
      <c r="Q54" s="322" t="s">
        <v>9</v>
      </c>
      <c r="R54" s="323" t="s">
        <v>78</v>
      </c>
    </row>
    <row r="55" spans="1:18" ht="30" customHeight="1">
      <c r="D55" s="324" t="s">
        <v>77</v>
      </c>
      <c r="E55" s="325"/>
      <c r="F55" s="228"/>
      <c r="G55" s="265" t="s">
        <v>706</v>
      </c>
      <c r="H55" s="228"/>
      <c r="I55" s="228"/>
      <c r="J55" s="228"/>
      <c r="K55" s="228"/>
      <c r="L55" s="212"/>
      <c r="M55" s="212"/>
      <c r="N55" s="228" t="s">
        <v>620</v>
      </c>
      <c r="O55" s="326"/>
      <c r="P55" s="326"/>
      <c r="Q55" s="228"/>
      <c r="R55" s="328"/>
    </row>
    <row r="56" spans="1:18" ht="30" customHeight="1">
      <c r="D56" s="329" t="s">
        <v>76</v>
      </c>
      <c r="E56" s="457"/>
      <c r="F56" s="242"/>
      <c r="G56" s="242" t="s">
        <v>319</v>
      </c>
      <c r="H56" s="242"/>
      <c r="I56" s="238"/>
      <c r="J56" s="242"/>
      <c r="K56" s="242" t="s">
        <v>216</v>
      </c>
      <c r="L56" s="219"/>
      <c r="M56" s="242"/>
      <c r="N56" s="242"/>
      <c r="O56" s="331"/>
      <c r="P56" s="331"/>
      <c r="Q56" s="242"/>
      <c r="R56" s="332"/>
    </row>
    <row r="57" spans="1:18" ht="50.1" customHeight="1">
      <c r="D57" s="333" t="s">
        <v>75</v>
      </c>
      <c r="E57" s="481" t="s">
        <v>806</v>
      </c>
      <c r="F57" s="238" t="s">
        <v>251</v>
      </c>
      <c r="G57" s="238" t="s">
        <v>60</v>
      </c>
      <c r="H57" s="238"/>
      <c r="I57" s="242" t="s">
        <v>228</v>
      </c>
      <c r="J57" s="238" t="s">
        <v>271</v>
      </c>
      <c r="K57" s="238" t="s">
        <v>301</v>
      </c>
      <c r="L57" s="219"/>
      <c r="M57" s="238"/>
      <c r="N57" s="242"/>
      <c r="O57" s="242"/>
      <c r="P57" s="242"/>
      <c r="Q57" s="242"/>
      <c r="R57" s="334"/>
    </row>
    <row r="58" spans="1:18" ht="30" customHeight="1">
      <c r="D58" s="324" t="s">
        <v>38</v>
      </c>
      <c r="E58" s="330"/>
      <c r="F58" s="331"/>
      <c r="G58" s="242"/>
      <c r="H58" s="242"/>
      <c r="I58" s="242"/>
      <c r="J58" s="242"/>
      <c r="K58" s="242"/>
      <c r="L58" s="309"/>
      <c r="M58" s="331"/>
      <c r="N58" s="331"/>
      <c r="O58" s="331"/>
      <c r="P58" s="331"/>
      <c r="Q58" s="331"/>
      <c r="R58" s="332"/>
    </row>
    <row r="59" spans="1:18" ht="30" customHeight="1">
      <c r="D59" s="335" t="s">
        <v>74</v>
      </c>
      <c r="E59" s="336"/>
      <c r="F59" s="337"/>
      <c r="G59" s="338"/>
      <c r="H59" s="337"/>
      <c r="I59" s="337"/>
      <c r="J59" s="337"/>
      <c r="K59" s="337"/>
      <c r="L59" s="339"/>
      <c r="M59" s="337"/>
      <c r="N59" s="337"/>
      <c r="O59" s="338" t="s">
        <v>24</v>
      </c>
      <c r="P59" s="338"/>
      <c r="Q59" s="337"/>
      <c r="R59" s="340"/>
    </row>
    <row r="62" spans="1:18" ht="24">
      <c r="D62" s="356"/>
      <c r="E62" s="320" t="s">
        <v>0</v>
      </c>
      <c r="F62" s="320" t="s">
        <v>1</v>
      </c>
      <c r="G62" s="320" t="s">
        <v>2</v>
      </c>
      <c r="H62" s="320" t="s">
        <v>3</v>
      </c>
      <c r="I62" s="320" t="s">
        <v>81</v>
      </c>
      <c r="J62" s="320" t="s">
        <v>80</v>
      </c>
      <c r="K62" s="320" t="s">
        <v>79</v>
      </c>
      <c r="L62" s="321"/>
      <c r="M62" s="320" t="s">
        <v>5</v>
      </c>
      <c r="N62" s="320" t="s">
        <v>6</v>
      </c>
      <c r="O62" s="320" t="s">
        <v>7</v>
      </c>
      <c r="P62" s="320" t="s">
        <v>8</v>
      </c>
      <c r="Q62" s="320" t="s">
        <v>9</v>
      </c>
      <c r="R62" s="323" t="s">
        <v>78</v>
      </c>
    </row>
    <row r="63" spans="1:18">
      <c r="D63" s="357" t="s">
        <v>629</v>
      </c>
      <c r="E63" s="358"/>
      <c r="F63" s="358"/>
      <c r="G63" s="358"/>
      <c r="H63" s="391" t="s">
        <v>624</v>
      </c>
      <c r="I63" s="392"/>
      <c r="J63" s="392"/>
      <c r="K63" s="358"/>
      <c r="L63" s="360"/>
      <c r="M63" s="358"/>
      <c r="N63" s="358"/>
      <c r="O63" s="358"/>
      <c r="P63" s="358"/>
      <c r="Q63" s="358"/>
      <c r="R63" s="361"/>
    </row>
    <row r="64" spans="1:18">
      <c r="D64" s="362"/>
      <c r="E64" s="363"/>
      <c r="F64" s="363"/>
      <c r="G64" s="363"/>
      <c r="H64" s="393"/>
      <c r="I64" s="394" t="s">
        <v>625</v>
      </c>
      <c r="J64" s="394" t="s">
        <v>625</v>
      </c>
      <c r="K64" s="363"/>
      <c r="L64" s="365"/>
      <c r="M64" s="363"/>
      <c r="N64" s="363"/>
      <c r="O64" s="363"/>
      <c r="P64" s="363"/>
      <c r="Q64" s="363"/>
      <c r="R64" s="366"/>
    </row>
    <row r="65" spans="8:10">
      <c r="H65" s="200"/>
      <c r="I65" s="200"/>
      <c r="J65" s="200"/>
    </row>
  </sheetData>
  <mergeCells count="23">
    <mergeCell ref="A1:Q1"/>
    <mergeCell ref="A2:Q2"/>
    <mergeCell ref="C4:D11"/>
    <mergeCell ref="E4:F4"/>
    <mergeCell ref="T4:Y4"/>
    <mergeCell ref="T5:Y10"/>
    <mergeCell ref="T11:Y11"/>
    <mergeCell ref="A32:A33"/>
    <mergeCell ref="B32:B33"/>
    <mergeCell ref="C32:D34"/>
    <mergeCell ref="T32:Y34"/>
    <mergeCell ref="P12:Q15"/>
    <mergeCell ref="T12:Y19"/>
    <mergeCell ref="C16:D16"/>
    <mergeCell ref="C17:D23"/>
    <mergeCell ref="T20:Y20"/>
    <mergeCell ref="T21:Y24"/>
    <mergeCell ref="C24:D24"/>
    <mergeCell ref="D42:Q52"/>
    <mergeCell ref="P25:Q28"/>
    <mergeCell ref="T25:Y25"/>
    <mergeCell ref="T26:Y30"/>
    <mergeCell ref="C29:D30"/>
  </mergeCells>
  <phoneticPr fontId="3" type="noConversion"/>
  <pageMargins left="0.7" right="0.7" top="0.75" bottom="0.75" header="0.3" footer="0.3"/>
  <pageSetup paperSize="9" scale="26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5"/>
  <sheetViews>
    <sheetView topLeftCell="A38" zoomScale="85" zoomScaleNormal="85" workbookViewId="0">
      <selection activeCell="J55" sqref="J55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8" width="11.875" style="198" customWidth="1"/>
    <col min="19" max="19" width="11.875" style="290" customWidth="1"/>
    <col min="20" max="20" width="6.125" style="198" customWidth="1"/>
    <col min="21" max="26" width="8.125" style="198" customWidth="1"/>
    <col min="27" max="16384" width="9" style="198"/>
  </cols>
  <sheetData>
    <row r="1" spans="1:31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501"/>
      <c r="S1" s="196"/>
    </row>
    <row r="2" spans="1:31" ht="18" customHeight="1">
      <c r="A2" s="623" t="s">
        <v>848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502"/>
      <c r="S2" s="199"/>
      <c r="U2" s="200"/>
      <c r="V2" s="200"/>
      <c r="W2" s="200"/>
      <c r="X2" s="200"/>
      <c r="Y2" s="200"/>
      <c r="Z2" s="200"/>
      <c r="AB2" s="200"/>
      <c r="AC2" s="200"/>
      <c r="AD2" s="200"/>
      <c r="AE2" s="200"/>
    </row>
    <row r="3" spans="1:31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503" t="s">
        <v>864</v>
      </c>
      <c r="S3" s="205">
        <f>AVERAGE(S4:S34)</f>
        <v>0.87380952380952381</v>
      </c>
      <c r="T3" s="206"/>
      <c r="U3" s="200"/>
      <c r="V3" s="200"/>
      <c r="W3" s="200"/>
      <c r="X3" s="200"/>
      <c r="Y3" s="200"/>
      <c r="Z3" s="200"/>
      <c r="AA3" s="207"/>
      <c r="AB3" s="200"/>
      <c r="AC3" s="200"/>
      <c r="AD3" s="200"/>
      <c r="AE3" s="200"/>
    </row>
    <row r="4" spans="1:31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210" t="s">
        <v>73</v>
      </c>
      <c r="H4" s="211" t="s">
        <v>183</v>
      </c>
      <c r="I4" s="211" t="s">
        <v>206</v>
      </c>
      <c r="J4" s="212" t="s">
        <v>191</v>
      </c>
      <c r="K4" s="374" t="s">
        <v>778</v>
      </c>
      <c r="L4" s="213"/>
      <c r="M4" s="211" t="s">
        <v>91</v>
      </c>
      <c r="N4" s="210" t="s">
        <v>285</v>
      </c>
      <c r="O4" s="211" t="s">
        <v>253</v>
      </c>
      <c r="P4" s="214" t="s">
        <v>46</v>
      </c>
      <c r="Q4" s="1" t="s">
        <v>189</v>
      </c>
      <c r="R4" s="534"/>
      <c r="S4" s="215">
        <f>(COUNTA(G4:Q4))/10</f>
        <v>1</v>
      </c>
      <c r="T4" s="206"/>
      <c r="U4" s="633" t="s">
        <v>188</v>
      </c>
      <c r="V4" s="634"/>
      <c r="W4" s="634"/>
      <c r="X4" s="634"/>
      <c r="Y4" s="634"/>
      <c r="Z4" s="635"/>
    </row>
    <row r="5" spans="1:31" s="200" customFormat="1" ht="27.95" customHeight="1">
      <c r="A5" s="208">
        <v>2</v>
      </c>
      <c r="B5" s="209" t="s">
        <v>165</v>
      </c>
      <c r="C5" s="627"/>
      <c r="D5" s="628"/>
      <c r="E5" s="214" t="s">
        <v>89</v>
      </c>
      <c r="F5" s="214" t="s">
        <v>229</v>
      </c>
      <c r="G5" s="2" t="s">
        <v>144</v>
      </c>
      <c r="H5" s="210" t="s">
        <v>164</v>
      </c>
      <c r="I5" s="210" t="s">
        <v>163</v>
      </c>
      <c r="J5" s="353" t="s">
        <v>839</v>
      </c>
      <c r="K5" s="214" t="s">
        <v>162</v>
      </c>
      <c r="L5" s="214"/>
      <c r="M5" s="210" t="s">
        <v>266</v>
      </c>
      <c r="N5" s="216" t="s">
        <v>161</v>
      </c>
      <c r="O5" s="372" t="s">
        <v>876</v>
      </c>
      <c r="P5" s="214" t="s">
        <v>200</v>
      </c>
      <c r="Q5" s="210" t="s">
        <v>10</v>
      </c>
      <c r="R5" s="421" t="s">
        <v>776</v>
      </c>
      <c r="S5" s="215">
        <f t="shared" ref="S5:S25" si="0">(COUNTA(C5:Q5))/12</f>
        <v>1</v>
      </c>
      <c r="T5" s="206"/>
      <c r="U5" s="578" t="s">
        <v>899</v>
      </c>
      <c r="V5" s="579"/>
      <c r="W5" s="579"/>
      <c r="X5" s="579"/>
      <c r="Y5" s="579"/>
      <c r="Z5" s="580"/>
    </row>
    <row r="6" spans="1:31" s="200" customFormat="1" ht="27.95" customHeight="1">
      <c r="A6" s="208">
        <v>3</v>
      </c>
      <c r="B6" s="218" t="s">
        <v>160</v>
      </c>
      <c r="C6" s="627"/>
      <c r="D6" s="628"/>
      <c r="E6" s="210" t="s">
        <v>158</v>
      </c>
      <c r="F6" s="210" t="s">
        <v>159</v>
      </c>
      <c r="G6" s="210" t="s">
        <v>11</v>
      </c>
      <c r="H6" s="210" t="s">
        <v>158</v>
      </c>
      <c r="I6" s="210" t="s">
        <v>157</v>
      </c>
      <c r="J6" s="210" t="s">
        <v>214</v>
      </c>
      <c r="K6" s="2" t="s">
        <v>156</v>
      </c>
      <c r="L6" s="210"/>
      <c r="M6" s="210" t="s">
        <v>10</v>
      </c>
      <c r="N6" s="219" t="s">
        <v>155</v>
      </c>
      <c r="O6" s="220" t="s">
        <v>154</v>
      </c>
      <c r="P6" s="210" t="s">
        <v>64</v>
      </c>
      <c r="Q6" s="486" t="s">
        <v>874</v>
      </c>
      <c r="R6" s="517" t="s">
        <v>783</v>
      </c>
      <c r="S6" s="215">
        <f t="shared" si="0"/>
        <v>1</v>
      </c>
      <c r="T6" s="206"/>
      <c r="U6" s="581"/>
      <c r="V6" s="582"/>
      <c r="W6" s="582"/>
      <c r="X6" s="582"/>
      <c r="Y6" s="582"/>
      <c r="Z6" s="583"/>
    </row>
    <row r="7" spans="1:31" s="200" customFormat="1" ht="27.95" customHeight="1">
      <c r="A7" s="208"/>
      <c r="B7" s="218" t="s">
        <v>646</v>
      </c>
      <c r="C7" s="627"/>
      <c r="D7" s="628"/>
      <c r="E7" s="432"/>
      <c r="F7" s="432"/>
      <c r="G7" s="432"/>
      <c r="H7" s="432"/>
      <c r="I7" s="432"/>
      <c r="J7" s="432"/>
      <c r="K7" s="435"/>
      <c r="L7" s="432"/>
      <c r="M7" s="432"/>
      <c r="N7" s="436"/>
      <c r="O7" s="437"/>
      <c r="P7" s="438"/>
      <c r="Q7" s="439"/>
      <c r="R7" s="510"/>
      <c r="S7" s="215"/>
      <c r="T7" s="206"/>
      <c r="U7" s="581"/>
      <c r="V7" s="582"/>
      <c r="W7" s="582"/>
      <c r="X7" s="582"/>
      <c r="Y7" s="582"/>
      <c r="Z7" s="583"/>
    </row>
    <row r="8" spans="1:31" s="200" customFormat="1" ht="27.95" customHeight="1">
      <c r="A8" s="208">
        <v>4</v>
      </c>
      <c r="B8" s="221" t="s">
        <v>153</v>
      </c>
      <c r="C8" s="627"/>
      <c r="D8" s="628"/>
      <c r="E8" s="2" t="s">
        <v>159</v>
      </c>
      <c r="F8" s="214" t="s">
        <v>152</v>
      </c>
      <c r="G8" s="210" t="s">
        <v>336</v>
      </c>
      <c r="H8" s="210" t="s">
        <v>151</v>
      </c>
      <c r="I8" s="2" t="s">
        <v>150</v>
      </c>
      <c r="J8" s="214" t="s">
        <v>254</v>
      </c>
      <c r="K8" s="210" t="s">
        <v>208</v>
      </c>
      <c r="L8" s="210"/>
      <c r="M8" s="210" t="s">
        <v>12</v>
      </c>
      <c r="N8" s="214" t="s">
        <v>149</v>
      </c>
      <c r="O8" s="213" t="s">
        <v>148</v>
      </c>
      <c r="P8" s="347" t="s">
        <v>745</v>
      </c>
      <c r="Q8" s="210" t="s">
        <v>53</v>
      </c>
      <c r="R8" s="421" t="s">
        <v>779</v>
      </c>
      <c r="S8" s="215">
        <f t="shared" si="0"/>
        <v>1</v>
      </c>
      <c r="T8" s="206"/>
      <c r="U8" s="581"/>
      <c r="V8" s="582"/>
      <c r="W8" s="582"/>
      <c r="X8" s="582"/>
      <c r="Y8" s="582"/>
      <c r="Z8" s="583"/>
    </row>
    <row r="9" spans="1:31" s="200" customFormat="1" ht="27.95" customHeight="1">
      <c r="A9" s="208">
        <v>5</v>
      </c>
      <c r="B9" s="222" t="s">
        <v>175</v>
      </c>
      <c r="C9" s="627"/>
      <c r="D9" s="628"/>
      <c r="E9" s="210" t="s">
        <v>64</v>
      </c>
      <c r="F9" s="210" t="s">
        <v>167</v>
      </c>
      <c r="G9" s="212" t="s">
        <v>174</v>
      </c>
      <c r="H9" s="210" t="s">
        <v>173</v>
      </c>
      <c r="I9" s="210" t="s">
        <v>145</v>
      </c>
      <c r="J9" s="214" t="s">
        <v>13</v>
      </c>
      <c r="K9" s="207" t="s">
        <v>274</v>
      </c>
      <c r="L9" s="210"/>
      <c r="M9" s="213" t="s">
        <v>172</v>
      </c>
      <c r="N9" s="214" t="s">
        <v>147</v>
      </c>
      <c r="O9" s="355" t="s">
        <v>840</v>
      </c>
      <c r="P9" s="213" t="s">
        <v>265</v>
      </c>
      <c r="Q9" s="210" t="s">
        <v>208</v>
      </c>
      <c r="R9" s="456" t="s">
        <v>893</v>
      </c>
      <c r="S9" s="215">
        <f t="shared" si="0"/>
        <v>1</v>
      </c>
      <c r="T9" s="206"/>
      <c r="U9" s="581"/>
      <c r="V9" s="582"/>
      <c r="W9" s="582"/>
      <c r="X9" s="582"/>
      <c r="Y9" s="582"/>
      <c r="Z9" s="583"/>
    </row>
    <row r="10" spans="1:31" s="200" customFormat="1" ht="27.95" customHeight="1" thickBot="1">
      <c r="A10" s="208">
        <v>6</v>
      </c>
      <c r="B10" s="221" t="s">
        <v>59</v>
      </c>
      <c r="C10" s="627"/>
      <c r="D10" s="628"/>
      <c r="E10" s="170" t="s">
        <v>333</v>
      </c>
      <c r="F10" s="214" t="s">
        <v>147</v>
      </c>
      <c r="G10" s="210" t="s">
        <v>744</v>
      </c>
      <c r="H10" s="210" t="s">
        <v>53</v>
      </c>
      <c r="I10" s="2" t="s">
        <v>248</v>
      </c>
      <c r="J10" s="214" t="s">
        <v>146</v>
      </c>
      <c r="K10" s="210" t="s">
        <v>258</v>
      </c>
      <c r="L10" s="210"/>
      <c r="M10" s="210" t="s">
        <v>145</v>
      </c>
      <c r="N10" s="214" t="s">
        <v>144</v>
      </c>
      <c r="O10" s="214" t="s">
        <v>45</v>
      </c>
      <c r="P10" s="214" t="s">
        <v>305</v>
      </c>
      <c r="Q10" s="347" t="s">
        <v>336</v>
      </c>
      <c r="R10" s="542" t="s">
        <v>785</v>
      </c>
      <c r="S10" s="215">
        <f t="shared" si="0"/>
        <v>1</v>
      </c>
      <c r="T10" s="206"/>
      <c r="U10" s="584"/>
      <c r="V10" s="585"/>
      <c r="W10" s="585"/>
      <c r="X10" s="585"/>
      <c r="Y10" s="585"/>
      <c r="Z10" s="586"/>
    </row>
    <row r="11" spans="1:31" s="200" customFormat="1" ht="69.95" customHeight="1" thickBot="1">
      <c r="A11" s="208">
        <v>7</v>
      </c>
      <c r="B11" s="223" t="s">
        <v>168</v>
      </c>
      <c r="C11" s="629"/>
      <c r="D11" s="630"/>
      <c r="E11" s="224" t="s">
        <v>154</v>
      </c>
      <c r="F11" s="282" t="s">
        <v>680</v>
      </c>
      <c r="G11" s="248" t="s">
        <v>242</v>
      </c>
      <c r="H11" s="248" t="s">
        <v>855</v>
      </c>
      <c r="I11" s="231" t="s">
        <v>227</v>
      </c>
      <c r="J11" s="248" t="s">
        <v>644</v>
      </c>
      <c r="K11" s="248" t="s">
        <v>290</v>
      </c>
      <c r="L11" s="283"/>
      <c r="M11" s="248" t="s">
        <v>643</v>
      </c>
      <c r="N11" s="231" t="s">
        <v>277</v>
      </c>
      <c r="O11" s="224" t="s">
        <v>259</v>
      </c>
      <c r="P11" s="224" t="s">
        <v>174</v>
      </c>
      <c r="Q11" s="224" t="s">
        <v>200</v>
      </c>
      <c r="R11" s="518" t="s">
        <v>774</v>
      </c>
      <c r="S11" s="215">
        <f t="shared" si="0"/>
        <v>1</v>
      </c>
      <c r="T11" s="206"/>
      <c r="U11" s="575" t="s">
        <v>166</v>
      </c>
      <c r="V11" s="576"/>
      <c r="W11" s="576"/>
      <c r="X11" s="576"/>
      <c r="Y11" s="576"/>
      <c r="Z11" s="577"/>
    </row>
    <row r="12" spans="1:31" s="200" customFormat="1" ht="27.95" customHeight="1">
      <c r="A12" s="208">
        <v>8</v>
      </c>
      <c r="B12" s="222" t="s">
        <v>143</v>
      </c>
      <c r="C12" s="227" t="s">
        <v>154</v>
      </c>
      <c r="D12" s="227" t="s">
        <v>154</v>
      </c>
      <c r="E12" s="515" t="s">
        <v>877</v>
      </c>
      <c r="F12" s="207" t="s">
        <v>106</v>
      </c>
      <c r="G12" s="211" t="s">
        <v>142</v>
      </c>
      <c r="H12" s="213" t="s">
        <v>335</v>
      </c>
      <c r="I12" s="211" t="s">
        <v>173</v>
      </c>
      <c r="J12" s="211" t="s">
        <v>248</v>
      </c>
      <c r="K12" s="211" t="s">
        <v>146</v>
      </c>
      <c r="L12" s="212"/>
      <c r="M12" s="515" t="s">
        <v>867</v>
      </c>
      <c r="N12" s="228" t="s">
        <v>274</v>
      </c>
      <c r="O12" s="213" t="s">
        <v>320</v>
      </c>
      <c r="P12" s="541" t="s">
        <v>879</v>
      </c>
      <c r="Q12" s="704"/>
      <c r="R12" s="570"/>
      <c r="S12" s="215">
        <f t="shared" si="0"/>
        <v>1.0833333333333333</v>
      </c>
      <c r="T12" s="206"/>
      <c r="U12" s="578"/>
      <c r="V12" s="579"/>
      <c r="W12" s="579"/>
      <c r="X12" s="579"/>
      <c r="Y12" s="579"/>
      <c r="Z12" s="580"/>
    </row>
    <row r="13" spans="1:31" s="200" customFormat="1" ht="27.95" customHeight="1">
      <c r="A13" s="208">
        <v>9</v>
      </c>
      <c r="B13" s="239" t="s">
        <v>187</v>
      </c>
      <c r="C13" s="424" t="s">
        <v>173</v>
      </c>
      <c r="D13" s="424" t="s">
        <v>173</v>
      </c>
      <c r="E13" s="212" t="s">
        <v>174</v>
      </c>
      <c r="F13" s="210" t="s">
        <v>145</v>
      </c>
      <c r="G13" s="210" t="s">
        <v>186</v>
      </c>
      <c r="H13" s="214" t="s">
        <v>161</v>
      </c>
      <c r="I13" s="214" t="s">
        <v>184</v>
      </c>
      <c r="J13" s="211" t="s">
        <v>807</v>
      </c>
      <c r="K13" s="372" t="s">
        <v>870</v>
      </c>
      <c r="L13" s="214"/>
      <c r="M13" s="210" t="s">
        <v>254</v>
      </c>
      <c r="N13" s="210" t="s">
        <v>183</v>
      </c>
      <c r="O13" s="211" t="s">
        <v>182</v>
      </c>
      <c r="P13" s="533" t="s">
        <v>69</v>
      </c>
      <c r="Q13" s="705"/>
      <c r="R13" s="572"/>
      <c r="S13" s="215">
        <f t="shared" si="0"/>
        <v>1.0833333333333333</v>
      </c>
      <c r="T13" s="206"/>
      <c r="U13" s="581"/>
      <c r="V13" s="582"/>
      <c r="W13" s="582"/>
      <c r="X13" s="582"/>
      <c r="Y13" s="582"/>
      <c r="Z13" s="583"/>
      <c r="AA13" s="229"/>
    </row>
    <row r="14" spans="1:31" s="200" customFormat="1" ht="27.95" customHeight="1">
      <c r="A14" s="208">
        <v>10</v>
      </c>
      <c r="B14" s="209" t="s">
        <v>181</v>
      </c>
      <c r="C14" s="424" t="s">
        <v>172</v>
      </c>
      <c r="D14" s="424" t="s">
        <v>172</v>
      </c>
      <c r="E14" s="2" t="s">
        <v>180</v>
      </c>
      <c r="F14" s="210" t="s">
        <v>179</v>
      </c>
      <c r="G14" s="421" t="s">
        <v>842</v>
      </c>
      <c r="H14" s="210" t="s">
        <v>106</v>
      </c>
      <c r="I14" s="211" t="s">
        <v>178</v>
      </c>
      <c r="J14" s="3" t="s">
        <v>177</v>
      </c>
      <c r="K14" s="372" t="s">
        <v>691</v>
      </c>
      <c r="L14" s="214"/>
      <c r="M14" s="214" t="s">
        <v>164</v>
      </c>
      <c r="N14" s="211" t="s">
        <v>809</v>
      </c>
      <c r="O14" s="210" t="s">
        <v>176</v>
      </c>
      <c r="P14" s="533" t="s">
        <v>880</v>
      </c>
      <c r="Q14" s="705"/>
      <c r="R14" s="572"/>
      <c r="S14" s="215">
        <f t="shared" si="0"/>
        <v>1.0833333333333333</v>
      </c>
      <c r="T14" s="206"/>
      <c r="U14" s="581"/>
      <c r="V14" s="582"/>
      <c r="W14" s="582"/>
      <c r="X14" s="582"/>
      <c r="Y14" s="582"/>
      <c r="Z14" s="583"/>
    </row>
    <row r="15" spans="1:31" s="200" customFormat="1" ht="27.95" customHeight="1" thickBot="1">
      <c r="A15" s="208">
        <v>11</v>
      </c>
      <c r="B15" s="223" t="s">
        <v>171</v>
      </c>
      <c r="C15" s="425" t="s">
        <v>261</v>
      </c>
      <c r="D15" s="425" t="s">
        <v>261</v>
      </c>
      <c r="E15" s="231" t="s">
        <v>170</v>
      </c>
      <c r="F15" s="231" t="s">
        <v>151</v>
      </c>
      <c r="G15" s="231" t="s">
        <v>207</v>
      </c>
      <c r="H15" s="231" t="s">
        <v>220</v>
      </c>
      <c r="I15" s="231" t="s">
        <v>265</v>
      </c>
      <c r="J15" s="231" t="s">
        <v>743</v>
      </c>
      <c r="K15" s="512" t="s">
        <v>871</v>
      </c>
      <c r="L15" s="231"/>
      <c r="M15" s="231" t="s">
        <v>199</v>
      </c>
      <c r="N15" s="488" t="s">
        <v>244</v>
      </c>
      <c r="O15" s="226" t="s">
        <v>255</v>
      </c>
      <c r="P15" s="532" t="s">
        <v>897</v>
      </c>
      <c r="Q15" s="706"/>
      <c r="R15" s="574"/>
      <c r="S15" s="215">
        <f t="shared" si="0"/>
        <v>1.0833333333333333</v>
      </c>
      <c r="T15" s="206"/>
      <c r="U15" s="581"/>
      <c r="V15" s="582"/>
      <c r="W15" s="582"/>
      <c r="X15" s="582"/>
      <c r="Y15" s="582"/>
      <c r="Z15" s="583"/>
    </row>
    <row r="16" spans="1:31" s="236" customFormat="1" ht="27.95" customHeight="1" thickBot="1">
      <c r="A16" s="208">
        <v>12</v>
      </c>
      <c r="B16" s="233" t="s">
        <v>141</v>
      </c>
      <c r="C16" s="608"/>
      <c r="D16" s="609"/>
      <c r="E16" s="226" t="s">
        <v>140</v>
      </c>
      <c r="F16" s="234" t="s">
        <v>274</v>
      </c>
      <c r="G16" s="235" t="s">
        <v>172</v>
      </c>
      <c r="H16" s="234" t="s">
        <v>67</v>
      </c>
      <c r="I16" s="226" t="s">
        <v>809</v>
      </c>
      <c r="J16" s="406" t="s">
        <v>826</v>
      </c>
      <c r="K16" s="224" t="s">
        <v>261</v>
      </c>
      <c r="L16" s="226"/>
      <c r="M16" s="224" t="s">
        <v>206</v>
      </c>
      <c r="N16" s="519" t="s">
        <v>878</v>
      </c>
      <c r="O16" s="224" t="s">
        <v>295</v>
      </c>
      <c r="P16" s="524" t="s">
        <v>844</v>
      </c>
      <c r="Q16" s="531" t="s">
        <v>233</v>
      </c>
      <c r="R16" s="532" t="s">
        <v>334</v>
      </c>
      <c r="S16" s="215">
        <f t="shared" si="0"/>
        <v>1</v>
      </c>
      <c r="T16" s="206"/>
      <c r="U16" s="581"/>
      <c r="V16" s="582"/>
      <c r="W16" s="582"/>
      <c r="X16" s="582"/>
      <c r="Y16" s="582"/>
      <c r="Z16" s="583"/>
    </row>
    <row r="17" spans="1:26" s="236" customFormat="1" ht="27.95" customHeight="1">
      <c r="A17" s="208">
        <v>13</v>
      </c>
      <c r="B17" s="218" t="s">
        <v>14</v>
      </c>
      <c r="C17" s="610"/>
      <c r="D17" s="611"/>
      <c r="E17" s="211" t="s">
        <v>198</v>
      </c>
      <c r="F17" s="213" t="s">
        <v>15</v>
      </c>
      <c r="G17" s="213" t="s">
        <v>16</v>
      </c>
      <c r="H17" s="213" t="s">
        <v>62</v>
      </c>
      <c r="I17" s="211" t="s">
        <v>51</v>
      </c>
      <c r="J17" s="213" t="s">
        <v>17</v>
      </c>
      <c r="K17" s="211" t="s">
        <v>54</v>
      </c>
      <c r="L17" s="213"/>
      <c r="M17" s="211" t="s">
        <v>18</v>
      </c>
      <c r="N17" s="211" t="s">
        <v>25</v>
      </c>
      <c r="O17" s="213" t="s">
        <v>262</v>
      </c>
      <c r="P17" s="214" t="s">
        <v>23</v>
      </c>
      <c r="Q17" s="487" t="s">
        <v>71</v>
      </c>
      <c r="R17" s="515" t="s">
        <v>875</v>
      </c>
      <c r="S17" s="215">
        <f t="shared" si="0"/>
        <v>1</v>
      </c>
      <c r="T17" s="206"/>
      <c r="U17" s="581"/>
      <c r="V17" s="582"/>
      <c r="W17" s="582"/>
      <c r="X17" s="582"/>
      <c r="Y17" s="582"/>
      <c r="Z17" s="583"/>
    </row>
    <row r="18" spans="1:26" s="236" customFormat="1" ht="27.95" customHeight="1">
      <c r="A18" s="208">
        <v>14</v>
      </c>
      <c r="B18" s="237" t="s">
        <v>119</v>
      </c>
      <c r="C18" s="612"/>
      <c r="D18" s="613"/>
      <c r="E18" s="211" t="s">
        <v>858</v>
      </c>
      <c r="F18" s="213" t="s">
        <v>20</v>
      </c>
      <c r="G18" s="211" t="s">
        <v>808</v>
      </c>
      <c r="H18" s="396" t="s">
        <v>846</v>
      </c>
      <c r="I18" s="213" t="s">
        <v>118</v>
      </c>
      <c r="J18" s="238" t="s">
        <v>234</v>
      </c>
      <c r="K18" s="213" t="s">
        <v>117</v>
      </c>
      <c r="L18" s="212"/>
      <c r="M18" s="143" t="s">
        <v>292</v>
      </c>
      <c r="N18" s="419" t="s">
        <v>896</v>
      </c>
      <c r="O18" s="520" t="s">
        <v>895</v>
      </c>
      <c r="P18" s="214" t="s">
        <v>72</v>
      </c>
      <c r="Q18" s="211" t="s">
        <v>272</v>
      </c>
      <c r="R18" s="520" t="s">
        <v>881</v>
      </c>
      <c r="S18" s="215">
        <f t="shared" si="0"/>
        <v>1</v>
      </c>
      <c r="T18" s="206"/>
      <c r="U18" s="581"/>
      <c r="V18" s="582"/>
      <c r="W18" s="582"/>
      <c r="X18" s="582"/>
      <c r="Y18" s="582"/>
      <c r="Z18" s="583"/>
    </row>
    <row r="19" spans="1:26" s="236" customFormat="1" ht="27.95" customHeight="1" thickBot="1">
      <c r="A19" s="208">
        <v>15</v>
      </c>
      <c r="B19" s="239" t="s">
        <v>139</v>
      </c>
      <c r="C19" s="612"/>
      <c r="D19" s="613"/>
      <c r="E19" s="2" t="s">
        <v>260</v>
      </c>
      <c r="F19" s="238" t="s">
        <v>859</v>
      </c>
      <c r="G19" s="211" t="s">
        <v>94</v>
      </c>
      <c r="H19" s="210" t="s">
        <v>226</v>
      </c>
      <c r="I19" s="500" t="s">
        <v>861</v>
      </c>
      <c r="J19" s="211" t="s">
        <v>138</v>
      </c>
      <c r="K19" s="238" t="s">
        <v>868</v>
      </c>
      <c r="L19" s="214"/>
      <c r="M19" s="211" t="s">
        <v>275</v>
      </c>
      <c r="N19" s="211" t="s">
        <v>137</v>
      </c>
      <c r="O19" s="210" t="s">
        <v>136</v>
      </c>
      <c r="P19" s="240" t="s">
        <v>135</v>
      </c>
      <c r="Q19" s="211" t="s">
        <v>267</v>
      </c>
      <c r="R19" s="421" t="s">
        <v>890</v>
      </c>
      <c r="S19" s="215">
        <f t="shared" si="0"/>
        <v>1</v>
      </c>
      <c r="T19" s="206"/>
      <c r="U19" s="584"/>
      <c r="V19" s="585"/>
      <c r="W19" s="585"/>
      <c r="X19" s="585"/>
      <c r="Y19" s="585"/>
      <c r="Z19" s="586"/>
    </row>
    <row r="20" spans="1:26" s="200" customFormat="1" ht="27.95" customHeight="1" thickBot="1">
      <c r="A20" s="208">
        <v>16</v>
      </c>
      <c r="B20" s="237" t="s">
        <v>115</v>
      </c>
      <c r="C20" s="612"/>
      <c r="D20" s="613"/>
      <c r="E20" s="214" t="s">
        <v>22</v>
      </c>
      <c r="F20" s="210" t="s">
        <v>210</v>
      </c>
      <c r="G20" s="210" t="s">
        <v>52</v>
      </c>
      <c r="H20" s="214" t="s">
        <v>797</v>
      </c>
      <c r="I20" s="214" t="s">
        <v>275</v>
      </c>
      <c r="J20" s="244" t="s">
        <v>286</v>
      </c>
      <c r="K20" s="212" t="s">
        <v>113</v>
      </c>
      <c r="L20" s="214"/>
      <c r="M20" s="2" t="s">
        <v>221</v>
      </c>
      <c r="N20" s="242" t="s">
        <v>110</v>
      </c>
      <c r="O20" s="213" t="s">
        <v>610</v>
      </c>
      <c r="P20" s="214" t="s">
        <v>55</v>
      </c>
      <c r="Q20" s="214" t="s">
        <v>70</v>
      </c>
      <c r="R20" s="533" t="s">
        <v>272</v>
      </c>
      <c r="S20" s="215">
        <f t="shared" si="0"/>
        <v>1</v>
      </c>
      <c r="T20" s="206"/>
      <c r="U20" s="616" t="s">
        <v>306</v>
      </c>
      <c r="V20" s="617"/>
      <c r="W20" s="617"/>
      <c r="X20" s="617"/>
      <c r="Y20" s="617"/>
      <c r="Z20" s="618"/>
    </row>
    <row r="21" spans="1:26" s="200" customFormat="1" ht="27.95" customHeight="1">
      <c r="A21" s="208"/>
      <c r="B21" s="243" t="s">
        <v>645</v>
      </c>
      <c r="C21" s="612"/>
      <c r="D21" s="613"/>
      <c r="E21" s="433"/>
      <c r="F21" s="432"/>
      <c r="G21" s="432"/>
      <c r="H21" s="433"/>
      <c r="I21" s="433"/>
      <c r="J21" s="434"/>
      <c r="K21" s="431"/>
      <c r="L21" s="433"/>
      <c r="M21" s="435"/>
      <c r="N21" s="437"/>
      <c r="O21" s="440"/>
      <c r="P21" s="440"/>
      <c r="Q21" s="441"/>
      <c r="R21" s="433"/>
      <c r="S21" s="215"/>
      <c r="T21" s="206"/>
      <c r="U21" s="578" t="s">
        <v>865</v>
      </c>
      <c r="V21" s="579"/>
      <c r="W21" s="579"/>
      <c r="X21" s="579"/>
      <c r="Y21" s="579"/>
      <c r="Z21" s="580"/>
    </row>
    <row r="22" spans="1:26" s="200" customFormat="1" ht="27.95" customHeight="1">
      <c r="A22" s="208">
        <v>17</v>
      </c>
      <c r="B22" s="243" t="s">
        <v>130</v>
      </c>
      <c r="C22" s="612"/>
      <c r="D22" s="613"/>
      <c r="E22" s="210" t="s">
        <v>243</v>
      </c>
      <c r="F22" s="210" t="s">
        <v>129</v>
      </c>
      <c r="G22" s="210" t="s">
        <v>249</v>
      </c>
      <c r="H22" s="214" t="s">
        <v>209</v>
      </c>
      <c r="I22" s="210" t="s">
        <v>128</v>
      </c>
      <c r="J22" s="210" t="s">
        <v>127</v>
      </c>
      <c r="K22" s="372" t="s">
        <v>867</v>
      </c>
      <c r="L22" s="241"/>
      <c r="M22" s="214" t="s">
        <v>284</v>
      </c>
      <c r="N22" s="2" t="s">
        <v>126</v>
      </c>
      <c r="O22" s="211" t="s">
        <v>287</v>
      </c>
      <c r="P22" s="244" t="s">
        <v>125</v>
      </c>
      <c r="Q22" s="245" t="s">
        <v>249</v>
      </c>
      <c r="R22" s="533" t="s">
        <v>891</v>
      </c>
      <c r="S22" s="215">
        <f t="shared" si="0"/>
        <v>1</v>
      </c>
      <c r="T22" s="206"/>
      <c r="U22" s="581"/>
      <c r="V22" s="582"/>
      <c r="W22" s="582"/>
      <c r="X22" s="582"/>
      <c r="Y22" s="582"/>
      <c r="Z22" s="583"/>
    </row>
    <row r="23" spans="1:26" s="200" customFormat="1" ht="27.95" customHeight="1" thickBot="1">
      <c r="A23" s="208">
        <v>18</v>
      </c>
      <c r="B23" s="246" t="s">
        <v>124</v>
      </c>
      <c r="C23" s="614"/>
      <c r="D23" s="615"/>
      <c r="E23" s="488" t="s">
        <v>869</v>
      </c>
      <c r="F23" s="378" t="s">
        <v>882</v>
      </c>
      <c r="G23" s="11" t="s">
        <v>19</v>
      </c>
      <c r="H23" s="231" t="s">
        <v>262</v>
      </c>
      <c r="I23" s="231" t="s">
        <v>263</v>
      </c>
      <c r="J23" s="485" t="s">
        <v>863</v>
      </c>
      <c r="K23" s="231" t="s">
        <v>339</v>
      </c>
      <c r="L23" s="283"/>
      <c r="M23" s="248" t="s">
        <v>291</v>
      </c>
      <c r="N23" s="231" t="s">
        <v>71</v>
      </c>
      <c r="O23" s="521" t="s">
        <v>197</v>
      </c>
      <c r="P23" s="248" t="s">
        <v>123</v>
      </c>
      <c r="Q23" s="231" t="s">
        <v>122</v>
      </c>
      <c r="R23" s="521" t="s">
        <v>882</v>
      </c>
      <c r="S23" s="215">
        <f t="shared" si="0"/>
        <v>1</v>
      </c>
      <c r="T23" s="206"/>
      <c r="U23" s="581"/>
      <c r="V23" s="582"/>
      <c r="W23" s="582"/>
      <c r="X23" s="582"/>
      <c r="Y23" s="582"/>
      <c r="Z23" s="583"/>
    </row>
    <row r="24" spans="1:26" s="200" customFormat="1" ht="27.95" customHeight="1" thickBot="1">
      <c r="A24" s="208">
        <v>19</v>
      </c>
      <c r="B24" s="495" t="s">
        <v>850</v>
      </c>
      <c r="C24" s="619"/>
      <c r="D24" s="620"/>
      <c r="E24" s="470"/>
      <c r="F24" s="470"/>
      <c r="G24" s="497"/>
      <c r="H24" s="470"/>
      <c r="I24" s="470"/>
      <c r="J24" s="470"/>
      <c r="K24" s="498"/>
      <c r="L24" s="498"/>
      <c r="M24" s="498"/>
      <c r="N24" s="472"/>
      <c r="O24" s="498"/>
      <c r="P24" s="472"/>
      <c r="Q24" s="470"/>
      <c r="R24" s="511"/>
      <c r="S24" s="215">
        <f t="shared" si="0"/>
        <v>0</v>
      </c>
      <c r="T24" s="206"/>
      <c r="U24" s="584"/>
      <c r="V24" s="585"/>
      <c r="W24" s="585"/>
      <c r="X24" s="585"/>
      <c r="Y24" s="585"/>
      <c r="Z24" s="586"/>
    </row>
    <row r="25" spans="1:26" s="200" customFormat="1" ht="27.95" customHeight="1" thickBot="1">
      <c r="A25" s="208">
        <v>20</v>
      </c>
      <c r="B25" s="341" t="s">
        <v>26</v>
      </c>
      <c r="C25" s="251" t="s">
        <v>810</v>
      </c>
      <c r="D25" s="251" t="s">
        <v>810</v>
      </c>
      <c r="E25" s="252" t="s">
        <v>252</v>
      </c>
      <c r="F25" s="211" t="s">
        <v>27</v>
      </c>
      <c r="G25" s="213" t="s">
        <v>47</v>
      </c>
      <c r="H25" s="3" t="s">
        <v>28</v>
      </c>
      <c r="I25" s="211" t="s">
        <v>68</v>
      </c>
      <c r="J25" s="211" t="s">
        <v>275</v>
      </c>
      <c r="K25" s="211" t="s">
        <v>50</v>
      </c>
      <c r="L25" s="253"/>
      <c r="M25" s="228" t="s">
        <v>810</v>
      </c>
      <c r="N25" s="374" t="s">
        <v>869</v>
      </c>
      <c r="O25" s="3" t="s">
        <v>24</v>
      </c>
      <c r="P25" s="513" t="s">
        <v>872</v>
      </c>
      <c r="Q25" s="704"/>
      <c r="R25" s="570"/>
      <c r="S25" s="215">
        <f t="shared" si="0"/>
        <v>1.0833333333333333</v>
      </c>
      <c r="T25" s="206"/>
      <c r="U25" s="575" t="s">
        <v>120</v>
      </c>
      <c r="V25" s="576"/>
      <c r="W25" s="576"/>
      <c r="X25" s="576"/>
      <c r="Y25" s="576"/>
      <c r="Z25" s="577"/>
    </row>
    <row r="26" spans="1:26" s="200" customFormat="1" ht="27.95" customHeight="1">
      <c r="A26" s="208">
        <v>21</v>
      </c>
      <c r="B26" s="342" t="s">
        <v>515</v>
      </c>
      <c r="C26" s="254" t="s">
        <v>209</v>
      </c>
      <c r="D26" s="254" t="s">
        <v>209</v>
      </c>
      <c r="E26" s="489" t="s">
        <v>783</v>
      </c>
      <c r="F26" s="210" t="s">
        <v>748</v>
      </c>
      <c r="G26" s="3" t="s">
        <v>516</v>
      </c>
      <c r="H26" s="211" t="s">
        <v>517</v>
      </c>
      <c r="I26" s="214" t="s">
        <v>231</v>
      </c>
      <c r="J26" s="211" t="s">
        <v>29</v>
      </c>
      <c r="K26" s="210" t="s">
        <v>268</v>
      </c>
      <c r="L26" s="219"/>
      <c r="M26" s="214" t="s">
        <v>30</v>
      </c>
      <c r="N26" s="355" t="s">
        <v>845</v>
      </c>
      <c r="O26" s="214" t="s">
        <v>209</v>
      </c>
      <c r="P26" s="514" t="s">
        <v>873</v>
      </c>
      <c r="Q26" s="705"/>
      <c r="R26" s="572"/>
      <c r="S26" s="215"/>
      <c r="T26" s="206"/>
      <c r="U26" s="578" t="s">
        <v>900</v>
      </c>
      <c r="V26" s="579"/>
      <c r="W26" s="579"/>
      <c r="X26" s="579"/>
      <c r="Y26" s="579"/>
      <c r="Z26" s="580"/>
    </row>
    <row r="27" spans="1:26" s="200" customFormat="1" ht="27.95" customHeight="1">
      <c r="A27" s="208">
        <v>22</v>
      </c>
      <c r="B27" s="494" t="s">
        <v>849</v>
      </c>
      <c r="C27" s="254"/>
      <c r="D27" s="254"/>
      <c r="E27" s="469"/>
      <c r="F27" s="445"/>
      <c r="G27" s="445"/>
      <c r="H27" s="445"/>
      <c r="I27" s="445"/>
      <c r="J27" s="454"/>
      <c r="K27" s="452"/>
      <c r="L27" s="452"/>
      <c r="M27" s="445"/>
      <c r="N27" s="452"/>
      <c r="O27" s="443"/>
      <c r="P27" s="529"/>
      <c r="Q27" s="705"/>
      <c r="R27" s="572"/>
      <c r="S27" s="215">
        <f>(COUNTA(C27:Q27))/12</f>
        <v>0</v>
      </c>
      <c r="T27" s="206"/>
      <c r="U27" s="581"/>
      <c r="V27" s="582"/>
      <c r="W27" s="582"/>
      <c r="X27" s="582"/>
      <c r="Y27" s="582"/>
      <c r="Z27" s="583"/>
    </row>
    <row r="28" spans="1:26" s="200" customFormat="1" ht="27.95" customHeight="1" thickBot="1">
      <c r="A28" s="208">
        <v>23</v>
      </c>
      <c r="B28" s="344" t="s">
        <v>528</v>
      </c>
      <c r="C28" s="256" t="s">
        <v>72</v>
      </c>
      <c r="D28" s="256" t="s">
        <v>72</v>
      </c>
      <c r="E28" s="516" t="s">
        <v>352</v>
      </c>
      <c r="F28" s="248" t="s">
        <v>55</v>
      </c>
      <c r="G28" s="11" t="s">
        <v>198</v>
      </c>
      <c r="H28" s="226" t="s">
        <v>70</v>
      </c>
      <c r="I28" s="257" t="s">
        <v>531</v>
      </c>
      <c r="J28" s="258" t="s">
        <v>532</v>
      </c>
      <c r="K28" s="248" t="s">
        <v>294</v>
      </c>
      <c r="L28" s="258"/>
      <c r="M28" s="248" t="s">
        <v>21</v>
      </c>
      <c r="N28" s="259" t="s">
        <v>121</v>
      </c>
      <c r="O28" s="11" t="s">
        <v>210</v>
      </c>
      <c r="P28" s="530" t="s">
        <v>889</v>
      </c>
      <c r="Q28" s="706"/>
      <c r="R28" s="574"/>
      <c r="S28" s="215"/>
      <c r="T28" s="206"/>
      <c r="U28" s="581"/>
      <c r="V28" s="582"/>
      <c r="W28" s="582"/>
      <c r="X28" s="582"/>
      <c r="Y28" s="582"/>
      <c r="Z28" s="583"/>
    </row>
    <row r="29" spans="1:26" s="200" customFormat="1" ht="27.95" customHeight="1">
      <c r="A29" s="260" t="s">
        <v>108</v>
      </c>
      <c r="B29" s="261" t="s">
        <v>107</v>
      </c>
      <c r="C29" s="587"/>
      <c r="D29" s="588"/>
      <c r="E29" s="4"/>
      <c r="F29" s="262"/>
      <c r="G29" s="262" t="s">
        <v>746</v>
      </c>
      <c r="H29" s="213" t="s">
        <v>218</v>
      </c>
      <c r="I29" s="262" t="s">
        <v>106</v>
      </c>
      <c r="J29" s="4" t="s">
        <v>105</v>
      </c>
      <c r="K29" s="4"/>
      <c r="L29" s="263"/>
      <c r="M29" s="262"/>
      <c r="N29" s="262" t="s">
        <v>295</v>
      </c>
      <c r="O29" s="211" t="s">
        <v>104</v>
      </c>
      <c r="P29" s="264"/>
      <c r="Q29" s="265"/>
      <c r="R29" s="265"/>
      <c r="S29" s="215">
        <f>(COUNTA(C29:Q29))/6</f>
        <v>1</v>
      </c>
      <c r="T29" s="206"/>
      <c r="U29" s="581"/>
      <c r="V29" s="582"/>
      <c r="W29" s="582"/>
      <c r="X29" s="582"/>
      <c r="Y29" s="582"/>
      <c r="Z29" s="583"/>
    </row>
    <row r="30" spans="1:26" s="200" customFormat="1" ht="27.95" customHeight="1" thickBot="1">
      <c r="A30" s="266" t="s">
        <v>103</v>
      </c>
      <c r="B30" s="496" t="s">
        <v>851</v>
      </c>
      <c r="C30" s="587"/>
      <c r="D30" s="588"/>
      <c r="E30" s="211" t="s">
        <v>747</v>
      </c>
      <c r="F30" s="211" t="s">
        <v>102</v>
      </c>
      <c r="G30" s="211"/>
      <c r="H30" s="211"/>
      <c r="I30" s="211" t="s">
        <v>294</v>
      </c>
      <c r="J30" s="211"/>
      <c r="K30" s="207"/>
      <c r="L30" s="268"/>
      <c r="M30" s="445"/>
      <c r="N30" s="445"/>
      <c r="O30" s="445"/>
      <c r="P30" s="454"/>
      <c r="Q30" s="445"/>
      <c r="R30" s="511"/>
      <c r="S30" s="215">
        <f>(COUNTA(C30:Q30))/7</f>
        <v>0.42857142857142855</v>
      </c>
      <c r="T30" s="206"/>
      <c r="U30" s="584"/>
      <c r="V30" s="585"/>
      <c r="W30" s="585"/>
      <c r="X30" s="585"/>
      <c r="Y30" s="585"/>
      <c r="Z30" s="586"/>
    </row>
    <row r="31" spans="1:26" s="200" customFormat="1" ht="9.9499999999999993" customHeight="1" thickBot="1">
      <c r="A31" s="269"/>
      <c r="B31" s="270"/>
      <c r="C31" s="270"/>
      <c r="D31" s="270"/>
      <c r="E31" s="5"/>
      <c r="F31" s="271"/>
      <c r="G31" s="272"/>
      <c r="H31" s="272"/>
      <c r="I31" s="272"/>
      <c r="J31" s="272"/>
      <c r="K31" s="5"/>
      <c r="L31" s="271"/>
      <c r="M31" s="5"/>
      <c r="N31" s="272"/>
      <c r="O31" s="271"/>
      <c r="P31" s="271"/>
      <c r="Q31" s="273"/>
      <c r="R31" s="283"/>
      <c r="S31" s="274"/>
      <c r="T31" s="206"/>
      <c r="U31" s="491"/>
      <c r="V31" s="491"/>
      <c r="W31" s="491"/>
      <c r="X31" s="491"/>
      <c r="Y31" s="491"/>
      <c r="Z31" s="491"/>
    </row>
    <row r="32" spans="1:26" s="200" customFormat="1" ht="109.5" customHeight="1">
      <c r="A32" s="589"/>
      <c r="B32" s="591" t="s">
        <v>100</v>
      </c>
      <c r="C32" s="593"/>
      <c r="D32" s="594"/>
      <c r="E32" s="265" t="s">
        <v>735</v>
      </c>
      <c r="F32" s="276" t="s">
        <v>278</v>
      </c>
      <c r="G32" s="265" t="s">
        <v>854</v>
      </c>
      <c r="H32" s="265" t="s">
        <v>289</v>
      </c>
      <c r="I32" s="211" t="s">
        <v>679</v>
      </c>
      <c r="J32" s="213" t="s">
        <v>641</v>
      </c>
      <c r="K32" s="211" t="s">
        <v>734</v>
      </c>
      <c r="L32" s="212"/>
      <c r="M32" s="213" t="s">
        <v>282</v>
      </c>
      <c r="N32" s="277" t="s">
        <v>883</v>
      </c>
      <c r="O32" s="276" t="s">
        <v>297</v>
      </c>
      <c r="P32" s="277" t="s">
        <v>288</v>
      </c>
      <c r="Q32" s="522" t="s">
        <v>884</v>
      </c>
      <c r="R32" s="477" t="s">
        <v>902</v>
      </c>
      <c r="S32" s="215">
        <f>(COUNTA(C32:Q32))/12</f>
        <v>1</v>
      </c>
      <c r="T32" s="206"/>
      <c r="U32" s="599" t="s">
        <v>847</v>
      </c>
      <c r="V32" s="600"/>
      <c r="W32" s="600"/>
      <c r="X32" s="600"/>
      <c r="Y32" s="600"/>
      <c r="Z32" s="601"/>
    </row>
    <row r="33" spans="1:32" s="200" customFormat="1" ht="129.94999999999999" customHeight="1">
      <c r="A33" s="590"/>
      <c r="B33" s="592"/>
      <c r="C33" s="595"/>
      <c r="D33" s="596"/>
      <c r="E33" s="278" t="s">
        <v>799</v>
      </c>
      <c r="F33" s="210" t="s">
        <v>866</v>
      </c>
      <c r="G33" s="279" t="s">
        <v>738</v>
      </c>
      <c r="H33" s="210" t="s">
        <v>857</v>
      </c>
      <c r="I33" s="217" t="s">
        <v>860</v>
      </c>
      <c r="J33" s="210" t="s">
        <v>862</v>
      </c>
      <c r="K33" s="210" t="s">
        <v>736</v>
      </c>
      <c r="L33" s="210"/>
      <c r="M33" s="458" t="s">
        <v>888</v>
      </c>
      <c r="N33" s="523" t="s">
        <v>886</v>
      </c>
      <c r="O33" s="349" t="s">
        <v>852</v>
      </c>
      <c r="P33" s="216" t="s">
        <v>887</v>
      </c>
      <c r="Q33" s="210" t="s">
        <v>885</v>
      </c>
      <c r="R33" s="210"/>
      <c r="S33" s="274"/>
      <c r="T33" s="206"/>
      <c r="U33" s="602"/>
      <c r="V33" s="603"/>
      <c r="W33" s="603"/>
      <c r="X33" s="603"/>
      <c r="Y33" s="603"/>
      <c r="Z33" s="604"/>
    </row>
    <row r="34" spans="1:32" s="200" customFormat="1" ht="69.95" customHeight="1" thickBot="1">
      <c r="A34" s="280"/>
      <c r="B34" s="499" t="s">
        <v>853</v>
      </c>
      <c r="C34" s="597"/>
      <c r="D34" s="598"/>
      <c r="E34" s="527"/>
      <c r="F34" s="525"/>
      <c r="G34" s="525"/>
      <c r="H34" s="525"/>
      <c r="I34" s="525"/>
      <c r="J34" s="525"/>
      <c r="K34" s="525"/>
      <c r="L34" s="525"/>
      <c r="M34" s="525"/>
      <c r="N34" s="525"/>
      <c r="O34" s="525"/>
      <c r="P34" s="526"/>
      <c r="Q34" s="528"/>
      <c r="R34" s="528"/>
      <c r="S34" s="215">
        <f>(COUNTA(F34:P34))/9</f>
        <v>0</v>
      </c>
      <c r="T34" s="206"/>
      <c r="U34" s="605"/>
      <c r="V34" s="606"/>
      <c r="W34" s="606"/>
      <c r="X34" s="606"/>
      <c r="Y34" s="606"/>
      <c r="Z34" s="607"/>
      <c r="AC34" s="198"/>
      <c r="AD34" s="198"/>
      <c r="AE34" s="198"/>
      <c r="AF34" s="198"/>
    </row>
    <row r="35" spans="1:32" ht="9.9499999999999993" customHeight="1">
      <c r="A35" s="286"/>
      <c r="B35" s="286"/>
      <c r="C35" s="287"/>
      <c r="D35" s="287"/>
      <c r="O35" s="289"/>
      <c r="T35" s="206"/>
      <c r="AB35" s="200"/>
    </row>
    <row r="36" spans="1:32" ht="21" customHeight="1">
      <c r="B36" s="291"/>
      <c r="C36" s="291"/>
      <c r="D36" s="292" t="s">
        <v>95</v>
      </c>
      <c r="E36" s="293" t="s">
        <v>0</v>
      </c>
      <c r="F36" s="293" t="s">
        <v>1</v>
      </c>
      <c r="G36" s="293" t="s">
        <v>2</v>
      </c>
      <c r="H36" s="293" t="s">
        <v>32</v>
      </c>
      <c r="I36" s="293" t="s">
        <v>33</v>
      </c>
      <c r="J36" s="293" t="s">
        <v>34</v>
      </c>
      <c r="K36" s="293" t="s">
        <v>35</v>
      </c>
      <c r="L36" s="294" t="s">
        <v>36</v>
      </c>
      <c r="M36" s="293" t="s">
        <v>37</v>
      </c>
      <c r="N36" s="293" t="s">
        <v>6</v>
      </c>
      <c r="O36" s="293" t="s">
        <v>7</v>
      </c>
      <c r="P36" s="293" t="s">
        <v>8</v>
      </c>
      <c r="Q36" s="540" t="s">
        <v>9</v>
      </c>
      <c r="R36" s="539" t="s">
        <v>894</v>
      </c>
      <c r="S36" s="296"/>
      <c r="U36" s="297"/>
      <c r="V36" s="298"/>
      <c r="W36" s="298"/>
      <c r="X36" s="298"/>
      <c r="Y36" s="298"/>
      <c r="AB36" s="200"/>
    </row>
    <row r="37" spans="1:32" ht="45.75" customHeight="1">
      <c r="B37" s="291"/>
      <c r="C37" s="291"/>
      <c r="D37" s="299" t="s">
        <v>93</v>
      </c>
      <c r="E37" s="241" t="s">
        <v>856</v>
      </c>
      <c r="F37" s="241" t="s">
        <v>708</v>
      </c>
      <c r="G37" s="241" t="s">
        <v>170</v>
      </c>
      <c r="H37" s="214" t="s">
        <v>901</v>
      </c>
      <c r="I37" s="214" t="s">
        <v>12</v>
      </c>
      <c r="J37" s="214" t="s">
        <v>48</v>
      </c>
      <c r="K37" s="214" t="s">
        <v>89</v>
      </c>
      <c r="L37" s="214"/>
      <c r="M37" s="349" t="s">
        <v>892</v>
      </c>
      <c r="N37" s="210" t="s">
        <v>733</v>
      </c>
      <c r="O37" s="301" t="s">
        <v>269</v>
      </c>
      <c r="P37" s="542" t="s">
        <v>898</v>
      </c>
      <c r="Q37" s="210" t="s">
        <v>11</v>
      </c>
      <c r="R37" s="535"/>
      <c r="S37" s="296"/>
      <c r="U37" s="298"/>
      <c r="V37" s="298"/>
      <c r="W37" s="298"/>
      <c r="X37" s="298"/>
      <c r="Y37" s="298"/>
      <c r="AB37" s="200"/>
    </row>
    <row r="38" spans="1:32" ht="27.95" customHeight="1">
      <c r="B38" s="291"/>
      <c r="C38" s="291"/>
      <c r="D38" s="299" t="s">
        <v>88</v>
      </c>
      <c r="E38" s="241"/>
      <c r="F38" s="241"/>
      <c r="G38" s="241"/>
      <c r="H38" s="214"/>
      <c r="I38" s="214"/>
      <c r="J38" s="214"/>
      <c r="K38" s="214"/>
      <c r="L38" s="214"/>
      <c r="M38" s="214"/>
      <c r="N38" s="214"/>
      <c r="O38" s="304"/>
      <c r="P38" s="241"/>
      <c r="Q38" s="241" t="s">
        <v>87</v>
      </c>
      <c r="R38" s="536"/>
      <c r="S38" s="296"/>
      <c r="U38" s="298"/>
      <c r="V38" s="298"/>
      <c r="W38" s="298"/>
      <c r="X38" s="298"/>
      <c r="Y38" s="298"/>
    </row>
    <row r="39" spans="1:32" ht="27.95" customHeight="1">
      <c r="B39" s="291"/>
      <c r="C39" s="291"/>
      <c r="D39" s="299" t="s">
        <v>86</v>
      </c>
      <c r="E39" s="214"/>
      <c r="F39" s="306" t="s">
        <v>300</v>
      </c>
      <c r="G39" s="214"/>
      <c r="H39" s="214" t="s">
        <v>316</v>
      </c>
      <c r="I39" s="388"/>
      <c r="J39" s="219"/>
      <c r="K39" s="389" t="s">
        <v>118</v>
      </c>
      <c r="L39" s="214"/>
      <c r="M39" s="214" t="s">
        <v>27</v>
      </c>
      <c r="N39" s="238" t="s">
        <v>134</v>
      </c>
      <c r="O39" s="309" t="s">
        <v>85</v>
      </c>
      <c r="P39" s="241" t="s">
        <v>84</v>
      </c>
      <c r="Q39" s="309"/>
      <c r="R39" s="537"/>
      <c r="S39" s="296"/>
      <c r="U39" s="298"/>
      <c r="V39" s="298"/>
      <c r="W39" s="298"/>
      <c r="X39" s="298"/>
      <c r="Y39" s="298"/>
    </row>
    <row r="40" spans="1:32" ht="42" customHeight="1">
      <c r="B40" s="198"/>
      <c r="C40" s="198"/>
      <c r="D40" s="311" t="s">
        <v>83</v>
      </c>
      <c r="E40" s="312" t="s">
        <v>608</v>
      </c>
      <c r="F40" s="312" t="s">
        <v>246</v>
      </c>
      <c r="G40" s="312" t="s">
        <v>731</v>
      </c>
      <c r="H40" s="314" t="s">
        <v>609</v>
      </c>
      <c r="I40" s="314" t="s">
        <v>82</v>
      </c>
      <c r="J40" s="313" t="s">
        <v>49</v>
      </c>
      <c r="K40" s="314" t="s">
        <v>617</v>
      </c>
      <c r="L40" s="314"/>
      <c r="M40" s="313" t="s">
        <v>616</v>
      </c>
      <c r="N40" s="314" t="s">
        <v>225</v>
      </c>
      <c r="O40" s="314" t="s">
        <v>314</v>
      </c>
      <c r="P40" s="312" t="s">
        <v>245</v>
      </c>
      <c r="Q40" s="369" t="s">
        <v>732</v>
      </c>
      <c r="R40" s="538"/>
    </row>
    <row r="41" spans="1:32" ht="9.9499999999999993" customHeight="1">
      <c r="E41" s="288"/>
      <c r="F41" s="288"/>
      <c r="G41" s="288"/>
      <c r="H41" s="288"/>
      <c r="I41" s="288"/>
      <c r="J41" s="288"/>
      <c r="K41" s="288"/>
      <c r="M41" s="288"/>
      <c r="N41" s="288"/>
      <c r="O41" s="288"/>
    </row>
    <row r="42" spans="1:32" ht="27.95" customHeight="1">
      <c r="A42" s="317"/>
      <c r="B42" s="317"/>
      <c r="C42" s="317"/>
      <c r="D42" s="560" t="s">
        <v>838</v>
      </c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2"/>
      <c r="R42" s="492"/>
      <c r="S42" s="296"/>
    </row>
    <row r="43" spans="1:32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492"/>
      <c r="S43" s="296"/>
    </row>
    <row r="44" spans="1:32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492"/>
      <c r="S44" s="296"/>
    </row>
    <row r="45" spans="1:32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492"/>
      <c r="S45" s="296"/>
    </row>
    <row r="46" spans="1:32" ht="27.95" customHeight="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492"/>
      <c r="S46" s="296"/>
    </row>
    <row r="47" spans="1:32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492"/>
      <c r="S47" s="296"/>
    </row>
    <row r="48" spans="1:32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492"/>
      <c r="S48" s="296"/>
    </row>
    <row r="49" spans="1:19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492"/>
      <c r="S49" s="296"/>
    </row>
    <row r="50" spans="1:19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492"/>
      <c r="S50" s="296"/>
    </row>
    <row r="51" spans="1:19">
      <c r="A51" s="317"/>
      <c r="B51" s="317"/>
      <c r="C51" s="317"/>
      <c r="D51" s="563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5"/>
      <c r="R51" s="492"/>
      <c r="S51" s="296"/>
    </row>
    <row r="52" spans="1:19">
      <c r="A52" s="317"/>
      <c r="B52" s="317"/>
      <c r="C52" s="317"/>
      <c r="D52" s="566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492"/>
      <c r="S52" s="296"/>
    </row>
    <row r="53" spans="1:19" ht="9.9499999999999993" customHeight="1"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1"/>
      <c r="S53" s="296"/>
    </row>
    <row r="54" spans="1:19" ht="24">
      <c r="D54" s="318"/>
      <c r="E54" s="319" t="s">
        <v>0</v>
      </c>
      <c r="F54" s="320" t="s">
        <v>1</v>
      </c>
      <c r="G54" s="320" t="s">
        <v>2</v>
      </c>
      <c r="H54" s="320" t="s">
        <v>3</v>
      </c>
      <c r="I54" s="320" t="s">
        <v>81</v>
      </c>
      <c r="J54" s="320" t="s">
        <v>80</v>
      </c>
      <c r="K54" s="320" t="s">
        <v>79</v>
      </c>
      <c r="L54" s="321"/>
      <c r="M54" s="320" t="s">
        <v>5</v>
      </c>
      <c r="N54" s="320" t="s">
        <v>6</v>
      </c>
      <c r="O54" s="320" t="s">
        <v>7</v>
      </c>
      <c r="P54" s="320" t="s">
        <v>8</v>
      </c>
      <c r="Q54" s="322" t="s">
        <v>9</v>
      </c>
      <c r="R54" s="322"/>
      <c r="S54" s="323" t="s">
        <v>78</v>
      </c>
    </row>
    <row r="55" spans="1:19" ht="30" customHeight="1">
      <c r="D55" s="324" t="s">
        <v>77</v>
      </c>
      <c r="E55" s="325"/>
      <c r="F55" s="228"/>
      <c r="G55" s="265" t="s">
        <v>706</v>
      </c>
      <c r="H55" s="228"/>
      <c r="I55" s="228"/>
      <c r="J55" s="228"/>
      <c r="K55" s="228"/>
      <c r="L55" s="212"/>
      <c r="M55" s="212"/>
      <c r="N55" s="228" t="s">
        <v>620</v>
      </c>
      <c r="O55" s="326"/>
      <c r="P55" s="326"/>
      <c r="Q55" s="228"/>
      <c r="R55" s="504"/>
      <c r="S55" s="328"/>
    </row>
    <row r="56" spans="1:19" ht="30" customHeight="1">
      <c r="D56" s="329" t="s">
        <v>76</v>
      </c>
      <c r="E56" s="457"/>
      <c r="F56" s="242"/>
      <c r="G56" s="242" t="s">
        <v>319</v>
      </c>
      <c r="H56" s="242"/>
      <c r="I56" s="238"/>
      <c r="J56" s="242"/>
      <c r="K56" s="242" t="s">
        <v>216</v>
      </c>
      <c r="L56" s="219"/>
      <c r="M56" s="242"/>
      <c r="N56" s="242"/>
      <c r="O56" s="331"/>
      <c r="P56" s="331"/>
      <c r="Q56" s="242"/>
      <c r="R56" s="505"/>
      <c r="S56" s="332"/>
    </row>
    <row r="57" spans="1:19" ht="50.1" customHeight="1">
      <c r="D57" s="333" t="s">
        <v>75</v>
      </c>
      <c r="E57" s="490" t="s">
        <v>806</v>
      </c>
      <c r="F57" s="238" t="s">
        <v>251</v>
      </c>
      <c r="G57" s="238" t="s">
        <v>60</v>
      </c>
      <c r="H57" s="238"/>
      <c r="I57" s="242" t="s">
        <v>228</v>
      </c>
      <c r="J57" s="238" t="s">
        <v>271</v>
      </c>
      <c r="K57" s="238" t="s">
        <v>301</v>
      </c>
      <c r="L57" s="219"/>
      <c r="M57" s="238"/>
      <c r="N57" s="242"/>
      <c r="O57" s="242"/>
      <c r="P57" s="242"/>
      <c r="Q57" s="242"/>
      <c r="R57" s="505"/>
      <c r="S57" s="334"/>
    </row>
    <row r="58" spans="1:19" ht="30" customHeight="1">
      <c r="D58" s="324" t="s">
        <v>38</v>
      </c>
      <c r="E58" s="330"/>
      <c r="F58" s="331"/>
      <c r="G58" s="242"/>
      <c r="H58" s="242"/>
      <c r="I58" s="242"/>
      <c r="J58" s="242"/>
      <c r="K58" s="242"/>
      <c r="L58" s="309"/>
      <c r="M58" s="331"/>
      <c r="N58" s="331"/>
      <c r="O58" s="331"/>
      <c r="P58" s="331"/>
      <c r="Q58" s="331"/>
      <c r="R58" s="506"/>
      <c r="S58" s="332"/>
    </row>
    <row r="59" spans="1:19" ht="30" customHeight="1">
      <c r="D59" s="335" t="s">
        <v>74</v>
      </c>
      <c r="E59" s="336"/>
      <c r="F59" s="337"/>
      <c r="G59" s="338"/>
      <c r="H59" s="337"/>
      <c r="I59" s="337"/>
      <c r="J59" s="337"/>
      <c r="K59" s="337"/>
      <c r="L59" s="339"/>
      <c r="M59" s="337"/>
      <c r="N59" s="337"/>
      <c r="O59" s="338" t="s">
        <v>24</v>
      </c>
      <c r="P59" s="338"/>
      <c r="Q59" s="337"/>
      <c r="R59" s="507"/>
      <c r="S59" s="340"/>
    </row>
    <row r="62" spans="1:19" ht="24">
      <c r="D62" s="356"/>
      <c r="E62" s="320" t="s">
        <v>0</v>
      </c>
      <c r="F62" s="320" t="s">
        <v>1</v>
      </c>
      <c r="G62" s="320" t="s">
        <v>2</v>
      </c>
      <c r="H62" s="320" t="s">
        <v>3</v>
      </c>
      <c r="I62" s="320" t="s">
        <v>81</v>
      </c>
      <c r="J62" s="320" t="s">
        <v>80</v>
      </c>
      <c r="K62" s="320" t="s">
        <v>79</v>
      </c>
      <c r="L62" s="321"/>
      <c r="M62" s="320" t="s">
        <v>5</v>
      </c>
      <c r="N62" s="320" t="s">
        <v>6</v>
      </c>
      <c r="O62" s="320" t="s">
        <v>7</v>
      </c>
      <c r="P62" s="320" t="s">
        <v>8</v>
      </c>
      <c r="Q62" s="320" t="s">
        <v>9</v>
      </c>
      <c r="R62" s="319"/>
      <c r="S62" s="323" t="s">
        <v>78</v>
      </c>
    </row>
    <row r="63" spans="1:19">
      <c r="D63" s="357" t="s">
        <v>629</v>
      </c>
      <c r="E63" s="358"/>
      <c r="F63" s="358"/>
      <c r="G63" s="358"/>
      <c r="H63" s="391" t="s">
        <v>624</v>
      </c>
      <c r="I63" s="392"/>
      <c r="J63" s="392"/>
      <c r="K63" s="358"/>
      <c r="L63" s="360"/>
      <c r="M63" s="358"/>
      <c r="N63" s="358"/>
      <c r="O63" s="358"/>
      <c r="P63" s="358"/>
      <c r="Q63" s="358"/>
      <c r="R63" s="508"/>
      <c r="S63" s="361"/>
    </row>
    <row r="64" spans="1:19">
      <c r="D64" s="362"/>
      <c r="E64" s="363"/>
      <c r="F64" s="363"/>
      <c r="G64" s="363"/>
      <c r="H64" s="393"/>
      <c r="I64" s="394" t="s">
        <v>625</v>
      </c>
      <c r="J64" s="394" t="s">
        <v>625</v>
      </c>
      <c r="K64" s="363"/>
      <c r="L64" s="365"/>
      <c r="M64" s="363"/>
      <c r="N64" s="363"/>
      <c r="O64" s="363"/>
      <c r="P64" s="363"/>
      <c r="Q64" s="363"/>
      <c r="R64" s="509"/>
      <c r="S64" s="366"/>
    </row>
    <row r="65" spans="8:10">
      <c r="H65" s="200"/>
      <c r="I65" s="200"/>
      <c r="J65" s="200"/>
    </row>
  </sheetData>
  <mergeCells count="23">
    <mergeCell ref="D42:Q52"/>
    <mergeCell ref="Q12:R15"/>
    <mergeCell ref="Q25:R28"/>
    <mergeCell ref="U25:Z25"/>
    <mergeCell ref="U26:Z30"/>
    <mergeCell ref="C29:D30"/>
    <mergeCell ref="A32:A33"/>
    <mergeCell ref="B32:B33"/>
    <mergeCell ref="C32:D34"/>
    <mergeCell ref="U32:Z34"/>
    <mergeCell ref="U12:Z19"/>
    <mergeCell ref="C16:D16"/>
    <mergeCell ref="C17:D23"/>
    <mergeCell ref="U20:Z20"/>
    <mergeCell ref="U21:Z24"/>
    <mergeCell ref="C24:D24"/>
    <mergeCell ref="A1:Q1"/>
    <mergeCell ref="A2:Q2"/>
    <mergeCell ref="C4:D11"/>
    <mergeCell ref="E4:F4"/>
    <mergeCell ref="U4:Z4"/>
    <mergeCell ref="U5:Z10"/>
    <mergeCell ref="U11:Z11"/>
  </mergeCells>
  <phoneticPr fontId="3" type="noConversion"/>
  <pageMargins left="0.7" right="0.7" top="0.75" bottom="0.75" header="0.3" footer="0.3"/>
  <pageSetup paperSize="9" scale="25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5"/>
  <sheetViews>
    <sheetView topLeftCell="A2" zoomScale="85" zoomScaleNormal="85" workbookViewId="0">
      <selection activeCell="AA5" sqref="AA5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6.125" style="198" customWidth="1"/>
    <col min="20" max="25" width="8.125" style="198" customWidth="1"/>
    <col min="26" max="16384" width="9" style="198"/>
  </cols>
  <sheetData>
    <row r="1" spans="1:30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0" ht="18" customHeight="1">
      <c r="A2" s="623" t="s">
        <v>924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T2" s="200"/>
      <c r="U2" s="200"/>
      <c r="V2" s="200"/>
      <c r="W2" s="200"/>
      <c r="X2" s="200"/>
      <c r="Y2" s="200"/>
      <c r="AA2" s="200"/>
      <c r="AB2" s="200"/>
      <c r="AC2" s="200"/>
      <c r="AD2" s="200"/>
    </row>
    <row r="3" spans="1:30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AVERAGE(R4:R34)</f>
        <v>0.93095238095238098</v>
      </c>
      <c r="S3" s="206"/>
      <c r="T3" s="200"/>
      <c r="U3" s="200"/>
      <c r="V3" s="200"/>
      <c r="W3" s="200"/>
      <c r="X3" s="200"/>
      <c r="Y3" s="200"/>
      <c r="Z3" s="207"/>
      <c r="AA3" s="200"/>
      <c r="AB3" s="200"/>
      <c r="AC3" s="200"/>
      <c r="AD3" s="200"/>
    </row>
    <row r="4" spans="1:30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210" t="s">
        <v>73</v>
      </c>
      <c r="H4" s="211" t="s">
        <v>183</v>
      </c>
      <c r="I4" s="211" t="s">
        <v>206</v>
      </c>
      <c r="J4" s="212" t="s">
        <v>191</v>
      </c>
      <c r="K4" s="211" t="s">
        <v>190</v>
      </c>
      <c r="L4" s="213"/>
      <c r="M4" s="211" t="s">
        <v>91</v>
      </c>
      <c r="N4" s="210" t="s">
        <v>285</v>
      </c>
      <c r="O4" s="211" t="s">
        <v>253</v>
      </c>
      <c r="P4" s="214" t="s">
        <v>46</v>
      </c>
      <c r="Q4" s="1" t="s">
        <v>189</v>
      </c>
      <c r="R4" s="215">
        <f>(COUNTA(G4:Q4))/10</f>
        <v>1</v>
      </c>
      <c r="S4" s="206"/>
      <c r="T4" s="633" t="s">
        <v>188</v>
      </c>
      <c r="U4" s="634"/>
      <c r="V4" s="634"/>
      <c r="W4" s="634"/>
      <c r="X4" s="634"/>
      <c r="Y4" s="635"/>
    </row>
    <row r="5" spans="1:30" s="200" customFormat="1" ht="27.95" customHeight="1">
      <c r="A5" s="208">
        <v>2</v>
      </c>
      <c r="B5" s="209" t="s">
        <v>165</v>
      </c>
      <c r="C5" s="627"/>
      <c r="D5" s="628"/>
      <c r="E5" s="214" t="s">
        <v>89</v>
      </c>
      <c r="F5" s="214" t="s">
        <v>229</v>
      </c>
      <c r="G5" s="2" t="s">
        <v>144</v>
      </c>
      <c r="H5" s="210" t="s">
        <v>164</v>
      </c>
      <c r="I5" s="210" t="s">
        <v>163</v>
      </c>
      <c r="J5" s="210" t="s">
        <v>839</v>
      </c>
      <c r="K5" s="214" t="s">
        <v>162</v>
      </c>
      <c r="L5" s="214"/>
      <c r="M5" s="210" t="s">
        <v>266</v>
      </c>
      <c r="N5" s="216" t="s">
        <v>161</v>
      </c>
      <c r="O5" s="372" t="s">
        <v>45</v>
      </c>
      <c r="P5" s="214" t="s">
        <v>200</v>
      </c>
      <c r="Q5" s="210" t="s">
        <v>10</v>
      </c>
      <c r="R5" s="215">
        <f t="shared" ref="R5:R25" si="0">(COUNTA(C5:Q5))/12</f>
        <v>1</v>
      </c>
      <c r="S5" s="206"/>
      <c r="T5" s="578" t="s">
        <v>944</v>
      </c>
      <c r="U5" s="579"/>
      <c r="V5" s="579"/>
      <c r="W5" s="579"/>
      <c r="X5" s="579"/>
      <c r="Y5" s="580"/>
    </row>
    <row r="6" spans="1:30" s="200" customFormat="1" ht="27.95" customHeight="1">
      <c r="A6" s="208">
        <v>3</v>
      </c>
      <c r="B6" s="218" t="s">
        <v>160</v>
      </c>
      <c r="C6" s="627"/>
      <c r="D6" s="628"/>
      <c r="E6" s="210" t="s">
        <v>158</v>
      </c>
      <c r="F6" s="210" t="s">
        <v>159</v>
      </c>
      <c r="G6" s="210" t="s">
        <v>11</v>
      </c>
      <c r="H6" s="372" t="s">
        <v>943</v>
      </c>
      <c r="I6" s="210" t="s">
        <v>157</v>
      </c>
      <c r="J6" s="210" t="s">
        <v>214</v>
      </c>
      <c r="K6" s="2" t="s">
        <v>156</v>
      </c>
      <c r="L6" s="210"/>
      <c r="M6" s="210" t="s">
        <v>10</v>
      </c>
      <c r="N6" s="219" t="s">
        <v>155</v>
      </c>
      <c r="O6" s="220" t="s">
        <v>154</v>
      </c>
      <c r="P6" s="210" t="s">
        <v>64</v>
      </c>
      <c r="Q6" s="346"/>
      <c r="R6" s="215">
        <f t="shared" si="0"/>
        <v>0.91666666666666663</v>
      </c>
      <c r="S6" s="206"/>
      <c r="T6" s="581"/>
      <c r="U6" s="582"/>
      <c r="V6" s="582"/>
      <c r="W6" s="582"/>
      <c r="X6" s="582"/>
      <c r="Y6" s="583"/>
    </row>
    <row r="7" spans="1:30" s="200" customFormat="1" ht="27.95" customHeight="1">
      <c r="A7" s="208"/>
      <c r="B7" s="544" t="s">
        <v>646</v>
      </c>
      <c r="C7" s="627"/>
      <c r="D7" s="628"/>
      <c r="E7" s="353" t="s">
        <v>783</v>
      </c>
      <c r="F7" s="353" t="s">
        <v>776</v>
      </c>
      <c r="G7" s="432"/>
      <c r="H7" s="353" t="s">
        <v>905</v>
      </c>
      <c r="I7" s="353" t="s">
        <v>907</v>
      </c>
      <c r="J7" s="353" t="s">
        <v>254</v>
      </c>
      <c r="K7" s="435"/>
      <c r="L7" s="432"/>
      <c r="M7" s="432"/>
      <c r="N7" s="545" t="s">
        <v>667</v>
      </c>
      <c r="O7" s="437"/>
      <c r="P7" s="438"/>
      <c r="Q7" s="142" t="s">
        <v>906</v>
      </c>
      <c r="R7" s="215"/>
      <c r="S7" s="206"/>
      <c r="T7" s="581"/>
      <c r="U7" s="582"/>
      <c r="V7" s="582"/>
      <c r="W7" s="582"/>
      <c r="X7" s="582"/>
      <c r="Y7" s="583"/>
    </row>
    <row r="8" spans="1:30" s="200" customFormat="1" ht="27.95" customHeight="1">
      <c r="A8" s="208">
        <v>4</v>
      </c>
      <c r="B8" s="221" t="s">
        <v>153</v>
      </c>
      <c r="C8" s="627"/>
      <c r="D8" s="628"/>
      <c r="E8" s="2" t="s">
        <v>159</v>
      </c>
      <c r="F8" s="214" t="s">
        <v>152</v>
      </c>
      <c r="G8" s="456" t="s">
        <v>935</v>
      </c>
      <c r="H8" s="210" t="s">
        <v>151</v>
      </c>
      <c r="I8" s="2" t="s">
        <v>150</v>
      </c>
      <c r="J8" s="542" t="s">
        <v>821</v>
      </c>
      <c r="K8" s="210" t="s">
        <v>208</v>
      </c>
      <c r="L8" s="210"/>
      <c r="M8" s="210" t="s">
        <v>12</v>
      </c>
      <c r="N8" s="214" t="s">
        <v>149</v>
      </c>
      <c r="O8" s="213" t="s">
        <v>148</v>
      </c>
      <c r="P8" s="347" t="s">
        <v>745</v>
      </c>
      <c r="Q8" s="210" t="s">
        <v>53</v>
      </c>
      <c r="R8" s="215">
        <f t="shared" si="0"/>
        <v>1</v>
      </c>
      <c r="S8" s="206"/>
      <c r="T8" s="581"/>
      <c r="U8" s="582"/>
      <c r="V8" s="582"/>
      <c r="W8" s="582"/>
      <c r="X8" s="582"/>
      <c r="Y8" s="583"/>
    </row>
    <row r="9" spans="1:30" s="200" customFormat="1" ht="27.95" customHeight="1">
      <c r="A9" s="208">
        <v>5</v>
      </c>
      <c r="B9" s="222" t="s">
        <v>175</v>
      </c>
      <c r="C9" s="627"/>
      <c r="D9" s="628"/>
      <c r="E9" s="210" t="s">
        <v>64</v>
      </c>
      <c r="F9" s="210" t="s">
        <v>167</v>
      </c>
      <c r="G9" s="212" t="s">
        <v>174</v>
      </c>
      <c r="H9" s="210" t="s">
        <v>173</v>
      </c>
      <c r="I9" s="210" t="s">
        <v>145</v>
      </c>
      <c r="J9" s="214" t="s">
        <v>13</v>
      </c>
      <c r="K9" s="207" t="s">
        <v>274</v>
      </c>
      <c r="L9" s="210"/>
      <c r="M9" s="213" t="s">
        <v>172</v>
      </c>
      <c r="N9" s="375" t="s">
        <v>772</v>
      </c>
      <c r="O9" s="2" t="s">
        <v>840</v>
      </c>
      <c r="P9" s="213" t="s">
        <v>265</v>
      </c>
      <c r="Q9" s="210" t="s">
        <v>208</v>
      </c>
      <c r="R9" s="215">
        <f t="shared" si="0"/>
        <v>1</v>
      </c>
      <c r="S9" s="206"/>
      <c r="T9" s="581"/>
      <c r="U9" s="582"/>
      <c r="V9" s="582"/>
      <c r="W9" s="582"/>
      <c r="X9" s="582"/>
      <c r="Y9" s="583"/>
    </row>
    <row r="10" spans="1:30" s="200" customFormat="1" ht="27.95" customHeight="1" thickBot="1">
      <c r="A10" s="208">
        <v>6</v>
      </c>
      <c r="B10" s="483" t="s">
        <v>925</v>
      </c>
      <c r="C10" s="627"/>
      <c r="D10" s="628"/>
      <c r="E10" s="468"/>
      <c r="F10" s="444" t="s">
        <v>147</v>
      </c>
      <c r="G10" s="454" t="s">
        <v>744</v>
      </c>
      <c r="H10" s="454"/>
      <c r="I10" s="468" t="s">
        <v>248</v>
      </c>
      <c r="J10" s="444"/>
      <c r="K10" s="454"/>
      <c r="L10" s="454"/>
      <c r="M10" s="454" t="s">
        <v>145</v>
      </c>
      <c r="N10" s="444"/>
      <c r="O10" s="444"/>
      <c r="P10" s="444" t="s">
        <v>305</v>
      </c>
      <c r="Q10" s="484"/>
      <c r="R10" s="215">
        <f t="shared" si="0"/>
        <v>0.41666666666666669</v>
      </c>
      <c r="S10" s="206"/>
      <c r="T10" s="584"/>
      <c r="U10" s="585"/>
      <c r="V10" s="585"/>
      <c r="W10" s="585"/>
      <c r="X10" s="585"/>
      <c r="Y10" s="586"/>
    </row>
    <row r="11" spans="1:30" s="200" customFormat="1" ht="27.95" customHeight="1" thickBot="1">
      <c r="A11" s="208">
        <v>7</v>
      </c>
      <c r="B11" s="223" t="s">
        <v>168</v>
      </c>
      <c r="C11" s="629"/>
      <c r="D11" s="630"/>
      <c r="E11" s="224" t="s">
        <v>154</v>
      </c>
      <c r="F11" s="546" t="s">
        <v>914</v>
      </c>
      <c r="G11" s="224" t="s">
        <v>261</v>
      </c>
      <c r="H11" s="224" t="s">
        <v>167</v>
      </c>
      <c r="I11" s="226" t="s">
        <v>285</v>
      </c>
      <c r="J11" s="224" t="s">
        <v>206</v>
      </c>
      <c r="K11" s="224" t="s">
        <v>46</v>
      </c>
      <c r="L11" s="10"/>
      <c r="M11" s="224" t="s">
        <v>150</v>
      </c>
      <c r="N11" s="224" t="s">
        <v>244</v>
      </c>
      <c r="O11" s="224" t="s">
        <v>151</v>
      </c>
      <c r="P11" s="224" t="s">
        <v>174</v>
      </c>
      <c r="Q11" s="224" t="s">
        <v>200</v>
      </c>
      <c r="R11" s="215">
        <f t="shared" si="0"/>
        <v>1</v>
      </c>
      <c r="S11" s="206"/>
      <c r="T11" s="575" t="s">
        <v>166</v>
      </c>
      <c r="U11" s="576"/>
      <c r="V11" s="576"/>
      <c r="W11" s="576"/>
      <c r="X11" s="576"/>
      <c r="Y11" s="577"/>
    </row>
    <row r="12" spans="1:30" s="200" customFormat="1" ht="27.95" customHeight="1">
      <c r="A12" s="208">
        <v>8</v>
      </c>
      <c r="B12" s="222" t="s">
        <v>143</v>
      </c>
      <c r="C12" s="227" t="s">
        <v>154</v>
      </c>
      <c r="D12" s="227" t="s">
        <v>154</v>
      </c>
      <c r="E12" s="211"/>
      <c r="F12" s="207" t="s">
        <v>106</v>
      </c>
      <c r="G12" s="211" t="s">
        <v>142</v>
      </c>
      <c r="H12" s="383" t="s">
        <v>776</v>
      </c>
      <c r="I12" s="211" t="s">
        <v>173</v>
      </c>
      <c r="J12" s="211" t="s">
        <v>248</v>
      </c>
      <c r="K12" s="211" t="s">
        <v>146</v>
      </c>
      <c r="L12" s="212"/>
      <c r="M12" s="396" t="s">
        <v>916</v>
      </c>
      <c r="N12" s="228" t="s">
        <v>274</v>
      </c>
      <c r="O12" s="213" t="s">
        <v>320</v>
      </c>
      <c r="P12" s="569"/>
      <c r="Q12" s="570"/>
      <c r="R12" s="215">
        <f t="shared" si="0"/>
        <v>0.91666666666666663</v>
      </c>
      <c r="S12" s="206"/>
      <c r="T12" s="578" t="s">
        <v>945</v>
      </c>
      <c r="U12" s="579"/>
      <c r="V12" s="579"/>
      <c r="W12" s="579"/>
      <c r="X12" s="579"/>
      <c r="Y12" s="580"/>
    </row>
    <row r="13" spans="1:30" s="200" customFormat="1" ht="27.95" customHeight="1">
      <c r="A13" s="208">
        <v>9</v>
      </c>
      <c r="B13" s="239" t="s">
        <v>187</v>
      </c>
      <c r="C13" s="424" t="s">
        <v>173</v>
      </c>
      <c r="D13" s="424" t="s">
        <v>173</v>
      </c>
      <c r="E13" s="212" t="s">
        <v>174</v>
      </c>
      <c r="F13" s="210" t="s">
        <v>145</v>
      </c>
      <c r="G13" s="210" t="s">
        <v>186</v>
      </c>
      <c r="H13" s="214" t="s">
        <v>161</v>
      </c>
      <c r="I13" s="214" t="s">
        <v>184</v>
      </c>
      <c r="J13" s="211" t="s">
        <v>807</v>
      </c>
      <c r="K13" s="372" t="s">
        <v>909</v>
      </c>
      <c r="L13" s="214"/>
      <c r="M13" s="210" t="s">
        <v>254</v>
      </c>
      <c r="N13" s="210" t="s">
        <v>183</v>
      </c>
      <c r="O13" s="211" t="s">
        <v>182</v>
      </c>
      <c r="P13" s="571"/>
      <c r="Q13" s="572"/>
      <c r="R13" s="215">
        <f t="shared" si="0"/>
        <v>1</v>
      </c>
      <c r="S13" s="206"/>
      <c r="T13" s="581"/>
      <c r="U13" s="582"/>
      <c r="V13" s="582"/>
      <c r="W13" s="582"/>
      <c r="X13" s="582"/>
      <c r="Y13" s="583"/>
      <c r="Z13" s="229"/>
    </row>
    <row r="14" spans="1:30" s="200" customFormat="1" ht="27.95" customHeight="1">
      <c r="A14" s="208">
        <v>10</v>
      </c>
      <c r="B14" s="209" t="s">
        <v>181</v>
      </c>
      <c r="C14" s="424" t="s">
        <v>172</v>
      </c>
      <c r="D14" s="424" t="s">
        <v>172</v>
      </c>
      <c r="E14" s="2" t="s">
        <v>180</v>
      </c>
      <c r="F14" s="210" t="s">
        <v>179</v>
      </c>
      <c r="G14" s="210" t="s">
        <v>621</v>
      </c>
      <c r="H14" s="210" t="s">
        <v>106</v>
      </c>
      <c r="I14" s="396" t="s">
        <v>915</v>
      </c>
      <c r="J14" s="3" t="s">
        <v>177</v>
      </c>
      <c r="K14" s="210"/>
      <c r="L14" s="214"/>
      <c r="M14" s="214" t="s">
        <v>164</v>
      </c>
      <c r="N14" s="211" t="s">
        <v>809</v>
      </c>
      <c r="O14" s="210" t="s">
        <v>176</v>
      </c>
      <c r="P14" s="571"/>
      <c r="Q14" s="572"/>
      <c r="R14" s="215">
        <f t="shared" si="0"/>
        <v>0.91666666666666663</v>
      </c>
      <c r="S14" s="206"/>
      <c r="T14" s="581"/>
      <c r="U14" s="582"/>
      <c r="V14" s="582"/>
      <c r="W14" s="582"/>
      <c r="X14" s="582"/>
      <c r="Y14" s="583"/>
    </row>
    <row r="15" spans="1:30" s="200" customFormat="1" ht="27.95" customHeight="1" thickBot="1">
      <c r="A15" s="208">
        <v>11</v>
      </c>
      <c r="B15" s="223" t="s">
        <v>171</v>
      </c>
      <c r="C15" s="425" t="s">
        <v>261</v>
      </c>
      <c r="D15" s="425" t="s">
        <v>261</v>
      </c>
      <c r="E15" s="231" t="s">
        <v>170</v>
      </c>
      <c r="F15" s="231" t="s">
        <v>151</v>
      </c>
      <c r="G15" s="231" t="s">
        <v>207</v>
      </c>
      <c r="H15" s="231" t="s">
        <v>220</v>
      </c>
      <c r="I15" s="231" t="s">
        <v>265</v>
      </c>
      <c r="J15" s="231" t="s">
        <v>743</v>
      </c>
      <c r="K15" s="11" t="s">
        <v>751</v>
      </c>
      <c r="L15" s="231"/>
      <c r="M15" s="231" t="s">
        <v>199</v>
      </c>
      <c r="N15" s="232"/>
      <c r="O15" s="226" t="s">
        <v>255</v>
      </c>
      <c r="P15" s="573"/>
      <c r="Q15" s="574"/>
      <c r="R15" s="215">
        <f t="shared" si="0"/>
        <v>0.91666666666666663</v>
      </c>
      <c r="S15" s="206"/>
      <c r="T15" s="581"/>
      <c r="U15" s="582"/>
      <c r="V15" s="582"/>
      <c r="W15" s="582"/>
      <c r="X15" s="582"/>
      <c r="Y15" s="583"/>
    </row>
    <row r="16" spans="1:30" s="236" customFormat="1" ht="27.95" customHeight="1" thickBot="1">
      <c r="A16" s="208">
        <v>12</v>
      </c>
      <c r="B16" s="233" t="s">
        <v>141</v>
      </c>
      <c r="C16" s="608"/>
      <c r="D16" s="609"/>
      <c r="E16" s="226" t="s">
        <v>140</v>
      </c>
      <c r="F16" s="234" t="s">
        <v>274</v>
      </c>
      <c r="G16" s="235" t="s">
        <v>172</v>
      </c>
      <c r="H16" s="234" t="s">
        <v>67</v>
      </c>
      <c r="I16" s="226" t="s">
        <v>809</v>
      </c>
      <c r="J16" s="406" t="s">
        <v>940</v>
      </c>
      <c r="K16" s="224" t="s">
        <v>261</v>
      </c>
      <c r="L16" s="226"/>
      <c r="M16" s="224" t="s">
        <v>206</v>
      </c>
      <c r="N16" s="406" t="s">
        <v>941</v>
      </c>
      <c r="O16" s="224" t="s">
        <v>295</v>
      </c>
      <c r="P16" s="226" t="s">
        <v>751</v>
      </c>
      <c r="Q16" s="226" t="s">
        <v>840</v>
      </c>
      <c r="R16" s="215">
        <f t="shared" si="0"/>
        <v>1</v>
      </c>
      <c r="S16" s="206"/>
      <c r="T16" s="581"/>
      <c r="U16" s="582"/>
      <c r="V16" s="582"/>
      <c r="W16" s="582"/>
      <c r="X16" s="582"/>
      <c r="Y16" s="583"/>
    </row>
    <row r="17" spans="1:25" s="236" customFormat="1" ht="27.95" customHeight="1">
      <c r="A17" s="208">
        <v>13</v>
      </c>
      <c r="B17" s="218" t="s">
        <v>14</v>
      </c>
      <c r="C17" s="610"/>
      <c r="D17" s="611"/>
      <c r="E17" s="211" t="s">
        <v>198</v>
      </c>
      <c r="F17" s="213" t="s">
        <v>15</v>
      </c>
      <c r="G17" s="213" t="s">
        <v>16</v>
      </c>
      <c r="H17" s="213" t="s">
        <v>62</v>
      </c>
      <c r="I17" s="211" t="s">
        <v>51</v>
      </c>
      <c r="J17" s="213" t="s">
        <v>17</v>
      </c>
      <c r="K17" s="211" t="s">
        <v>54</v>
      </c>
      <c r="L17" s="213"/>
      <c r="M17" s="211" t="s">
        <v>18</v>
      </c>
      <c r="N17" s="211" t="s">
        <v>25</v>
      </c>
      <c r="O17" s="213" t="s">
        <v>262</v>
      </c>
      <c r="P17" s="214" t="s">
        <v>23</v>
      </c>
      <c r="Q17" s="262"/>
      <c r="R17" s="215">
        <f t="shared" si="0"/>
        <v>0.91666666666666663</v>
      </c>
      <c r="S17" s="206"/>
      <c r="T17" s="581"/>
      <c r="U17" s="582"/>
      <c r="V17" s="582"/>
      <c r="W17" s="582"/>
      <c r="X17" s="582"/>
      <c r="Y17" s="583"/>
    </row>
    <row r="18" spans="1:25" s="236" customFormat="1" ht="27.95" customHeight="1">
      <c r="A18" s="208">
        <v>14</v>
      </c>
      <c r="B18" s="237" t="s">
        <v>119</v>
      </c>
      <c r="C18" s="612"/>
      <c r="D18" s="613"/>
      <c r="E18" s="396" t="s">
        <v>913</v>
      </c>
      <c r="F18" s="213" t="s">
        <v>20</v>
      </c>
      <c r="G18" s="211" t="s">
        <v>808</v>
      </c>
      <c r="H18" s="211" t="s">
        <v>942</v>
      </c>
      <c r="I18" s="213" t="s">
        <v>118</v>
      </c>
      <c r="J18" s="238" t="s">
        <v>234</v>
      </c>
      <c r="K18" s="213" t="s">
        <v>117</v>
      </c>
      <c r="L18" s="212"/>
      <c r="M18" s="143" t="s">
        <v>292</v>
      </c>
      <c r="N18" s="212" t="s">
        <v>116</v>
      </c>
      <c r="O18" s="210" t="s">
        <v>747</v>
      </c>
      <c r="P18" s="214" t="s">
        <v>72</v>
      </c>
      <c r="Q18" s="211" t="s">
        <v>272</v>
      </c>
      <c r="R18" s="215">
        <f t="shared" si="0"/>
        <v>1</v>
      </c>
      <c r="S18" s="206"/>
      <c r="T18" s="581"/>
      <c r="U18" s="582"/>
      <c r="V18" s="582"/>
      <c r="W18" s="582"/>
      <c r="X18" s="582"/>
      <c r="Y18" s="583"/>
    </row>
    <row r="19" spans="1:25" s="236" customFormat="1" ht="27.95" customHeight="1" thickBot="1">
      <c r="A19" s="208">
        <v>15</v>
      </c>
      <c r="B19" s="239" t="s">
        <v>139</v>
      </c>
      <c r="C19" s="612"/>
      <c r="D19" s="613"/>
      <c r="E19" s="2" t="s">
        <v>260</v>
      </c>
      <c r="F19" s="238" t="s">
        <v>634</v>
      </c>
      <c r="G19" s="211" t="s">
        <v>94</v>
      </c>
      <c r="H19" s="210" t="s">
        <v>226</v>
      </c>
      <c r="I19" s="2" t="s">
        <v>228</v>
      </c>
      <c r="J19" s="211" t="s">
        <v>138</v>
      </c>
      <c r="K19" s="214" t="s">
        <v>623</v>
      </c>
      <c r="L19" s="214"/>
      <c r="M19" s="211" t="s">
        <v>275</v>
      </c>
      <c r="N19" s="211" t="s">
        <v>137</v>
      </c>
      <c r="O19" s="210" t="s">
        <v>136</v>
      </c>
      <c r="P19" s="240" t="s">
        <v>135</v>
      </c>
      <c r="Q19" s="211" t="s">
        <v>267</v>
      </c>
      <c r="R19" s="215">
        <f t="shared" si="0"/>
        <v>1</v>
      </c>
      <c r="S19" s="206"/>
      <c r="T19" s="584"/>
      <c r="U19" s="585"/>
      <c r="V19" s="585"/>
      <c r="W19" s="585"/>
      <c r="X19" s="585"/>
      <c r="Y19" s="586"/>
    </row>
    <row r="20" spans="1:25" s="200" customFormat="1" ht="27.95" customHeight="1" thickBot="1">
      <c r="A20" s="208">
        <v>16</v>
      </c>
      <c r="B20" s="237" t="s">
        <v>115</v>
      </c>
      <c r="C20" s="612"/>
      <c r="D20" s="613"/>
      <c r="E20" s="214" t="s">
        <v>22</v>
      </c>
      <c r="F20" s="210" t="s">
        <v>210</v>
      </c>
      <c r="G20" s="210" t="s">
        <v>52</v>
      </c>
      <c r="H20" s="375" t="s">
        <v>891</v>
      </c>
      <c r="I20" s="214" t="s">
        <v>275</v>
      </c>
      <c r="J20" s="244" t="s">
        <v>286</v>
      </c>
      <c r="K20" s="212" t="s">
        <v>113</v>
      </c>
      <c r="L20" s="214"/>
      <c r="M20" s="2" t="s">
        <v>221</v>
      </c>
      <c r="N20" s="242" t="s">
        <v>110</v>
      </c>
      <c r="O20" s="213" t="s">
        <v>610</v>
      </c>
      <c r="P20" s="214" t="s">
        <v>55</v>
      </c>
      <c r="Q20" s="214" t="s">
        <v>70</v>
      </c>
      <c r="R20" s="215">
        <f t="shared" si="0"/>
        <v>1</v>
      </c>
      <c r="S20" s="206"/>
      <c r="T20" s="616" t="s">
        <v>306</v>
      </c>
      <c r="U20" s="617"/>
      <c r="V20" s="617"/>
      <c r="W20" s="617"/>
      <c r="X20" s="617"/>
      <c r="Y20" s="618"/>
    </row>
    <row r="21" spans="1:25" s="200" customFormat="1" ht="27.95" customHeight="1">
      <c r="A21" s="208"/>
      <c r="B21" s="243" t="s">
        <v>645</v>
      </c>
      <c r="C21" s="612"/>
      <c r="D21" s="613"/>
      <c r="E21" s="433"/>
      <c r="F21" s="432"/>
      <c r="G21" s="432"/>
      <c r="H21" s="433"/>
      <c r="I21" s="433"/>
      <c r="J21" s="434"/>
      <c r="K21" s="431"/>
      <c r="L21" s="433"/>
      <c r="M21" s="435"/>
      <c r="N21" s="437"/>
      <c r="O21" s="440"/>
      <c r="P21" s="440"/>
      <c r="Q21" s="441"/>
      <c r="R21" s="215"/>
      <c r="S21" s="206"/>
      <c r="T21" s="578" t="s">
        <v>920</v>
      </c>
      <c r="U21" s="579"/>
      <c r="V21" s="579"/>
      <c r="W21" s="579"/>
      <c r="X21" s="579"/>
      <c r="Y21" s="580"/>
    </row>
    <row r="22" spans="1:25" s="200" customFormat="1" ht="27.95" customHeight="1">
      <c r="A22" s="208">
        <v>17</v>
      </c>
      <c r="B22" s="243" t="s">
        <v>130</v>
      </c>
      <c r="C22" s="612"/>
      <c r="D22" s="613"/>
      <c r="E22" s="210" t="s">
        <v>243</v>
      </c>
      <c r="F22" s="210" t="s">
        <v>129</v>
      </c>
      <c r="G22" s="210" t="s">
        <v>249</v>
      </c>
      <c r="H22" s="214" t="s">
        <v>209</v>
      </c>
      <c r="I22" s="210" t="s">
        <v>128</v>
      </c>
      <c r="J22" s="210" t="s">
        <v>127</v>
      </c>
      <c r="K22" s="210" t="s">
        <v>843</v>
      </c>
      <c r="L22" s="241"/>
      <c r="M22" s="214" t="s">
        <v>284</v>
      </c>
      <c r="N22" s="2" t="s">
        <v>126</v>
      </c>
      <c r="O22" s="211" t="s">
        <v>287</v>
      </c>
      <c r="P22" s="244" t="s">
        <v>125</v>
      </c>
      <c r="Q22" s="245" t="s">
        <v>249</v>
      </c>
      <c r="R22" s="215">
        <f t="shared" si="0"/>
        <v>1</v>
      </c>
      <c r="S22" s="206"/>
      <c r="T22" s="581"/>
      <c r="U22" s="582"/>
      <c r="V22" s="582"/>
      <c r="W22" s="582"/>
      <c r="X22" s="582"/>
      <c r="Y22" s="583"/>
    </row>
    <row r="23" spans="1:25" s="200" customFormat="1" ht="27.95" customHeight="1" thickBot="1">
      <c r="A23" s="208">
        <v>18</v>
      </c>
      <c r="B23" s="246" t="s">
        <v>124</v>
      </c>
      <c r="C23" s="614"/>
      <c r="D23" s="615"/>
      <c r="E23" s="488" t="s">
        <v>939</v>
      </c>
      <c r="F23" s="248" t="s">
        <v>197</v>
      </c>
      <c r="G23" s="11" t="s">
        <v>19</v>
      </c>
      <c r="H23" s="231" t="s">
        <v>262</v>
      </c>
      <c r="I23" s="231" t="s">
        <v>263</v>
      </c>
      <c r="J23" s="397" t="s">
        <v>912</v>
      </c>
      <c r="K23" s="532" t="s">
        <v>936</v>
      </c>
      <c r="L23" s="283"/>
      <c r="M23" s="248" t="s">
        <v>291</v>
      </c>
      <c r="N23" s="231" t="s">
        <v>71</v>
      </c>
      <c r="O23" s="231" t="s">
        <v>752</v>
      </c>
      <c r="P23" s="248" t="s">
        <v>123</v>
      </c>
      <c r="Q23" s="231" t="s">
        <v>122</v>
      </c>
      <c r="R23" s="215">
        <f t="shared" si="0"/>
        <v>1</v>
      </c>
      <c r="S23" s="206"/>
      <c r="T23" s="581"/>
      <c r="U23" s="582"/>
      <c r="V23" s="582"/>
      <c r="W23" s="582"/>
      <c r="X23" s="582"/>
      <c r="Y23" s="583"/>
    </row>
    <row r="24" spans="1:25" s="200" customFormat="1" ht="27.95" customHeight="1" thickBot="1">
      <c r="A24" s="208">
        <v>19</v>
      </c>
      <c r="B24" s="249" t="s">
        <v>112</v>
      </c>
      <c r="C24" s="619"/>
      <c r="D24" s="620"/>
      <c r="E24" s="224" t="s">
        <v>268</v>
      </c>
      <c r="F24" s="224" t="s">
        <v>752</v>
      </c>
      <c r="G24" s="250" t="s">
        <v>233</v>
      </c>
      <c r="H24" s="224" t="s">
        <v>294</v>
      </c>
      <c r="I24" s="224" t="s">
        <v>111</v>
      </c>
      <c r="J24" s="224" t="s">
        <v>69</v>
      </c>
      <c r="K24" s="234" t="s">
        <v>110</v>
      </c>
      <c r="L24" s="234"/>
      <c r="M24" s="234" t="s">
        <v>249</v>
      </c>
      <c r="N24" s="226" t="s">
        <v>338</v>
      </c>
      <c r="O24" s="235" t="s">
        <v>109</v>
      </c>
      <c r="P24" s="226" t="s">
        <v>209</v>
      </c>
      <c r="Q24" s="224" t="s">
        <v>72</v>
      </c>
      <c r="R24" s="215">
        <f t="shared" si="0"/>
        <v>1</v>
      </c>
      <c r="S24" s="206"/>
      <c r="T24" s="584"/>
      <c r="U24" s="585"/>
      <c r="V24" s="585"/>
      <c r="W24" s="585"/>
      <c r="X24" s="585"/>
      <c r="Y24" s="586"/>
    </row>
    <row r="25" spans="1:25" s="200" customFormat="1" ht="27.95" customHeight="1" thickBot="1">
      <c r="A25" s="208">
        <v>20</v>
      </c>
      <c r="B25" s="341" t="s">
        <v>26</v>
      </c>
      <c r="C25" s="251" t="s">
        <v>810</v>
      </c>
      <c r="D25" s="251" t="s">
        <v>810</v>
      </c>
      <c r="E25" s="252" t="s">
        <v>252</v>
      </c>
      <c r="F25" s="211" t="s">
        <v>27</v>
      </c>
      <c r="G25" s="213" t="s">
        <v>47</v>
      </c>
      <c r="H25" s="3" t="s">
        <v>28</v>
      </c>
      <c r="I25" s="211" t="s">
        <v>68</v>
      </c>
      <c r="J25" s="211" t="s">
        <v>275</v>
      </c>
      <c r="K25" s="211" t="s">
        <v>50</v>
      </c>
      <c r="L25" s="253"/>
      <c r="M25" s="228" t="s">
        <v>810</v>
      </c>
      <c r="N25" s="396" t="s">
        <v>917</v>
      </c>
      <c r="O25" s="3" t="s">
        <v>24</v>
      </c>
      <c r="P25" s="569"/>
      <c r="Q25" s="570"/>
      <c r="R25" s="215">
        <f t="shared" si="0"/>
        <v>1</v>
      </c>
      <c r="S25" s="206"/>
      <c r="T25" s="575" t="s">
        <v>120</v>
      </c>
      <c r="U25" s="576"/>
      <c r="V25" s="576"/>
      <c r="W25" s="576"/>
      <c r="X25" s="576"/>
      <c r="Y25" s="577"/>
    </row>
    <row r="26" spans="1:25" s="200" customFormat="1" ht="27.95" customHeight="1">
      <c r="A26" s="208">
        <v>21</v>
      </c>
      <c r="B26" s="342" t="s">
        <v>515</v>
      </c>
      <c r="C26" s="254" t="s">
        <v>209</v>
      </c>
      <c r="D26" s="254" t="s">
        <v>209</v>
      </c>
      <c r="E26" s="252"/>
      <c r="F26" s="210" t="s">
        <v>748</v>
      </c>
      <c r="G26" s="3" t="s">
        <v>516</v>
      </c>
      <c r="H26" s="211" t="s">
        <v>517</v>
      </c>
      <c r="I26" s="214" t="s">
        <v>231</v>
      </c>
      <c r="J26" s="211" t="s">
        <v>933</v>
      </c>
      <c r="K26" s="210" t="s">
        <v>268</v>
      </c>
      <c r="L26" s="219"/>
      <c r="M26" s="214" t="s">
        <v>30</v>
      </c>
      <c r="N26" s="2" t="s">
        <v>843</v>
      </c>
      <c r="O26" s="214" t="s">
        <v>209</v>
      </c>
      <c r="P26" s="571"/>
      <c r="Q26" s="572"/>
      <c r="R26" s="215"/>
      <c r="S26" s="206"/>
      <c r="T26" s="578" t="s">
        <v>946</v>
      </c>
      <c r="U26" s="579"/>
      <c r="V26" s="579"/>
      <c r="W26" s="579"/>
      <c r="X26" s="579"/>
      <c r="Y26" s="580"/>
    </row>
    <row r="27" spans="1:25" s="200" customFormat="1" ht="27.95" customHeight="1">
      <c r="A27" s="208">
        <v>22</v>
      </c>
      <c r="B27" s="494" t="s">
        <v>849</v>
      </c>
      <c r="C27" s="254"/>
      <c r="D27" s="254"/>
      <c r="E27" s="469"/>
      <c r="F27" s="445" t="s">
        <v>132</v>
      </c>
      <c r="G27" s="445" t="s">
        <v>293</v>
      </c>
      <c r="H27" s="445"/>
      <c r="I27" s="445"/>
      <c r="J27" s="454" t="s">
        <v>211</v>
      </c>
      <c r="K27" s="452"/>
      <c r="L27" s="452"/>
      <c r="M27" s="445" t="s">
        <v>219</v>
      </c>
      <c r="N27" s="452"/>
      <c r="O27" s="443" t="s">
        <v>808</v>
      </c>
      <c r="P27" s="571"/>
      <c r="Q27" s="572"/>
      <c r="R27" s="215">
        <f>(COUNTA(C27:Q27))/12</f>
        <v>0.41666666666666669</v>
      </c>
      <c r="S27" s="206"/>
      <c r="T27" s="581"/>
      <c r="U27" s="582"/>
      <c r="V27" s="582"/>
      <c r="W27" s="582"/>
      <c r="X27" s="582"/>
      <c r="Y27" s="583"/>
    </row>
    <row r="28" spans="1:25" s="200" customFormat="1" ht="27.95" customHeight="1" thickBot="1">
      <c r="A28" s="208">
        <v>23</v>
      </c>
      <c r="B28" s="344" t="s">
        <v>528</v>
      </c>
      <c r="C28" s="256" t="s">
        <v>72</v>
      </c>
      <c r="D28" s="256" t="s">
        <v>72</v>
      </c>
      <c r="E28" s="348"/>
      <c r="F28" s="248" t="s">
        <v>55</v>
      </c>
      <c r="G28" s="11" t="s">
        <v>198</v>
      </c>
      <c r="H28" s="226" t="s">
        <v>70</v>
      </c>
      <c r="I28" s="418" t="s">
        <v>352</v>
      </c>
      <c r="J28" s="258" t="s">
        <v>532</v>
      </c>
      <c r="K28" s="248" t="s">
        <v>294</v>
      </c>
      <c r="L28" s="258"/>
      <c r="M28" s="248" t="s">
        <v>21</v>
      </c>
      <c r="N28" s="259" t="s">
        <v>121</v>
      </c>
      <c r="O28" s="11" t="s">
        <v>210</v>
      </c>
      <c r="P28" s="573"/>
      <c r="Q28" s="574"/>
      <c r="R28" s="215"/>
      <c r="S28" s="206"/>
      <c r="T28" s="581"/>
      <c r="U28" s="582"/>
      <c r="V28" s="582"/>
      <c r="W28" s="582"/>
      <c r="X28" s="582"/>
      <c r="Y28" s="583"/>
    </row>
    <row r="29" spans="1:25" s="200" customFormat="1" ht="27.95" customHeight="1">
      <c r="A29" s="260" t="s">
        <v>108</v>
      </c>
      <c r="B29" s="261" t="s">
        <v>107</v>
      </c>
      <c r="C29" s="587"/>
      <c r="D29" s="588"/>
      <c r="E29" s="4"/>
      <c r="F29" s="262"/>
      <c r="G29" s="262" t="s">
        <v>746</v>
      </c>
      <c r="H29" s="213" t="s">
        <v>218</v>
      </c>
      <c r="I29" s="262" t="s">
        <v>106</v>
      </c>
      <c r="J29" s="4" t="s">
        <v>105</v>
      </c>
      <c r="K29" s="4"/>
      <c r="L29" s="263"/>
      <c r="M29" s="262"/>
      <c r="N29" s="262" t="s">
        <v>295</v>
      </c>
      <c r="O29" s="211" t="s">
        <v>104</v>
      </c>
      <c r="P29" s="264"/>
      <c r="Q29" s="265"/>
      <c r="R29" s="215">
        <f>(COUNTA(C29:Q29))/6</f>
        <v>1</v>
      </c>
      <c r="S29" s="206"/>
      <c r="T29" s="581"/>
      <c r="U29" s="582"/>
      <c r="V29" s="582"/>
      <c r="W29" s="582"/>
      <c r="X29" s="582"/>
      <c r="Y29" s="583"/>
    </row>
    <row r="30" spans="1:25" s="200" customFormat="1" ht="27.95" customHeight="1" thickBot="1">
      <c r="A30" s="266" t="s">
        <v>103</v>
      </c>
      <c r="B30" s="267" t="s">
        <v>31</v>
      </c>
      <c r="C30" s="587"/>
      <c r="D30" s="588"/>
      <c r="E30" s="211" t="s">
        <v>747</v>
      </c>
      <c r="F30" s="211" t="s">
        <v>102</v>
      </c>
      <c r="G30" s="211"/>
      <c r="H30" s="211"/>
      <c r="I30" s="211" t="s">
        <v>294</v>
      </c>
      <c r="J30" s="211"/>
      <c r="K30" s="207"/>
      <c r="L30" s="268"/>
      <c r="M30" s="211"/>
      <c r="N30" s="211"/>
      <c r="O30" s="211" t="s">
        <v>94</v>
      </c>
      <c r="P30" s="210" t="s">
        <v>16</v>
      </c>
      <c r="Q30" s="211" t="s">
        <v>101</v>
      </c>
      <c r="R30" s="215">
        <f>(COUNTA(C30:Q30))/7</f>
        <v>0.8571428571428571</v>
      </c>
      <c r="S30" s="206"/>
      <c r="T30" s="584"/>
      <c r="U30" s="585"/>
      <c r="V30" s="585"/>
      <c r="W30" s="585"/>
      <c r="X30" s="585"/>
      <c r="Y30" s="586"/>
    </row>
    <row r="31" spans="1:25" s="200" customFormat="1" ht="9.9499999999999993" customHeight="1" thickBot="1">
      <c r="A31" s="269"/>
      <c r="B31" s="270"/>
      <c r="C31" s="270"/>
      <c r="D31" s="270"/>
      <c r="E31" s="5"/>
      <c r="F31" s="271"/>
      <c r="G31" s="272"/>
      <c r="H31" s="272"/>
      <c r="I31" s="272"/>
      <c r="J31" s="272"/>
      <c r="K31" s="5"/>
      <c r="L31" s="271"/>
      <c r="M31" s="5"/>
      <c r="N31" s="272"/>
      <c r="O31" s="271"/>
      <c r="P31" s="271"/>
      <c r="Q31" s="273"/>
      <c r="R31" s="274"/>
      <c r="S31" s="206"/>
      <c r="T31" s="543"/>
      <c r="U31" s="543"/>
      <c r="V31" s="543"/>
      <c r="W31" s="543"/>
      <c r="X31" s="543"/>
      <c r="Y31" s="543"/>
    </row>
    <row r="32" spans="1:25" s="200" customFormat="1" ht="109.5" customHeight="1">
      <c r="A32" s="589"/>
      <c r="B32" s="591" t="s">
        <v>100</v>
      </c>
      <c r="C32" s="593"/>
      <c r="D32" s="594"/>
      <c r="E32" s="265" t="s">
        <v>735</v>
      </c>
      <c r="F32" s="276" t="s">
        <v>278</v>
      </c>
      <c r="G32" s="265" t="s">
        <v>281</v>
      </c>
      <c r="H32" s="265" t="s">
        <v>289</v>
      </c>
      <c r="I32" s="211" t="s">
        <v>679</v>
      </c>
      <c r="J32" s="213" t="s">
        <v>641</v>
      </c>
      <c r="K32" s="211" t="s">
        <v>734</v>
      </c>
      <c r="L32" s="212"/>
      <c r="M32" s="213" t="s">
        <v>282</v>
      </c>
      <c r="N32" s="277" t="s">
        <v>276</v>
      </c>
      <c r="O32" s="276" t="s">
        <v>297</v>
      </c>
      <c r="P32" s="277" t="s">
        <v>288</v>
      </c>
      <c r="Q32" s="211" t="s">
        <v>296</v>
      </c>
      <c r="R32" s="215">
        <f>(COUNTA(C32:Q32))/12</f>
        <v>1</v>
      </c>
      <c r="S32" s="206"/>
      <c r="T32" s="599" t="s">
        <v>918</v>
      </c>
      <c r="U32" s="600"/>
      <c r="V32" s="600"/>
      <c r="W32" s="600"/>
      <c r="X32" s="600"/>
      <c r="Y32" s="601"/>
    </row>
    <row r="33" spans="1:31" s="200" customFormat="1" ht="129.94999999999999" customHeight="1">
      <c r="A33" s="590"/>
      <c r="B33" s="592"/>
      <c r="C33" s="595"/>
      <c r="D33" s="596"/>
      <c r="E33" s="523" t="s">
        <v>923</v>
      </c>
      <c r="F33" s="210" t="s">
        <v>930</v>
      </c>
      <c r="G33" s="279" t="s">
        <v>934</v>
      </c>
      <c r="H33" s="210" t="s">
        <v>857</v>
      </c>
      <c r="I33" s="214" t="s">
        <v>929</v>
      </c>
      <c r="J33" s="210" t="s">
        <v>931</v>
      </c>
      <c r="K33" s="210" t="s">
        <v>922</v>
      </c>
      <c r="L33" s="210"/>
      <c r="M33" s="210" t="s">
        <v>928</v>
      </c>
      <c r="N33" s="278" t="s">
        <v>927</v>
      </c>
      <c r="O33" s="349" t="s">
        <v>926</v>
      </c>
      <c r="P33" s="493" t="s">
        <v>932</v>
      </c>
      <c r="Q33" s="210" t="s">
        <v>800</v>
      </c>
      <c r="R33" s="274"/>
      <c r="S33" s="206"/>
      <c r="T33" s="602"/>
      <c r="U33" s="603"/>
      <c r="V33" s="603"/>
      <c r="W33" s="603"/>
      <c r="X33" s="603"/>
      <c r="Y33" s="604"/>
    </row>
    <row r="34" spans="1:31" s="200" customFormat="1" ht="69.95" customHeight="1" thickBot="1">
      <c r="A34" s="280"/>
      <c r="B34" s="246" t="s">
        <v>99</v>
      </c>
      <c r="C34" s="597"/>
      <c r="D34" s="598"/>
      <c r="E34" s="281" t="s">
        <v>98</v>
      </c>
      <c r="F34" s="282" t="s">
        <v>680</v>
      </c>
      <c r="G34" s="248" t="s">
        <v>242</v>
      </c>
      <c r="H34" s="248" t="s">
        <v>97</v>
      </c>
      <c r="I34" s="231" t="s">
        <v>227</v>
      </c>
      <c r="J34" s="248" t="s">
        <v>644</v>
      </c>
      <c r="K34" s="248" t="s">
        <v>290</v>
      </c>
      <c r="L34" s="283"/>
      <c r="M34" s="248" t="s">
        <v>643</v>
      </c>
      <c r="N34" s="231" t="s">
        <v>277</v>
      </c>
      <c r="O34" s="224" t="s">
        <v>259</v>
      </c>
      <c r="P34" s="248"/>
      <c r="Q34" s="284" t="s">
        <v>96</v>
      </c>
      <c r="R34" s="215">
        <f>(COUNTA(F34:P34))/9</f>
        <v>1</v>
      </c>
      <c r="S34" s="206"/>
      <c r="T34" s="605"/>
      <c r="U34" s="606"/>
      <c r="V34" s="606"/>
      <c r="W34" s="606"/>
      <c r="X34" s="606"/>
      <c r="Y34" s="607"/>
      <c r="AB34" s="198"/>
      <c r="AC34" s="198"/>
      <c r="AD34" s="198"/>
      <c r="AE34" s="198"/>
    </row>
    <row r="35" spans="1:31" ht="9.9499999999999993" customHeight="1">
      <c r="A35" s="286"/>
      <c r="B35" s="286"/>
      <c r="C35" s="287"/>
      <c r="D35" s="287"/>
      <c r="O35" s="289"/>
      <c r="S35" s="206"/>
      <c r="AA35" s="200"/>
    </row>
    <row r="36" spans="1:31" ht="21" customHeight="1">
      <c r="B36" s="291"/>
      <c r="C36" s="291"/>
      <c r="D36" s="292" t="s">
        <v>95</v>
      </c>
      <c r="E36" s="293" t="s">
        <v>0</v>
      </c>
      <c r="F36" s="293" t="s">
        <v>1</v>
      </c>
      <c r="G36" s="293" t="s">
        <v>2</v>
      </c>
      <c r="H36" s="293" t="s">
        <v>32</v>
      </c>
      <c r="I36" s="293" t="s">
        <v>33</v>
      </c>
      <c r="J36" s="293" t="s">
        <v>34</v>
      </c>
      <c r="K36" s="293" t="s">
        <v>35</v>
      </c>
      <c r="L36" s="294" t="s">
        <v>36</v>
      </c>
      <c r="M36" s="293" t="s">
        <v>37</v>
      </c>
      <c r="N36" s="293" t="s">
        <v>6</v>
      </c>
      <c r="O36" s="293" t="s">
        <v>7</v>
      </c>
      <c r="P36" s="293" t="s">
        <v>8</v>
      </c>
      <c r="Q36" s="295" t="s">
        <v>9</v>
      </c>
      <c r="R36" s="296"/>
      <c r="T36" s="297"/>
      <c r="U36" s="298"/>
      <c r="V36" s="298"/>
      <c r="W36" s="298"/>
      <c r="X36" s="298"/>
      <c r="AA36" s="200"/>
    </row>
    <row r="37" spans="1:31" ht="45.75" customHeight="1">
      <c r="B37" s="291"/>
      <c r="C37" s="291"/>
      <c r="D37" s="299" t="s">
        <v>93</v>
      </c>
      <c r="E37" s="241" t="s">
        <v>92</v>
      </c>
      <c r="F37" s="241" t="s">
        <v>708</v>
      </c>
      <c r="G37" s="241" t="s">
        <v>170</v>
      </c>
      <c r="H37" s="214" t="s">
        <v>613</v>
      </c>
      <c r="I37" s="214" t="s">
        <v>12</v>
      </c>
      <c r="J37" s="214" t="s">
        <v>48</v>
      </c>
      <c r="K37" s="214" t="s">
        <v>911</v>
      </c>
      <c r="L37" s="214"/>
      <c r="M37" s="349" t="s">
        <v>230</v>
      </c>
      <c r="N37" s="210" t="s">
        <v>733</v>
      </c>
      <c r="O37" s="301" t="s">
        <v>910</v>
      </c>
      <c r="P37" s="238" t="s">
        <v>730</v>
      </c>
      <c r="Q37" s="303" t="s">
        <v>908</v>
      </c>
      <c r="R37" s="296"/>
      <c r="T37" s="298"/>
      <c r="U37" s="298"/>
      <c r="V37" s="298"/>
      <c r="W37" s="298"/>
      <c r="X37" s="298"/>
      <c r="AA37" s="200"/>
    </row>
    <row r="38" spans="1:31" ht="27.95" customHeight="1">
      <c r="B38" s="291"/>
      <c r="C38" s="291"/>
      <c r="D38" s="299" t="s">
        <v>88</v>
      </c>
      <c r="E38" s="241"/>
      <c r="F38" s="241"/>
      <c r="G38" s="241"/>
      <c r="H38" s="214"/>
      <c r="I38" s="214"/>
      <c r="J38" s="214"/>
      <c r="K38" s="214"/>
      <c r="L38" s="214"/>
      <c r="M38" s="214"/>
      <c r="N38" s="214"/>
      <c r="O38" s="304"/>
      <c r="P38" s="241"/>
      <c r="Q38" s="305" t="s">
        <v>87</v>
      </c>
      <c r="R38" s="296"/>
      <c r="T38" s="298"/>
      <c r="U38" s="298"/>
      <c r="V38" s="298"/>
      <c r="W38" s="298"/>
      <c r="X38" s="298"/>
    </row>
    <row r="39" spans="1:31" ht="27.95" customHeight="1">
      <c r="B39" s="291"/>
      <c r="C39" s="291"/>
      <c r="D39" s="299" t="s">
        <v>86</v>
      </c>
      <c r="E39" s="214"/>
      <c r="F39" s="306" t="s">
        <v>300</v>
      </c>
      <c r="G39" s="214"/>
      <c r="H39" s="214" t="s">
        <v>316</v>
      </c>
      <c r="I39" s="388"/>
      <c r="J39" s="219" t="s">
        <v>30</v>
      </c>
      <c r="K39" s="389" t="s">
        <v>118</v>
      </c>
      <c r="L39" s="214"/>
      <c r="M39" s="214" t="s">
        <v>27</v>
      </c>
      <c r="N39" s="238" t="s">
        <v>134</v>
      </c>
      <c r="O39" s="309" t="s">
        <v>85</v>
      </c>
      <c r="P39" s="241" t="s">
        <v>84</v>
      </c>
      <c r="Q39" s="370" t="s">
        <v>317</v>
      </c>
      <c r="R39" s="296"/>
      <c r="T39" s="298"/>
      <c r="U39" s="298"/>
      <c r="V39" s="298"/>
      <c r="W39" s="298"/>
      <c r="X39" s="298"/>
    </row>
    <row r="40" spans="1:31" ht="42" customHeight="1">
      <c r="B40" s="198"/>
      <c r="C40" s="198"/>
      <c r="D40" s="311" t="s">
        <v>83</v>
      </c>
      <c r="E40" s="312" t="s">
        <v>608</v>
      </c>
      <c r="F40" s="312" t="s">
        <v>246</v>
      </c>
      <c r="G40" s="312" t="s">
        <v>731</v>
      </c>
      <c r="H40" s="314" t="s">
        <v>609</v>
      </c>
      <c r="I40" s="314" t="s">
        <v>612</v>
      </c>
      <c r="J40" s="313" t="s">
        <v>49</v>
      </c>
      <c r="K40" s="314" t="s">
        <v>937</v>
      </c>
      <c r="L40" s="314"/>
      <c r="M40" s="313" t="s">
        <v>616</v>
      </c>
      <c r="N40" s="314" t="s">
        <v>938</v>
      </c>
      <c r="O40" s="314" t="s">
        <v>314</v>
      </c>
      <c r="P40" s="312" t="s">
        <v>245</v>
      </c>
      <c r="Q40" s="315" t="s">
        <v>732</v>
      </c>
    </row>
    <row r="41" spans="1:31" ht="9.9499999999999993" customHeight="1">
      <c r="E41" s="288"/>
      <c r="F41" s="288"/>
      <c r="G41" s="288"/>
      <c r="H41" s="288"/>
      <c r="I41" s="288"/>
      <c r="J41" s="288"/>
      <c r="K41" s="288"/>
      <c r="M41" s="288"/>
      <c r="N41" s="288"/>
      <c r="O41" s="288"/>
    </row>
    <row r="42" spans="1:31" ht="27.95" customHeight="1">
      <c r="A42" s="317"/>
      <c r="B42" s="317"/>
      <c r="C42" s="317"/>
      <c r="D42" s="560" t="s">
        <v>919</v>
      </c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2"/>
      <c r="R42" s="296"/>
    </row>
    <row r="43" spans="1:31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31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31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31" ht="27.95" customHeight="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31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31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296"/>
    </row>
    <row r="51" spans="1:18">
      <c r="A51" s="317"/>
      <c r="B51" s="317"/>
      <c r="C51" s="317"/>
      <c r="D51" s="563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5"/>
      <c r="R51" s="296"/>
    </row>
    <row r="52" spans="1:18">
      <c r="A52" s="317"/>
      <c r="B52" s="317"/>
      <c r="C52" s="317"/>
      <c r="D52" s="566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296"/>
    </row>
    <row r="53" spans="1:18" ht="9.9499999999999993" customHeight="1"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6"/>
    </row>
    <row r="54" spans="1:18" ht="24">
      <c r="D54" s="318"/>
      <c r="E54" s="319" t="s">
        <v>0</v>
      </c>
      <c r="F54" s="320" t="s">
        <v>1</v>
      </c>
      <c r="G54" s="320" t="s">
        <v>2</v>
      </c>
      <c r="H54" s="320" t="s">
        <v>3</v>
      </c>
      <c r="I54" s="320" t="s">
        <v>81</v>
      </c>
      <c r="J54" s="320" t="s">
        <v>80</v>
      </c>
      <c r="K54" s="320" t="s">
        <v>79</v>
      </c>
      <c r="L54" s="321"/>
      <c r="M54" s="320" t="s">
        <v>5</v>
      </c>
      <c r="N54" s="320" t="s">
        <v>6</v>
      </c>
      <c r="O54" s="320" t="s">
        <v>7</v>
      </c>
      <c r="P54" s="320" t="s">
        <v>8</v>
      </c>
      <c r="Q54" s="322" t="s">
        <v>9</v>
      </c>
      <c r="R54" s="323" t="s">
        <v>78</v>
      </c>
    </row>
    <row r="55" spans="1:18" ht="30" customHeight="1">
      <c r="D55" s="324" t="s">
        <v>77</v>
      </c>
      <c r="E55" s="325"/>
      <c r="F55" s="228"/>
      <c r="G55" s="265" t="s">
        <v>706</v>
      </c>
      <c r="H55" s="228"/>
      <c r="I55" s="228"/>
      <c r="J55" s="228"/>
      <c r="K55" s="228"/>
      <c r="L55" s="212"/>
      <c r="M55" s="212"/>
      <c r="N55" s="228" t="s">
        <v>620</v>
      </c>
      <c r="O55" s="326"/>
      <c r="P55" s="326"/>
      <c r="Q55" s="228"/>
      <c r="R55" s="328"/>
    </row>
    <row r="56" spans="1:18" ht="30" customHeight="1">
      <c r="D56" s="329" t="s">
        <v>76</v>
      </c>
      <c r="E56" s="457"/>
      <c r="F56" s="242"/>
      <c r="G56" s="242" t="s">
        <v>319</v>
      </c>
      <c r="H56" s="242"/>
      <c r="I56" s="238"/>
      <c r="J56" s="242"/>
      <c r="K56" s="242" t="s">
        <v>216</v>
      </c>
      <c r="L56" s="219"/>
      <c r="M56" s="242"/>
      <c r="N56" s="242"/>
      <c r="O56" s="331"/>
      <c r="P56" s="331"/>
      <c r="Q56" s="242"/>
      <c r="R56" s="332"/>
    </row>
    <row r="57" spans="1:18" ht="50.1" customHeight="1">
      <c r="D57" s="333" t="s">
        <v>75</v>
      </c>
      <c r="E57" s="490" t="s">
        <v>806</v>
      </c>
      <c r="F57" s="238" t="s">
        <v>251</v>
      </c>
      <c r="G57" s="238" t="s">
        <v>60</v>
      </c>
      <c r="H57" s="238"/>
      <c r="I57" s="242" t="s">
        <v>228</v>
      </c>
      <c r="J57" s="238" t="s">
        <v>271</v>
      </c>
      <c r="K57" s="350" t="s">
        <v>921</v>
      </c>
      <c r="L57" s="219"/>
      <c r="M57" s="238"/>
      <c r="N57" s="242"/>
      <c r="O57" s="242"/>
      <c r="P57" s="242"/>
      <c r="Q57" s="242"/>
      <c r="R57" s="334"/>
    </row>
    <row r="58" spans="1:18" ht="30" customHeight="1">
      <c r="D58" s="324" t="s">
        <v>38</v>
      </c>
      <c r="E58" s="330"/>
      <c r="F58" s="331"/>
      <c r="G58" s="242"/>
      <c r="H58" s="242"/>
      <c r="I58" s="242"/>
      <c r="J58" s="242"/>
      <c r="K58" s="242"/>
      <c r="L58" s="309"/>
      <c r="M58" s="331"/>
      <c r="N58" s="331"/>
      <c r="O58" s="331"/>
      <c r="P58" s="331"/>
      <c r="Q58" s="331"/>
      <c r="R58" s="332"/>
    </row>
    <row r="59" spans="1:18" ht="30" customHeight="1">
      <c r="D59" s="335" t="s">
        <v>74</v>
      </c>
      <c r="E59" s="336"/>
      <c r="F59" s="337"/>
      <c r="G59" s="338"/>
      <c r="H59" s="337"/>
      <c r="I59" s="337"/>
      <c r="J59" s="337"/>
      <c r="K59" s="337"/>
      <c r="L59" s="339"/>
      <c r="M59" s="337"/>
      <c r="N59" s="337"/>
      <c r="O59" s="338" t="s">
        <v>24</v>
      </c>
      <c r="P59" s="338"/>
      <c r="Q59" s="337"/>
      <c r="R59" s="340"/>
    </row>
    <row r="62" spans="1:18" ht="24">
      <c r="D62" s="356"/>
      <c r="E62" s="320" t="s">
        <v>0</v>
      </c>
      <c r="F62" s="320" t="s">
        <v>1</v>
      </c>
      <c r="G62" s="320" t="s">
        <v>2</v>
      </c>
      <c r="H62" s="320" t="s">
        <v>3</v>
      </c>
      <c r="I62" s="320" t="s">
        <v>81</v>
      </c>
      <c r="J62" s="320" t="s">
        <v>80</v>
      </c>
      <c r="K62" s="320" t="s">
        <v>79</v>
      </c>
      <c r="L62" s="321"/>
      <c r="M62" s="320" t="s">
        <v>5</v>
      </c>
      <c r="N62" s="320" t="s">
        <v>6</v>
      </c>
      <c r="O62" s="320" t="s">
        <v>7</v>
      </c>
      <c r="P62" s="320" t="s">
        <v>8</v>
      </c>
      <c r="Q62" s="320" t="s">
        <v>9</v>
      </c>
      <c r="R62" s="323" t="s">
        <v>78</v>
      </c>
    </row>
    <row r="63" spans="1:18">
      <c r="D63" s="357" t="s">
        <v>629</v>
      </c>
      <c r="E63" s="358"/>
      <c r="F63" s="358"/>
      <c r="G63" s="358"/>
      <c r="H63" s="391" t="s">
        <v>624</v>
      </c>
      <c r="I63" s="392"/>
      <c r="J63" s="392"/>
      <c r="K63" s="358"/>
      <c r="L63" s="360"/>
      <c r="M63" s="358"/>
      <c r="N63" s="358"/>
      <c r="O63" s="358"/>
      <c r="P63" s="358"/>
      <c r="Q63" s="358"/>
      <c r="R63" s="361"/>
    </row>
    <row r="64" spans="1:18">
      <c r="D64" s="362"/>
      <c r="E64" s="363"/>
      <c r="F64" s="363"/>
      <c r="G64" s="363"/>
      <c r="H64" s="393"/>
      <c r="I64" s="394" t="s">
        <v>625</v>
      </c>
      <c r="J64" s="394" t="s">
        <v>625</v>
      </c>
      <c r="K64" s="363"/>
      <c r="L64" s="365"/>
      <c r="M64" s="363"/>
      <c r="N64" s="363"/>
      <c r="O64" s="363"/>
      <c r="P64" s="363"/>
      <c r="Q64" s="363"/>
      <c r="R64" s="366"/>
    </row>
    <row r="65" spans="8:10">
      <c r="H65" s="200"/>
      <c r="I65" s="200"/>
      <c r="J65" s="200"/>
    </row>
  </sheetData>
  <mergeCells count="23">
    <mergeCell ref="A1:Q1"/>
    <mergeCell ref="A2:Q2"/>
    <mergeCell ref="C4:D11"/>
    <mergeCell ref="E4:F4"/>
    <mergeCell ref="T4:Y4"/>
    <mergeCell ref="T5:Y10"/>
    <mergeCell ref="T11:Y11"/>
    <mergeCell ref="A32:A33"/>
    <mergeCell ref="B32:B33"/>
    <mergeCell ref="C32:D34"/>
    <mergeCell ref="T32:Y34"/>
    <mergeCell ref="P12:Q15"/>
    <mergeCell ref="T12:Y19"/>
    <mergeCell ref="C16:D16"/>
    <mergeCell ref="C17:D23"/>
    <mergeCell ref="T20:Y20"/>
    <mergeCell ref="T21:Y24"/>
    <mergeCell ref="C24:D24"/>
    <mergeCell ref="D42:Q52"/>
    <mergeCell ref="P25:Q28"/>
    <mergeCell ref="T25:Y25"/>
    <mergeCell ref="T26:Y30"/>
    <mergeCell ref="C29:D30"/>
  </mergeCells>
  <phoneticPr fontId="3" type="noConversion"/>
  <pageMargins left="0.7" right="0.7" top="0.75" bottom="0.75" header="0.3" footer="0.3"/>
  <pageSetup paperSize="9" scale="26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5"/>
  <sheetViews>
    <sheetView topLeftCell="A2" zoomScale="85" zoomScaleNormal="85" workbookViewId="0">
      <selection activeCell="AA18" sqref="AA18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6.125" style="198" customWidth="1"/>
    <col min="20" max="25" width="8.125" style="198" customWidth="1"/>
    <col min="26" max="16384" width="9" style="198"/>
  </cols>
  <sheetData>
    <row r="1" spans="1:30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0" ht="18" customHeight="1">
      <c r="A2" s="623" t="s">
        <v>951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T2" s="200"/>
      <c r="U2" s="200"/>
      <c r="V2" s="200"/>
      <c r="W2" s="200"/>
      <c r="X2" s="200"/>
      <c r="Y2" s="200"/>
      <c r="AA2" s="200"/>
      <c r="AB2" s="200"/>
      <c r="AC2" s="200"/>
      <c r="AD2" s="200"/>
    </row>
    <row r="3" spans="1:30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AVERAGE(R4:R34)</f>
        <v>0.93428571428571416</v>
      </c>
      <c r="S3" s="206"/>
      <c r="T3" s="200"/>
      <c r="U3" s="200"/>
      <c r="V3" s="200"/>
      <c r="W3" s="200"/>
      <c r="X3" s="200"/>
      <c r="Y3" s="200"/>
      <c r="Z3" s="207"/>
      <c r="AA3" s="200"/>
      <c r="AB3" s="200"/>
      <c r="AC3" s="200"/>
      <c r="AD3" s="200"/>
    </row>
    <row r="4" spans="1:30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210" t="s">
        <v>73</v>
      </c>
      <c r="H4" s="211" t="s">
        <v>183</v>
      </c>
      <c r="I4" s="211" t="s">
        <v>206</v>
      </c>
      <c r="J4" s="212" t="s">
        <v>191</v>
      </c>
      <c r="K4" s="211" t="s">
        <v>190</v>
      </c>
      <c r="L4" s="213"/>
      <c r="M4" s="211" t="s">
        <v>91</v>
      </c>
      <c r="N4" s="372" t="s">
        <v>902</v>
      </c>
      <c r="O4" s="211" t="s">
        <v>253</v>
      </c>
      <c r="P4" s="214" t="s">
        <v>46</v>
      </c>
      <c r="Q4" s="1" t="s">
        <v>189</v>
      </c>
      <c r="R4" s="215">
        <f>(COUNTA(G4:Q4))/10</f>
        <v>1</v>
      </c>
      <c r="S4" s="206"/>
      <c r="T4" s="633" t="s">
        <v>188</v>
      </c>
      <c r="U4" s="634"/>
      <c r="V4" s="634"/>
      <c r="W4" s="634"/>
      <c r="X4" s="634"/>
      <c r="Y4" s="635"/>
    </row>
    <row r="5" spans="1:30" s="200" customFormat="1" ht="27.95" customHeight="1">
      <c r="A5" s="208">
        <v>2</v>
      </c>
      <c r="B5" s="209" t="s">
        <v>165</v>
      </c>
      <c r="C5" s="627"/>
      <c r="D5" s="628"/>
      <c r="E5" s="214" t="s">
        <v>89</v>
      </c>
      <c r="F5" s="214" t="s">
        <v>229</v>
      </c>
      <c r="G5" s="2" t="s">
        <v>144</v>
      </c>
      <c r="H5" s="210" t="s">
        <v>164</v>
      </c>
      <c r="I5" s="210" t="s">
        <v>163</v>
      </c>
      <c r="J5" s="210" t="s">
        <v>839</v>
      </c>
      <c r="K5" s="214" t="s">
        <v>162</v>
      </c>
      <c r="L5" s="214"/>
      <c r="M5" s="210" t="s">
        <v>266</v>
      </c>
      <c r="N5" s="216" t="s">
        <v>161</v>
      </c>
      <c r="O5" s="372" t="s">
        <v>792</v>
      </c>
      <c r="P5" s="214" t="s">
        <v>200</v>
      </c>
      <c r="Q5" s="210" t="s">
        <v>10</v>
      </c>
      <c r="R5" s="215">
        <f t="shared" ref="R5:R25" si="0">(COUNTA(C5:Q5))/12</f>
        <v>1</v>
      </c>
      <c r="S5" s="206"/>
      <c r="T5" s="578"/>
      <c r="U5" s="579"/>
      <c r="V5" s="579"/>
      <c r="W5" s="579"/>
      <c r="X5" s="579"/>
      <c r="Y5" s="580"/>
    </row>
    <row r="6" spans="1:30" s="200" customFormat="1" ht="27.95" customHeight="1">
      <c r="A6" s="208">
        <v>3</v>
      </c>
      <c r="B6" s="549" t="s">
        <v>952</v>
      </c>
      <c r="C6" s="627"/>
      <c r="D6" s="628"/>
      <c r="E6" s="454"/>
      <c r="F6" s="454" t="s">
        <v>159</v>
      </c>
      <c r="G6" s="454" t="s">
        <v>11</v>
      </c>
      <c r="H6" s="454"/>
      <c r="I6" s="454" t="s">
        <v>157</v>
      </c>
      <c r="J6" s="454"/>
      <c r="K6" s="468"/>
      <c r="L6" s="454"/>
      <c r="M6" s="454" t="s">
        <v>10</v>
      </c>
      <c r="N6" s="443"/>
      <c r="O6" s="551"/>
      <c r="P6" s="454" t="s">
        <v>64</v>
      </c>
      <c r="Q6" s="552"/>
      <c r="R6" s="215">
        <f t="shared" si="0"/>
        <v>0.41666666666666669</v>
      </c>
      <c r="S6" s="206"/>
      <c r="T6" s="581"/>
      <c r="U6" s="582"/>
      <c r="V6" s="582"/>
      <c r="W6" s="582"/>
      <c r="X6" s="582"/>
      <c r="Y6" s="583"/>
    </row>
    <row r="7" spans="1:30" s="200" customFormat="1" ht="27.95" customHeight="1">
      <c r="A7" s="208"/>
      <c r="B7" s="218" t="s">
        <v>646</v>
      </c>
      <c r="C7" s="627"/>
      <c r="D7" s="628"/>
      <c r="E7" s="210" t="s">
        <v>783</v>
      </c>
      <c r="F7" s="210" t="s">
        <v>776</v>
      </c>
      <c r="G7" s="432"/>
      <c r="H7" s="210" t="s">
        <v>905</v>
      </c>
      <c r="I7" s="210" t="s">
        <v>907</v>
      </c>
      <c r="J7" s="210" t="s">
        <v>254</v>
      </c>
      <c r="K7" s="435"/>
      <c r="L7" s="210"/>
      <c r="M7" s="432"/>
      <c r="N7" s="219" t="s">
        <v>667</v>
      </c>
      <c r="O7" s="437"/>
      <c r="P7" s="438"/>
      <c r="Q7" s="346" t="s">
        <v>906</v>
      </c>
      <c r="R7" s="215"/>
      <c r="S7" s="206"/>
      <c r="T7" s="581"/>
      <c r="U7" s="582"/>
      <c r="V7" s="582"/>
      <c r="W7" s="582"/>
      <c r="X7" s="582"/>
      <c r="Y7" s="583"/>
    </row>
    <row r="8" spans="1:30" s="200" customFormat="1" ht="27.95" customHeight="1">
      <c r="A8" s="208">
        <v>4</v>
      </c>
      <c r="B8" s="221" t="s">
        <v>153</v>
      </c>
      <c r="C8" s="627"/>
      <c r="D8" s="628"/>
      <c r="E8" s="2" t="s">
        <v>159</v>
      </c>
      <c r="F8" s="214" t="s">
        <v>152</v>
      </c>
      <c r="G8" s="210" t="s">
        <v>336</v>
      </c>
      <c r="H8" s="210" t="s">
        <v>151</v>
      </c>
      <c r="I8" s="2" t="s">
        <v>150</v>
      </c>
      <c r="J8" s="375" t="s">
        <v>660</v>
      </c>
      <c r="K8" s="210" t="s">
        <v>208</v>
      </c>
      <c r="L8" s="210"/>
      <c r="M8" s="210" t="s">
        <v>12</v>
      </c>
      <c r="N8" s="214" t="s">
        <v>149</v>
      </c>
      <c r="O8" s="213" t="s">
        <v>148</v>
      </c>
      <c r="P8" s="347" t="s">
        <v>745</v>
      </c>
      <c r="Q8" s="210" t="s">
        <v>53</v>
      </c>
      <c r="R8" s="215">
        <f t="shared" si="0"/>
        <v>1</v>
      </c>
      <c r="S8" s="206"/>
      <c r="T8" s="581"/>
      <c r="U8" s="582"/>
      <c r="V8" s="582"/>
      <c r="W8" s="582"/>
      <c r="X8" s="582"/>
      <c r="Y8" s="583"/>
    </row>
    <row r="9" spans="1:30" s="200" customFormat="1" ht="27.95" customHeight="1">
      <c r="A9" s="208">
        <v>5</v>
      </c>
      <c r="B9" s="222" t="s">
        <v>175</v>
      </c>
      <c r="C9" s="627"/>
      <c r="D9" s="628"/>
      <c r="E9" s="210" t="s">
        <v>64</v>
      </c>
      <c r="F9" s="210" t="s">
        <v>167</v>
      </c>
      <c r="G9" s="212" t="s">
        <v>174</v>
      </c>
      <c r="H9" s="372" t="s">
        <v>872</v>
      </c>
      <c r="I9" s="210" t="s">
        <v>145</v>
      </c>
      <c r="J9" s="214" t="s">
        <v>13</v>
      </c>
      <c r="K9" s="207" t="s">
        <v>274</v>
      </c>
      <c r="L9" s="210"/>
      <c r="M9" s="213" t="s">
        <v>172</v>
      </c>
      <c r="N9" s="214"/>
      <c r="O9" s="2" t="s">
        <v>964</v>
      </c>
      <c r="P9" s="213" t="s">
        <v>265</v>
      </c>
      <c r="Q9" s="210" t="s">
        <v>208</v>
      </c>
      <c r="R9" s="215">
        <f t="shared" si="0"/>
        <v>0.91666666666666663</v>
      </c>
      <c r="S9" s="206"/>
      <c r="T9" s="581"/>
      <c r="U9" s="582"/>
      <c r="V9" s="582"/>
      <c r="W9" s="582"/>
      <c r="X9" s="582"/>
      <c r="Y9" s="583"/>
    </row>
    <row r="10" spans="1:30" s="200" customFormat="1" ht="27.95" customHeight="1" thickBot="1">
      <c r="A10" s="208">
        <v>6</v>
      </c>
      <c r="B10" s="221" t="s">
        <v>59</v>
      </c>
      <c r="C10" s="627"/>
      <c r="D10" s="628"/>
      <c r="E10" s="2" t="s">
        <v>621</v>
      </c>
      <c r="F10" s="214" t="s">
        <v>147</v>
      </c>
      <c r="G10" s="210" t="s">
        <v>744</v>
      </c>
      <c r="H10" s="210" t="s">
        <v>53</v>
      </c>
      <c r="I10" s="2" t="s">
        <v>248</v>
      </c>
      <c r="J10" s="214" t="s">
        <v>146</v>
      </c>
      <c r="K10" s="210" t="s">
        <v>258</v>
      </c>
      <c r="L10" s="210"/>
      <c r="M10" s="210" t="s">
        <v>145</v>
      </c>
      <c r="N10" s="214" t="s">
        <v>144</v>
      </c>
      <c r="O10" s="214" t="s">
        <v>45</v>
      </c>
      <c r="P10" s="214" t="s">
        <v>305</v>
      </c>
      <c r="Q10" s="555" t="s">
        <v>665</v>
      </c>
      <c r="R10" s="215">
        <f t="shared" si="0"/>
        <v>1</v>
      </c>
      <c r="S10" s="206"/>
      <c r="T10" s="584"/>
      <c r="U10" s="585"/>
      <c r="V10" s="585"/>
      <c r="W10" s="585"/>
      <c r="X10" s="585"/>
      <c r="Y10" s="586"/>
    </row>
    <row r="11" spans="1:30" s="200" customFormat="1" ht="27.95" customHeight="1" thickBot="1">
      <c r="A11" s="208">
        <v>7</v>
      </c>
      <c r="B11" s="223" t="s">
        <v>168</v>
      </c>
      <c r="C11" s="629"/>
      <c r="D11" s="630"/>
      <c r="E11" s="224" t="s">
        <v>154</v>
      </c>
      <c r="F11" s="225" t="s">
        <v>914</v>
      </c>
      <c r="G11" s="224" t="s">
        <v>261</v>
      </c>
      <c r="H11" s="224" t="s">
        <v>167</v>
      </c>
      <c r="I11" s="226" t="s">
        <v>285</v>
      </c>
      <c r="J11" s="224" t="s">
        <v>206</v>
      </c>
      <c r="K11" s="224" t="s">
        <v>46</v>
      </c>
      <c r="L11" s="10"/>
      <c r="M11" s="224" t="s">
        <v>150</v>
      </c>
      <c r="N11" s="224" t="s">
        <v>244</v>
      </c>
      <c r="O11" s="224" t="s">
        <v>151</v>
      </c>
      <c r="P11" s="224" t="s">
        <v>174</v>
      </c>
      <c r="Q11" s="224" t="s">
        <v>200</v>
      </c>
      <c r="R11" s="215">
        <f t="shared" si="0"/>
        <v>1</v>
      </c>
      <c r="S11" s="206"/>
      <c r="T11" s="575" t="s">
        <v>166</v>
      </c>
      <c r="U11" s="576"/>
      <c r="V11" s="576"/>
      <c r="W11" s="576"/>
      <c r="X11" s="576"/>
      <c r="Y11" s="577"/>
    </row>
    <row r="12" spans="1:30" s="200" customFormat="1" ht="27.95" customHeight="1">
      <c r="A12" s="208">
        <v>8</v>
      </c>
      <c r="B12" s="222" t="s">
        <v>143</v>
      </c>
      <c r="C12" s="227" t="s">
        <v>154</v>
      </c>
      <c r="D12" s="227" t="s">
        <v>154</v>
      </c>
      <c r="E12" s="515" t="s">
        <v>877</v>
      </c>
      <c r="F12" s="207" t="s">
        <v>106</v>
      </c>
      <c r="G12" s="211" t="s">
        <v>142</v>
      </c>
      <c r="H12" s="213" t="s">
        <v>335</v>
      </c>
      <c r="I12" s="211" t="s">
        <v>173</v>
      </c>
      <c r="J12" s="211" t="s">
        <v>248</v>
      </c>
      <c r="K12" s="211" t="s">
        <v>146</v>
      </c>
      <c r="L12" s="212"/>
      <c r="M12" s="211" t="s">
        <v>915</v>
      </c>
      <c r="N12" s="228" t="s">
        <v>274</v>
      </c>
      <c r="O12" s="213" t="s">
        <v>320</v>
      </c>
      <c r="P12" s="569"/>
      <c r="Q12" s="570"/>
      <c r="R12" s="215">
        <f t="shared" si="0"/>
        <v>1</v>
      </c>
      <c r="S12" s="206"/>
      <c r="T12" s="578" t="s">
        <v>963</v>
      </c>
      <c r="U12" s="579"/>
      <c r="V12" s="579"/>
      <c r="W12" s="579"/>
      <c r="X12" s="579"/>
      <c r="Y12" s="580"/>
    </row>
    <row r="13" spans="1:30" s="200" customFormat="1" ht="27.95" customHeight="1">
      <c r="A13" s="208">
        <v>9</v>
      </c>
      <c r="B13" s="239" t="s">
        <v>187</v>
      </c>
      <c r="C13" s="424" t="s">
        <v>173</v>
      </c>
      <c r="D13" s="424" t="s">
        <v>173</v>
      </c>
      <c r="E13" s="212" t="s">
        <v>174</v>
      </c>
      <c r="F13" s="210" t="s">
        <v>145</v>
      </c>
      <c r="G13" s="210" t="s">
        <v>186</v>
      </c>
      <c r="H13" s="214" t="s">
        <v>161</v>
      </c>
      <c r="I13" s="214" t="s">
        <v>184</v>
      </c>
      <c r="J13" s="211" t="s">
        <v>807</v>
      </c>
      <c r="K13" s="372" t="s">
        <v>298</v>
      </c>
      <c r="L13" s="214"/>
      <c r="M13" s="210" t="s">
        <v>254</v>
      </c>
      <c r="N13" s="210" t="s">
        <v>183</v>
      </c>
      <c r="O13" s="211" t="s">
        <v>182</v>
      </c>
      <c r="P13" s="571"/>
      <c r="Q13" s="572"/>
      <c r="R13" s="215">
        <f t="shared" si="0"/>
        <v>1</v>
      </c>
      <c r="S13" s="206"/>
      <c r="T13" s="581"/>
      <c r="U13" s="582"/>
      <c r="V13" s="582"/>
      <c r="W13" s="582"/>
      <c r="X13" s="582"/>
      <c r="Y13" s="583"/>
      <c r="Z13" s="229"/>
    </row>
    <row r="14" spans="1:30" s="200" customFormat="1" ht="27.95" customHeight="1">
      <c r="A14" s="208">
        <v>10</v>
      </c>
      <c r="B14" s="209" t="s">
        <v>181</v>
      </c>
      <c r="C14" s="424" t="s">
        <v>172</v>
      </c>
      <c r="D14" s="424" t="s">
        <v>172</v>
      </c>
      <c r="E14" s="2" t="s">
        <v>180</v>
      </c>
      <c r="F14" s="210" t="s">
        <v>179</v>
      </c>
      <c r="G14" s="210" t="s">
        <v>621</v>
      </c>
      <c r="H14" s="210" t="s">
        <v>106</v>
      </c>
      <c r="I14" s="211" t="s">
        <v>915</v>
      </c>
      <c r="J14" s="3" t="s">
        <v>177</v>
      </c>
      <c r="K14" s="210"/>
      <c r="L14" s="214"/>
      <c r="M14" s="214" t="s">
        <v>164</v>
      </c>
      <c r="N14" s="374" t="s">
        <v>69</v>
      </c>
      <c r="O14" s="210" t="s">
        <v>176</v>
      </c>
      <c r="P14" s="571"/>
      <c r="Q14" s="572"/>
      <c r="R14" s="215">
        <f t="shared" si="0"/>
        <v>0.91666666666666663</v>
      </c>
      <c r="S14" s="206"/>
      <c r="T14" s="581"/>
      <c r="U14" s="582"/>
      <c r="V14" s="582"/>
      <c r="W14" s="582"/>
      <c r="X14" s="582"/>
      <c r="Y14" s="583"/>
    </row>
    <row r="15" spans="1:30" s="200" customFormat="1" ht="27.95" customHeight="1" thickBot="1">
      <c r="A15" s="208">
        <v>11</v>
      </c>
      <c r="B15" s="223" t="s">
        <v>171</v>
      </c>
      <c r="C15" s="425" t="s">
        <v>261</v>
      </c>
      <c r="D15" s="425" t="s">
        <v>261</v>
      </c>
      <c r="E15" s="231" t="s">
        <v>170</v>
      </c>
      <c r="F15" s="231" t="s">
        <v>151</v>
      </c>
      <c r="G15" s="231" t="s">
        <v>207</v>
      </c>
      <c r="H15" s="231" t="s">
        <v>220</v>
      </c>
      <c r="I15" s="231" t="s">
        <v>265</v>
      </c>
      <c r="J15" s="231" t="s">
        <v>743</v>
      </c>
      <c r="K15" s="11" t="s">
        <v>751</v>
      </c>
      <c r="L15" s="231"/>
      <c r="M15" s="231" t="s">
        <v>199</v>
      </c>
      <c r="N15" s="232"/>
      <c r="O15" s="226" t="s">
        <v>255</v>
      </c>
      <c r="P15" s="573"/>
      <c r="Q15" s="574"/>
      <c r="R15" s="215">
        <f t="shared" si="0"/>
        <v>0.91666666666666663</v>
      </c>
      <c r="S15" s="206"/>
      <c r="T15" s="581"/>
      <c r="U15" s="582"/>
      <c r="V15" s="582"/>
      <c r="W15" s="582"/>
      <c r="X15" s="582"/>
      <c r="Y15" s="583"/>
    </row>
    <row r="16" spans="1:30" s="236" customFormat="1" ht="27.95" customHeight="1" thickBot="1">
      <c r="A16" s="208">
        <v>12</v>
      </c>
      <c r="B16" s="233" t="s">
        <v>141</v>
      </c>
      <c r="C16" s="608"/>
      <c r="D16" s="609"/>
      <c r="E16" s="226" t="s">
        <v>140</v>
      </c>
      <c r="F16" s="234" t="s">
        <v>274</v>
      </c>
      <c r="G16" s="235" t="s">
        <v>172</v>
      </c>
      <c r="H16" s="234" t="s">
        <v>67</v>
      </c>
      <c r="I16" s="226" t="s">
        <v>809</v>
      </c>
      <c r="J16" s="554" t="s">
        <v>821</v>
      </c>
      <c r="K16" s="224" t="s">
        <v>261</v>
      </c>
      <c r="L16" s="226"/>
      <c r="M16" s="224" t="s">
        <v>206</v>
      </c>
      <c r="N16" s="224"/>
      <c r="O16" s="224" t="s">
        <v>295</v>
      </c>
      <c r="P16" s="226" t="s">
        <v>751</v>
      </c>
      <c r="Q16" s="226" t="s">
        <v>840</v>
      </c>
      <c r="R16" s="215">
        <f t="shared" si="0"/>
        <v>0.91666666666666663</v>
      </c>
      <c r="S16" s="206"/>
      <c r="T16" s="581"/>
      <c r="U16" s="582"/>
      <c r="V16" s="582"/>
      <c r="W16" s="582"/>
      <c r="X16" s="582"/>
      <c r="Y16" s="583"/>
    </row>
    <row r="17" spans="1:25" s="236" customFormat="1" ht="27.95" customHeight="1">
      <c r="A17" s="208">
        <v>13</v>
      </c>
      <c r="B17" s="218" t="s">
        <v>14</v>
      </c>
      <c r="C17" s="610"/>
      <c r="D17" s="611"/>
      <c r="E17" s="211" t="s">
        <v>198</v>
      </c>
      <c r="F17" s="213" t="s">
        <v>15</v>
      </c>
      <c r="G17" s="213" t="s">
        <v>16</v>
      </c>
      <c r="H17" s="213" t="s">
        <v>62</v>
      </c>
      <c r="I17" s="211" t="s">
        <v>51</v>
      </c>
      <c r="J17" s="213" t="s">
        <v>17</v>
      </c>
      <c r="K17" s="211" t="s">
        <v>54</v>
      </c>
      <c r="L17" s="213"/>
      <c r="M17" s="211" t="s">
        <v>18</v>
      </c>
      <c r="N17" s="374" t="s">
        <v>895</v>
      </c>
      <c r="O17" s="213" t="s">
        <v>262</v>
      </c>
      <c r="P17" s="214" t="s">
        <v>23</v>
      </c>
      <c r="Q17" s="262" t="s">
        <v>348</v>
      </c>
      <c r="R17" s="215">
        <f t="shared" si="0"/>
        <v>1</v>
      </c>
      <c r="S17" s="206"/>
      <c r="T17" s="581"/>
      <c r="U17" s="582"/>
      <c r="V17" s="582"/>
      <c r="W17" s="582"/>
      <c r="X17" s="582"/>
      <c r="Y17" s="583"/>
    </row>
    <row r="18" spans="1:25" s="236" customFormat="1" ht="27.95" customHeight="1">
      <c r="A18" s="208">
        <v>14</v>
      </c>
      <c r="B18" s="237" t="s">
        <v>119</v>
      </c>
      <c r="C18" s="612"/>
      <c r="D18" s="613"/>
      <c r="E18" s="211" t="s">
        <v>913</v>
      </c>
      <c r="F18" s="213" t="s">
        <v>20</v>
      </c>
      <c r="G18" s="211" t="s">
        <v>808</v>
      </c>
      <c r="H18" s="211" t="s">
        <v>846</v>
      </c>
      <c r="I18" s="213" t="s">
        <v>118</v>
      </c>
      <c r="J18" s="238" t="s">
        <v>234</v>
      </c>
      <c r="K18" s="213" t="s">
        <v>117</v>
      </c>
      <c r="L18" s="212"/>
      <c r="M18" s="143" t="s">
        <v>292</v>
      </c>
      <c r="N18" s="419"/>
      <c r="O18" s="372" t="s">
        <v>747</v>
      </c>
      <c r="P18" s="375" t="s">
        <v>72</v>
      </c>
      <c r="Q18" s="211" t="s">
        <v>272</v>
      </c>
      <c r="R18" s="215">
        <f t="shared" si="0"/>
        <v>0.91666666666666663</v>
      </c>
      <c r="S18" s="206"/>
      <c r="T18" s="581"/>
      <c r="U18" s="582"/>
      <c r="V18" s="582"/>
      <c r="W18" s="582"/>
      <c r="X18" s="582"/>
      <c r="Y18" s="583"/>
    </row>
    <row r="19" spans="1:25" s="236" customFormat="1" ht="27.95" customHeight="1" thickBot="1">
      <c r="A19" s="208">
        <v>15</v>
      </c>
      <c r="B19" s="239" t="s">
        <v>139</v>
      </c>
      <c r="C19" s="612"/>
      <c r="D19" s="613"/>
      <c r="E19" s="2" t="s">
        <v>260</v>
      </c>
      <c r="F19" s="238" t="s">
        <v>956</v>
      </c>
      <c r="G19" s="211" t="s">
        <v>94</v>
      </c>
      <c r="H19" s="210" t="s">
        <v>226</v>
      </c>
      <c r="I19" s="500" t="s">
        <v>959</v>
      </c>
      <c r="J19" s="211" t="s">
        <v>138</v>
      </c>
      <c r="K19" s="214" t="s">
        <v>623</v>
      </c>
      <c r="L19" s="214"/>
      <c r="M19" s="211" t="s">
        <v>275</v>
      </c>
      <c r="N19" s="211" t="s">
        <v>137</v>
      </c>
      <c r="O19" s="210" t="s">
        <v>136</v>
      </c>
      <c r="P19" s="240" t="s">
        <v>135</v>
      </c>
      <c r="Q19" s="211" t="s">
        <v>267</v>
      </c>
      <c r="R19" s="215">
        <f t="shared" si="0"/>
        <v>1</v>
      </c>
      <c r="S19" s="206"/>
      <c r="T19" s="584"/>
      <c r="U19" s="585"/>
      <c r="V19" s="585"/>
      <c r="W19" s="585"/>
      <c r="X19" s="585"/>
      <c r="Y19" s="586"/>
    </row>
    <row r="20" spans="1:25" s="200" customFormat="1" ht="27.95" customHeight="1" thickBot="1">
      <c r="A20" s="208">
        <v>16</v>
      </c>
      <c r="B20" s="237" t="s">
        <v>115</v>
      </c>
      <c r="C20" s="612"/>
      <c r="D20" s="613"/>
      <c r="E20" s="214" t="s">
        <v>22</v>
      </c>
      <c r="F20" s="210" t="s">
        <v>210</v>
      </c>
      <c r="G20" s="210" t="s">
        <v>52</v>
      </c>
      <c r="H20" s="214" t="s">
        <v>797</v>
      </c>
      <c r="I20" s="214" t="s">
        <v>275</v>
      </c>
      <c r="J20" s="244" t="s">
        <v>286</v>
      </c>
      <c r="K20" s="212" t="s">
        <v>113</v>
      </c>
      <c r="L20" s="214"/>
      <c r="M20" s="2" t="s">
        <v>221</v>
      </c>
      <c r="N20" s="242" t="s">
        <v>110</v>
      </c>
      <c r="O20" s="213" t="s">
        <v>610</v>
      </c>
      <c r="P20" s="214" t="s">
        <v>55</v>
      </c>
      <c r="Q20" s="214" t="s">
        <v>70</v>
      </c>
      <c r="R20" s="215">
        <f t="shared" si="0"/>
        <v>1</v>
      </c>
      <c r="S20" s="206"/>
      <c r="T20" s="616" t="s">
        <v>306</v>
      </c>
      <c r="U20" s="617"/>
      <c r="V20" s="617"/>
      <c r="W20" s="617"/>
      <c r="X20" s="617"/>
      <c r="Y20" s="618"/>
    </row>
    <row r="21" spans="1:25" s="200" customFormat="1" ht="27.95" customHeight="1">
      <c r="A21" s="208"/>
      <c r="B21" s="243" t="s">
        <v>645</v>
      </c>
      <c r="C21" s="612"/>
      <c r="D21" s="613"/>
      <c r="E21" s="433"/>
      <c r="F21" s="432"/>
      <c r="G21" s="432"/>
      <c r="H21" s="433"/>
      <c r="I21" s="433"/>
      <c r="J21" s="434"/>
      <c r="K21" s="431"/>
      <c r="L21" s="433"/>
      <c r="M21" s="435"/>
      <c r="N21" s="437"/>
      <c r="O21" s="440"/>
      <c r="P21" s="440"/>
      <c r="Q21" s="441"/>
      <c r="R21" s="215"/>
      <c r="S21" s="206"/>
      <c r="T21" s="578" t="s">
        <v>965</v>
      </c>
      <c r="U21" s="579"/>
      <c r="V21" s="579"/>
      <c r="W21" s="579"/>
      <c r="X21" s="579"/>
      <c r="Y21" s="580"/>
    </row>
    <row r="22" spans="1:25" s="200" customFormat="1" ht="27.95" customHeight="1">
      <c r="A22" s="208">
        <v>17</v>
      </c>
      <c r="B22" s="550" t="s">
        <v>953</v>
      </c>
      <c r="C22" s="612"/>
      <c r="D22" s="613"/>
      <c r="E22" s="454"/>
      <c r="F22" s="454" t="s">
        <v>129</v>
      </c>
      <c r="G22" s="454" t="s">
        <v>249</v>
      </c>
      <c r="H22" s="444"/>
      <c r="I22" s="454"/>
      <c r="J22" s="454" t="s">
        <v>127</v>
      </c>
      <c r="K22" s="454"/>
      <c r="L22" s="444"/>
      <c r="M22" s="444" t="s">
        <v>284</v>
      </c>
      <c r="N22" s="468"/>
      <c r="O22" s="445"/>
      <c r="P22" s="445" t="s">
        <v>125</v>
      </c>
      <c r="Q22" s="553" t="s">
        <v>249</v>
      </c>
      <c r="R22" s="215">
        <f t="shared" si="0"/>
        <v>0.5</v>
      </c>
      <c r="S22" s="206"/>
      <c r="T22" s="581"/>
      <c r="U22" s="582"/>
      <c r="V22" s="582"/>
      <c r="W22" s="582"/>
      <c r="X22" s="582"/>
      <c r="Y22" s="583"/>
    </row>
    <row r="23" spans="1:25" s="200" customFormat="1" ht="27.95" customHeight="1" thickBot="1">
      <c r="A23" s="208">
        <v>18</v>
      </c>
      <c r="B23" s="246" t="s">
        <v>124</v>
      </c>
      <c r="C23" s="614"/>
      <c r="D23" s="615"/>
      <c r="E23" s="474" t="s">
        <v>842</v>
      </c>
      <c r="F23" s="248" t="s">
        <v>197</v>
      </c>
      <c r="G23" s="11" t="s">
        <v>19</v>
      </c>
      <c r="H23" s="231" t="s">
        <v>262</v>
      </c>
      <c r="I23" s="231" t="s">
        <v>263</v>
      </c>
      <c r="J23" s="248" t="s">
        <v>912</v>
      </c>
      <c r="K23" s="231" t="s">
        <v>339</v>
      </c>
      <c r="L23" s="283"/>
      <c r="M23" s="248" t="s">
        <v>291</v>
      </c>
      <c r="N23" s="231" t="s">
        <v>71</v>
      </c>
      <c r="O23" s="231" t="s">
        <v>752</v>
      </c>
      <c r="P23" s="248" t="s">
        <v>123</v>
      </c>
      <c r="Q23" s="231" t="s">
        <v>122</v>
      </c>
      <c r="R23" s="215">
        <f t="shared" si="0"/>
        <v>1</v>
      </c>
      <c r="S23" s="206"/>
      <c r="T23" s="581"/>
      <c r="U23" s="582"/>
      <c r="V23" s="582"/>
      <c r="W23" s="582"/>
      <c r="X23" s="582"/>
      <c r="Y23" s="583"/>
    </row>
    <row r="24" spans="1:25" s="200" customFormat="1" ht="27.95" customHeight="1" thickBot="1">
      <c r="A24" s="208">
        <v>19</v>
      </c>
      <c r="B24" s="249" t="s">
        <v>112</v>
      </c>
      <c r="C24" s="619"/>
      <c r="D24" s="620"/>
      <c r="E24" s="224" t="s">
        <v>268</v>
      </c>
      <c r="F24" s="224" t="s">
        <v>752</v>
      </c>
      <c r="G24" s="250" t="s">
        <v>233</v>
      </c>
      <c r="H24" s="224" t="s">
        <v>294</v>
      </c>
      <c r="I24" s="406" t="s">
        <v>966</v>
      </c>
      <c r="J24" s="224" t="s">
        <v>69</v>
      </c>
      <c r="K24" s="234" t="s">
        <v>110</v>
      </c>
      <c r="L24" s="234"/>
      <c r="M24" s="234" t="s">
        <v>249</v>
      </c>
      <c r="N24" s="226" t="s">
        <v>338</v>
      </c>
      <c r="O24" s="235" t="s">
        <v>109</v>
      </c>
      <c r="P24" s="226" t="s">
        <v>209</v>
      </c>
      <c r="Q24" s="224" t="s">
        <v>72</v>
      </c>
      <c r="R24" s="215">
        <f t="shared" si="0"/>
        <v>1</v>
      </c>
      <c r="S24" s="206"/>
      <c r="T24" s="584"/>
      <c r="U24" s="585"/>
      <c r="V24" s="585"/>
      <c r="W24" s="585"/>
      <c r="X24" s="585"/>
      <c r="Y24" s="586"/>
    </row>
    <row r="25" spans="1:25" s="200" customFormat="1" ht="27.95" customHeight="1" thickBot="1">
      <c r="A25" s="208">
        <v>20</v>
      </c>
      <c r="B25" s="341" t="s">
        <v>26</v>
      </c>
      <c r="C25" s="251" t="s">
        <v>810</v>
      </c>
      <c r="D25" s="251" t="s">
        <v>810</v>
      </c>
      <c r="E25" s="252" t="s">
        <v>252</v>
      </c>
      <c r="F25" s="211" t="s">
        <v>27</v>
      </c>
      <c r="G25" s="213" t="s">
        <v>47</v>
      </c>
      <c r="H25" s="3" t="s">
        <v>28</v>
      </c>
      <c r="I25" s="211" t="s">
        <v>68</v>
      </c>
      <c r="J25" s="211" t="s">
        <v>275</v>
      </c>
      <c r="K25" s="211" t="s">
        <v>50</v>
      </c>
      <c r="L25" s="253"/>
      <c r="M25" s="556" t="s">
        <v>879</v>
      </c>
      <c r="N25" s="211" t="s">
        <v>913</v>
      </c>
      <c r="O25" s="3" t="s">
        <v>24</v>
      </c>
      <c r="P25" s="569"/>
      <c r="Q25" s="570"/>
      <c r="R25" s="215">
        <f t="shared" si="0"/>
        <v>1</v>
      </c>
      <c r="S25" s="206"/>
      <c r="T25" s="575" t="s">
        <v>120</v>
      </c>
      <c r="U25" s="576"/>
      <c r="V25" s="576"/>
      <c r="W25" s="576"/>
      <c r="X25" s="576"/>
      <c r="Y25" s="577"/>
    </row>
    <row r="26" spans="1:25" s="200" customFormat="1" ht="27.95" customHeight="1">
      <c r="A26" s="208">
        <v>21</v>
      </c>
      <c r="B26" s="342" t="s">
        <v>515</v>
      </c>
      <c r="C26" s="254" t="s">
        <v>209</v>
      </c>
      <c r="D26" s="254" t="s">
        <v>209</v>
      </c>
      <c r="E26" s="489" t="s">
        <v>243</v>
      </c>
      <c r="F26" s="210" t="s">
        <v>748</v>
      </c>
      <c r="G26" s="3" t="s">
        <v>516</v>
      </c>
      <c r="H26" s="211" t="s">
        <v>517</v>
      </c>
      <c r="I26" s="214" t="s">
        <v>231</v>
      </c>
      <c r="J26" s="211" t="s">
        <v>29</v>
      </c>
      <c r="K26" s="210" t="s">
        <v>268</v>
      </c>
      <c r="L26" s="219"/>
      <c r="M26" s="214" t="s">
        <v>30</v>
      </c>
      <c r="N26" s="170" t="s">
        <v>967</v>
      </c>
      <c r="O26" s="214" t="s">
        <v>209</v>
      </c>
      <c r="P26" s="571"/>
      <c r="Q26" s="572"/>
      <c r="R26" s="215"/>
      <c r="S26" s="206"/>
      <c r="T26" s="578" t="s">
        <v>969</v>
      </c>
      <c r="U26" s="579"/>
      <c r="V26" s="579"/>
      <c r="W26" s="579"/>
      <c r="X26" s="579"/>
      <c r="Y26" s="580"/>
    </row>
    <row r="27" spans="1:25" s="200" customFormat="1" ht="27.95" customHeight="1">
      <c r="A27" s="208">
        <v>22</v>
      </c>
      <c r="B27" s="343" t="s">
        <v>133</v>
      </c>
      <c r="C27" s="254" t="s">
        <v>268</v>
      </c>
      <c r="D27" s="254" t="s">
        <v>268</v>
      </c>
      <c r="E27" s="216" t="s">
        <v>338</v>
      </c>
      <c r="F27" s="244" t="s">
        <v>132</v>
      </c>
      <c r="G27" s="211" t="s">
        <v>293</v>
      </c>
      <c r="H27" s="211" t="s">
        <v>131</v>
      </c>
      <c r="I27" s="211" t="s">
        <v>19</v>
      </c>
      <c r="J27" s="210" t="s">
        <v>211</v>
      </c>
      <c r="K27" s="383" t="s">
        <v>842</v>
      </c>
      <c r="L27" s="213"/>
      <c r="M27" s="211" t="s">
        <v>219</v>
      </c>
      <c r="N27" s="213" t="s">
        <v>262</v>
      </c>
      <c r="O27" s="376" t="s">
        <v>968</v>
      </c>
      <c r="P27" s="571"/>
      <c r="Q27" s="572"/>
      <c r="R27" s="215">
        <f>(COUNTA(C27:Q27))/12</f>
        <v>1</v>
      </c>
      <c r="S27" s="206"/>
      <c r="T27" s="581"/>
      <c r="U27" s="582"/>
      <c r="V27" s="582"/>
      <c r="W27" s="582"/>
      <c r="X27" s="582"/>
      <c r="Y27" s="583"/>
    </row>
    <row r="28" spans="1:25" s="200" customFormat="1" ht="27.95" customHeight="1" thickBot="1">
      <c r="A28" s="208">
        <v>23</v>
      </c>
      <c r="B28" s="344" t="s">
        <v>528</v>
      </c>
      <c r="C28" s="256" t="s">
        <v>72</v>
      </c>
      <c r="D28" s="256" t="s">
        <v>72</v>
      </c>
      <c r="E28" s="377" t="s">
        <v>905</v>
      </c>
      <c r="F28" s="248" t="s">
        <v>55</v>
      </c>
      <c r="G28" s="11" t="s">
        <v>198</v>
      </c>
      <c r="H28" s="226" t="s">
        <v>70</v>
      </c>
      <c r="I28" s="257" t="s">
        <v>531</v>
      </c>
      <c r="J28" s="258" t="s">
        <v>532</v>
      </c>
      <c r="K28" s="248" t="s">
        <v>294</v>
      </c>
      <c r="L28" s="258"/>
      <c r="M28" s="248" t="s">
        <v>21</v>
      </c>
      <c r="N28" s="259" t="s">
        <v>121</v>
      </c>
      <c r="O28" s="11" t="s">
        <v>210</v>
      </c>
      <c r="P28" s="573"/>
      <c r="Q28" s="574"/>
      <c r="R28" s="215"/>
      <c r="S28" s="206"/>
      <c r="T28" s="581"/>
      <c r="U28" s="582"/>
      <c r="V28" s="582"/>
      <c r="W28" s="582"/>
      <c r="X28" s="582"/>
      <c r="Y28" s="583"/>
    </row>
    <row r="29" spans="1:25" s="200" customFormat="1" ht="27.95" customHeight="1">
      <c r="A29" s="260" t="s">
        <v>108</v>
      </c>
      <c r="B29" s="261" t="s">
        <v>107</v>
      </c>
      <c r="C29" s="587"/>
      <c r="D29" s="588"/>
      <c r="E29" s="4"/>
      <c r="F29" s="262"/>
      <c r="G29" s="262" t="s">
        <v>746</v>
      </c>
      <c r="H29" s="213" t="s">
        <v>218</v>
      </c>
      <c r="I29" s="262" t="s">
        <v>106</v>
      </c>
      <c r="J29" s="4" t="s">
        <v>105</v>
      </c>
      <c r="K29" s="4"/>
      <c r="L29" s="263"/>
      <c r="M29" s="262"/>
      <c r="N29" s="262" t="s">
        <v>295</v>
      </c>
      <c r="O29" s="211" t="s">
        <v>104</v>
      </c>
      <c r="P29" s="264"/>
      <c r="Q29" s="265"/>
      <c r="R29" s="215">
        <f>(COUNTA(C29:Q29))/6</f>
        <v>1</v>
      </c>
      <c r="S29" s="206"/>
      <c r="T29" s="581"/>
      <c r="U29" s="582"/>
      <c r="V29" s="582"/>
      <c r="W29" s="582"/>
      <c r="X29" s="582"/>
      <c r="Y29" s="583"/>
    </row>
    <row r="30" spans="1:25" s="200" customFormat="1" ht="27.95" customHeight="1" thickBot="1">
      <c r="A30" s="266" t="s">
        <v>103</v>
      </c>
      <c r="B30" s="267" t="s">
        <v>31</v>
      </c>
      <c r="C30" s="587"/>
      <c r="D30" s="588"/>
      <c r="E30" s="211" t="s">
        <v>747</v>
      </c>
      <c r="F30" s="211" t="s">
        <v>102</v>
      </c>
      <c r="G30" s="211"/>
      <c r="H30" s="211"/>
      <c r="I30" s="211" t="s">
        <v>294</v>
      </c>
      <c r="J30" s="211"/>
      <c r="K30" s="207"/>
      <c r="L30" s="268"/>
      <c r="M30" s="211"/>
      <c r="N30" s="211"/>
      <c r="O30" s="211" t="s">
        <v>94</v>
      </c>
      <c r="P30" s="210" t="s">
        <v>16</v>
      </c>
      <c r="Q30" s="211" t="s">
        <v>101</v>
      </c>
      <c r="R30" s="215">
        <f>(COUNTA(C30:Q30))/7</f>
        <v>0.8571428571428571</v>
      </c>
      <c r="S30" s="206"/>
      <c r="T30" s="584"/>
      <c r="U30" s="585"/>
      <c r="V30" s="585"/>
      <c r="W30" s="585"/>
      <c r="X30" s="585"/>
      <c r="Y30" s="586"/>
    </row>
    <row r="31" spans="1:25" s="200" customFormat="1" ht="9.9499999999999993" customHeight="1" thickBot="1">
      <c r="A31" s="269"/>
      <c r="B31" s="270"/>
      <c r="C31" s="270"/>
      <c r="D31" s="270"/>
      <c r="E31" s="5"/>
      <c r="F31" s="271"/>
      <c r="G31" s="272"/>
      <c r="H31" s="272"/>
      <c r="I31" s="272"/>
      <c r="J31" s="272"/>
      <c r="K31" s="5"/>
      <c r="L31" s="271"/>
      <c r="M31" s="5"/>
      <c r="N31" s="272"/>
      <c r="O31" s="271"/>
      <c r="P31" s="271"/>
      <c r="Q31" s="273"/>
      <c r="R31" s="274"/>
      <c r="S31" s="206"/>
      <c r="T31" s="547"/>
      <c r="U31" s="547"/>
      <c r="V31" s="547"/>
      <c r="W31" s="547"/>
      <c r="X31" s="547"/>
      <c r="Y31" s="547"/>
    </row>
    <row r="32" spans="1:25" s="200" customFormat="1" ht="109.5" customHeight="1">
      <c r="A32" s="589"/>
      <c r="B32" s="591" t="s">
        <v>100</v>
      </c>
      <c r="C32" s="593"/>
      <c r="D32" s="594"/>
      <c r="E32" s="265" t="s">
        <v>735</v>
      </c>
      <c r="F32" s="276" t="s">
        <v>278</v>
      </c>
      <c r="G32" s="265" t="s">
        <v>281</v>
      </c>
      <c r="H32" s="265" t="s">
        <v>289</v>
      </c>
      <c r="I32" s="211" t="s">
        <v>679</v>
      </c>
      <c r="J32" s="213" t="s">
        <v>641</v>
      </c>
      <c r="K32" s="211" t="s">
        <v>734</v>
      </c>
      <c r="L32" s="212"/>
      <c r="M32" s="213" t="s">
        <v>282</v>
      </c>
      <c r="N32" s="277" t="s">
        <v>276</v>
      </c>
      <c r="O32" s="276" t="s">
        <v>297</v>
      </c>
      <c r="P32" s="277" t="s">
        <v>288</v>
      </c>
      <c r="Q32" s="211" t="s">
        <v>296</v>
      </c>
      <c r="R32" s="215">
        <f>(COUNTA(C32:Q32))/12</f>
        <v>1</v>
      </c>
      <c r="S32" s="206"/>
      <c r="T32" s="599" t="s">
        <v>948</v>
      </c>
      <c r="U32" s="600"/>
      <c r="V32" s="600"/>
      <c r="W32" s="600"/>
      <c r="X32" s="600"/>
      <c r="Y32" s="601"/>
    </row>
    <row r="33" spans="1:31" s="200" customFormat="1" ht="129.94999999999999" customHeight="1">
      <c r="A33" s="590"/>
      <c r="B33" s="592"/>
      <c r="C33" s="595"/>
      <c r="D33" s="596"/>
      <c r="E33" s="278" t="s">
        <v>923</v>
      </c>
      <c r="F33" s="210" t="s">
        <v>960</v>
      </c>
      <c r="G33" s="279" t="s">
        <v>738</v>
      </c>
      <c r="H33" s="353" t="s">
        <v>954</v>
      </c>
      <c r="I33" s="214" t="s">
        <v>958</v>
      </c>
      <c r="J33" s="210" t="s">
        <v>961</v>
      </c>
      <c r="K33" s="210" t="s">
        <v>922</v>
      </c>
      <c r="L33" s="210"/>
      <c r="M33" s="353" t="s">
        <v>957</v>
      </c>
      <c r="N33" s="278" t="s">
        <v>955</v>
      </c>
      <c r="O33" s="349" t="s">
        <v>737</v>
      </c>
      <c r="P33" s="216" t="s">
        <v>962</v>
      </c>
      <c r="Q33" s="210" t="s">
        <v>947</v>
      </c>
      <c r="R33" s="274"/>
      <c r="S33" s="206"/>
      <c r="T33" s="602"/>
      <c r="U33" s="603"/>
      <c r="V33" s="603"/>
      <c r="W33" s="603"/>
      <c r="X33" s="603"/>
      <c r="Y33" s="604"/>
    </row>
    <row r="34" spans="1:31" s="200" customFormat="1" ht="69.95" customHeight="1" thickBot="1">
      <c r="A34" s="280"/>
      <c r="B34" s="246" t="s">
        <v>99</v>
      </c>
      <c r="C34" s="597"/>
      <c r="D34" s="598"/>
      <c r="E34" s="281" t="s">
        <v>98</v>
      </c>
      <c r="F34" s="282" t="s">
        <v>680</v>
      </c>
      <c r="G34" s="248" t="s">
        <v>242</v>
      </c>
      <c r="H34" s="248" t="s">
        <v>97</v>
      </c>
      <c r="I34" s="231" t="s">
        <v>227</v>
      </c>
      <c r="J34" s="248" t="s">
        <v>644</v>
      </c>
      <c r="K34" s="248" t="s">
        <v>290</v>
      </c>
      <c r="L34" s="283"/>
      <c r="M34" s="248" t="s">
        <v>643</v>
      </c>
      <c r="N34" s="231" t="s">
        <v>277</v>
      </c>
      <c r="O34" s="224" t="s">
        <v>259</v>
      </c>
      <c r="P34" s="248"/>
      <c r="Q34" s="284" t="s">
        <v>96</v>
      </c>
      <c r="R34" s="215">
        <f>(COUNTA(F34:P34))/9</f>
        <v>1</v>
      </c>
      <c r="S34" s="206"/>
      <c r="T34" s="605"/>
      <c r="U34" s="606"/>
      <c r="V34" s="606"/>
      <c r="W34" s="606"/>
      <c r="X34" s="606"/>
      <c r="Y34" s="607"/>
      <c r="AB34" s="198"/>
      <c r="AC34" s="198"/>
      <c r="AD34" s="198"/>
      <c r="AE34" s="198"/>
    </row>
    <row r="35" spans="1:31" ht="9.9499999999999993" customHeight="1">
      <c r="A35" s="286"/>
      <c r="B35" s="286"/>
      <c r="C35" s="287"/>
      <c r="D35" s="287"/>
      <c r="O35" s="289"/>
      <c r="S35" s="206"/>
      <c r="AA35" s="200"/>
    </row>
    <row r="36" spans="1:31" ht="21" customHeight="1">
      <c r="B36" s="291"/>
      <c r="C36" s="291"/>
      <c r="D36" s="292" t="s">
        <v>95</v>
      </c>
      <c r="E36" s="293" t="s">
        <v>0</v>
      </c>
      <c r="F36" s="293" t="s">
        <v>1</v>
      </c>
      <c r="G36" s="293" t="s">
        <v>2</v>
      </c>
      <c r="H36" s="293" t="s">
        <v>32</v>
      </c>
      <c r="I36" s="293" t="s">
        <v>33</v>
      </c>
      <c r="J36" s="293" t="s">
        <v>34</v>
      </c>
      <c r="K36" s="293" t="s">
        <v>35</v>
      </c>
      <c r="L36" s="294" t="s">
        <v>36</v>
      </c>
      <c r="M36" s="293" t="s">
        <v>37</v>
      </c>
      <c r="N36" s="293" t="s">
        <v>6</v>
      </c>
      <c r="O36" s="293" t="s">
        <v>7</v>
      </c>
      <c r="P36" s="293" t="s">
        <v>8</v>
      </c>
      <c r="Q36" s="295" t="s">
        <v>9</v>
      </c>
      <c r="R36" s="296"/>
      <c r="T36" s="297"/>
      <c r="U36" s="298"/>
      <c r="V36" s="298"/>
      <c r="W36" s="298"/>
      <c r="X36" s="298"/>
      <c r="AA36" s="200"/>
    </row>
    <row r="37" spans="1:31" ht="45.75" customHeight="1">
      <c r="B37" s="291"/>
      <c r="C37" s="291"/>
      <c r="D37" s="299" t="s">
        <v>93</v>
      </c>
      <c r="E37" s="241" t="s">
        <v>92</v>
      </c>
      <c r="F37" s="241" t="s">
        <v>708</v>
      </c>
      <c r="G37" s="241" t="s">
        <v>170</v>
      </c>
      <c r="H37" s="214" t="s">
        <v>613</v>
      </c>
      <c r="I37" s="214" t="s">
        <v>12</v>
      </c>
      <c r="J37" s="214" t="s">
        <v>48</v>
      </c>
      <c r="K37" s="214" t="s">
        <v>911</v>
      </c>
      <c r="L37" s="214"/>
      <c r="M37" s="349" t="s">
        <v>230</v>
      </c>
      <c r="N37" s="210" t="s">
        <v>733</v>
      </c>
      <c r="O37" s="301" t="s">
        <v>258</v>
      </c>
      <c r="P37" s="238" t="s">
        <v>730</v>
      </c>
      <c r="Q37" s="303" t="s">
        <v>184</v>
      </c>
      <c r="R37" s="296"/>
      <c r="T37" s="298"/>
      <c r="U37" s="298"/>
      <c r="V37" s="298"/>
      <c r="W37" s="298"/>
      <c r="X37" s="298"/>
      <c r="AA37" s="200"/>
    </row>
    <row r="38" spans="1:31" ht="27.95" customHeight="1">
      <c r="B38" s="291"/>
      <c r="C38" s="291"/>
      <c r="D38" s="299" t="s">
        <v>88</v>
      </c>
      <c r="E38" s="241"/>
      <c r="F38" s="241"/>
      <c r="G38" s="241"/>
      <c r="H38" s="214"/>
      <c r="I38" s="214"/>
      <c r="J38" s="214"/>
      <c r="K38" s="214"/>
      <c r="L38" s="214"/>
      <c r="M38" s="214"/>
      <c r="N38" s="214"/>
      <c r="O38" s="304"/>
      <c r="P38" s="241"/>
      <c r="Q38" s="305" t="s">
        <v>87</v>
      </c>
      <c r="R38" s="296"/>
      <c r="T38" s="298"/>
      <c r="U38" s="298"/>
      <c r="V38" s="298"/>
      <c r="W38" s="298"/>
      <c r="X38" s="298"/>
    </row>
    <row r="39" spans="1:31" ht="27.95" customHeight="1">
      <c r="B39" s="291"/>
      <c r="C39" s="291"/>
      <c r="D39" s="299" t="s">
        <v>86</v>
      </c>
      <c r="E39" s="214"/>
      <c r="F39" s="306" t="s">
        <v>300</v>
      </c>
      <c r="G39" s="214"/>
      <c r="H39" s="214" t="s">
        <v>316</v>
      </c>
      <c r="I39" s="388"/>
      <c r="J39" s="219" t="s">
        <v>30</v>
      </c>
      <c r="K39" s="389" t="s">
        <v>118</v>
      </c>
      <c r="L39" s="214"/>
      <c r="M39" s="214" t="s">
        <v>27</v>
      </c>
      <c r="N39" s="238" t="s">
        <v>134</v>
      </c>
      <c r="O39" s="309" t="s">
        <v>85</v>
      </c>
      <c r="P39" s="241" t="s">
        <v>84</v>
      </c>
      <c r="Q39" s="370" t="s">
        <v>317</v>
      </c>
      <c r="R39" s="296"/>
      <c r="T39" s="298"/>
      <c r="U39" s="298"/>
      <c r="V39" s="298"/>
      <c r="W39" s="298"/>
      <c r="X39" s="298"/>
    </row>
    <row r="40" spans="1:31" ht="42" customHeight="1">
      <c r="B40" s="198"/>
      <c r="C40" s="198"/>
      <c r="D40" s="311" t="s">
        <v>585</v>
      </c>
      <c r="E40" s="312" t="s">
        <v>608</v>
      </c>
      <c r="F40" s="312" t="s">
        <v>246</v>
      </c>
      <c r="G40" s="312" t="s">
        <v>731</v>
      </c>
      <c r="H40" s="314" t="s">
        <v>609</v>
      </c>
      <c r="I40" s="314" t="s">
        <v>612</v>
      </c>
      <c r="J40" s="313" t="s">
        <v>49</v>
      </c>
      <c r="K40" s="314" t="s">
        <v>617</v>
      </c>
      <c r="L40" s="314"/>
      <c r="M40" s="313" t="s">
        <v>616</v>
      </c>
      <c r="N40" s="314" t="s">
        <v>225</v>
      </c>
      <c r="O40" s="314" t="s">
        <v>314</v>
      </c>
      <c r="P40" s="312" t="s">
        <v>245</v>
      </c>
      <c r="Q40" s="315" t="s">
        <v>732</v>
      </c>
    </row>
    <row r="41" spans="1:31" ht="9.9499999999999993" customHeight="1">
      <c r="E41" s="288"/>
      <c r="F41" s="288"/>
      <c r="G41" s="288"/>
      <c r="H41" s="288"/>
      <c r="I41" s="288"/>
      <c r="J41" s="288"/>
      <c r="K41" s="288"/>
      <c r="M41" s="288"/>
      <c r="N41" s="288"/>
      <c r="O41" s="288"/>
    </row>
    <row r="42" spans="1:31" ht="27.95" customHeight="1">
      <c r="A42" s="317"/>
      <c r="B42" s="317"/>
      <c r="C42" s="317"/>
      <c r="D42" s="560" t="s">
        <v>919</v>
      </c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2"/>
      <c r="R42" s="296"/>
    </row>
    <row r="43" spans="1:31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31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31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31" ht="27.95" customHeight="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31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31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296"/>
    </row>
    <row r="51" spans="1:18">
      <c r="A51" s="317"/>
      <c r="B51" s="317"/>
      <c r="C51" s="317"/>
      <c r="D51" s="563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5"/>
      <c r="R51" s="296"/>
    </row>
    <row r="52" spans="1:18">
      <c r="A52" s="317"/>
      <c r="B52" s="317"/>
      <c r="C52" s="317"/>
      <c r="D52" s="566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296"/>
    </row>
    <row r="53" spans="1:18" ht="9.9499999999999993" customHeight="1"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6"/>
    </row>
    <row r="54" spans="1:18" ht="24">
      <c r="D54" s="318"/>
      <c r="E54" s="319" t="s">
        <v>0</v>
      </c>
      <c r="F54" s="320" t="s">
        <v>1</v>
      </c>
      <c r="G54" s="320" t="s">
        <v>2</v>
      </c>
      <c r="H54" s="320" t="s">
        <v>3</v>
      </c>
      <c r="I54" s="320" t="s">
        <v>81</v>
      </c>
      <c r="J54" s="320" t="s">
        <v>80</v>
      </c>
      <c r="K54" s="320" t="s">
        <v>79</v>
      </c>
      <c r="L54" s="321"/>
      <c r="M54" s="320" t="s">
        <v>5</v>
      </c>
      <c r="N54" s="320" t="s">
        <v>6</v>
      </c>
      <c r="O54" s="320" t="s">
        <v>7</v>
      </c>
      <c r="P54" s="320" t="s">
        <v>8</v>
      </c>
      <c r="Q54" s="322" t="s">
        <v>9</v>
      </c>
      <c r="R54" s="323" t="s">
        <v>78</v>
      </c>
    </row>
    <row r="55" spans="1:18" ht="30" customHeight="1">
      <c r="D55" s="324" t="s">
        <v>77</v>
      </c>
      <c r="E55" s="325"/>
      <c r="F55" s="228"/>
      <c r="G55" s="265" t="s">
        <v>706</v>
      </c>
      <c r="H55" s="228"/>
      <c r="I55" s="228"/>
      <c r="J55" s="228" t="s">
        <v>695</v>
      </c>
      <c r="K55" s="228"/>
      <c r="L55" s="212"/>
      <c r="M55" s="548" t="s">
        <v>950</v>
      </c>
      <c r="N55" s="228" t="s">
        <v>620</v>
      </c>
      <c r="O55" s="326"/>
      <c r="P55" s="354" t="s">
        <v>949</v>
      </c>
      <c r="Q55" s="228"/>
      <c r="R55" s="328"/>
    </row>
    <row r="56" spans="1:18" ht="30" customHeight="1">
      <c r="D56" s="329" t="s">
        <v>76</v>
      </c>
      <c r="E56" s="457"/>
      <c r="F56" s="242"/>
      <c r="G56" s="242" t="s">
        <v>319</v>
      </c>
      <c r="H56" s="242"/>
      <c r="I56" s="238"/>
      <c r="J56" s="242"/>
      <c r="K56" s="242" t="s">
        <v>216</v>
      </c>
      <c r="L56" s="219"/>
      <c r="M56" s="242"/>
      <c r="N56" s="242"/>
      <c r="O56" s="331"/>
      <c r="P56" s="331"/>
      <c r="Q56" s="242"/>
      <c r="R56" s="332"/>
    </row>
    <row r="57" spans="1:18" ht="50.1" customHeight="1">
      <c r="D57" s="333" t="s">
        <v>75</v>
      </c>
      <c r="E57" s="490" t="s">
        <v>806</v>
      </c>
      <c r="F57" s="238" t="s">
        <v>251</v>
      </c>
      <c r="G57" s="238" t="s">
        <v>60</v>
      </c>
      <c r="H57" s="238"/>
      <c r="I57" s="242" t="s">
        <v>228</v>
      </c>
      <c r="J57" s="238" t="s">
        <v>271</v>
      </c>
      <c r="K57" s="238" t="s">
        <v>921</v>
      </c>
      <c r="L57" s="219"/>
      <c r="M57" s="238"/>
      <c r="N57" s="242"/>
      <c r="O57" s="242"/>
      <c r="P57" s="242"/>
      <c r="Q57" s="242"/>
      <c r="R57" s="334"/>
    </row>
    <row r="58" spans="1:18" ht="30" customHeight="1">
      <c r="D58" s="324" t="s">
        <v>38</v>
      </c>
      <c r="E58" s="330"/>
      <c r="F58" s="331"/>
      <c r="G58" s="242"/>
      <c r="H58" s="242"/>
      <c r="I58" s="242"/>
      <c r="J58" s="242"/>
      <c r="K58" s="242"/>
      <c r="L58" s="309"/>
      <c r="M58" s="331"/>
      <c r="N58" s="331"/>
      <c r="O58" s="331"/>
      <c r="P58" s="331"/>
      <c r="Q58" s="331"/>
      <c r="R58" s="332"/>
    </row>
    <row r="59" spans="1:18" ht="30" customHeight="1">
      <c r="D59" s="335" t="s">
        <v>74</v>
      </c>
      <c r="E59" s="336"/>
      <c r="F59" s="337"/>
      <c r="G59" s="338"/>
      <c r="H59" s="337"/>
      <c r="I59" s="337"/>
      <c r="J59" s="337"/>
      <c r="K59" s="337"/>
      <c r="L59" s="339"/>
      <c r="M59" s="337"/>
      <c r="N59" s="337"/>
      <c r="O59" s="338" t="s">
        <v>24</v>
      </c>
      <c r="P59" s="338"/>
      <c r="Q59" s="337"/>
      <c r="R59" s="340"/>
    </row>
    <row r="62" spans="1:18" ht="24">
      <c r="D62" s="356"/>
      <c r="E62" s="320" t="s">
        <v>0</v>
      </c>
      <c r="F62" s="320" t="s">
        <v>1</v>
      </c>
      <c r="G62" s="320" t="s">
        <v>2</v>
      </c>
      <c r="H62" s="320" t="s">
        <v>3</v>
      </c>
      <c r="I62" s="320" t="s">
        <v>81</v>
      </c>
      <c r="J62" s="320" t="s">
        <v>80</v>
      </c>
      <c r="K62" s="320" t="s">
        <v>79</v>
      </c>
      <c r="L62" s="321"/>
      <c r="M62" s="320" t="s">
        <v>5</v>
      </c>
      <c r="N62" s="320" t="s">
        <v>6</v>
      </c>
      <c r="O62" s="320" t="s">
        <v>7</v>
      </c>
      <c r="P62" s="320" t="s">
        <v>8</v>
      </c>
      <c r="Q62" s="320" t="s">
        <v>9</v>
      </c>
      <c r="R62" s="323" t="s">
        <v>78</v>
      </c>
    </row>
    <row r="63" spans="1:18">
      <c r="D63" s="357" t="s">
        <v>629</v>
      </c>
      <c r="E63" s="358"/>
      <c r="F63" s="358"/>
      <c r="G63" s="358"/>
      <c r="H63" s="391" t="s">
        <v>624</v>
      </c>
      <c r="I63" s="392"/>
      <c r="J63" s="392"/>
      <c r="K63" s="358"/>
      <c r="L63" s="360"/>
      <c r="M63" s="358"/>
      <c r="N63" s="358"/>
      <c r="O63" s="358"/>
      <c r="P63" s="358"/>
      <c r="Q63" s="358"/>
      <c r="R63" s="361"/>
    </row>
    <row r="64" spans="1:18">
      <c r="D64" s="362"/>
      <c r="E64" s="363"/>
      <c r="F64" s="363"/>
      <c r="G64" s="363"/>
      <c r="H64" s="393"/>
      <c r="I64" s="394" t="s">
        <v>625</v>
      </c>
      <c r="J64" s="394" t="s">
        <v>625</v>
      </c>
      <c r="K64" s="363"/>
      <c r="L64" s="365"/>
      <c r="M64" s="363"/>
      <c r="N64" s="363"/>
      <c r="O64" s="363"/>
      <c r="P64" s="363"/>
      <c r="Q64" s="363"/>
      <c r="R64" s="366"/>
    </row>
    <row r="65" spans="8:10">
      <c r="H65" s="200"/>
      <c r="I65" s="200"/>
      <c r="J65" s="200"/>
    </row>
  </sheetData>
  <mergeCells count="23">
    <mergeCell ref="D42:Q52"/>
    <mergeCell ref="P25:Q28"/>
    <mergeCell ref="T25:Y25"/>
    <mergeCell ref="T26:Y30"/>
    <mergeCell ref="C29:D30"/>
    <mergeCell ref="A32:A33"/>
    <mergeCell ref="B32:B33"/>
    <mergeCell ref="C32:D34"/>
    <mergeCell ref="T32:Y34"/>
    <mergeCell ref="P12:Q15"/>
    <mergeCell ref="T12:Y19"/>
    <mergeCell ref="C16:D16"/>
    <mergeCell ref="C17:D23"/>
    <mergeCell ref="T20:Y20"/>
    <mergeCell ref="T21:Y24"/>
    <mergeCell ref="C24:D24"/>
    <mergeCell ref="A1:Q1"/>
    <mergeCell ref="A2:Q2"/>
    <mergeCell ref="C4:D11"/>
    <mergeCell ref="E4:F4"/>
    <mergeCell ref="T4:Y4"/>
    <mergeCell ref="T5:Y10"/>
    <mergeCell ref="T11:Y11"/>
  </mergeCells>
  <phoneticPr fontId="3" type="noConversion"/>
  <pageMargins left="0.7" right="0.7" top="0.75" bottom="0.75" header="0.3" footer="0.3"/>
  <pageSetup paperSize="9" scale="26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5"/>
  <sheetViews>
    <sheetView tabSelected="1" topLeftCell="A2" zoomScale="85" zoomScaleNormal="85" workbookViewId="0">
      <selection activeCell="AA4" sqref="AA4"/>
    </sheetView>
  </sheetViews>
  <sheetFormatPr defaultRowHeight="16.5"/>
  <cols>
    <col min="1" max="1" width="3.25" style="198" customWidth="1"/>
    <col min="2" max="2" width="10" style="316" customWidth="1"/>
    <col min="3" max="4" width="11.875" style="316" customWidth="1"/>
    <col min="5" max="11" width="11.875" style="198" customWidth="1"/>
    <col min="12" max="12" width="2.625" style="288" customWidth="1"/>
    <col min="13" max="17" width="11.875" style="198" customWidth="1"/>
    <col min="18" max="18" width="11.875" style="290" customWidth="1"/>
    <col min="19" max="19" width="6.125" style="198" customWidth="1"/>
    <col min="20" max="25" width="8.125" style="198" customWidth="1"/>
    <col min="26" max="16384" width="9" style="198"/>
  </cols>
  <sheetData>
    <row r="1" spans="1:30" ht="16.5" hidden="1" customHeight="1">
      <c r="A1" s="621" t="s">
        <v>196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196"/>
    </row>
    <row r="2" spans="1:30" ht="18" customHeight="1">
      <c r="A2" s="623" t="s">
        <v>1002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199"/>
      <c r="T2" s="200"/>
      <c r="U2" s="200"/>
      <c r="V2" s="200"/>
      <c r="W2" s="200"/>
      <c r="X2" s="200"/>
      <c r="Y2" s="200"/>
      <c r="AA2" s="200"/>
      <c r="AB2" s="200"/>
      <c r="AC2" s="200"/>
      <c r="AD2" s="200"/>
    </row>
    <row r="3" spans="1:30" ht="21" customHeight="1" thickBot="1">
      <c r="A3" s="201"/>
      <c r="B3" s="202" t="s">
        <v>195</v>
      </c>
      <c r="C3" s="203" t="s">
        <v>194</v>
      </c>
      <c r="D3" s="203" t="s">
        <v>193</v>
      </c>
      <c r="E3" s="203" t="s">
        <v>0</v>
      </c>
      <c r="F3" s="203" t="s">
        <v>1</v>
      </c>
      <c r="G3" s="203" t="s">
        <v>2</v>
      </c>
      <c r="H3" s="203" t="s">
        <v>3</v>
      </c>
      <c r="I3" s="203" t="s">
        <v>81</v>
      </c>
      <c r="J3" s="203" t="s">
        <v>80</v>
      </c>
      <c r="K3" s="203" t="s">
        <v>79</v>
      </c>
      <c r="L3" s="204" t="s">
        <v>4</v>
      </c>
      <c r="M3" s="203" t="s">
        <v>5</v>
      </c>
      <c r="N3" s="203" t="s">
        <v>6</v>
      </c>
      <c r="O3" s="203" t="s">
        <v>7</v>
      </c>
      <c r="P3" s="203" t="s">
        <v>8</v>
      </c>
      <c r="Q3" s="203" t="s">
        <v>9</v>
      </c>
      <c r="R3" s="205">
        <f>AVERAGE(R4:R34)</f>
        <v>0.86190476190476195</v>
      </c>
      <c r="S3" s="206"/>
      <c r="T3" s="200"/>
      <c r="U3" s="200"/>
      <c r="V3" s="200"/>
      <c r="W3" s="200"/>
      <c r="X3" s="200"/>
      <c r="Y3" s="200"/>
      <c r="Z3" s="207"/>
      <c r="AA3" s="200"/>
      <c r="AB3" s="200"/>
      <c r="AC3" s="200"/>
      <c r="AD3" s="200"/>
    </row>
    <row r="4" spans="1:30" s="200" customFormat="1" ht="27.95" customHeight="1" thickBot="1">
      <c r="A4" s="208">
        <v>1</v>
      </c>
      <c r="B4" s="209" t="s">
        <v>192</v>
      </c>
      <c r="C4" s="625"/>
      <c r="D4" s="626"/>
      <c r="E4" s="631" t="s">
        <v>98</v>
      </c>
      <c r="F4" s="632"/>
      <c r="G4" s="170" t="s">
        <v>783</v>
      </c>
      <c r="H4" s="211" t="s">
        <v>183</v>
      </c>
      <c r="I4" s="211" t="s">
        <v>206</v>
      </c>
      <c r="J4" s="212" t="s">
        <v>191</v>
      </c>
      <c r="K4" s="211" t="s">
        <v>190</v>
      </c>
      <c r="L4" s="213"/>
      <c r="M4" s="211" t="s">
        <v>91</v>
      </c>
      <c r="N4" s="210" t="s">
        <v>285</v>
      </c>
      <c r="O4" s="374" t="s">
        <v>1032</v>
      </c>
      <c r="P4" s="214" t="s">
        <v>46</v>
      </c>
      <c r="Q4" s="1" t="s">
        <v>189</v>
      </c>
      <c r="R4" s="215">
        <f>(COUNTA(G4:Q4))/10</f>
        <v>1</v>
      </c>
      <c r="S4" s="206"/>
      <c r="T4" s="633" t="s">
        <v>1036</v>
      </c>
      <c r="U4" s="634"/>
      <c r="V4" s="634"/>
      <c r="W4" s="634"/>
      <c r="X4" s="634"/>
      <c r="Y4" s="635"/>
    </row>
    <row r="5" spans="1:30" s="200" customFormat="1" ht="27.95" customHeight="1">
      <c r="A5" s="208">
        <v>2</v>
      </c>
      <c r="B5" s="218" t="s">
        <v>160</v>
      </c>
      <c r="C5" s="627"/>
      <c r="D5" s="628"/>
      <c r="E5" s="210" t="s">
        <v>158</v>
      </c>
      <c r="F5" s="210" t="s">
        <v>159</v>
      </c>
      <c r="G5" s="210" t="s">
        <v>11</v>
      </c>
      <c r="H5" s="353" t="s">
        <v>773</v>
      </c>
      <c r="I5" s="210" t="s">
        <v>157</v>
      </c>
      <c r="J5" s="372" t="s">
        <v>826</v>
      </c>
      <c r="K5" s="2" t="s">
        <v>156</v>
      </c>
      <c r="L5" s="210"/>
      <c r="M5" s="372" t="s">
        <v>779</v>
      </c>
      <c r="N5" s="219" t="s">
        <v>155</v>
      </c>
      <c r="O5" s="220" t="s">
        <v>154</v>
      </c>
      <c r="P5" s="210" t="s">
        <v>64</v>
      </c>
      <c r="Q5" s="372" t="s">
        <v>790</v>
      </c>
      <c r="R5" s="215">
        <f>(COUNTA(C5:Q5))/12</f>
        <v>1</v>
      </c>
      <c r="S5" s="206"/>
      <c r="T5" s="578"/>
      <c r="U5" s="579"/>
      <c r="V5" s="579"/>
      <c r="W5" s="579"/>
      <c r="X5" s="579"/>
      <c r="Y5" s="580"/>
    </row>
    <row r="6" spans="1:30" s="200" customFormat="1" ht="27.95" customHeight="1">
      <c r="A6" s="208">
        <v>3</v>
      </c>
      <c r="B6" s="218" t="s">
        <v>646</v>
      </c>
      <c r="C6" s="627"/>
      <c r="D6" s="628"/>
      <c r="E6" s="210" t="s">
        <v>783</v>
      </c>
      <c r="F6" s="432"/>
      <c r="G6" s="432"/>
      <c r="H6" s="210" t="s">
        <v>905</v>
      </c>
      <c r="I6" s="210" t="s">
        <v>907</v>
      </c>
      <c r="J6" s="432"/>
      <c r="K6" s="217" t="s">
        <v>162</v>
      </c>
      <c r="L6" s="210"/>
      <c r="M6" s="432"/>
      <c r="N6" s="219" t="s">
        <v>667</v>
      </c>
      <c r="O6" s="437"/>
      <c r="P6" s="217" t="s">
        <v>200</v>
      </c>
      <c r="Q6" s="346" t="s">
        <v>906</v>
      </c>
      <c r="R6" s="215"/>
      <c r="S6" s="206"/>
      <c r="T6" s="581"/>
      <c r="U6" s="582"/>
      <c r="V6" s="582"/>
      <c r="W6" s="582"/>
      <c r="X6" s="582"/>
      <c r="Y6" s="583"/>
    </row>
    <row r="7" spans="1:30" s="200" customFormat="1" ht="27.95" customHeight="1">
      <c r="A7" s="208">
        <v>4</v>
      </c>
      <c r="B7" s="221" t="s">
        <v>153</v>
      </c>
      <c r="C7" s="627"/>
      <c r="D7" s="628"/>
      <c r="E7" s="2" t="s">
        <v>159</v>
      </c>
      <c r="F7" s="214" t="s">
        <v>152</v>
      </c>
      <c r="G7" s="210" t="s">
        <v>336</v>
      </c>
      <c r="H7" s="372" t="s">
        <v>774</v>
      </c>
      <c r="I7" s="2" t="s">
        <v>150</v>
      </c>
      <c r="J7" s="353" t="s">
        <v>839</v>
      </c>
      <c r="K7" s="210"/>
      <c r="L7" s="210"/>
      <c r="M7" s="210" t="s">
        <v>12</v>
      </c>
      <c r="N7" s="214" t="s">
        <v>149</v>
      </c>
      <c r="O7" s="213" t="s">
        <v>148</v>
      </c>
      <c r="P7" s="347" t="s">
        <v>745</v>
      </c>
      <c r="Q7" s="210" t="s">
        <v>53</v>
      </c>
      <c r="R7" s="215">
        <f t="shared" ref="R7:R25" si="0">(COUNTA(C7:Q7))/12</f>
        <v>0.91666666666666663</v>
      </c>
      <c r="S7" s="206"/>
      <c r="T7" s="581"/>
      <c r="U7" s="582"/>
      <c r="V7" s="582"/>
      <c r="W7" s="582"/>
      <c r="X7" s="582"/>
      <c r="Y7" s="583"/>
    </row>
    <row r="8" spans="1:30" s="200" customFormat="1" ht="27.95" customHeight="1">
      <c r="A8" s="208">
        <v>5</v>
      </c>
      <c r="B8" s="222" t="s">
        <v>175</v>
      </c>
      <c r="C8" s="627"/>
      <c r="D8" s="628"/>
      <c r="E8" s="210" t="s">
        <v>64</v>
      </c>
      <c r="F8" s="210" t="s">
        <v>167</v>
      </c>
      <c r="G8" s="212" t="s">
        <v>174</v>
      </c>
      <c r="H8" s="210" t="s">
        <v>173</v>
      </c>
      <c r="I8" s="353" t="s">
        <v>163</v>
      </c>
      <c r="J8" s="214" t="s">
        <v>13</v>
      </c>
      <c r="K8" s="207" t="s">
        <v>274</v>
      </c>
      <c r="L8" s="210"/>
      <c r="M8" s="213" t="s">
        <v>172</v>
      </c>
      <c r="N8" s="214"/>
      <c r="O8" s="2" t="s">
        <v>840</v>
      </c>
      <c r="P8" s="213" t="s">
        <v>265</v>
      </c>
      <c r="Q8" s="210" t="s">
        <v>208</v>
      </c>
      <c r="R8" s="215">
        <f t="shared" si="0"/>
        <v>0.91666666666666663</v>
      </c>
      <c r="S8" s="206"/>
      <c r="T8" s="581"/>
      <c r="U8" s="582"/>
      <c r="V8" s="582"/>
      <c r="W8" s="582"/>
      <c r="X8" s="582"/>
      <c r="Y8" s="583"/>
    </row>
    <row r="9" spans="1:30" s="200" customFormat="1" ht="27.95" customHeight="1">
      <c r="A9" s="208">
        <v>6</v>
      </c>
      <c r="B9" s="221" t="s">
        <v>59</v>
      </c>
      <c r="C9" s="627"/>
      <c r="D9" s="628"/>
      <c r="E9" s="2" t="s">
        <v>621</v>
      </c>
      <c r="F9" s="214" t="s">
        <v>147</v>
      </c>
      <c r="G9" s="210" t="s">
        <v>744</v>
      </c>
      <c r="H9" s="210"/>
      <c r="I9" s="2" t="s">
        <v>248</v>
      </c>
      <c r="J9" s="214" t="s">
        <v>146</v>
      </c>
      <c r="K9" s="210" t="s">
        <v>258</v>
      </c>
      <c r="L9" s="210"/>
      <c r="M9" s="353" t="s">
        <v>266</v>
      </c>
      <c r="N9" s="214" t="s">
        <v>144</v>
      </c>
      <c r="O9" s="214" t="s">
        <v>45</v>
      </c>
      <c r="P9" s="214" t="s">
        <v>305</v>
      </c>
      <c r="Q9" s="347"/>
      <c r="R9" s="215">
        <f t="shared" si="0"/>
        <v>0.83333333333333337</v>
      </c>
      <c r="S9" s="206"/>
      <c r="T9" s="581"/>
      <c r="U9" s="582"/>
      <c r="V9" s="582"/>
      <c r="W9" s="582"/>
      <c r="X9" s="582"/>
      <c r="Y9" s="583"/>
    </row>
    <row r="10" spans="1:30" s="200" customFormat="1" ht="109.5" customHeight="1">
      <c r="A10" s="208">
        <v>7</v>
      </c>
      <c r="B10" s="795" t="s">
        <v>168</v>
      </c>
      <c r="C10" s="627"/>
      <c r="D10" s="628"/>
      <c r="E10" s="265" t="s">
        <v>735</v>
      </c>
      <c r="F10" s="276" t="s">
        <v>278</v>
      </c>
      <c r="G10" s="265" t="s">
        <v>281</v>
      </c>
      <c r="H10" s="265" t="s">
        <v>289</v>
      </c>
      <c r="I10" s="211" t="s">
        <v>679</v>
      </c>
      <c r="J10" s="213" t="s">
        <v>1010</v>
      </c>
      <c r="K10" s="211" t="s">
        <v>734</v>
      </c>
      <c r="L10" s="212"/>
      <c r="M10" s="213" t="s">
        <v>282</v>
      </c>
      <c r="N10" s="277" t="s">
        <v>276</v>
      </c>
      <c r="O10" s="276" t="s">
        <v>297</v>
      </c>
      <c r="P10" s="277" t="s">
        <v>973</v>
      </c>
      <c r="Q10" s="211" t="s">
        <v>296</v>
      </c>
      <c r="R10" s="215">
        <f t="shared" ref="R10" si="1">(COUNTA(C10:Q10))/12</f>
        <v>1</v>
      </c>
      <c r="S10" s="206"/>
      <c r="T10" s="581"/>
      <c r="U10" s="582"/>
      <c r="V10" s="582"/>
      <c r="W10" s="582"/>
      <c r="X10" s="582"/>
      <c r="Y10" s="583"/>
    </row>
    <row r="11" spans="1:30" s="200" customFormat="1" ht="109.5" customHeight="1" thickBot="1">
      <c r="A11" s="208">
        <v>7</v>
      </c>
      <c r="B11" s="794"/>
      <c r="C11" s="629"/>
      <c r="D11" s="630"/>
      <c r="E11" s="796" t="s">
        <v>1013</v>
      </c>
      <c r="F11" s="231" t="s">
        <v>1027</v>
      </c>
      <c r="G11" s="797" t="s">
        <v>1014</v>
      </c>
      <c r="H11" s="231" t="s">
        <v>1007</v>
      </c>
      <c r="I11" s="248" t="s">
        <v>1023</v>
      </c>
      <c r="J11" s="231" t="s">
        <v>989</v>
      </c>
      <c r="K11" s="231" t="s">
        <v>979</v>
      </c>
      <c r="L11" s="231"/>
      <c r="M11" s="231" t="s">
        <v>977</v>
      </c>
      <c r="N11" s="796" t="s">
        <v>1008</v>
      </c>
      <c r="O11" s="798" t="s">
        <v>1012</v>
      </c>
      <c r="P11" s="216" t="s">
        <v>998</v>
      </c>
      <c r="Q11" s="210" t="s">
        <v>987</v>
      </c>
      <c r="R11" s="215">
        <f t="shared" si="0"/>
        <v>1</v>
      </c>
      <c r="S11" s="206"/>
      <c r="T11" s="581"/>
      <c r="U11" s="582"/>
      <c r="V11" s="582"/>
      <c r="W11" s="582"/>
      <c r="X11" s="582"/>
      <c r="Y11" s="583"/>
    </row>
    <row r="12" spans="1:30" s="200" customFormat="1" ht="27.95" customHeight="1" thickBot="1">
      <c r="A12" s="208">
        <v>8</v>
      </c>
      <c r="B12" s="222" t="s">
        <v>143</v>
      </c>
      <c r="C12" s="227" t="s">
        <v>981</v>
      </c>
      <c r="D12" s="227" t="s">
        <v>981</v>
      </c>
      <c r="E12" s="793" t="s">
        <v>89</v>
      </c>
      <c r="F12" s="207" t="s">
        <v>106</v>
      </c>
      <c r="G12" s="211" t="s">
        <v>142</v>
      </c>
      <c r="H12" s="213" t="s">
        <v>335</v>
      </c>
      <c r="I12" s="211" t="s">
        <v>173</v>
      </c>
      <c r="J12" s="211" t="s">
        <v>248</v>
      </c>
      <c r="K12" s="211" t="s">
        <v>146</v>
      </c>
      <c r="L12" s="212"/>
      <c r="M12" s="211" t="s">
        <v>915</v>
      </c>
      <c r="N12" s="228" t="s">
        <v>274</v>
      </c>
      <c r="O12" s="213" t="s">
        <v>320</v>
      </c>
      <c r="P12" s="569"/>
      <c r="Q12" s="570"/>
      <c r="R12" s="215">
        <f t="shared" si="0"/>
        <v>1</v>
      </c>
      <c r="S12" s="206"/>
      <c r="T12" s="575" t="s">
        <v>1037</v>
      </c>
      <c r="U12" s="576"/>
      <c r="V12" s="576"/>
      <c r="W12" s="576"/>
      <c r="X12" s="576"/>
      <c r="Y12" s="577"/>
    </row>
    <row r="13" spans="1:30" s="200" customFormat="1" ht="27.95" customHeight="1">
      <c r="A13" s="208">
        <v>9</v>
      </c>
      <c r="B13" s="239" t="s">
        <v>187</v>
      </c>
      <c r="C13" s="424" t="s">
        <v>982</v>
      </c>
      <c r="D13" s="424" t="s">
        <v>982</v>
      </c>
      <c r="E13" s="212" t="s">
        <v>174</v>
      </c>
      <c r="F13" s="217" t="s">
        <v>229</v>
      </c>
      <c r="G13" s="210" t="s">
        <v>186</v>
      </c>
      <c r="H13" s="214" t="s">
        <v>161</v>
      </c>
      <c r="I13" s="214" t="s">
        <v>184</v>
      </c>
      <c r="J13" s="211" t="s">
        <v>807</v>
      </c>
      <c r="K13" s="372" t="s">
        <v>778</v>
      </c>
      <c r="L13" s="214"/>
      <c r="M13" s="372" t="s">
        <v>1031</v>
      </c>
      <c r="N13" s="210" t="s">
        <v>183</v>
      </c>
      <c r="O13" s="211" t="s">
        <v>182</v>
      </c>
      <c r="P13" s="571"/>
      <c r="Q13" s="572"/>
      <c r="R13" s="215">
        <f t="shared" si="0"/>
        <v>1</v>
      </c>
      <c r="S13" s="206"/>
      <c r="T13" s="578" t="s">
        <v>1040</v>
      </c>
      <c r="U13" s="579"/>
      <c r="V13" s="579"/>
      <c r="W13" s="579"/>
      <c r="X13" s="579"/>
      <c r="Y13" s="580"/>
      <c r="Z13" s="229"/>
    </row>
    <row r="14" spans="1:30" s="200" customFormat="1" ht="27.95" customHeight="1">
      <c r="A14" s="208">
        <v>10</v>
      </c>
      <c r="B14" s="209" t="s">
        <v>181</v>
      </c>
      <c r="C14" s="424" t="s">
        <v>983</v>
      </c>
      <c r="D14" s="424" t="s">
        <v>983</v>
      </c>
      <c r="E14" s="2" t="s">
        <v>180</v>
      </c>
      <c r="F14" s="210" t="s">
        <v>179</v>
      </c>
      <c r="G14" s="210" t="s">
        <v>621</v>
      </c>
      <c r="H14" s="210" t="s">
        <v>106</v>
      </c>
      <c r="I14" s="374" t="s">
        <v>877</v>
      </c>
      <c r="J14" s="3" t="s">
        <v>177</v>
      </c>
      <c r="K14" s="210"/>
      <c r="L14" s="214"/>
      <c r="M14" s="214" t="s">
        <v>164</v>
      </c>
      <c r="N14" s="211" t="s">
        <v>809</v>
      </c>
      <c r="O14" s="210" t="s">
        <v>176</v>
      </c>
      <c r="P14" s="571"/>
      <c r="Q14" s="572"/>
      <c r="R14" s="215">
        <f t="shared" si="0"/>
        <v>0.91666666666666663</v>
      </c>
      <c r="S14" s="206"/>
      <c r="T14" s="581"/>
      <c r="U14" s="582"/>
      <c r="V14" s="582"/>
      <c r="W14" s="582"/>
      <c r="X14" s="582"/>
      <c r="Y14" s="583"/>
    </row>
    <row r="15" spans="1:30" s="200" customFormat="1" ht="27.95" customHeight="1" thickBot="1">
      <c r="A15" s="208">
        <v>11</v>
      </c>
      <c r="B15" s="223" t="s">
        <v>171</v>
      </c>
      <c r="C15" s="425" t="s">
        <v>986</v>
      </c>
      <c r="D15" s="425" t="s">
        <v>986</v>
      </c>
      <c r="E15" s="231" t="s">
        <v>170</v>
      </c>
      <c r="F15" s="476" t="s">
        <v>1025</v>
      </c>
      <c r="G15" s="231" t="s">
        <v>207</v>
      </c>
      <c r="H15" s="231" t="s">
        <v>220</v>
      </c>
      <c r="I15" s="231" t="s">
        <v>265</v>
      </c>
      <c r="J15" s="231" t="s">
        <v>743</v>
      </c>
      <c r="K15" s="11" t="s">
        <v>751</v>
      </c>
      <c r="L15" s="231"/>
      <c r="M15" s="231" t="s">
        <v>199</v>
      </c>
      <c r="N15" s="488" t="s">
        <v>305</v>
      </c>
      <c r="O15" s="226" t="s">
        <v>255</v>
      </c>
      <c r="P15" s="573"/>
      <c r="Q15" s="574"/>
      <c r="R15" s="215">
        <f t="shared" si="0"/>
        <v>1</v>
      </c>
      <c r="S15" s="206"/>
      <c r="T15" s="581"/>
      <c r="U15" s="582"/>
      <c r="V15" s="582"/>
      <c r="W15" s="582"/>
      <c r="X15" s="582"/>
      <c r="Y15" s="583"/>
    </row>
    <row r="16" spans="1:30" s="236" customFormat="1" ht="27.95" customHeight="1" thickBot="1">
      <c r="A16" s="208">
        <v>12</v>
      </c>
      <c r="B16" s="233" t="s">
        <v>141</v>
      </c>
      <c r="C16" s="608"/>
      <c r="D16" s="609"/>
      <c r="E16" s="226" t="s">
        <v>140</v>
      </c>
      <c r="F16" s="234" t="s">
        <v>274</v>
      </c>
      <c r="G16" s="235" t="s">
        <v>172</v>
      </c>
      <c r="H16" s="234" t="s">
        <v>67</v>
      </c>
      <c r="I16" s="226" t="s">
        <v>809</v>
      </c>
      <c r="J16" s="406" t="s">
        <v>1033</v>
      </c>
      <c r="K16" s="224" t="s">
        <v>261</v>
      </c>
      <c r="L16" s="226"/>
      <c r="M16" s="224" t="s">
        <v>206</v>
      </c>
      <c r="N16" s="559" t="s">
        <v>161</v>
      </c>
      <c r="O16" s="224" t="s">
        <v>295</v>
      </c>
      <c r="P16" s="226" t="s">
        <v>751</v>
      </c>
      <c r="Q16" s="226" t="s">
        <v>840</v>
      </c>
      <c r="R16" s="215">
        <f t="shared" si="0"/>
        <v>1</v>
      </c>
      <c r="S16" s="206"/>
      <c r="T16" s="581"/>
      <c r="U16" s="582"/>
      <c r="V16" s="582"/>
      <c r="W16" s="582"/>
      <c r="X16" s="582"/>
      <c r="Y16" s="583"/>
    </row>
    <row r="17" spans="1:25" s="236" customFormat="1" ht="27.95" customHeight="1" thickBot="1">
      <c r="A17" s="208">
        <v>13</v>
      </c>
      <c r="B17" s="218" t="s">
        <v>14</v>
      </c>
      <c r="C17" s="610"/>
      <c r="D17" s="611"/>
      <c r="E17" s="211" t="s">
        <v>198</v>
      </c>
      <c r="F17" s="213" t="s">
        <v>15</v>
      </c>
      <c r="G17" s="213" t="s">
        <v>16</v>
      </c>
      <c r="H17" s="383" t="s">
        <v>1029</v>
      </c>
      <c r="I17" s="211" t="s">
        <v>51</v>
      </c>
      <c r="J17" s="213" t="s">
        <v>17</v>
      </c>
      <c r="K17" s="211"/>
      <c r="L17" s="213"/>
      <c r="M17" s="211" t="s">
        <v>18</v>
      </c>
      <c r="N17" s="211"/>
      <c r="O17" s="213" t="s">
        <v>262</v>
      </c>
      <c r="P17" s="214" t="s">
        <v>23</v>
      </c>
      <c r="Q17" s="262" t="s">
        <v>904</v>
      </c>
      <c r="R17" s="215">
        <f t="shared" si="0"/>
        <v>0.83333333333333337</v>
      </c>
      <c r="S17" s="206"/>
      <c r="T17" s="581"/>
      <c r="U17" s="582"/>
      <c r="V17" s="582"/>
      <c r="W17" s="582"/>
      <c r="X17" s="582"/>
      <c r="Y17" s="583"/>
    </row>
    <row r="18" spans="1:25" s="236" customFormat="1" ht="27.95" customHeight="1" thickBot="1">
      <c r="A18" s="208">
        <v>14</v>
      </c>
      <c r="B18" s="237" t="s">
        <v>119</v>
      </c>
      <c r="C18" s="612"/>
      <c r="D18" s="613"/>
      <c r="E18" s="211" t="s">
        <v>913</v>
      </c>
      <c r="F18" s="213" t="s">
        <v>20</v>
      </c>
      <c r="G18" s="211" t="s">
        <v>808</v>
      </c>
      <c r="H18" s="211" t="s">
        <v>846</v>
      </c>
      <c r="I18" s="213" t="s">
        <v>118</v>
      </c>
      <c r="J18" s="238" t="s">
        <v>234</v>
      </c>
      <c r="K18" s="213" t="s">
        <v>117</v>
      </c>
      <c r="L18" s="212"/>
      <c r="M18" s="143" t="s">
        <v>292</v>
      </c>
      <c r="N18" s="212" t="s">
        <v>116</v>
      </c>
      <c r="O18" s="210" t="s">
        <v>747</v>
      </c>
      <c r="P18" s="375" t="s">
        <v>1026</v>
      </c>
      <c r="Q18" s="211"/>
      <c r="R18" s="215">
        <f t="shared" si="0"/>
        <v>0.91666666666666663</v>
      </c>
      <c r="S18" s="206"/>
      <c r="T18" s="575" t="s">
        <v>1039</v>
      </c>
      <c r="U18" s="576"/>
      <c r="V18" s="576"/>
      <c r="W18" s="576"/>
      <c r="X18" s="576"/>
      <c r="Y18" s="577"/>
    </row>
    <row r="19" spans="1:25" s="236" customFormat="1" ht="27.95" customHeight="1">
      <c r="A19" s="208">
        <v>15</v>
      </c>
      <c r="B19" s="239" t="s">
        <v>139</v>
      </c>
      <c r="C19" s="612"/>
      <c r="D19" s="613"/>
      <c r="E19" s="2" t="s">
        <v>260</v>
      </c>
      <c r="F19" s="375" t="s">
        <v>914</v>
      </c>
      <c r="G19" s="211" t="s">
        <v>94</v>
      </c>
      <c r="H19" s="210" t="s">
        <v>226</v>
      </c>
      <c r="I19" s="500" t="s">
        <v>1024</v>
      </c>
      <c r="J19" s="211" t="s">
        <v>138</v>
      </c>
      <c r="K19" s="214" t="s">
        <v>623</v>
      </c>
      <c r="L19" s="214"/>
      <c r="M19" s="211" t="s">
        <v>275</v>
      </c>
      <c r="N19" s="211" t="s">
        <v>137</v>
      </c>
      <c r="O19" s="210" t="s">
        <v>136</v>
      </c>
      <c r="P19" s="240" t="s">
        <v>135</v>
      </c>
      <c r="Q19" s="211" t="s">
        <v>267</v>
      </c>
      <c r="R19" s="215">
        <f t="shared" si="0"/>
        <v>1</v>
      </c>
      <c r="S19" s="206"/>
      <c r="T19" s="578" t="s">
        <v>1035</v>
      </c>
      <c r="U19" s="579"/>
      <c r="V19" s="579"/>
      <c r="W19" s="579"/>
      <c r="X19" s="579"/>
      <c r="Y19" s="580"/>
    </row>
    <row r="20" spans="1:25" s="200" customFormat="1" ht="27.95" customHeight="1">
      <c r="A20" s="208">
        <v>16</v>
      </c>
      <c r="B20" s="237" t="s">
        <v>115</v>
      </c>
      <c r="C20" s="612"/>
      <c r="D20" s="613"/>
      <c r="E20" s="214" t="s">
        <v>22</v>
      </c>
      <c r="F20" s="210" t="s">
        <v>210</v>
      </c>
      <c r="G20" s="372" t="s">
        <v>1028</v>
      </c>
      <c r="H20" s="214" t="s">
        <v>797</v>
      </c>
      <c r="I20" s="214" t="s">
        <v>275</v>
      </c>
      <c r="J20" s="244" t="s">
        <v>286</v>
      </c>
      <c r="K20" s="212" t="s">
        <v>113</v>
      </c>
      <c r="L20" s="214"/>
      <c r="M20" s="2" t="s">
        <v>221</v>
      </c>
      <c r="N20" s="242" t="s">
        <v>110</v>
      </c>
      <c r="O20" s="213" t="s">
        <v>610</v>
      </c>
      <c r="P20" s="214" t="s">
        <v>55</v>
      </c>
      <c r="Q20" s="214" t="s">
        <v>70</v>
      </c>
      <c r="R20" s="215">
        <f t="shared" si="0"/>
        <v>1</v>
      </c>
      <c r="S20" s="206"/>
      <c r="T20" s="581"/>
      <c r="U20" s="582"/>
      <c r="V20" s="582"/>
      <c r="W20" s="582"/>
      <c r="X20" s="582"/>
      <c r="Y20" s="583"/>
    </row>
    <row r="21" spans="1:25" s="200" customFormat="1" ht="27.95" customHeight="1">
      <c r="A21" s="208">
        <v>17</v>
      </c>
      <c r="B21" s="243" t="s">
        <v>645</v>
      </c>
      <c r="C21" s="612"/>
      <c r="D21" s="613"/>
      <c r="E21" s="433"/>
      <c r="F21" s="432"/>
      <c r="G21" s="432"/>
      <c r="H21" s="433"/>
      <c r="I21" s="433"/>
      <c r="J21" s="434"/>
      <c r="K21" s="431"/>
      <c r="L21" s="433"/>
      <c r="M21" s="435"/>
      <c r="N21" s="437"/>
      <c r="O21" s="440"/>
      <c r="P21" s="440"/>
      <c r="Q21" s="441"/>
      <c r="R21" s="215"/>
      <c r="S21" s="206"/>
      <c r="T21" s="581"/>
      <c r="U21" s="582"/>
      <c r="V21" s="582"/>
      <c r="W21" s="582"/>
      <c r="X21" s="582"/>
      <c r="Y21" s="583"/>
    </row>
    <row r="22" spans="1:25" s="200" customFormat="1" ht="27.95" customHeight="1">
      <c r="A22" s="208">
        <v>18</v>
      </c>
      <c r="B22" s="243" t="s">
        <v>130</v>
      </c>
      <c r="C22" s="612"/>
      <c r="D22" s="613"/>
      <c r="E22" s="210" t="s">
        <v>243</v>
      </c>
      <c r="F22" s="210" t="s">
        <v>129</v>
      </c>
      <c r="G22" s="210" t="s">
        <v>249</v>
      </c>
      <c r="H22" s="214" t="s">
        <v>209</v>
      </c>
      <c r="I22" s="210" t="s">
        <v>128</v>
      </c>
      <c r="J22" s="210" t="s">
        <v>127</v>
      </c>
      <c r="K22" s="210" t="s">
        <v>843</v>
      </c>
      <c r="L22" s="241"/>
      <c r="M22" s="214" t="s">
        <v>284</v>
      </c>
      <c r="N22" s="2" t="s">
        <v>126</v>
      </c>
      <c r="O22" s="211" t="s">
        <v>287</v>
      </c>
      <c r="P22" s="244" t="s">
        <v>125</v>
      </c>
      <c r="Q22" s="245" t="s">
        <v>249</v>
      </c>
      <c r="R22" s="215">
        <f t="shared" si="0"/>
        <v>1</v>
      </c>
      <c r="S22" s="206"/>
      <c r="T22" s="581"/>
      <c r="U22" s="582"/>
      <c r="V22" s="582"/>
      <c r="W22" s="582"/>
      <c r="X22" s="582"/>
      <c r="Y22" s="583"/>
    </row>
    <row r="23" spans="1:25" s="200" customFormat="1" ht="27.95" customHeight="1" thickBot="1">
      <c r="A23" s="208">
        <v>19</v>
      </c>
      <c r="B23" s="246" t="s">
        <v>124</v>
      </c>
      <c r="C23" s="614"/>
      <c r="D23" s="615"/>
      <c r="E23" s="488" t="s">
        <v>792</v>
      </c>
      <c r="F23" s="248" t="s">
        <v>197</v>
      </c>
      <c r="G23" s="11" t="s">
        <v>19</v>
      </c>
      <c r="H23" s="231" t="s">
        <v>262</v>
      </c>
      <c r="I23" s="231" t="s">
        <v>263</v>
      </c>
      <c r="J23" s="248" t="s">
        <v>912</v>
      </c>
      <c r="K23" s="231" t="s">
        <v>339</v>
      </c>
      <c r="L23" s="283"/>
      <c r="M23" s="248" t="s">
        <v>291</v>
      </c>
      <c r="N23" s="446" t="s">
        <v>912</v>
      </c>
      <c r="O23" s="231" t="s">
        <v>752</v>
      </c>
      <c r="P23" s="248" t="s">
        <v>123</v>
      </c>
      <c r="Q23" s="231" t="s">
        <v>122</v>
      </c>
      <c r="R23" s="215">
        <f t="shared" si="0"/>
        <v>1</v>
      </c>
      <c r="S23" s="206"/>
      <c r="T23" s="581"/>
      <c r="U23" s="582"/>
      <c r="V23" s="582"/>
      <c r="W23" s="582"/>
      <c r="X23" s="582"/>
      <c r="Y23" s="583"/>
    </row>
    <row r="24" spans="1:25" s="200" customFormat="1" ht="27.95" customHeight="1" thickBot="1">
      <c r="A24" s="208">
        <v>20</v>
      </c>
      <c r="B24" s="249" t="s">
        <v>112</v>
      </c>
      <c r="C24" s="619"/>
      <c r="D24" s="620"/>
      <c r="E24" s="224" t="s">
        <v>268</v>
      </c>
      <c r="F24" s="224" t="s">
        <v>752</v>
      </c>
      <c r="G24" s="250" t="s">
        <v>233</v>
      </c>
      <c r="H24" s="224" t="s">
        <v>294</v>
      </c>
      <c r="I24" s="406" t="s">
        <v>914</v>
      </c>
      <c r="J24" s="224" t="s">
        <v>69</v>
      </c>
      <c r="K24" s="234" t="s">
        <v>110</v>
      </c>
      <c r="L24" s="234"/>
      <c r="M24" s="234" t="s">
        <v>249</v>
      </c>
      <c r="N24" s="226" t="s">
        <v>338</v>
      </c>
      <c r="O24" s="235" t="s">
        <v>109</v>
      </c>
      <c r="P24" s="226" t="s">
        <v>209</v>
      </c>
      <c r="Q24" s="406" t="s">
        <v>874</v>
      </c>
      <c r="R24" s="215">
        <f t="shared" si="0"/>
        <v>1</v>
      </c>
      <c r="S24" s="206"/>
      <c r="T24" s="584"/>
      <c r="U24" s="585"/>
      <c r="V24" s="585"/>
      <c r="W24" s="585"/>
      <c r="X24" s="585"/>
      <c r="Y24" s="586"/>
    </row>
    <row r="25" spans="1:25" s="200" customFormat="1" ht="27.95" customHeight="1" thickBot="1">
      <c r="A25" s="208">
        <v>21</v>
      </c>
      <c r="B25" s="779" t="s">
        <v>1004</v>
      </c>
      <c r="C25" s="251"/>
      <c r="D25" s="251"/>
      <c r="E25" s="781"/>
      <c r="F25" s="445" t="s">
        <v>27</v>
      </c>
      <c r="G25" s="452"/>
      <c r="H25" s="782"/>
      <c r="I25" s="445" t="s">
        <v>68</v>
      </c>
      <c r="J25" s="445"/>
      <c r="K25" s="445"/>
      <c r="L25" s="783"/>
      <c r="M25" s="453"/>
      <c r="N25" s="445"/>
      <c r="O25" s="782"/>
      <c r="P25" s="569"/>
      <c r="Q25" s="570"/>
      <c r="R25" s="215">
        <f t="shared" si="0"/>
        <v>0.16666666666666666</v>
      </c>
      <c r="S25" s="206"/>
      <c r="T25" s="575" t="s">
        <v>1038</v>
      </c>
      <c r="U25" s="576"/>
      <c r="V25" s="576"/>
      <c r="W25" s="576"/>
      <c r="X25" s="576"/>
      <c r="Y25" s="577"/>
    </row>
    <row r="26" spans="1:25" s="200" customFormat="1" ht="27.95" customHeight="1">
      <c r="A26" s="208">
        <v>22</v>
      </c>
      <c r="B26" s="342" t="s">
        <v>515</v>
      </c>
      <c r="C26" s="254" t="s">
        <v>991</v>
      </c>
      <c r="D26" s="254" t="s">
        <v>991</v>
      </c>
      <c r="E26" s="252"/>
      <c r="F26" s="210" t="s">
        <v>748</v>
      </c>
      <c r="G26" s="3" t="s">
        <v>516</v>
      </c>
      <c r="H26" s="211" t="s">
        <v>517</v>
      </c>
      <c r="I26" s="214" t="s">
        <v>231</v>
      </c>
      <c r="J26" s="211" t="s">
        <v>29</v>
      </c>
      <c r="K26" s="210" t="s">
        <v>268</v>
      </c>
      <c r="L26" s="219"/>
      <c r="M26" s="214" t="s">
        <v>30</v>
      </c>
      <c r="N26" s="2" t="s">
        <v>843</v>
      </c>
      <c r="O26" s="214" t="s">
        <v>209</v>
      </c>
      <c r="P26" s="571"/>
      <c r="Q26" s="572"/>
      <c r="R26" s="215"/>
      <c r="S26" s="206"/>
      <c r="T26" s="578" t="s">
        <v>1042</v>
      </c>
      <c r="U26" s="579"/>
      <c r="V26" s="579"/>
      <c r="W26" s="579"/>
      <c r="X26" s="579"/>
      <c r="Y26" s="580"/>
    </row>
    <row r="27" spans="1:25" s="200" customFormat="1" ht="27.95" customHeight="1">
      <c r="A27" s="208">
        <v>23</v>
      </c>
      <c r="B27" s="343" t="s">
        <v>133</v>
      </c>
      <c r="C27" s="254" t="s">
        <v>999</v>
      </c>
      <c r="D27" s="254" t="s">
        <v>999</v>
      </c>
      <c r="E27" s="216" t="s">
        <v>338</v>
      </c>
      <c r="F27" s="244" t="s">
        <v>132</v>
      </c>
      <c r="G27" s="374" t="s">
        <v>1034</v>
      </c>
      <c r="H27" s="374" t="s">
        <v>218</v>
      </c>
      <c r="I27" s="211" t="s">
        <v>19</v>
      </c>
      <c r="J27" s="372" t="s">
        <v>1030</v>
      </c>
      <c r="K27" s="791" t="s">
        <v>891</v>
      </c>
      <c r="L27" s="213"/>
      <c r="M27" s="211" t="s">
        <v>219</v>
      </c>
      <c r="N27" s="213" t="s">
        <v>262</v>
      </c>
      <c r="O27" s="242" t="s">
        <v>808</v>
      </c>
      <c r="P27" s="571"/>
      <c r="Q27" s="572"/>
      <c r="R27" s="215">
        <f>(COUNTA(C27:Q27))/12</f>
        <v>1</v>
      </c>
      <c r="S27" s="206"/>
      <c r="T27" s="581"/>
      <c r="U27" s="582"/>
      <c r="V27" s="582"/>
      <c r="W27" s="582"/>
      <c r="X27" s="582"/>
      <c r="Y27" s="583"/>
    </row>
    <row r="28" spans="1:25" s="200" customFormat="1" ht="27.95" customHeight="1" thickBot="1">
      <c r="A28" s="208">
        <v>24</v>
      </c>
      <c r="B28" s="344" t="s">
        <v>528</v>
      </c>
      <c r="C28" s="780" t="s">
        <v>990</v>
      </c>
      <c r="D28" s="780" t="s">
        <v>990</v>
      </c>
      <c r="E28" s="348"/>
      <c r="F28" s="248" t="s">
        <v>55</v>
      </c>
      <c r="G28" s="11" t="s">
        <v>198</v>
      </c>
      <c r="H28" s="226" t="s">
        <v>70</v>
      </c>
      <c r="I28" s="257" t="s">
        <v>531</v>
      </c>
      <c r="J28" s="258" t="s">
        <v>532</v>
      </c>
      <c r="K28" s="248" t="s">
        <v>294</v>
      </c>
      <c r="L28" s="258"/>
      <c r="M28" s="248" t="s">
        <v>21</v>
      </c>
      <c r="N28" s="259" t="s">
        <v>121</v>
      </c>
      <c r="O28" s="11" t="s">
        <v>210</v>
      </c>
      <c r="P28" s="573"/>
      <c r="Q28" s="574"/>
      <c r="R28" s="215"/>
      <c r="S28" s="206"/>
      <c r="T28" s="581"/>
      <c r="U28" s="582"/>
      <c r="V28" s="582"/>
      <c r="W28" s="582"/>
      <c r="X28" s="582"/>
      <c r="Y28" s="583"/>
    </row>
    <row r="29" spans="1:25" s="200" customFormat="1" ht="27.95" customHeight="1">
      <c r="A29" s="260" t="s">
        <v>108</v>
      </c>
      <c r="B29" s="784" t="s">
        <v>1006</v>
      </c>
      <c r="C29" s="587"/>
      <c r="D29" s="588"/>
      <c r="E29" s="786"/>
      <c r="F29" s="787"/>
      <c r="G29" s="787"/>
      <c r="H29" s="452"/>
      <c r="I29" s="787" t="s">
        <v>106</v>
      </c>
      <c r="J29" s="786"/>
      <c r="K29" s="786"/>
      <c r="L29" s="788"/>
      <c r="M29" s="787"/>
      <c r="N29" s="787"/>
      <c r="O29" s="445" t="s">
        <v>104</v>
      </c>
      <c r="P29" s="789"/>
      <c r="Q29" s="452"/>
      <c r="R29" s="215">
        <f>(COUNTA(C29:Q29))/6</f>
        <v>0.33333333333333331</v>
      </c>
      <c r="S29" s="206"/>
      <c r="T29" s="581"/>
      <c r="U29" s="582"/>
      <c r="V29" s="582"/>
      <c r="W29" s="582"/>
      <c r="X29" s="582"/>
      <c r="Y29" s="583"/>
    </row>
    <row r="30" spans="1:25" s="200" customFormat="1" ht="27.95" customHeight="1" thickBot="1">
      <c r="A30" s="266" t="s">
        <v>103</v>
      </c>
      <c r="B30" s="267" t="s">
        <v>31</v>
      </c>
      <c r="C30" s="587"/>
      <c r="D30" s="588"/>
      <c r="E30" s="211" t="s">
        <v>747</v>
      </c>
      <c r="F30" s="211" t="s">
        <v>102</v>
      </c>
      <c r="G30" s="211"/>
      <c r="H30" s="211"/>
      <c r="I30" s="211" t="s">
        <v>294</v>
      </c>
      <c r="J30" s="211"/>
      <c r="K30" s="207"/>
      <c r="L30" s="268"/>
      <c r="M30" s="211"/>
      <c r="N30" s="211"/>
      <c r="O30" s="374" t="s">
        <v>94</v>
      </c>
      <c r="P30" s="372" t="s">
        <v>16</v>
      </c>
      <c r="Q30" s="374"/>
      <c r="R30" s="215">
        <f>(COUNTA(C30:Q30))/7</f>
        <v>0.7142857142857143</v>
      </c>
      <c r="S30" s="206"/>
      <c r="T30" s="584"/>
      <c r="U30" s="585"/>
      <c r="V30" s="585"/>
      <c r="W30" s="585"/>
      <c r="X30" s="585"/>
      <c r="Y30" s="586"/>
    </row>
    <row r="31" spans="1:25" s="200" customFormat="1" ht="9.9499999999999993" customHeight="1" thickBot="1">
      <c r="A31" s="269"/>
      <c r="B31" s="270"/>
      <c r="C31" s="270"/>
      <c r="D31" s="270"/>
      <c r="E31" s="5"/>
      <c r="F31" s="271"/>
      <c r="G31" s="272"/>
      <c r="H31" s="272"/>
      <c r="I31" s="272"/>
      <c r="J31" s="272"/>
      <c r="K31" s="5"/>
      <c r="L31" s="271"/>
      <c r="M31" s="5"/>
      <c r="N31" s="272"/>
      <c r="O31" s="271"/>
      <c r="P31" s="271"/>
      <c r="Q31" s="273"/>
      <c r="R31" s="274"/>
      <c r="S31" s="206"/>
      <c r="T31" s="558"/>
      <c r="U31" s="558"/>
      <c r="V31" s="558"/>
      <c r="W31" s="558"/>
      <c r="X31" s="558"/>
      <c r="Y31" s="558"/>
    </row>
    <row r="32" spans="1:25" s="200" customFormat="1" ht="109.5" customHeight="1">
      <c r="A32" s="589"/>
      <c r="B32" s="777" t="s">
        <v>1003</v>
      </c>
      <c r="C32" s="593"/>
      <c r="D32" s="594"/>
      <c r="E32" s="785"/>
      <c r="F32" s="799"/>
      <c r="G32" s="785"/>
      <c r="H32" s="785"/>
      <c r="I32" s="434"/>
      <c r="J32" s="440"/>
      <c r="K32" s="434"/>
      <c r="L32" s="431"/>
      <c r="M32" s="440"/>
      <c r="N32" s="800"/>
      <c r="O32" s="799"/>
      <c r="P32" s="800"/>
      <c r="Q32" s="434"/>
      <c r="R32" s="215">
        <f>(COUNTA(C32:Q32))/12</f>
        <v>0</v>
      </c>
      <c r="S32" s="206"/>
      <c r="T32" s="599" t="s">
        <v>975</v>
      </c>
      <c r="U32" s="600"/>
      <c r="V32" s="600"/>
      <c r="W32" s="600"/>
      <c r="X32" s="600"/>
      <c r="Y32" s="601"/>
    </row>
    <row r="33" spans="1:31" s="200" customFormat="1" ht="129.94999999999999" customHeight="1">
      <c r="A33" s="590"/>
      <c r="B33" s="778"/>
      <c r="C33" s="595"/>
      <c r="D33" s="596"/>
      <c r="E33" s="801"/>
      <c r="F33" s="432"/>
      <c r="G33" s="802"/>
      <c r="H33" s="432"/>
      <c r="I33" s="433"/>
      <c r="J33" s="432"/>
      <c r="K33" s="432"/>
      <c r="L33" s="432"/>
      <c r="M33" s="432"/>
      <c r="N33" s="801"/>
      <c r="O33" s="803"/>
      <c r="P33" s="804"/>
      <c r="Q33" s="432"/>
      <c r="R33" s="274"/>
      <c r="S33" s="206"/>
      <c r="T33" s="602"/>
      <c r="U33" s="603"/>
      <c r="V33" s="603"/>
      <c r="W33" s="603"/>
      <c r="X33" s="603"/>
      <c r="Y33" s="604"/>
    </row>
    <row r="34" spans="1:31" s="200" customFormat="1" ht="69.95" customHeight="1" thickBot="1">
      <c r="A34" s="280"/>
      <c r="B34" s="246" t="s">
        <v>99</v>
      </c>
      <c r="C34" s="597"/>
      <c r="D34" s="598"/>
      <c r="E34" s="281" t="s">
        <v>98</v>
      </c>
      <c r="F34" s="792" t="s">
        <v>1021</v>
      </c>
      <c r="G34" s="248" t="s">
        <v>242</v>
      </c>
      <c r="H34" s="248" t="s">
        <v>1015</v>
      </c>
      <c r="I34" s="231" t="s">
        <v>1011</v>
      </c>
      <c r="J34" s="790" t="s">
        <v>1016</v>
      </c>
      <c r="K34" s="248" t="s">
        <v>1020</v>
      </c>
      <c r="L34" s="283"/>
      <c r="M34" s="248" t="s">
        <v>643</v>
      </c>
      <c r="N34" s="231" t="s">
        <v>277</v>
      </c>
      <c r="O34" s="224" t="s">
        <v>259</v>
      </c>
      <c r="P34" s="248"/>
      <c r="Q34" s="284" t="s">
        <v>96</v>
      </c>
      <c r="R34" s="215">
        <f>(COUNTA(F34:P34))/9</f>
        <v>1</v>
      </c>
      <c r="S34" s="206"/>
      <c r="T34" s="605"/>
      <c r="U34" s="606"/>
      <c r="V34" s="606"/>
      <c r="W34" s="606"/>
      <c r="X34" s="606"/>
      <c r="Y34" s="607"/>
      <c r="AB34" s="198"/>
      <c r="AC34" s="198"/>
      <c r="AD34" s="198"/>
      <c r="AE34" s="198"/>
    </row>
    <row r="35" spans="1:31" ht="9.9499999999999993" customHeight="1">
      <c r="A35" s="286"/>
      <c r="B35" s="286"/>
      <c r="C35" s="287"/>
      <c r="D35" s="287"/>
      <c r="O35" s="289"/>
      <c r="S35" s="206"/>
      <c r="AA35" s="200"/>
    </row>
    <row r="36" spans="1:31" ht="21" customHeight="1">
      <c r="B36" s="291"/>
      <c r="C36" s="291"/>
      <c r="D36" s="292" t="s">
        <v>95</v>
      </c>
      <c r="E36" s="293" t="s">
        <v>0</v>
      </c>
      <c r="F36" s="293" t="s">
        <v>1</v>
      </c>
      <c r="G36" s="293" t="s">
        <v>2</v>
      </c>
      <c r="H36" s="293" t="s">
        <v>32</v>
      </c>
      <c r="I36" s="293" t="s">
        <v>33</v>
      </c>
      <c r="J36" s="293" t="s">
        <v>34</v>
      </c>
      <c r="K36" s="293" t="s">
        <v>35</v>
      </c>
      <c r="L36" s="294" t="s">
        <v>36</v>
      </c>
      <c r="M36" s="293" t="s">
        <v>37</v>
      </c>
      <c r="N36" s="293" t="s">
        <v>6</v>
      </c>
      <c r="O36" s="293" t="s">
        <v>7</v>
      </c>
      <c r="P36" s="293" t="s">
        <v>8</v>
      </c>
      <c r="Q36" s="295" t="s">
        <v>9</v>
      </c>
      <c r="R36" s="296"/>
      <c r="T36" s="297"/>
      <c r="U36" s="298"/>
      <c r="V36" s="298"/>
      <c r="W36" s="298"/>
      <c r="X36" s="298"/>
      <c r="AA36" s="200"/>
    </row>
    <row r="37" spans="1:31" ht="45.75" customHeight="1">
      <c r="B37" s="291"/>
      <c r="C37" s="291"/>
      <c r="D37" s="299" t="s">
        <v>93</v>
      </c>
      <c r="E37" s="241" t="s">
        <v>1017</v>
      </c>
      <c r="F37" s="241" t="s">
        <v>708</v>
      </c>
      <c r="G37" s="241" t="s">
        <v>170</v>
      </c>
      <c r="H37" s="214" t="s">
        <v>613</v>
      </c>
      <c r="I37" s="214" t="s">
        <v>12</v>
      </c>
      <c r="J37" s="214" t="s">
        <v>48</v>
      </c>
      <c r="K37" s="214" t="s">
        <v>89</v>
      </c>
      <c r="L37" s="214"/>
      <c r="M37" s="349" t="s">
        <v>230</v>
      </c>
      <c r="N37" s="210" t="s">
        <v>733</v>
      </c>
      <c r="O37" s="301" t="s">
        <v>258</v>
      </c>
      <c r="P37" s="238" t="s">
        <v>730</v>
      </c>
      <c r="Q37" s="303" t="s">
        <v>184</v>
      </c>
      <c r="R37" s="296"/>
      <c r="T37" s="298"/>
      <c r="U37" s="298"/>
      <c r="V37" s="298"/>
      <c r="W37" s="298"/>
      <c r="X37" s="298"/>
      <c r="AA37" s="200"/>
    </row>
    <row r="38" spans="1:31" ht="27.95" customHeight="1">
      <c r="B38" s="291"/>
      <c r="C38" s="291"/>
      <c r="D38" s="299" t="s">
        <v>88</v>
      </c>
      <c r="E38" s="241"/>
      <c r="F38" s="241"/>
      <c r="G38" s="241"/>
      <c r="H38" s="214"/>
      <c r="I38" s="214"/>
      <c r="J38" s="214"/>
      <c r="K38" s="214"/>
      <c r="L38" s="214"/>
      <c r="M38" s="214"/>
      <c r="N38" s="214"/>
      <c r="O38" s="304"/>
      <c r="P38" s="241"/>
      <c r="Q38" s="305" t="s">
        <v>87</v>
      </c>
      <c r="R38" s="296"/>
      <c r="T38" s="298"/>
      <c r="U38" s="298"/>
      <c r="V38" s="298"/>
      <c r="W38" s="298"/>
      <c r="X38" s="298"/>
    </row>
    <row r="39" spans="1:31" ht="27.95" customHeight="1">
      <c r="B39" s="291"/>
      <c r="C39" s="291"/>
      <c r="D39" s="299" t="s">
        <v>86</v>
      </c>
      <c r="E39" s="214"/>
      <c r="F39" s="306" t="s">
        <v>300</v>
      </c>
      <c r="G39" s="214"/>
      <c r="H39" s="214" t="s">
        <v>316</v>
      </c>
      <c r="I39" s="388"/>
      <c r="J39" s="219" t="s">
        <v>30</v>
      </c>
      <c r="K39" s="389" t="s">
        <v>118</v>
      </c>
      <c r="L39" s="214"/>
      <c r="M39" s="214" t="s">
        <v>27</v>
      </c>
      <c r="N39" s="238" t="s">
        <v>134</v>
      </c>
      <c r="O39" s="309" t="s">
        <v>85</v>
      </c>
      <c r="P39" s="241" t="s">
        <v>84</v>
      </c>
      <c r="Q39" s="370" t="s">
        <v>317</v>
      </c>
      <c r="R39" s="296"/>
      <c r="T39" s="298"/>
      <c r="U39" s="298"/>
      <c r="V39" s="298"/>
      <c r="W39" s="298"/>
      <c r="X39" s="298"/>
    </row>
    <row r="40" spans="1:31" ht="42" customHeight="1">
      <c r="B40" s="198"/>
      <c r="C40" s="198"/>
      <c r="D40" s="311" t="s">
        <v>83</v>
      </c>
      <c r="E40" s="312" t="s">
        <v>608</v>
      </c>
      <c r="F40" s="312" t="s">
        <v>246</v>
      </c>
      <c r="G40" s="312" t="s">
        <v>731</v>
      </c>
      <c r="H40" s="314" t="s">
        <v>1005</v>
      </c>
      <c r="I40" s="314" t="s">
        <v>1018</v>
      </c>
      <c r="J40" s="313" t="s">
        <v>49</v>
      </c>
      <c r="K40" s="314" t="s">
        <v>1019</v>
      </c>
      <c r="L40" s="314"/>
      <c r="M40" s="313" t="s">
        <v>616</v>
      </c>
      <c r="N40" s="314" t="s">
        <v>225</v>
      </c>
      <c r="O40" s="314" t="s">
        <v>314</v>
      </c>
      <c r="P40" s="312" t="s">
        <v>245</v>
      </c>
      <c r="Q40" s="315" t="s">
        <v>732</v>
      </c>
    </row>
    <row r="41" spans="1:31" ht="9.9499999999999993" customHeight="1">
      <c r="E41" s="288"/>
      <c r="F41" s="288"/>
      <c r="G41" s="288"/>
      <c r="H41" s="288"/>
      <c r="I41" s="288"/>
      <c r="J41" s="288"/>
      <c r="K41" s="288"/>
      <c r="M41" s="288"/>
      <c r="N41" s="288"/>
      <c r="O41" s="288"/>
    </row>
    <row r="42" spans="1:31" ht="27.95" customHeight="1">
      <c r="A42" s="317"/>
      <c r="B42" s="317"/>
      <c r="C42" s="317"/>
      <c r="D42" s="560" t="s">
        <v>974</v>
      </c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2"/>
      <c r="R42" s="296"/>
    </row>
    <row r="43" spans="1:31" ht="27.95" customHeight="1">
      <c r="A43" s="317"/>
      <c r="B43" s="317"/>
      <c r="C43" s="317"/>
      <c r="D43" s="563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5"/>
      <c r="R43" s="296"/>
    </row>
    <row r="44" spans="1:31" ht="27.95" customHeight="1">
      <c r="A44" s="317"/>
      <c r="B44" s="317"/>
      <c r="C44" s="317"/>
      <c r="D44" s="563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5"/>
      <c r="R44" s="296"/>
    </row>
    <row r="45" spans="1:31" ht="27.95" customHeight="1">
      <c r="A45" s="317"/>
      <c r="B45" s="317"/>
      <c r="C45" s="317"/>
      <c r="D45" s="563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5"/>
      <c r="R45" s="296"/>
    </row>
    <row r="46" spans="1:31" ht="27.95" customHeight="1">
      <c r="A46" s="317"/>
      <c r="B46" s="317"/>
      <c r="C46" s="317"/>
      <c r="D46" s="563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5"/>
      <c r="R46" s="296"/>
    </row>
    <row r="47" spans="1:31">
      <c r="A47" s="317"/>
      <c r="B47" s="317"/>
      <c r="C47" s="317"/>
      <c r="D47" s="563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5"/>
      <c r="R47" s="296"/>
    </row>
    <row r="48" spans="1:31">
      <c r="A48" s="317"/>
      <c r="B48" s="317"/>
      <c r="C48" s="317"/>
      <c r="D48" s="563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5"/>
      <c r="R48" s="296"/>
    </row>
    <row r="49" spans="1:18">
      <c r="A49" s="317"/>
      <c r="B49" s="317"/>
      <c r="C49" s="317"/>
      <c r="D49" s="563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5"/>
      <c r="R49" s="296"/>
    </row>
    <row r="50" spans="1:18">
      <c r="A50" s="317"/>
      <c r="B50" s="317"/>
      <c r="C50" s="317"/>
      <c r="D50" s="563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5"/>
      <c r="R50" s="296"/>
    </row>
    <row r="51" spans="1:18">
      <c r="A51" s="317"/>
      <c r="B51" s="317"/>
      <c r="C51" s="317"/>
      <c r="D51" s="563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5"/>
      <c r="R51" s="296"/>
    </row>
    <row r="52" spans="1:18">
      <c r="A52" s="317"/>
      <c r="B52" s="317"/>
      <c r="C52" s="317"/>
      <c r="D52" s="566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296"/>
    </row>
    <row r="53" spans="1:18" ht="9.9499999999999993" customHeight="1"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6"/>
    </row>
    <row r="54" spans="1:18" ht="24">
      <c r="D54" s="318"/>
      <c r="E54" s="319" t="s">
        <v>0</v>
      </c>
      <c r="F54" s="320" t="s">
        <v>1</v>
      </c>
      <c r="G54" s="320" t="s">
        <v>2</v>
      </c>
      <c r="H54" s="320" t="s">
        <v>3</v>
      </c>
      <c r="I54" s="320" t="s">
        <v>81</v>
      </c>
      <c r="J54" s="320" t="s">
        <v>80</v>
      </c>
      <c r="K54" s="320" t="s">
        <v>79</v>
      </c>
      <c r="L54" s="321"/>
      <c r="M54" s="320" t="s">
        <v>5</v>
      </c>
      <c r="N54" s="320" t="s">
        <v>6</v>
      </c>
      <c r="O54" s="320" t="s">
        <v>7</v>
      </c>
      <c r="P54" s="320" t="s">
        <v>8</v>
      </c>
      <c r="Q54" s="322" t="s">
        <v>9</v>
      </c>
      <c r="R54" s="323" t="s">
        <v>78</v>
      </c>
    </row>
    <row r="55" spans="1:18" ht="30" customHeight="1">
      <c r="D55" s="324" t="s">
        <v>77</v>
      </c>
      <c r="E55" s="325"/>
      <c r="F55" s="228"/>
      <c r="G55" s="265" t="s">
        <v>706</v>
      </c>
      <c r="H55" s="228"/>
      <c r="I55" s="228"/>
      <c r="J55" s="228" t="s">
        <v>695</v>
      </c>
      <c r="K55" s="228"/>
      <c r="L55" s="212"/>
      <c r="M55" s="793" t="s">
        <v>1022</v>
      </c>
      <c r="N55" s="228" t="s">
        <v>620</v>
      </c>
      <c r="O55" s="228"/>
      <c r="P55" s="228"/>
      <c r="Q55" s="228"/>
      <c r="R55" s="328"/>
    </row>
    <row r="56" spans="1:18" ht="30" customHeight="1">
      <c r="D56" s="329" t="s">
        <v>76</v>
      </c>
      <c r="E56" s="457"/>
      <c r="F56" s="242"/>
      <c r="G56" s="242" t="s">
        <v>319</v>
      </c>
      <c r="H56" s="242"/>
      <c r="I56" s="238"/>
      <c r="J56" s="242"/>
      <c r="K56" s="242" t="s">
        <v>216</v>
      </c>
      <c r="L56" s="219"/>
      <c r="M56" s="242"/>
      <c r="N56" s="242"/>
      <c r="O56" s="331"/>
      <c r="P56" s="331"/>
      <c r="Q56" s="242"/>
      <c r="R56" s="332"/>
    </row>
    <row r="57" spans="1:18" ht="50.1" customHeight="1">
      <c r="D57" s="333" t="s">
        <v>75</v>
      </c>
      <c r="E57" s="490" t="s">
        <v>806</v>
      </c>
      <c r="F57" s="238" t="s">
        <v>1009</v>
      </c>
      <c r="G57" s="238" t="s">
        <v>60</v>
      </c>
      <c r="H57" s="238"/>
      <c r="I57" s="242" t="s">
        <v>228</v>
      </c>
      <c r="J57" s="238" t="s">
        <v>271</v>
      </c>
      <c r="K57" s="238" t="s">
        <v>921</v>
      </c>
      <c r="L57" s="219"/>
      <c r="M57" s="238"/>
      <c r="N57" s="242"/>
      <c r="O57" s="242"/>
      <c r="P57" s="242"/>
      <c r="Q57" s="242"/>
      <c r="R57" s="334"/>
    </row>
    <row r="58" spans="1:18" ht="30" customHeight="1">
      <c r="D58" s="324" t="s">
        <v>38</v>
      </c>
      <c r="E58" s="330"/>
      <c r="F58" s="331"/>
      <c r="G58" s="242"/>
      <c r="H58" s="242"/>
      <c r="I58" s="242"/>
      <c r="J58" s="242"/>
      <c r="K58" s="242"/>
      <c r="L58" s="309"/>
      <c r="M58" s="331"/>
      <c r="N58" s="331"/>
      <c r="O58" s="331"/>
      <c r="P58" s="331"/>
      <c r="Q58" s="331"/>
      <c r="R58" s="332"/>
    </row>
    <row r="59" spans="1:18" ht="30" customHeight="1">
      <c r="D59" s="335" t="s">
        <v>74</v>
      </c>
      <c r="E59" s="336"/>
      <c r="F59" s="337"/>
      <c r="G59" s="338"/>
      <c r="H59" s="337"/>
      <c r="I59" s="337"/>
      <c r="J59" s="337"/>
      <c r="K59" s="337"/>
      <c r="L59" s="339"/>
      <c r="M59" s="337"/>
      <c r="N59" s="337"/>
      <c r="O59" s="338" t="s">
        <v>24</v>
      </c>
      <c r="P59" s="338"/>
      <c r="Q59" s="337"/>
      <c r="R59" s="340"/>
    </row>
    <row r="62" spans="1:18" ht="24">
      <c r="D62" s="356"/>
      <c r="E62" s="320" t="s">
        <v>0</v>
      </c>
      <c r="F62" s="320" t="s">
        <v>1</v>
      </c>
      <c r="G62" s="320" t="s">
        <v>2</v>
      </c>
      <c r="H62" s="320" t="s">
        <v>3</v>
      </c>
      <c r="I62" s="320" t="s">
        <v>81</v>
      </c>
      <c r="J62" s="320" t="s">
        <v>80</v>
      </c>
      <c r="K62" s="320" t="s">
        <v>79</v>
      </c>
      <c r="L62" s="321"/>
      <c r="M62" s="320" t="s">
        <v>5</v>
      </c>
      <c r="N62" s="320" t="s">
        <v>6</v>
      </c>
      <c r="O62" s="320" t="s">
        <v>7</v>
      </c>
      <c r="P62" s="320" t="s">
        <v>8</v>
      </c>
      <c r="Q62" s="320" t="s">
        <v>9</v>
      </c>
      <c r="R62" s="323" t="s">
        <v>78</v>
      </c>
    </row>
    <row r="63" spans="1:18">
      <c r="D63" s="357" t="s">
        <v>629</v>
      </c>
      <c r="E63" s="358"/>
      <c r="F63" s="358"/>
      <c r="G63" s="358"/>
      <c r="H63" s="391"/>
      <c r="I63" s="392"/>
      <c r="J63" s="392"/>
      <c r="K63" s="358"/>
      <c r="L63" s="360"/>
      <c r="M63" s="358"/>
      <c r="N63" s="358"/>
      <c r="O63" s="358"/>
      <c r="P63" s="358"/>
      <c r="Q63" s="358"/>
      <c r="R63" s="361"/>
    </row>
    <row r="64" spans="1:18">
      <c r="D64" s="362"/>
      <c r="E64" s="363"/>
      <c r="F64" s="363"/>
      <c r="G64" s="363"/>
      <c r="H64" s="557"/>
      <c r="I64" s="394" t="s">
        <v>625</v>
      </c>
      <c r="J64" s="394" t="s">
        <v>625</v>
      </c>
      <c r="K64" s="363"/>
      <c r="L64" s="365"/>
      <c r="M64" s="363"/>
      <c r="N64" s="363"/>
      <c r="O64" s="363"/>
      <c r="P64" s="363"/>
      <c r="Q64" s="363"/>
      <c r="R64" s="366"/>
    </row>
    <row r="65" spans="8:10">
      <c r="H65" s="200"/>
      <c r="I65" s="200"/>
      <c r="J65" s="200"/>
    </row>
  </sheetData>
  <mergeCells count="24">
    <mergeCell ref="D42:Q52"/>
    <mergeCell ref="B10:B11"/>
    <mergeCell ref="T5:Y11"/>
    <mergeCell ref="T12:Y12"/>
    <mergeCell ref="T13:Y17"/>
    <mergeCell ref="T18:Y18"/>
    <mergeCell ref="P25:Q28"/>
    <mergeCell ref="T25:Y25"/>
    <mergeCell ref="T26:Y30"/>
    <mergeCell ref="C29:D30"/>
    <mergeCell ref="A32:A33"/>
    <mergeCell ref="B32:B33"/>
    <mergeCell ref="C32:D34"/>
    <mergeCell ref="T32:Y34"/>
    <mergeCell ref="P12:Q15"/>
    <mergeCell ref="C16:D16"/>
    <mergeCell ref="C17:D23"/>
    <mergeCell ref="C24:D24"/>
    <mergeCell ref="T19:Y24"/>
    <mergeCell ref="A1:Q1"/>
    <mergeCell ref="A2:Q2"/>
    <mergeCell ref="C4:D11"/>
    <mergeCell ref="E4:F4"/>
    <mergeCell ref="T4:Y4"/>
  </mergeCells>
  <phoneticPr fontId="3" type="noConversion"/>
  <pageMargins left="0.7" right="0.7" top="0.75" bottom="0.75" header="0.3" footer="0.3"/>
  <pageSetup paperSize="9" scale="26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B1:V55"/>
  <sheetViews>
    <sheetView zoomScale="69" zoomScaleNormal="69" workbookViewId="0">
      <selection activeCell="AA12" sqref="AA12"/>
    </sheetView>
  </sheetViews>
  <sheetFormatPr defaultRowHeight="16.5"/>
  <cols>
    <col min="1" max="1" width="3.625" customWidth="1"/>
    <col min="2" max="17" width="10.625" customWidth="1"/>
    <col min="18" max="19" width="3.625" customWidth="1"/>
  </cols>
  <sheetData>
    <row r="1" spans="2:22" ht="17.25" thickBot="1"/>
    <row r="2" spans="2:22" ht="45" customHeight="1" thickBot="1">
      <c r="B2" s="707" t="s">
        <v>1000</v>
      </c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9"/>
    </row>
    <row r="3" spans="2:22" s="7" customFormat="1" ht="6.95" customHeight="1" thickBo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22" ht="39.950000000000003" customHeight="1">
      <c r="B4" s="710" t="s">
        <v>39</v>
      </c>
      <c r="C4" s="711"/>
      <c r="D4" s="711"/>
      <c r="E4" s="711"/>
      <c r="F4" s="711"/>
      <c r="G4" s="711"/>
      <c r="H4" s="711"/>
      <c r="I4" s="712"/>
      <c r="J4" s="716" t="s">
        <v>40</v>
      </c>
      <c r="K4" s="717"/>
      <c r="L4" s="717"/>
      <c r="M4" s="717"/>
      <c r="N4" s="717"/>
      <c r="O4" s="717"/>
      <c r="P4" s="717"/>
      <c r="Q4" s="718"/>
    </row>
    <row r="5" spans="2:22" ht="24.95" customHeight="1" thickBot="1">
      <c r="B5" s="713"/>
      <c r="C5" s="714"/>
      <c r="D5" s="714"/>
      <c r="E5" s="714"/>
      <c r="F5" s="714"/>
      <c r="G5" s="714"/>
      <c r="H5" s="714"/>
      <c r="I5" s="715"/>
      <c r="J5" s="719"/>
      <c r="K5" s="720"/>
      <c r="L5" s="720"/>
      <c r="M5" s="720"/>
      <c r="N5" s="720"/>
      <c r="O5" s="720"/>
      <c r="P5" s="720"/>
      <c r="Q5" s="721"/>
    </row>
    <row r="6" spans="2:22" ht="24.95" customHeight="1">
      <c r="B6" s="722" t="s">
        <v>41</v>
      </c>
      <c r="C6" s="723"/>
      <c r="D6" s="723"/>
      <c r="E6" s="723"/>
      <c r="F6" s="723"/>
      <c r="G6" s="723"/>
      <c r="H6" s="723"/>
      <c r="I6" s="724"/>
      <c r="J6" s="725" t="s">
        <v>1043</v>
      </c>
      <c r="K6" s="726"/>
      <c r="L6" s="726"/>
      <c r="M6" s="726"/>
      <c r="N6" s="726"/>
      <c r="O6" s="726"/>
      <c r="P6" s="726"/>
      <c r="Q6" s="727"/>
    </row>
    <row r="7" spans="2:22" ht="9.9499999999999993" customHeight="1">
      <c r="B7" s="734"/>
      <c r="C7" s="735"/>
      <c r="D7" s="735"/>
      <c r="E7" s="735"/>
      <c r="F7" s="735"/>
      <c r="G7" s="735"/>
      <c r="H7" s="735"/>
      <c r="I7" s="736"/>
      <c r="J7" s="728"/>
      <c r="K7" s="729"/>
      <c r="L7" s="729"/>
      <c r="M7" s="729"/>
      <c r="N7" s="729"/>
      <c r="O7" s="729"/>
      <c r="P7" s="729"/>
      <c r="Q7" s="730"/>
    </row>
    <row r="8" spans="2:22" ht="9.9499999999999993" customHeight="1">
      <c r="B8" s="734"/>
      <c r="C8" s="735"/>
      <c r="D8" s="735"/>
      <c r="E8" s="735"/>
      <c r="F8" s="735"/>
      <c r="G8" s="735"/>
      <c r="H8" s="735"/>
      <c r="I8" s="736"/>
      <c r="J8" s="728"/>
      <c r="K8" s="729"/>
      <c r="L8" s="729"/>
      <c r="M8" s="729"/>
      <c r="N8" s="729"/>
      <c r="O8" s="729"/>
      <c r="P8" s="729"/>
      <c r="Q8" s="730"/>
    </row>
    <row r="9" spans="2:22" ht="9.9499999999999993" customHeight="1">
      <c r="B9" s="734"/>
      <c r="C9" s="735"/>
      <c r="D9" s="735"/>
      <c r="E9" s="735"/>
      <c r="F9" s="735"/>
      <c r="G9" s="735"/>
      <c r="H9" s="735"/>
      <c r="I9" s="736"/>
      <c r="J9" s="728"/>
      <c r="K9" s="729"/>
      <c r="L9" s="729"/>
      <c r="M9" s="729"/>
      <c r="N9" s="729"/>
      <c r="O9" s="729"/>
      <c r="P9" s="729"/>
      <c r="Q9" s="730"/>
    </row>
    <row r="10" spans="2:22" ht="9.9499999999999993" customHeight="1">
      <c r="B10" s="734"/>
      <c r="C10" s="735"/>
      <c r="D10" s="735"/>
      <c r="E10" s="735"/>
      <c r="F10" s="735"/>
      <c r="G10" s="735"/>
      <c r="H10" s="735"/>
      <c r="I10" s="736"/>
      <c r="J10" s="728"/>
      <c r="K10" s="729"/>
      <c r="L10" s="729"/>
      <c r="M10" s="729"/>
      <c r="N10" s="729"/>
      <c r="O10" s="729"/>
      <c r="P10" s="729"/>
      <c r="Q10" s="730"/>
    </row>
    <row r="11" spans="2:22" ht="9.75" customHeight="1">
      <c r="B11" s="734"/>
      <c r="C11" s="735"/>
      <c r="D11" s="735"/>
      <c r="E11" s="735"/>
      <c r="F11" s="735"/>
      <c r="G11" s="735"/>
      <c r="H11" s="735"/>
      <c r="I11" s="736"/>
      <c r="J11" s="728"/>
      <c r="K11" s="729"/>
      <c r="L11" s="729"/>
      <c r="M11" s="729"/>
      <c r="N11" s="729"/>
      <c r="O11" s="729"/>
      <c r="P11" s="729"/>
      <c r="Q11" s="730"/>
      <c r="V11" t="s">
        <v>42</v>
      </c>
    </row>
    <row r="12" spans="2:22" ht="24.95" customHeight="1">
      <c r="B12" s="734" t="s">
        <v>43</v>
      </c>
      <c r="C12" s="735"/>
      <c r="D12" s="735"/>
      <c r="E12" s="735"/>
      <c r="F12" s="735"/>
      <c r="G12" s="735"/>
      <c r="H12" s="735"/>
      <c r="I12" s="736"/>
      <c r="J12" s="728"/>
      <c r="K12" s="729"/>
      <c r="L12" s="729"/>
      <c r="M12" s="729"/>
      <c r="N12" s="729"/>
      <c r="O12" s="729"/>
      <c r="P12" s="729"/>
      <c r="Q12" s="730"/>
    </row>
    <row r="13" spans="2:22" ht="50.1" customHeight="1">
      <c r="B13" s="734" t="s">
        <v>1041</v>
      </c>
      <c r="C13" s="737"/>
      <c r="D13" s="737"/>
      <c r="E13" s="737"/>
      <c r="F13" s="737"/>
      <c r="G13" s="737"/>
      <c r="H13" s="737"/>
      <c r="I13" s="738"/>
      <c r="J13" s="728"/>
      <c r="K13" s="729"/>
      <c r="L13" s="729"/>
      <c r="M13" s="729"/>
      <c r="N13" s="729"/>
      <c r="O13" s="729"/>
      <c r="P13" s="729"/>
      <c r="Q13" s="730"/>
    </row>
    <row r="14" spans="2:22" ht="50.1" customHeight="1">
      <c r="B14" s="739"/>
      <c r="C14" s="737"/>
      <c r="D14" s="737"/>
      <c r="E14" s="737"/>
      <c r="F14" s="737"/>
      <c r="G14" s="737"/>
      <c r="H14" s="737"/>
      <c r="I14" s="738"/>
      <c r="J14" s="728"/>
      <c r="K14" s="729"/>
      <c r="L14" s="729"/>
      <c r="M14" s="729"/>
      <c r="N14" s="729"/>
      <c r="O14" s="729"/>
      <c r="P14" s="729"/>
      <c r="Q14" s="730"/>
    </row>
    <row r="15" spans="2:22" ht="50.1" customHeight="1">
      <c r="B15" s="739"/>
      <c r="C15" s="737"/>
      <c r="D15" s="737"/>
      <c r="E15" s="737"/>
      <c r="F15" s="737"/>
      <c r="G15" s="737"/>
      <c r="H15" s="737"/>
      <c r="I15" s="738"/>
      <c r="J15" s="728"/>
      <c r="K15" s="729"/>
      <c r="L15" s="729"/>
      <c r="M15" s="729"/>
      <c r="N15" s="729"/>
      <c r="O15" s="729"/>
      <c r="P15" s="729"/>
      <c r="Q15" s="730"/>
    </row>
    <row r="16" spans="2:22" ht="50.1" customHeight="1">
      <c r="B16" s="739"/>
      <c r="C16" s="737"/>
      <c r="D16" s="737"/>
      <c r="E16" s="737"/>
      <c r="F16" s="737"/>
      <c r="G16" s="737"/>
      <c r="H16" s="737"/>
      <c r="I16" s="738"/>
      <c r="J16" s="728"/>
      <c r="K16" s="729"/>
      <c r="L16" s="729"/>
      <c r="M16" s="729"/>
      <c r="N16" s="729"/>
      <c r="O16" s="729"/>
      <c r="P16" s="729"/>
      <c r="Q16" s="730"/>
    </row>
    <row r="17" spans="2:17" ht="50.1" customHeight="1" thickBot="1">
      <c r="B17" s="740"/>
      <c r="C17" s="741"/>
      <c r="D17" s="741"/>
      <c r="E17" s="741"/>
      <c r="F17" s="741"/>
      <c r="G17" s="741"/>
      <c r="H17" s="741"/>
      <c r="I17" s="742"/>
      <c r="J17" s="731"/>
      <c r="K17" s="732"/>
      <c r="L17" s="732"/>
      <c r="M17" s="732"/>
      <c r="N17" s="732"/>
      <c r="O17" s="732"/>
      <c r="P17" s="732"/>
      <c r="Q17" s="733"/>
    </row>
    <row r="18" spans="2:17" ht="45" customHeight="1" thickBot="1">
      <c r="B18" s="743" t="s">
        <v>1001</v>
      </c>
      <c r="C18" s="744"/>
      <c r="D18" s="744"/>
      <c r="E18" s="744"/>
      <c r="F18" s="744"/>
      <c r="G18" s="744"/>
      <c r="H18" s="744"/>
      <c r="I18" s="744"/>
      <c r="J18" s="744"/>
      <c r="K18" s="744"/>
      <c r="L18" s="744"/>
      <c r="M18" s="744"/>
      <c r="N18" s="744"/>
      <c r="O18" s="744"/>
      <c r="P18" s="745"/>
      <c r="Q18" s="746"/>
    </row>
    <row r="19" spans="2:17" s="7" customFormat="1" ht="5.0999999999999996" customHeight="1" thickBot="1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ht="24.95" customHeight="1">
      <c r="B20" s="747">
        <v>1</v>
      </c>
      <c r="C20" s="750"/>
      <c r="D20" s="751"/>
      <c r="E20" s="751"/>
      <c r="F20" s="755">
        <v>13</v>
      </c>
      <c r="G20" s="758"/>
      <c r="H20" s="755"/>
      <c r="I20" s="755"/>
      <c r="J20" s="755">
        <v>25</v>
      </c>
      <c r="K20" s="758"/>
      <c r="L20" s="755"/>
      <c r="M20" s="755"/>
      <c r="N20" s="755">
        <v>37</v>
      </c>
      <c r="O20" s="755"/>
      <c r="P20" s="760"/>
      <c r="Q20" s="761"/>
    </row>
    <row r="21" spans="2:17" ht="24.95" customHeight="1">
      <c r="B21" s="748"/>
      <c r="C21" s="752"/>
      <c r="D21" s="753"/>
      <c r="E21" s="753"/>
      <c r="F21" s="756"/>
      <c r="G21" s="759"/>
      <c r="H21" s="756"/>
      <c r="I21" s="756"/>
      <c r="J21" s="756"/>
      <c r="K21" s="759"/>
      <c r="L21" s="756"/>
      <c r="M21" s="756"/>
      <c r="N21" s="756"/>
      <c r="O21" s="756"/>
      <c r="P21" s="762"/>
      <c r="Q21" s="763"/>
    </row>
    <row r="22" spans="2:17" ht="24.95" customHeight="1">
      <c r="B22" s="749"/>
      <c r="C22" s="754"/>
      <c r="D22" s="754"/>
      <c r="E22" s="754"/>
      <c r="F22" s="757"/>
      <c r="G22" s="757"/>
      <c r="H22" s="757"/>
      <c r="I22" s="757"/>
      <c r="J22" s="757"/>
      <c r="K22" s="757"/>
      <c r="L22" s="757"/>
      <c r="M22" s="757"/>
      <c r="N22" s="757"/>
      <c r="O22" s="757"/>
      <c r="P22" s="764"/>
      <c r="Q22" s="765"/>
    </row>
    <row r="23" spans="2:17" ht="24.95" customHeight="1">
      <c r="B23" s="766">
        <v>2</v>
      </c>
      <c r="C23" s="754"/>
      <c r="D23" s="754"/>
      <c r="E23" s="754"/>
      <c r="F23" s="757">
        <v>14</v>
      </c>
      <c r="G23" s="757"/>
      <c r="H23" s="757"/>
      <c r="I23" s="757"/>
      <c r="J23" s="757">
        <v>26</v>
      </c>
      <c r="K23" s="757"/>
      <c r="L23" s="757"/>
      <c r="M23" s="757"/>
      <c r="N23" s="757">
        <v>38</v>
      </c>
      <c r="O23" s="757"/>
      <c r="P23" s="764"/>
      <c r="Q23" s="765"/>
    </row>
    <row r="24" spans="2:17" ht="24.95" customHeight="1">
      <c r="B24" s="766"/>
      <c r="C24" s="754"/>
      <c r="D24" s="754"/>
      <c r="E24" s="754"/>
      <c r="F24" s="757"/>
      <c r="G24" s="757"/>
      <c r="H24" s="757"/>
      <c r="I24" s="757"/>
      <c r="J24" s="757"/>
      <c r="K24" s="757"/>
      <c r="L24" s="757"/>
      <c r="M24" s="757"/>
      <c r="N24" s="757"/>
      <c r="O24" s="757"/>
      <c r="P24" s="764"/>
      <c r="Q24" s="765"/>
    </row>
    <row r="25" spans="2:17" ht="24.95" customHeight="1">
      <c r="B25" s="766"/>
      <c r="C25" s="754"/>
      <c r="D25" s="754"/>
      <c r="E25" s="754"/>
      <c r="F25" s="757"/>
      <c r="G25" s="757"/>
      <c r="H25" s="757"/>
      <c r="I25" s="757"/>
      <c r="J25" s="757"/>
      <c r="K25" s="757"/>
      <c r="L25" s="757"/>
      <c r="M25" s="757"/>
      <c r="N25" s="757"/>
      <c r="O25" s="757"/>
      <c r="P25" s="764"/>
      <c r="Q25" s="765"/>
    </row>
    <row r="26" spans="2:17" ht="24.95" customHeight="1">
      <c r="B26" s="766">
        <v>3</v>
      </c>
      <c r="C26" s="754"/>
      <c r="D26" s="754"/>
      <c r="E26" s="754"/>
      <c r="F26" s="757">
        <v>15</v>
      </c>
      <c r="G26" s="757"/>
      <c r="H26" s="757"/>
      <c r="I26" s="757"/>
      <c r="J26" s="757">
        <v>27</v>
      </c>
      <c r="K26" s="757"/>
      <c r="L26" s="757"/>
      <c r="M26" s="757"/>
      <c r="N26" s="757">
        <v>39</v>
      </c>
      <c r="O26" s="757"/>
      <c r="P26" s="764"/>
      <c r="Q26" s="765"/>
    </row>
    <row r="27" spans="2:17" ht="24.95" customHeight="1">
      <c r="B27" s="766"/>
      <c r="C27" s="754"/>
      <c r="D27" s="754"/>
      <c r="E27" s="754"/>
      <c r="F27" s="757"/>
      <c r="G27" s="757"/>
      <c r="H27" s="757"/>
      <c r="I27" s="757"/>
      <c r="J27" s="757"/>
      <c r="K27" s="757"/>
      <c r="L27" s="757"/>
      <c r="M27" s="757"/>
      <c r="N27" s="757"/>
      <c r="O27" s="757"/>
      <c r="P27" s="764"/>
      <c r="Q27" s="765"/>
    </row>
    <row r="28" spans="2:17" ht="24.95" customHeight="1">
      <c r="B28" s="766"/>
      <c r="C28" s="754"/>
      <c r="D28" s="754"/>
      <c r="E28" s="754"/>
      <c r="F28" s="757"/>
      <c r="G28" s="757"/>
      <c r="H28" s="757"/>
      <c r="I28" s="757"/>
      <c r="J28" s="757"/>
      <c r="K28" s="757"/>
      <c r="L28" s="757"/>
      <c r="M28" s="757"/>
      <c r="N28" s="757"/>
      <c r="O28" s="757"/>
      <c r="P28" s="764"/>
      <c r="Q28" s="765"/>
    </row>
    <row r="29" spans="2:17" ht="24.95" customHeight="1">
      <c r="B29" s="766">
        <v>4</v>
      </c>
      <c r="C29" s="754"/>
      <c r="D29" s="754"/>
      <c r="E29" s="754"/>
      <c r="F29" s="757">
        <v>16</v>
      </c>
      <c r="G29" s="757"/>
      <c r="H29" s="757"/>
      <c r="I29" s="757"/>
      <c r="J29" s="757">
        <v>28</v>
      </c>
      <c r="K29" s="757"/>
      <c r="L29" s="757"/>
      <c r="M29" s="757"/>
      <c r="N29" s="757">
        <v>40</v>
      </c>
      <c r="O29" s="757"/>
      <c r="P29" s="764"/>
      <c r="Q29" s="765"/>
    </row>
    <row r="30" spans="2:17" ht="24.95" customHeight="1">
      <c r="B30" s="766"/>
      <c r="C30" s="754"/>
      <c r="D30" s="754"/>
      <c r="E30" s="754"/>
      <c r="F30" s="757"/>
      <c r="G30" s="757"/>
      <c r="H30" s="757"/>
      <c r="I30" s="757"/>
      <c r="J30" s="757"/>
      <c r="K30" s="757"/>
      <c r="L30" s="757"/>
      <c r="M30" s="757"/>
      <c r="N30" s="757"/>
      <c r="O30" s="757"/>
      <c r="P30" s="764"/>
      <c r="Q30" s="765"/>
    </row>
    <row r="31" spans="2:17" ht="24.95" customHeight="1">
      <c r="B31" s="766"/>
      <c r="C31" s="754"/>
      <c r="D31" s="754"/>
      <c r="E31" s="754"/>
      <c r="F31" s="757"/>
      <c r="G31" s="757"/>
      <c r="H31" s="757"/>
      <c r="I31" s="757"/>
      <c r="J31" s="757"/>
      <c r="K31" s="757"/>
      <c r="L31" s="757"/>
      <c r="M31" s="757"/>
      <c r="N31" s="757"/>
      <c r="O31" s="757"/>
      <c r="P31" s="764"/>
      <c r="Q31" s="765"/>
    </row>
    <row r="32" spans="2:17" ht="24.95" customHeight="1">
      <c r="B32" s="766">
        <v>5</v>
      </c>
      <c r="C32" s="757"/>
      <c r="D32" s="757"/>
      <c r="E32" s="757"/>
      <c r="F32" s="757">
        <v>17</v>
      </c>
      <c r="G32" s="757"/>
      <c r="H32" s="757"/>
      <c r="I32" s="757"/>
      <c r="J32" s="757">
        <v>29</v>
      </c>
      <c r="K32" s="757"/>
      <c r="L32" s="757"/>
      <c r="M32" s="757"/>
      <c r="N32" s="757">
        <v>41</v>
      </c>
      <c r="O32" s="757"/>
      <c r="P32" s="764"/>
      <c r="Q32" s="765"/>
    </row>
    <row r="33" spans="2:17" ht="24.95" customHeight="1">
      <c r="B33" s="766"/>
      <c r="C33" s="757"/>
      <c r="D33" s="757"/>
      <c r="E33" s="757"/>
      <c r="F33" s="757"/>
      <c r="G33" s="757"/>
      <c r="H33" s="757"/>
      <c r="I33" s="757"/>
      <c r="J33" s="757"/>
      <c r="K33" s="757"/>
      <c r="L33" s="757"/>
      <c r="M33" s="757"/>
      <c r="N33" s="757"/>
      <c r="O33" s="757"/>
      <c r="P33" s="764"/>
      <c r="Q33" s="765"/>
    </row>
    <row r="34" spans="2:17" ht="24.95" customHeight="1">
      <c r="B34" s="766"/>
      <c r="C34" s="757"/>
      <c r="D34" s="757"/>
      <c r="E34" s="757"/>
      <c r="F34" s="757"/>
      <c r="G34" s="757"/>
      <c r="H34" s="757"/>
      <c r="I34" s="757"/>
      <c r="J34" s="757"/>
      <c r="K34" s="757"/>
      <c r="L34" s="757"/>
      <c r="M34" s="757"/>
      <c r="N34" s="757"/>
      <c r="O34" s="757"/>
      <c r="P34" s="764"/>
      <c r="Q34" s="765"/>
    </row>
    <row r="35" spans="2:17" ht="24.95" customHeight="1">
      <c r="B35" s="766">
        <v>6</v>
      </c>
      <c r="C35" s="757"/>
      <c r="D35" s="757"/>
      <c r="E35" s="757"/>
      <c r="F35" s="757">
        <v>18</v>
      </c>
      <c r="G35" s="757"/>
      <c r="H35" s="757"/>
      <c r="I35" s="757"/>
      <c r="J35" s="757">
        <v>30</v>
      </c>
      <c r="K35" s="757"/>
      <c r="L35" s="757"/>
      <c r="M35" s="757"/>
      <c r="N35" s="757">
        <v>42</v>
      </c>
      <c r="O35" s="757"/>
      <c r="P35" s="764"/>
      <c r="Q35" s="765"/>
    </row>
    <row r="36" spans="2:17" ht="24.95" customHeight="1">
      <c r="B36" s="766"/>
      <c r="C36" s="757"/>
      <c r="D36" s="757"/>
      <c r="E36" s="757"/>
      <c r="F36" s="757"/>
      <c r="G36" s="757"/>
      <c r="H36" s="757"/>
      <c r="I36" s="757"/>
      <c r="J36" s="757"/>
      <c r="K36" s="757"/>
      <c r="L36" s="757"/>
      <c r="M36" s="757"/>
      <c r="N36" s="757"/>
      <c r="O36" s="757"/>
      <c r="P36" s="764"/>
      <c r="Q36" s="765"/>
    </row>
    <row r="37" spans="2:17" ht="24.95" customHeight="1">
      <c r="B37" s="766"/>
      <c r="C37" s="757"/>
      <c r="D37" s="757"/>
      <c r="E37" s="757"/>
      <c r="F37" s="757"/>
      <c r="G37" s="757"/>
      <c r="H37" s="757"/>
      <c r="I37" s="757"/>
      <c r="J37" s="757"/>
      <c r="K37" s="757"/>
      <c r="L37" s="757"/>
      <c r="M37" s="757"/>
      <c r="N37" s="757"/>
      <c r="O37" s="757"/>
      <c r="P37" s="764"/>
      <c r="Q37" s="765"/>
    </row>
    <row r="38" spans="2:17" ht="24.95" customHeight="1">
      <c r="B38" s="766">
        <v>7</v>
      </c>
      <c r="C38" s="757"/>
      <c r="D38" s="757"/>
      <c r="E38" s="757"/>
      <c r="F38" s="757">
        <v>19</v>
      </c>
      <c r="G38" s="757"/>
      <c r="H38" s="757"/>
      <c r="I38" s="757"/>
      <c r="J38" s="757">
        <v>31</v>
      </c>
      <c r="K38" s="757"/>
      <c r="L38" s="757"/>
      <c r="M38" s="757"/>
      <c r="N38" s="757">
        <v>43</v>
      </c>
      <c r="O38" s="757"/>
      <c r="P38" s="764"/>
      <c r="Q38" s="765"/>
    </row>
    <row r="39" spans="2:17" ht="24.95" customHeight="1">
      <c r="B39" s="766"/>
      <c r="C39" s="757"/>
      <c r="D39" s="757"/>
      <c r="E39" s="757"/>
      <c r="F39" s="757"/>
      <c r="G39" s="757"/>
      <c r="H39" s="757"/>
      <c r="I39" s="757"/>
      <c r="J39" s="757"/>
      <c r="K39" s="757"/>
      <c r="L39" s="757"/>
      <c r="M39" s="757"/>
      <c r="N39" s="757"/>
      <c r="O39" s="757"/>
      <c r="P39" s="764"/>
      <c r="Q39" s="765"/>
    </row>
    <row r="40" spans="2:17" ht="24.95" customHeight="1">
      <c r="B40" s="766"/>
      <c r="C40" s="757"/>
      <c r="D40" s="757"/>
      <c r="E40" s="757"/>
      <c r="F40" s="757"/>
      <c r="G40" s="757"/>
      <c r="H40" s="757"/>
      <c r="I40" s="757"/>
      <c r="J40" s="757"/>
      <c r="K40" s="757"/>
      <c r="L40" s="757"/>
      <c r="M40" s="757"/>
      <c r="N40" s="757"/>
      <c r="O40" s="757"/>
      <c r="P40" s="764"/>
      <c r="Q40" s="765"/>
    </row>
    <row r="41" spans="2:17" ht="24.95" customHeight="1">
      <c r="B41" s="766">
        <v>8</v>
      </c>
      <c r="C41" s="757"/>
      <c r="D41" s="757"/>
      <c r="E41" s="757"/>
      <c r="F41" s="757">
        <v>20</v>
      </c>
      <c r="G41" s="757"/>
      <c r="H41" s="757"/>
      <c r="I41" s="757"/>
      <c r="J41" s="757">
        <v>32</v>
      </c>
      <c r="K41" s="757"/>
      <c r="L41" s="757"/>
      <c r="M41" s="757"/>
      <c r="N41" s="757">
        <v>44</v>
      </c>
      <c r="O41" s="757"/>
      <c r="P41" s="764"/>
      <c r="Q41" s="765"/>
    </row>
    <row r="42" spans="2:17" ht="24.95" customHeight="1">
      <c r="B42" s="766"/>
      <c r="C42" s="757"/>
      <c r="D42" s="757"/>
      <c r="E42" s="757"/>
      <c r="F42" s="757"/>
      <c r="G42" s="757"/>
      <c r="H42" s="757"/>
      <c r="I42" s="757"/>
      <c r="J42" s="757"/>
      <c r="K42" s="757"/>
      <c r="L42" s="757"/>
      <c r="M42" s="757"/>
      <c r="N42" s="757"/>
      <c r="O42" s="757"/>
      <c r="P42" s="764"/>
      <c r="Q42" s="765"/>
    </row>
    <row r="43" spans="2:17" ht="24.95" customHeight="1">
      <c r="B43" s="766"/>
      <c r="C43" s="757"/>
      <c r="D43" s="757"/>
      <c r="E43" s="757"/>
      <c r="F43" s="757"/>
      <c r="G43" s="757"/>
      <c r="H43" s="757"/>
      <c r="I43" s="757"/>
      <c r="J43" s="757"/>
      <c r="K43" s="757"/>
      <c r="L43" s="757"/>
      <c r="M43" s="757"/>
      <c r="N43" s="757"/>
      <c r="O43" s="757"/>
      <c r="P43" s="764"/>
      <c r="Q43" s="765"/>
    </row>
    <row r="44" spans="2:17" ht="24.95" customHeight="1">
      <c r="B44" s="766">
        <v>9</v>
      </c>
      <c r="C44" s="757"/>
      <c r="D44" s="757"/>
      <c r="E44" s="757"/>
      <c r="F44" s="757">
        <v>21</v>
      </c>
      <c r="G44" s="757"/>
      <c r="H44" s="757"/>
      <c r="I44" s="757"/>
      <c r="J44" s="757">
        <v>33</v>
      </c>
      <c r="K44" s="757"/>
      <c r="L44" s="757"/>
      <c r="M44" s="757"/>
      <c r="N44" s="757">
        <v>45</v>
      </c>
      <c r="O44" s="757"/>
      <c r="P44" s="764"/>
      <c r="Q44" s="765"/>
    </row>
    <row r="45" spans="2:17" ht="24.95" customHeight="1">
      <c r="B45" s="766"/>
      <c r="C45" s="757"/>
      <c r="D45" s="757"/>
      <c r="E45" s="757"/>
      <c r="F45" s="757"/>
      <c r="G45" s="757"/>
      <c r="H45" s="757"/>
      <c r="I45" s="757"/>
      <c r="J45" s="757"/>
      <c r="K45" s="757"/>
      <c r="L45" s="757"/>
      <c r="M45" s="757"/>
      <c r="N45" s="757"/>
      <c r="O45" s="757"/>
      <c r="P45" s="764"/>
      <c r="Q45" s="765"/>
    </row>
    <row r="46" spans="2:17" ht="24.95" customHeight="1">
      <c r="B46" s="766"/>
      <c r="C46" s="757"/>
      <c r="D46" s="757"/>
      <c r="E46" s="757"/>
      <c r="F46" s="757"/>
      <c r="G46" s="757"/>
      <c r="H46" s="757"/>
      <c r="I46" s="757"/>
      <c r="J46" s="757"/>
      <c r="K46" s="757"/>
      <c r="L46" s="757"/>
      <c r="M46" s="757"/>
      <c r="N46" s="757"/>
      <c r="O46" s="757"/>
      <c r="P46" s="764"/>
      <c r="Q46" s="765"/>
    </row>
    <row r="47" spans="2:17" ht="24.95" customHeight="1">
      <c r="B47" s="766">
        <v>10</v>
      </c>
      <c r="C47" s="757"/>
      <c r="D47" s="757"/>
      <c r="E47" s="757"/>
      <c r="F47" s="757">
        <v>22</v>
      </c>
      <c r="G47" s="757"/>
      <c r="H47" s="757"/>
      <c r="I47" s="757"/>
      <c r="J47" s="757">
        <v>34</v>
      </c>
      <c r="K47" s="757"/>
      <c r="L47" s="757"/>
      <c r="M47" s="757"/>
      <c r="N47" s="757">
        <v>46</v>
      </c>
      <c r="O47" s="757"/>
      <c r="P47" s="764"/>
      <c r="Q47" s="765"/>
    </row>
    <row r="48" spans="2:17" ht="24.95" customHeight="1">
      <c r="B48" s="766"/>
      <c r="C48" s="757"/>
      <c r="D48" s="757"/>
      <c r="E48" s="757"/>
      <c r="F48" s="757"/>
      <c r="G48" s="757"/>
      <c r="H48" s="757"/>
      <c r="I48" s="757"/>
      <c r="J48" s="757"/>
      <c r="K48" s="757"/>
      <c r="L48" s="757"/>
      <c r="M48" s="757"/>
      <c r="N48" s="757"/>
      <c r="O48" s="757"/>
      <c r="P48" s="764"/>
      <c r="Q48" s="765"/>
    </row>
    <row r="49" spans="2:17" ht="24.95" customHeight="1">
      <c r="B49" s="766"/>
      <c r="C49" s="757"/>
      <c r="D49" s="757"/>
      <c r="E49" s="757"/>
      <c r="F49" s="757"/>
      <c r="G49" s="757"/>
      <c r="H49" s="757"/>
      <c r="I49" s="757"/>
      <c r="J49" s="757"/>
      <c r="K49" s="757"/>
      <c r="L49" s="757"/>
      <c r="M49" s="757"/>
      <c r="N49" s="757"/>
      <c r="O49" s="757"/>
      <c r="P49" s="764"/>
      <c r="Q49" s="765"/>
    </row>
    <row r="50" spans="2:17" ht="24.95" customHeight="1">
      <c r="B50" s="766">
        <v>11</v>
      </c>
      <c r="C50" s="757"/>
      <c r="D50" s="757"/>
      <c r="E50" s="757"/>
      <c r="F50" s="757">
        <v>23</v>
      </c>
      <c r="G50" s="757"/>
      <c r="H50" s="757"/>
      <c r="I50" s="757"/>
      <c r="J50" s="757">
        <v>35</v>
      </c>
      <c r="K50" s="757"/>
      <c r="L50" s="757"/>
      <c r="M50" s="757"/>
      <c r="N50" s="757">
        <v>47</v>
      </c>
      <c r="O50" s="757"/>
      <c r="P50" s="764"/>
      <c r="Q50" s="765"/>
    </row>
    <row r="51" spans="2:17" ht="24.95" customHeight="1">
      <c r="B51" s="766"/>
      <c r="C51" s="757"/>
      <c r="D51" s="757"/>
      <c r="E51" s="757"/>
      <c r="F51" s="757"/>
      <c r="G51" s="757"/>
      <c r="H51" s="757"/>
      <c r="I51" s="757"/>
      <c r="J51" s="757"/>
      <c r="K51" s="757"/>
      <c r="L51" s="757"/>
      <c r="M51" s="757"/>
      <c r="N51" s="757"/>
      <c r="O51" s="757"/>
      <c r="P51" s="764"/>
      <c r="Q51" s="765"/>
    </row>
    <row r="52" spans="2:17" ht="24.95" customHeight="1">
      <c r="B52" s="766"/>
      <c r="C52" s="757"/>
      <c r="D52" s="757"/>
      <c r="E52" s="757"/>
      <c r="F52" s="757"/>
      <c r="G52" s="757"/>
      <c r="H52" s="757"/>
      <c r="I52" s="757"/>
      <c r="J52" s="757"/>
      <c r="K52" s="757"/>
      <c r="L52" s="757"/>
      <c r="M52" s="757"/>
      <c r="N52" s="757"/>
      <c r="O52" s="757"/>
      <c r="P52" s="764"/>
      <c r="Q52" s="765"/>
    </row>
    <row r="53" spans="2:17" ht="24.95" customHeight="1">
      <c r="B53" s="766">
        <v>12</v>
      </c>
      <c r="C53" s="757"/>
      <c r="D53" s="757"/>
      <c r="E53" s="757"/>
      <c r="F53" s="757">
        <v>24</v>
      </c>
      <c r="G53" s="757"/>
      <c r="H53" s="757"/>
      <c r="I53" s="757"/>
      <c r="J53" s="767">
        <v>36</v>
      </c>
      <c r="K53" s="757"/>
      <c r="L53" s="757"/>
      <c r="M53" s="757"/>
      <c r="N53" s="757">
        <v>48</v>
      </c>
      <c r="O53" s="757"/>
      <c r="P53" s="764"/>
      <c r="Q53" s="765"/>
    </row>
    <row r="54" spans="2:17" ht="24.95" customHeight="1">
      <c r="B54" s="773"/>
      <c r="C54" s="767"/>
      <c r="D54" s="767"/>
      <c r="E54" s="767"/>
      <c r="F54" s="767"/>
      <c r="G54" s="767"/>
      <c r="H54" s="767"/>
      <c r="I54" s="767"/>
      <c r="J54" s="775"/>
      <c r="K54" s="767"/>
      <c r="L54" s="767"/>
      <c r="M54" s="767"/>
      <c r="N54" s="767"/>
      <c r="O54" s="767"/>
      <c r="P54" s="769"/>
      <c r="Q54" s="770"/>
    </row>
    <row r="55" spans="2:17" ht="24.95" customHeight="1" thickBot="1">
      <c r="B55" s="774"/>
      <c r="C55" s="768"/>
      <c r="D55" s="768"/>
      <c r="E55" s="768"/>
      <c r="F55" s="768"/>
      <c r="G55" s="768"/>
      <c r="H55" s="768"/>
      <c r="I55" s="768"/>
      <c r="J55" s="776"/>
      <c r="K55" s="768"/>
      <c r="L55" s="768"/>
      <c r="M55" s="768"/>
      <c r="N55" s="768"/>
      <c r="O55" s="768"/>
      <c r="P55" s="771"/>
      <c r="Q55" s="772"/>
    </row>
  </sheetData>
  <mergeCells count="105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:Q2"/>
    <mergeCell ref="B4:I5"/>
    <mergeCell ref="J4:Q5"/>
    <mergeCell ref="B6:I6"/>
    <mergeCell ref="J6:Q17"/>
    <mergeCell ref="B7:I11"/>
    <mergeCell ref="B12:I12"/>
    <mergeCell ref="B13:I17"/>
    <mergeCell ref="B18:Q18"/>
  </mergeCells>
  <phoneticPr fontId="3" type="noConversion"/>
  <pageMargins left="0" right="0" top="0" bottom="0" header="0.31496062992125984" footer="0.31496062992125984"/>
  <pageSetup paperSize="9" scale="4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11월</vt:lpstr>
      <vt:lpstr>11.3</vt:lpstr>
      <vt:lpstr>11.4</vt:lpstr>
      <vt:lpstr>11.5</vt:lpstr>
      <vt:lpstr>11.6</vt:lpstr>
      <vt:lpstr>11.7</vt:lpstr>
      <vt:lpstr>11.10</vt:lpstr>
      <vt:lpstr>11.11</vt:lpstr>
      <vt:lpstr>11.12</vt:lpstr>
      <vt:lpstr>11.13</vt:lpstr>
      <vt:lpstr>11.14</vt:lpstr>
      <vt:lpstr>11.17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2025-11-11T07:17:25Z</cp:lastPrinted>
  <dcterms:created xsi:type="dcterms:W3CDTF">2025-08-29T07:41:05Z</dcterms:created>
  <dcterms:modified xsi:type="dcterms:W3CDTF">2025-11-14T06:43:00Z</dcterms:modified>
</cp:coreProperties>
</file>