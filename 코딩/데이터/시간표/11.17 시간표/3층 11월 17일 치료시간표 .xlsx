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queen\Desktop\스케쥴 원본\"/>
    </mc:Choice>
  </mc:AlternateContent>
  <bookViews>
    <workbookView xWindow="0" yWindow="0" windowWidth="28800" windowHeight="11175" activeTab="11"/>
  </bookViews>
  <sheets>
    <sheet name="원본" sheetId="13" r:id="rId1"/>
    <sheet name="11.03" sheetId="12" r:id="rId2"/>
    <sheet name="11.04" sheetId="14" r:id="rId3"/>
    <sheet name="11.05" sheetId="15" r:id="rId4"/>
    <sheet name="11.06" sheetId="16" r:id="rId5"/>
    <sheet name="11.07" sheetId="17" r:id="rId6"/>
    <sheet name="11.10" sheetId="18" r:id="rId7"/>
    <sheet name="11.11" sheetId="19" r:id="rId8"/>
    <sheet name="11.12" sheetId="20" r:id="rId9"/>
    <sheet name="11.13" sheetId="21" r:id="rId10"/>
    <sheet name="11.14" sheetId="22" r:id="rId11"/>
    <sheet name="11.17" sheetId="23" r:id="rId12"/>
    <sheet name="HOLD지" sheetId="3" r:id="rId1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39" i="23" l="1"/>
  <c r="R31" i="23"/>
  <c r="R29" i="23"/>
  <c r="R27" i="23"/>
  <c r="R26" i="23"/>
  <c r="R25" i="23"/>
  <c r="R24" i="23"/>
  <c r="R23" i="23"/>
  <c r="R22" i="23"/>
  <c r="R21" i="23"/>
  <c r="R20" i="23"/>
  <c r="R19" i="23"/>
  <c r="R18" i="23"/>
  <c r="R17" i="23"/>
  <c r="R16" i="23"/>
  <c r="R15" i="23"/>
  <c r="R14" i="23"/>
  <c r="R13" i="23"/>
  <c r="R12" i="23"/>
  <c r="R11" i="23"/>
  <c r="R10" i="23"/>
  <c r="R9" i="23"/>
  <c r="R8" i="23"/>
  <c r="R7" i="23"/>
  <c r="R6" i="23"/>
  <c r="R5" i="23"/>
  <c r="R4" i="23"/>
  <c r="R27" i="13"/>
  <c r="R14" i="13"/>
  <c r="R3" i="23" l="1"/>
  <c r="S39" i="22"/>
  <c r="R31" i="22"/>
  <c r="R29" i="22"/>
  <c r="R27" i="22"/>
  <c r="R26" i="22"/>
  <c r="R25" i="22"/>
  <c r="R24" i="22"/>
  <c r="R23" i="22"/>
  <c r="R22" i="22"/>
  <c r="R21" i="22"/>
  <c r="R20" i="22"/>
  <c r="R19" i="22"/>
  <c r="R18" i="22"/>
  <c r="R17" i="22"/>
  <c r="R16" i="22"/>
  <c r="R15" i="22"/>
  <c r="R14" i="22"/>
  <c r="R13" i="22"/>
  <c r="R12" i="22"/>
  <c r="R11" i="22"/>
  <c r="R10" i="22"/>
  <c r="R9" i="22"/>
  <c r="R8" i="22"/>
  <c r="R7" i="22"/>
  <c r="R6" i="22"/>
  <c r="R5" i="22"/>
  <c r="R4" i="22"/>
  <c r="R3" i="22" l="1"/>
  <c r="S39" i="21"/>
  <c r="R31" i="21"/>
  <c r="R29" i="21"/>
  <c r="R27" i="21"/>
  <c r="R26" i="21"/>
  <c r="R25" i="21"/>
  <c r="R24" i="21"/>
  <c r="R23" i="21"/>
  <c r="R22" i="21"/>
  <c r="R21" i="21"/>
  <c r="R20" i="21"/>
  <c r="R19" i="21"/>
  <c r="R18" i="21"/>
  <c r="R17" i="21"/>
  <c r="R16" i="21"/>
  <c r="R15" i="21"/>
  <c r="R14" i="21"/>
  <c r="R13" i="21"/>
  <c r="R12" i="21"/>
  <c r="R11" i="21"/>
  <c r="R10" i="21"/>
  <c r="R9" i="21"/>
  <c r="R8" i="21"/>
  <c r="R7" i="21"/>
  <c r="R6" i="21"/>
  <c r="R5" i="21"/>
  <c r="R4" i="21"/>
  <c r="R3" i="21" l="1"/>
  <c r="S39" i="20"/>
  <c r="R31" i="20"/>
  <c r="R29" i="20"/>
  <c r="R27" i="20"/>
  <c r="R26" i="20"/>
  <c r="R25" i="20"/>
  <c r="R24" i="20"/>
  <c r="R23" i="20"/>
  <c r="R22" i="20"/>
  <c r="R21" i="20"/>
  <c r="R20" i="20"/>
  <c r="R19" i="20"/>
  <c r="R18" i="20"/>
  <c r="R17" i="20"/>
  <c r="R16" i="20"/>
  <c r="R15" i="20"/>
  <c r="R14" i="20"/>
  <c r="R13" i="20"/>
  <c r="R12" i="20"/>
  <c r="R11" i="20"/>
  <c r="R10" i="20"/>
  <c r="R9" i="20"/>
  <c r="R8" i="20"/>
  <c r="R7" i="20"/>
  <c r="R6" i="20"/>
  <c r="R5" i="20"/>
  <c r="R4" i="20"/>
  <c r="R3" i="20" l="1"/>
  <c r="S39" i="19"/>
  <c r="R31" i="19"/>
  <c r="R29" i="19"/>
  <c r="R27" i="19"/>
  <c r="R26" i="19"/>
  <c r="R25" i="19"/>
  <c r="R24" i="19"/>
  <c r="R23" i="19"/>
  <c r="R22" i="19"/>
  <c r="R21" i="19"/>
  <c r="R20" i="19"/>
  <c r="R19" i="19"/>
  <c r="R18" i="19"/>
  <c r="R17" i="19"/>
  <c r="R16" i="19"/>
  <c r="R15" i="19"/>
  <c r="R14" i="19"/>
  <c r="R13" i="19"/>
  <c r="R12" i="19"/>
  <c r="R11" i="19"/>
  <c r="R10" i="19"/>
  <c r="R9" i="19"/>
  <c r="R8" i="19"/>
  <c r="R7" i="19"/>
  <c r="R6" i="19"/>
  <c r="R5" i="19"/>
  <c r="R4" i="19"/>
  <c r="R3" i="19" l="1"/>
  <c r="S39" i="13"/>
  <c r="S34" i="18" l="1"/>
  <c r="S39" i="18" s="1"/>
  <c r="R31" i="18"/>
  <c r="R29" i="18"/>
  <c r="R27" i="18"/>
  <c r="R26" i="18"/>
  <c r="R25" i="18"/>
  <c r="R24" i="18"/>
  <c r="R23" i="18"/>
  <c r="R22" i="18"/>
  <c r="R21" i="18"/>
  <c r="R20" i="18"/>
  <c r="R19" i="18"/>
  <c r="R18" i="18"/>
  <c r="R17" i="18"/>
  <c r="R16" i="18"/>
  <c r="R15" i="18"/>
  <c r="R14" i="18"/>
  <c r="R13" i="18"/>
  <c r="R12" i="18"/>
  <c r="R11" i="18"/>
  <c r="R10" i="18"/>
  <c r="R9" i="18"/>
  <c r="R8" i="18"/>
  <c r="R7" i="18"/>
  <c r="R6" i="18"/>
  <c r="R5" i="18"/>
  <c r="R4" i="18"/>
  <c r="R3" i="18" l="1"/>
  <c r="S34" i="17"/>
  <c r="S39" i="17" s="1"/>
  <c r="R31" i="17"/>
  <c r="R29" i="17"/>
  <c r="R27" i="17"/>
  <c r="R26" i="17"/>
  <c r="R25" i="17"/>
  <c r="R24" i="17"/>
  <c r="R23" i="17"/>
  <c r="R22" i="17"/>
  <c r="R21" i="17"/>
  <c r="R20" i="17"/>
  <c r="R19" i="17"/>
  <c r="R18" i="17"/>
  <c r="R17" i="17"/>
  <c r="R16" i="17"/>
  <c r="R15" i="17"/>
  <c r="R14" i="17"/>
  <c r="R13" i="17"/>
  <c r="R12" i="17"/>
  <c r="R11" i="17"/>
  <c r="R10" i="17"/>
  <c r="R9" i="17"/>
  <c r="R8" i="17"/>
  <c r="R7" i="17"/>
  <c r="R6" i="17"/>
  <c r="R5" i="17"/>
  <c r="R4" i="17"/>
  <c r="R3" i="17" l="1"/>
  <c r="S34" i="16"/>
  <c r="S39" i="16" s="1"/>
  <c r="R31" i="16"/>
  <c r="R29" i="16"/>
  <c r="R27" i="16"/>
  <c r="R26" i="16"/>
  <c r="R25" i="16"/>
  <c r="R24" i="16"/>
  <c r="R23" i="16"/>
  <c r="R22" i="16"/>
  <c r="R21" i="16"/>
  <c r="R20" i="16"/>
  <c r="R19" i="16"/>
  <c r="R18" i="16"/>
  <c r="R17" i="16"/>
  <c r="R16" i="16"/>
  <c r="R15" i="16"/>
  <c r="R14" i="16"/>
  <c r="R13" i="16"/>
  <c r="R12" i="16"/>
  <c r="R11" i="16"/>
  <c r="R10" i="16"/>
  <c r="R9" i="16"/>
  <c r="R8" i="16"/>
  <c r="R7" i="16"/>
  <c r="R6" i="16"/>
  <c r="R5" i="16"/>
  <c r="R4" i="16"/>
  <c r="R3" i="16" l="1"/>
  <c r="S39" i="15"/>
  <c r="S34" i="15"/>
  <c r="R31" i="15"/>
  <c r="R29" i="15"/>
  <c r="R27" i="15"/>
  <c r="R26" i="15"/>
  <c r="R25" i="15"/>
  <c r="R24" i="15"/>
  <c r="R23" i="15"/>
  <c r="R22" i="15"/>
  <c r="R21" i="15"/>
  <c r="R20" i="15"/>
  <c r="R19" i="15"/>
  <c r="R18" i="15"/>
  <c r="R17" i="15"/>
  <c r="R16" i="15"/>
  <c r="R15" i="15"/>
  <c r="R14" i="15"/>
  <c r="R13" i="15"/>
  <c r="R12" i="15"/>
  <c r="R11" i="15"/>
  <c r="R10" i="15"/>
  <c r="R9" i="15"/>
  <c r="R8" i="15"/>
  <c r="R7" i="15"/>
  <c r="R6" i="15"/>
  <c r="R5" i="15"/>
  <c r="R4" i="15"/>
  <c r="R3" i="15" l="1"/>
  <c r="S34" i="14"/>
  <c r="S39" i="14" s="1"/>
  <c r="R31" i="14"/>
  <c r="R29" i="14"/>
  <c r="R27" i="14"/>
  <c r="R26" i="14"/>
  <c r="R25" i="14"/>
  <c r="R24" i="14"/>
  <c r="R23" i="14"/>
  <c r="R22" i="14"/>
  <c r="R21" i="14"/>
  <c r="R20" i="14"/>
  <c r="R19" i="14"/>
  <c r="R18" i="14"/>
  <c r="R17" i="14"/>
  <c r="R16" i="14"/>
  <c r="R15" i="14"/>
  <c r="R14" i="14"/>
  <c r="R13" i="14"/>
  <c r="R12" i="14"/>
  <c r="R11" i="14"/>
  <c r="R10" i="14"/>
  <c r="R9" i="14"/>
  <c r="R8" i="14"/>
  <c r="R7" i="14"/>
  <c r="R6" i="14"/>
  <c r="R5" i="14"/>
  <c r="R4" i="14"/>
  <c r="R3" i="14" l="1"/>
  <c r="R31" i="13" l="1"/>
  <c r="R29" i="13"/>
  <c r="R26" i="13"/>
  <c r="R25" i="13"/>
  <c r="R24" i="13"/>
  <c r="R23" i="13"/>
  <c r="R22" i="13"/>
  <c r="R21" i="13"/>
  <c r="R20" i="13"/>
  <c r="R19" i="13"/>
  <c r="R18" i="13"/>
  <c r="R17" i="13"/>
  <c r="R16" i="13"/>
  <c r="R15" i="13"/>
  <c r="R13" i="13"/>
  <c r="R12" i="13"/>
  <c r="R11" i="13"/>
  <c r="R10" i="13"/>
  <c r="R9" i="13"/>
  <c r="R8" i="13"/>
  <c r="R7" i="13"/>
  <c r="R6" i="13"/>
  <c r="R5" i="13"/>
  <c r="R4" i="13"/>
  <c r="R3" i="13" l="1"/>
  <c r="S39" i="12"/>
  <c r="S35" i="12"/>
  <c r="S40" i="12" s="1"/>
  <c r="R28" i="12"/>
  <c r="S26" i="12"/>
  <c r="S25" i="12"/>
  <c r="S24" i="12"/>
  <c r="S23" i="12"/>
  <c r="S22" i="12"/>
  <c r="S21" i="12"/>
  <c r="S20" i="12"/>
  <c r="S19" i="12"/>
  <c r="S18" i="12"/>
  <c r="S17" i="12"/>
  <c r="S16" i="12"/>
  <c r="S15" i="12"/>
  <c r="S14" i="12"/>
  <c r="S13" i="12"/>
  <c r="S12" i="12"/>
  <c r="S11" i="12"/>
  <c r="S10" i="12"/>
  <c r="S9" i="12"/>
  <c r="S8" i="12"/>
  <c r="S6" i="12"/>
  <c r="S5" i="12"/>
</calcChain>
</file>

<file path=xl/sharedStrings.xml><?xml version="1.0" encoding="utf-8"?>
<sst xmlns="http://schemas.openxmlformats.org/spreadsheetml/2006/main" count="5342" uniqueCount="1088">
  <si>
    <t>8:30~
9:00</t>
    <phoneticPr fontId="4" type="noConversion"/>
  </si>
  <si>
    <t>9:05~
9:35</t>
  </si>
  <si>
    <t>9:40~
10:10</t>
  </si>
  <si>
    <t>10:15~
10:45</t>
    <phoneticPr fontId="4" type="noConversion"/>
  </si>
  <si>
    <t>10:50~
11:20</t>
  </si>
  <si>
    <t>11:25~
11:55</t>
    <phoneticPr fontId="4" type="noConversion"/>
  </si>
  <si>
    <t>12:00~
12:30</t>
    <phoneticPr fontId="4" type="noConversion"/>
  </si>
  <si>
    <t>점심</t>
  </si>
  <si>
    <t>13:30~
14:00</t>
    <phoneticPr fontId="4" type="noConversion"/>
  </si>
  <si>
    <t>14:05~
14:35</t>
  </si>
  <si>
    <t>14:40~
15:10</t>
  </si>
  <si>
    <t>15:15~
15:45</t>
  </si>
  <si>
    <t>15:50~
16:20</t>
  </si>
  <si>
    <t>N채남순</t>
  </si>
  <si>
    <t>N이명덕</t>
    <phoneticPr fontId="3" type="noConversion"/>
  </si>
  <si>
    <t>* 변경사항</t>
    <phoneticPr fontId="4" type="noConversion"/>
  </si>
  <si>
    <t>N김문식3</t>
    <phoneticPr fontId="4" type="noConversion"/>
  </si>
  <si>
    <t>RA김영한2</t>
  </si>
  <si>
    <t>CA신인섭</t>
  </si>
  <si>
    <t>CA김봉예</t>
  </si>
  <si>
    <t>단축근무</t>
  </si>
  <si>
    <t>김소희</t>
  </si>
  <si>
    <t>CA이흥식</t>
    <phoneticPr fontId="4" type="noConversion"/>
  </si>
  <si>
    <t>CA박경원2</t>
  </si>
  <si>
    <t>CA오정아</t>
    <phoneticPr fontId="4" type="noConversion"/>
  </si>
  <si>
    <t>CA정규설</t>
  </si>
  <si>
    <t>RD이재용2</t>
    <phoneticPr fontId="3" type="noConversion"/>
  </si>
  <si>
    <t>조해인</t>
  </si>
  <si>
    <t>CA정창래2</t>
    <phoneticPr fontId="3" type="noConversion"/>
  </si>
  <si>
    <t>김우주</t>
  </si>
  <si>
    <t>CA이재남4</t>
  </si>
  <si>
    <t>RM김영한2</t>
  </si>
  <si>
    <t>MM 변경 미희망 :  주현수2님</t>
    <phoneticPr fontId="3" type="noConversion"/>
  </si>
  <si>
    <t>F이명덕
F유해진
F이재남4
F김진현2</t>
    <phoneticPr fontId="4" type="noConversion"/>
  </si>
  <si>
    <t>F오정아
F권음전
F박경원2
F신옥남
F홍우표2</t>
    <phoneticPr fontId="4" type="noConversion"/>
  </si>
  <si>
    <t>8:30~
9:00</t>
  </si>
  <si>
    <t>10:15~
10:45</t>
  </si>
  <si>
    <t>11:25~
11:55</t>
  </si>
  <si>
    <t>12:00~ 
12:30</t>
  </si>
  <si>
    <t xml:space="preserve"> </t>
  </si>
  <si>
    <t>13:30~
14:00</t>
  </si>
  <si>
    <t>N이순희5
N이동열</t>
    <phoneticPr fontId="3" type="noConversion"/>
  </si>
  <si>
    <t xml:space="preserve">
</t>
    <phoneticPr fontId="4" type="noConversion"/>
  </si>
  <si>
    <t xml:space="preserve">
D권음전</t>
    <phoneticPr fontId="3" type="noConversion"/>
  </si>
  <si>
    <t>D권음전
D유영만</t>
    <phoneticPr fontId="4" type="noConversion"/>
  </si>
  <si>
    <t>C김문식3
C김형묵3</t>
    <phoneticPr fontId="4" type="noConversion"/>
  </si>
  <si>
    <t>C송영연
C김봉예</t>
    <phoneticPr fontId="4" type="noConversion"/>
  </si>
  <si>
    <t>10:50~
11:20</t>
    <phoneticPr fontId="4" type="noConversion"/>
  </si>
  <si>
    <t>16:25~
16:55</t>
    <phoneticPr fontId="4" type="noConversion"/>
  </si>
  <si>
    <t>통증</t>
    <phoneticPr fontId="4" type="noConversion"/>
  </si>
  <si>
    <t>언어</t>
    <phoneticPr fontId="4" type="noConversion"/>
  </si>
  <si>
    <t>로봇 /
 RG2-R</t>
    <phoneticPr fontId="4" type="noConversion"/>
  </si>
  <si>
    <t>2층 도수</t>
    <phoneticPr fontId="4" type="noConversion"/>
  </si>
  <si>
    <t>전산화인지</t>
    <phoneticPr fontId="4" type="noConversion"/>
  </si>
  <si>
    <t>김정자20</t>
    <phoneticPr fontId="3" type="noConversion"/>
  </si>
  <si>
    <t>주현수2</t>
    <phoneticPr fontId="3" type="noConversion"/>
  </si>
  <si>
    <t>유기분</t>
    <phoneticPr fontId="3" type="noConversion"/>
  </si>
  <si>
    <t>주현수2
김복묵(A)</t>
    <phoneticPr fontId="3" type="noConversion"/>
  </si>
  <si>
    <t>윤동석2(B)</t>
    <phoneticPr fontId="3" type="noConversion"/>
  </si>
  <si>
    <t>오정아(A)
김형묵3(B)</t>
    <phoneticPr fontId="3" type="noConversion"/>
  </si>
  <si>
    <t>C이동열
C윤동석2</t>
    <phoneticPr fontId="3" type="noConversion"/>
  </si>
  <si>
    <t>시간표 변경사항</t>
    <phoneticPr fontId="4" type="noConversion"/>
  </si>
  <si>
    <t>당일 변경사항</t>
    <phoneticPr fontId="4" type="noConversion"/>
  </si>
  <si>
    <t>* 신환</t>
    <phoneticPr fontId="4" type="noConversion"/>
  </si>
  <si>
    <t>* 변경사항</t>
    <phoneticPr fontId="4" type="noConversion"/>
  </si>
  <si>
    <t xml:space="preserve"> </t>
    <phoneticPr fontId="3" type="noConversion"/>
  </si>
  <si>
    <t>CA홍우표</t>
    <phoneticPr fontId="3" type="noConversion"/>
  </si>
  <si>
    <t>C정창래2
C장광청</t>
    <phoneticPr fontId="4" type="noConversion"/>
  </si>
  <si>
    <t>RA이강은</t>
  </si>
  <si>
    <t>CA유해진</t>
  </si>
  <si>
    <t>N권음전
N김복묵</t>
    <phoneticPr fontId="4" type="noConversion"/>
  </si>
  <si>
    <t>N채남순
N김봉예</t>
    <phoneticPr fontId="4" type="noConversion"/>
  </si>
  <si>
    <t>D김복묵
D정진월</t>
    <phoneticPr fontId="4" type="noConversion"/>
  </si>
  <si>
    <t>RA이정례3</t>
  </si>
  <si>
    <t>재활센터 시간표     2023. 10. 31 (화)</t>
    <phoneticPr fontId="4" type="noConversion"/>
  </si>
  <si>
    <t xml:space="preserve">         시간      치료사</t>
    <phoneticPr fontId="4" type="noConversion"/>
  </si>
  <si>
    <t>7:30~
8:00</t>
    <phoneticPr fontId="4" type="noConversion"/>
  </si>
  <si>
    <t>8:00~
8:30</t>
    <phoneticPr fontId="4" type="noConversion"/>
  </si>
  <si>
    <t>12:00~
12:30</t>
    <phoneticPr fontId="4" type="noConversion"/>
  </si>
  <si>
    <t>공혜빈</t>
    <phoneticPr fontId="4" type="noConversion"/>
  </si>
  <si>
    <t>N조태은</t>
    <phoneticPr fontId="3" type="noConversion"/>
  </si>
  <si>
    <t>RM서대성</t>
    <phoneticPr fontId="3" type="noConversion"/>
  </si>
  <si>
    <t>RG김철기</t>
    <phoneticPr fontId="3" type="noConversion"/>
  </si>
  <si>
    <t>N유용진</t>
    <phoneticPr fontId="3" type="noConversion"/>
  </si>
  <si>
    <t>N김형묵3</t>
    <phoneticPr fontId="3" type="noConversion"/>
  </si>
  <si>
    <t>N이흥식</t>
    <phoneticPr fontId="3" type="noConversion"/>
  </si>
  <si>
    <t>N송영연</t>
    <phoneticPr fontId="3" type="noConversion"/>
  </si>
  <si>
    <t>N이영휘</t>
    <phoneticPr fontId="4" type="noConversion"/>
  </si>
  <si>
    <t>N이수길</t>
    <phoneticPr fontId="4" type="noConversion"/>
  </si>
  <si>
    <t>서지현</t>
    <phoneticPr fontId="4" type="noConversion"/>
  </si>
  <si>
    <t>RM윤미기자</t>
    <phoneticPr fontId="3" type="noConversion"/>
  </si>
  <si>
    <t>N김명숙19</t>
    <phoneticPr fontId="3" type="noConversion"/>
  </si>
  <si>
    <t>RM전효식</t>
    <phoneticPr fontId="3" type="noConversion"/>
  </si>
  <si>
    <t>RG이강은</t>
    <phoneticPr fontId="3" type="noConversion"/>
  </si>
  <si>
    <t>RM유기분</t>
    <phoneticPr fontId="3" type="noConversion"/>
  </si>
  <si>
    <t>RM주현수2</t>
    <phoneticPr fontId="3" type="noConversion"/>
  </si>
  <si>
    <t>권도희</t>
    <phoneticPr fontId="4" type="noConversion"/>
  </si>
  <si>
    <t>RN전효식</t>
    <phoneticPr fontId="3" type="noConversion"/>
  </si>
  <si>
    <t>N이수길</t>
    <phoneticPr fontId="3" type="noConversion"/>
  </si>
  <si>
    <t>N이명덕</t>
    <phoneticPr fontId="3" type="noConversion"/>
  </si>
  <si>
    <t>N오치영</t>
    <phoneticPr fontId="3" type="noConversion"/>
  </si>
  <si>
    <t>N정진월</t>
    <phoneticPr fontId="3" type="noConversion"/>
  </si>
  <si>
    <t>N유해진</t>
    <phoneticPr fontId="3" type="noConversion"/>
  </si>
  <si>
    <t>RM송진영</t>
    <phoneticPr fontId="3" type="noConversion"/>
  </si>
  <si>
    <t>RM이정례3</t>
    <phoneticPr fontId="3" type="noConversion"/>
  </si>
  <si>
    <t>N유영만</t>
    <phoneticPr fontId="3" type="noConversion"/>
  </si>
  <si>
    <t>RM이재용2</t>
    <phoneticPr fontId="3" type="noConversion"/>
  </si>
  <si>
    <t>RG오연숙</t>
    <phoneticPr fontId="3" type="noConversion"/>
  </si>
  <si>
    <t>N홍우표2</t>
    <phoneticPr fontId="3" type="noConversion"/>
  </si>
  <si>
    <t>RM박미정4</t>
    <phoneticPr fontId="3" type="noConversion"/>
  </si>
  <si>
    <t>N곽홍기</t>
    <phoneticPr fontId="4" type="noConversion"/>
  </si>
  <si>
    <t>김효진</t>
    <phoneticPr fontId="4" type="noConversion"/>
  </si>
  <si>
    <t>RM김영한2</t>
    <phoneticPr fontId="3" type="noConversion"/>
  </si>
  <si>
    <t>N김진현2</t>
    <phoneticPr fontId="3" type="noConversion"/>
  </si>
  <si>
    <t>RN유기분</t>
    <phoneticPr fontId="4" type="noConversion"/>
  </si>
  <si>
    <t>N변종구</t>
    <phoneticPr fontId="3" type="noConversion"/>
  </si>
  <si>
    <t>RN이재용2</t>
    <phoneticPr fontId="3" type="noConversion"/>
  </si>
  <si>
    <t>N전용대</t>
    <phoneticPr fontId="3" type="noConversion"/>
  </si>
  <si>
    <t>N신옥남</t>
    <phoneticPr fontId="3" type="noConversion"/>
  </si>
  <si>
    <t>홍유진</t>
    <phoneticPr fontId="3" type="noConversion"/>
  </si>
  <si>
    <t>N이순희5</t>
    <phoneticPr fontId="3" type="noConversion"/>
  </si>
  <si>
    <t>N정창래2</t>
    <phoneticPr fontId="3" type="noConversion"/>
  </si>
  <si>
    <t>박지원</t>
    <phoneticPr fontId="4" type="noConversion"/>
  </si>
  <si>
    <t>N김지윤7</t>
    <phoneticPr fontId="3" type="noConversion"/>
  </si>
  <si>
    <t>N장광청</t>
    <phoneticPr fontId="3" type="noConversion"/>
  </si>
  <si>
    <t>N김복묵</t>
    <phoneticPr fontId="3" type="noConversion"/>
  </si>
  <si>
    <t>N오정아</t>
    <phoneticPr fontId="3" type="noConversion"/>
  </si>
  <si>
    <t>전지원</t>
    <phoneticPr fontId="4" type="noConversion"/>
  </si>
  <si>
    <t>N김주식</t>
    <phoneticPr fontId="3" type="noConversion"/>
  </si>
  <si>
    <t>RN서대성</t>
    <phoneticPr fontId="3" type="noConversion"/>
  </si>
  <si>
    <t>N김문식3</t>
    <phoneticPr fontId="4" type="noConversion"/>
  </si>
  <si>
    <t>N신인섭</t>
    <phoneticPr fontId="3" type="noConversion"/>
  </si>
  <si>
    <t>김은채</t>
    <phoneticPr fontId="4" type="noConversion"/>
  </si>
  <si>
    <t>N정규설</t>
    <phoneticPr fontId="3" type="noConversion"/>
  </si>
  <si>
    <t>N윤영섭</t>
    <phoneticPr fontId="3" type="noConversion"/>
  </si>
  <si>
    <t>N권음전</t>
    <phoneticPr fontId="3" type="noConversion"/>
  </si>
  <si>
    <t>N이재남4</t>
    <phoneticPr fontId="4" type="noConversion"/>
  </si>
  <si>
    <t>배서현</t>
    <phoneticPr fontId="4" type="noConversion"/>
  </si>
  <si>
    <t>N이동열</t>
    <phoneticPr fontId="3" type="noConversion"/>
  </si>
  <si>
    <t>N이재남4</t>
    <phoneticPr fontId="3" type="noConversion"/>
  </si>
  <si>
    <t>RN주현수2</t>
    <phoneticPr fontId="3" type="noConversion"/>
  </si>
  <si>
    <t>RN박미정4</t>
    <phoneticPr fontId="3" type="noConversion"/>
  </si>
  <si>
    <t>N김봉예</t>
    <phoneticPr fontId="3" type="noConversion"/>
  </si>
  <si>
    <t>N박경원2</t>
    <phoneticPr fontId="4" type="noConversion"/>
  </si>
  <si>
    <t>최지영</t>
    <phoneticPr fontId="4" type="noConversion"/>
  </si>
  <si>
    <t>한상호</t>
    <phoneticPr fontId="4" type="noConversion"/>
  </si>
  <si>
    <t>N김진학</t>
    <phoneticPr fontId="3" type="noConversion"/>
  </si>
  <si>
    <t>양은주</t>
    <phoneticPr fontId="4" type="noConversion"/>
  </si>
  <si>
    <t>CA채남순</t>
    <phoneticPr fontId="3" type="noConversion"/>
  </si>
  <si>
    <t>CA김진현2</t>
    <phoneticPr fontId="3" type="noConversion"/>
  </si>
  <si>
    <t>C김명숙19
C곽홍기</t>
    <phoneticPr fontId="3" type="noConversion"/>
  </si>
  <si>
    <t>C이영휘
C윤영섭</t>
    <phoneticPr fontId="3" type="noConversion"/>
  </si>
  <si>
    <t>RA송진영</t>
    <phoneticPr fontId="3" type="noConversion"/>
  </si>
  <si>
    <t>D이명덕V</t>
    <phoneticPr fontId="3" type="noConversion"/>
  </si>
  <si>
    <t>RA오연숙</t>
    <phoneticPr fontId="3" type="noConversion"/>
  </si>
  <si>
    <t>김경옥</t>
    <phoneticPr fontId="4" type="noConversion"/>
  </si>
  <si>
    <t>CA송영연</t>
    <phoneticPr fontId="3" type="noConversion"/>
  </si>
  <si>
    <t>D정진월</t>
    <phoneticPr fontId="3" type="noConversion"/>
  </si>
  <si>
    <t>CA권음전</t>
    <phoneticPr fontId="3" type="noConversion"/>
  </si>
  <si>
    <t>H박경원2</t>
    <phoneticPr fontId="3" type="noConversion"/>
  </si>
  <si>
    <t>C유용진
C이재남4</t>
    <phoneticPr fontId="3" type="noConversion"/>
  </si>
  <si>
    <t>RA이재용2</t>
    <phoneticPr fontId="3" type="noConversion"/>
  </si>
  <si>
    <t>CA유용진</t>
    <phoneticPr fontId="3" type="noConversion"/>
  </si>
  <si>
    <t>CA윤동석2</t>
    <phoneticPr fontId="3" type="noConversion"/>
  </si>
  <si>
    <t>D유해진V</t>
    <phoneticPr fontId="3" type="noConversion"/>
  </si>
  <si>
    <t>문희연</t>
    <phoneticPr fontId="4" type="noConversion"/>
  </si>
  <si>
    <t>RS유기분</t>
    <phoneticPr fontId="3" type="noConversion"/>
  </si>
  <si>
    <t>CA김문식3</t>
    <phoneticPr fontId="4" type="noConversion"/>
  </si>
  <si>
    <t>CA전용대</t>
    <phoneticPr fontId="3" type="noConversion"/>
  </si>
  <si>
    <t>소아</t>
    <phoneticPr fontId="3" type="noConversion"/>
  </si>
  <si>
    <t>김유정</t>
    <phoneticPr fontId="3" type="noConversion"/>
  </si>
  <si>
    <t>C유해진
C신옥남</t>
    <phoneticPr fontId="3" type="noConversion"/>
  </si>
  <si>
    <t>D홍우표2V</t>
    <phoneticPr fontId="4" type="noConversion"/>
  </si>
  <si>
    <t>RA김철기</t>
    <phoneticPr fontId="3" type="noConversion"/>
  </si>
  <si>
    <t>D이영휘V</t>
    <phoneticPr fontId="4" type="noConversion"/>
  </si>
  <si>
    <t>CA김명숙19</t>
    <phoneticPr fontId="3" type="noConversion"/>
  </si>
  <si>
    <t>CA유영만</t>
    <phoneticPr fontId="3" type="noConversion"/>
  </si>
  <si>
    <t>정유진</t>
    <phoneticPr fontId="4" type="noConversion"/>
  </si>
  <si>
    <t>단축근무</t>
    <phoneticPr fontId="4" type="noConversion"/>
  </si>
  <si>
    <t>CA김복묵</t>
    <phoneticPr fontId="3" type="noConversion"/>
  </si>
  <si>
    <t>RD이정례3</t>
    <phoneticPr fontId="3" type="noConversion"/>
  </si>
  <si>
    <t>CA조태은</t>
    <phoneticPr fontId="3" type="noConversion"/>
  </si>
  <si>
    <t>CA이영휘</t>
    <phoneticPr fontId="3" type="noConversion"/>
  </si>
  <si>
    <t>RS박미정4</t>
    <phoneticPr fontId="3" type="noConversion"/>
  </si>
  <si>
    <t>CA이동열</t>
    <phoneticPr fontId="3" type="noConversion"/>
  </si>
  <si>
    <t>CA신옥남</t>
    <phoneticPr fontId="3" type="noConversion"/>
  </si>
  <si>
    <t>D이순희5V</t>
    <phoneticPr fontId="3" type="noConversion"/>
  </si>
  <si>
    <t>RA윤미기자</t>
    <phoneticPr fontId="3" type="noConversion"/>
  </si>
  <si>
    <t>D곽홍기</t>
    <phoneticPr fontId="4" type="noConversion"/>
  </si>
  <si>
    <t>CA변종구</t>
    <phoneticPr fontId="3" type="noConversion"/>
  </si>
  <si>
    <t>RA서대성</t>
    <phoneticPr fontId="3" type="noConversion"/>
  </si>
  <si>
    <t>C오치영
C이수길</t>
    <phoneticPr fontId="3" type="noConversion"/>
  </si>
  <si>
    <t>RA주현수2</t>
    <phoneticPr fontId="3" type="noConversion"/>
  </si>
  <si>
    <t>정지우</t>
    <phoneticPr fontId="4" type="noConversion"/>
  </si>
  <si>
    <t>CA장광청</t>
    <phoneticPr fontId="3" type="noConversion"/>
  </si>
  <si>
    <t>CA오치영</t>
    <phoneticPr fontId="3" type="noConversion"/>
  </si>
  <si>
    <t>CA김형묵3</t>
    <phoneticPr fontId="3" type="noConversion"/>
  </si>
  <si>
    <t>CA이영임</t>
    <phoneticPr fontId="3" type="noConversion"/>
  </si>
  <si>
    <t>CA곽홍기</t>
    <phoneticPr fontId="4" type="noConversion"/>
  </si>
  <si>
    <t>서한별</t>
    <phoneticPr fontId="4" type="noConversion"/>
  </si>
  <si>
    <t>D오정아V</t>
    <phoneticPr fontId="4" type="noConversion"/>
  </si>
  <si>
    <t>RS전효식</t>
    <phoneticPr fontId="3" type="noConversion"/>
  </si>
  <si>
    <t>RA박미정4</t>
    <phoneticPr fontId="3" type="noConversion"/>
  </si>
  <si>
    <t>CA이수길</t>
    <phoneticPr fontId="3" type="noConversion"/>
  </si>
  <si>
    <t>CA김지윤7</t>
    <phoneticPr fontId="3" type="noConversion"/>
  </si>
  <si>
    <t>D윤영섭V</t>
    <phoneticPr fontId="3" type="noConversion"/>
  </si>
  <si>
    <t>안순재</t>
    <phoneticPr fontId="4" type="noConversion"/>
  </si>
  <si>
    <t>간호간병</t>
    <phoneticPr fontId="4" type="noConversion"/>
  </si>
  <si>
    <t>CA김진학</t>
    <phoneticPr fontId="3" type="noConversion"/>
  </si>
  <si>
    <t>CA윤영섭</t>
    <phoneticPr fontId="3" type="noConversion"/>
  </si>
  <si>
    <t>계장</t>
    <phoneticPr fontId="3" type="noConversion"/>
  </si>
  <si>
    <t>RA이강은</t>
    <phoneticPr fontId="3" type="noConversion"/>
  </si>
  <si>
    <t>김선영</t>
    <phoneticPr fontId="3" type="noConversion"/>
  </si>
  <si>
    <t>RN윤미기자</t>
    <phoneticPr fontId="3" type="noConversion"/>
  </si>
  <si>
    <t>RG이강은</t>
    <phoneticPr fontId="3" type="noConversion"/>
  </si>
  <si>
    <t>N오정아</t>
    <phoneticPr fontId="3" type="noConversion"/>
  </si>
  <si>
    <t>이다한</t>
    <phoneticPr fontId="4" type="noConversion"/>
  </si>
  <si>
    <t>M김주식C
M송영연C
M채남순S
M조태은S
M김진현2T
M유해진M
M홍우표2Tt
M이영임Tt</t>
    <phoneticPr fontId="4" type="noConversion"/>
  </si>
  <si>
    <t>M이흥식C
M김명숙19C
M기상우C
M유용진S
M윤동석2S
M김진학Tt</t>
    <phoneticPr fontId="4" type="noConversion"/>
  </si>
  <si>
    <t xml:space="preserve">M김복묵C
M송영연C
M윤동석2C
M신옥남C
M곽홍기C
M김진학M
M채남순S
</t>
    <phoneticPr fontId="4" type="noConversion"/>
  </si>
  <si>
    <t>M김봉예C
M김지윤7C
M정창래2C
M이재남4S
M신인섭T
M이동열Tt
M이영임Tt
M이순희5M
M정진월CPM</t>
    <phoneticPr fontId="4" type="noConversion"/>
  </si>
  <si>
    <t>F장광청
F신인섭
F정진월
F유해진</t>
    <phoneticPr fontId="4" type="noConversion"/>
  </si>
  <si>
    <r>
      <t>F조태은
F이흥식
F이순희5</t>
    </r>
    <r>
      <rPr>
        <sz val="10"/>
        <rFont val="돋움"/>
        <family val="3"/>
        <charset val="129"/>
      </rPr>
      <t xml:space="preserve">
F윤영섭
F곽홍기</t>
    </r>
    <phoneticPr fontId="4" type="noConversion"/>
  </si>
  <si>
    <t>F김형묵3
F김봉예
F이동열
F이영임
F김명숙19</t>
    <phoneticPr fontId="4" type="noConversion"/>
  </si>
  <si>
    <t>추가</t>
    <phoneticPr fontId="4" type="noConversion"/>
  </si>
  <si>
    <t>NDT</t>
    <phoneticPr fontId="4" type="noConversion"/>
  </si>
  <si>
    <t>N송영연
N장광청</t>
    <phoneticPr fontId="4" type="noConversion"/>
  </si>
  <si>
    <t xml:space="preserve">N홍우표2
</t>
    <phoneticPr fontId="3" type="noConversion"/>
  </si>
  <si>
    <t xml:space="preserve">
</t>
    <phoneticPr fontId="3" type="noConversion"/>
  </si>
  <si>
    <t>CA</t>
    <phoneticPr fontId="4" type="noConversion"/>
  </si>
  <si>
    <t>CA이명덕</t>
    <phoneticPr fontId="3" type="noConversion"/>
  </si>
  <si>
    <t>CA이순희5</t>
    <phoneticPr fontId="4" type="noConversion"/>
  </si>
  <si>
    <t>D</t>
    <phoneticPr fontId="4" type="noConversion"/>
  </si>
  <si>
    <t>C</t>
    <phoneticPr fontId="4" type="noConversion"/>
  </si>
  <si>
    <t>C박경원2
C이순희5
C조태은</t>
    <phoneticPr fontId="4" type="noConversion"/>
  </si>
  <si>
    <t xml:space="preserve">
C정진월</t>
    <phoneticPr fontId="4" type="noConversion"/>
  </si>
  <si>
    <t>스케쥴 특이 사항 :  없음</t>
    <phoneticPr fontId="3" type="noConversion"/>
  </si>
  <si>
    <t>RS송진영</t>
    <phoneticPr fontId="3" type="noConversion"/>
  </si>
  <si>
    <t>RG김철기</t>
    <phoneticPr fontId="3" type="noConversion"/>
  </si>
  <si>
    <t>M김문식3C
M오치영C
M유용진C
M윤영섭C
M전용대S
M홍우표2Tt
G박경원2Tt</t>
    <phoneticPr fontId="4" type="noConversion"/>
  </si>
  <si>
    <t>RG이두현</t>
    <phoneticPr fontId="3" type="noConversion"/>
  </si>
  <si>
    <t>RA이두현</t>
    <phoneticPr fontId="3" type="noConversion"/>
  </si>
  <si>
    <t>RA이두현</t>
    <phoneticPr fontId="3" type="noConversion"/>
  </si>
  <si>
    <t>RG이두현</t>
    <phoneticPr fontId="3" type="noConversion"/>
  </si>
  <si>
    <t>RD윤미기자</t>
    <phoneticPr fontId="3" type="noConversion"/>
  </si>
  <si>
    <t xml:space="preserve">
C신인섭</t>
    <phoneticPr fontId="4" type="noConversion"/>
  </si>
  <si>
    <t>D유영만
D곽홍기</t>
    <phoneticPr fontId="4" type="noConversion"/>
  </si>
  <si>
    <t>C권음전
C이명덕
C전용대</t>
    <phoneticPr fontId="4" type="noConversion"/>
  </si>
  <si>
    <t>C유영만
C김복묵</t>
    <phoneticPr fontId="4" type="noConversion"/>
  </si>
  <si>
    <t xml:space="preserve">D김복묵
</t>
    <phoneticPr fontId="3" type="noConversion"/>
  </si>
  <si>
    <t>C채남순</t>
    <phoneticPr fontId="4" type="noConversion"/>
  </si>
  <si>
    <t>RA김영한2</t>
    <phoneticPr fontId="3" type="noConversion"/>
  </si>
  <si>
    <t>N김지윤7</t>
    <phoneticPr fontId="4" type="noConversion"/>
  </si>
  <si>
    <t>N윤동석2</t>
    <phoneticPr fontId="3" type="noConversion"/>
  </si>
  <si>
    <t>C변종구
C김지윤7</t>
    <phoneticPr fontId="3" type="noConversion"/>
  </si>
  <si>
    <t>RN이정례3</t>
    <phoneticPr fontId="3" type="noConversion"/>
  </si>
  <si>
    <t xml:space="preserve">M이수길C
M이영휘C
M변종구C
G박경원2S
M권음전M
M유해진Tt
M이재남4CPM
</t>
    <phoneticPr fontId="4" type="noConversion"/>
  </si>
  <si>
    <t>RN송진영</t>
    <phoneticPr fontId="3" type="noConversion"/>
  </si>
  <si>
    <t xml:space="preserve">
F정규설
F이영휘
F변종구</t>
    <phoneticPr fontId="4" type="noConversion"/>
  </si>
  <si>
    <t>M유영만C
M정창래2C
M김지윤7C
M오치영C
M신옥남S
M정진월CPM</t>
    <phoneticPr fontId="4" type="noConversion"/>
  </si>
  <si>
    <t>RG서정욱2</t>
  </si>
  <si>
    <t>이두현</t>
    <phoneticPr fontId="3" type="noConversion"/>
  </si>
  <si>
    <t xml:space="preserve">
오치영</t>
    <phoneticPr fontId="3" type="noConversion"/>
  </si>
  <si>
    <t>17:00~
17:30</t>
    <phoneticPr fontId="4" type="noConversion"/>
  </si>
  <si>
    <t>이흥식(A)</t>
    <phoneticPr fontId="3" type="noConversion"/>
  </si>
  <si>
    <t>정창래2(A)
김주식</t>
    <phoneticPr fontId="3" type="noConversion"/>
  </si>
  <si>
    <t>이정례(A)</t>
    <phoneticPr fontId="3" type="noConversion"/>
  </si>
  <si>
    <t>RD서정욱2</t>
    <phoneticPr fontId="3" type="noConversion"/>
  </si>
  <si>
    <t>RD서정욱2</t>
    <phoneticPr fontId="3" type="noConversion"/>
  </si>
  <si>
    <t xml:space="preserve">C오정아
</t>
    <phoneticPr fontId="3" type="noConversion"/>
  </si>
  <si>
    <t>C이영임
C정규설
C김진현2</t>
    <phoneticPr fontId="3" type="noConversion"/>
  </si>
  <si>
    <t>RN배희숙</t>
  </si>
  <si>
    <t>RM배희숙</t>
  </si>
  <si>
    <t>RG이문호4</t>
    <phoneticPr fontId="3" type="noConversion"/>
  </si>
  <si>
    <t>RD이문호4</t>
    <phoneticPr fontId="3" type="noConversion"/>
  </si>
  <si>
    <t>RD이문호4</t>
    <phoneticPr fontId="3" type="noConversion"/>
  </si>
  <si>
    <t>RD이문호4</t>
    <phoneticPr fontId="3" type="noConversion"/>
  </si>
  <si>
    <t>N유영만
N김진현2</t>
    <phoneticPr fontId="4" type="noConversion"/>
  </si>
  <si>
    <t>RN김영한2</t>
    <phoneticPr fontId="3" type="noConversion"/>
  </si>
  <si>
    <t>RM정명자5</t>
  </si>
  <si>
    <t>RN정명자5</t>
  </si>
  <si>
    <t>RM윤미기자</t>
    <phoneticPr fontId="3" type="noConversion"/>
  </si>
  <si>
    <t>오정아(A)
이두현(B)
윤미기자(B)</t>
    <phoneticPr fontId="3" type="noConversion"/>
  </si>
  <si>
    <t>RD정명자5</t>
    <phoneticPr fontId="3" type="noConversion"/>
  </si>
  <si>
    <t>RM윤미기자</t>
    <phoneticPr fontId="3" type="noConversion"/>
  </si>
  <si>
    <t>RA배희숙</t>
    <phoneticPr fontId="3" type="noConversion"/>
  </si>
  <si>
    <t>RM전효식</t>
    <phoneticPr fontId="3" type="noConversion"/>
  </si>
  <si>
    <t>RN조남선</t>
    <phoneticPr fontId="3" type="noConversion"/>
  </si>
  <si>
    <t>RM조남선</t>
    <phoneticPr fontId="3" type="noConversion"/>
  </si>
  <si>
    <t>RA조남선</t>
    <phoneticPr fontId="3" type="noConversion"/>
  </si>
  <si>
    <t>RN이정임4</t>
    <phoneticPr fontId="3" type="noConversion"/>
  </si>
  <si>
    <t>RS이정임4</t>
    <phoneticPr fontId="3" type="noConversion"/>
  </si>
  <si>
    <t>M이명덕C
M정규설C
M김진현2C
M변종구C
M이수길S
M오정아S
M권음전M
M조태은Tt</t>
    <phoneticPr fontId="4" type="noConversion"/>
  </si>
  <si>
    <t>배희숙</t>
    <phoneticPr fontId="3" type="noConversion"/>
  </si>
  <si>
    <t>M장광청C
M김복묵C
M오정아C
M정규설S
TT박경원2Tt
M이동열Tt</t>
    <phoneticPr fontId="4" type="noConversion"/>
  </si>
  <si>
    <t>M김형묵3C
M이영휘C
M장광청T
M김주식S
M유영만Tt</t>
    <phoneticPr fontId="4" type="noConversion"/>
  </si>
  <si>
    <t>F김진학
F송영연
F전용대
F유용진</t>
    <phoneticPr fontId="4" type="noConversion"/>
  </si>
  <si>
    <t>M김형묵3C
M전용대C
M곽홍기C
M이흥식S</t>
    <phoneticPr fontId="4" type="noConversion"/>
  </si>
  <si>
    <r>
      <t>M김문식3C
M김봉예C
M신인섭C</t>
    </r>
    <r>
      <rPr>
        <sz val="10"/>
        <rFont val="돋움"/>
        <family val="3"/>
        <charset val="129"/>
      </rPr>
      <t xml:space="preserve">
M윤영섭C</t>
    </r>
    <r>
      <rPr>
        <sz val="10"/>
        <color theme="1"/>
        <rFont val="돋움"/>
        <family val="3"/>
        <charset val="129"/>
      </rPr>
      <t xml:space="preserve">
M김명숙19T
M이명덕S
M이순희5M</t>
    </r>
    <phoneticPr fontId="4" type="noConversion"/>
  </si>
  <si>
    <t>F윤동석2
F유영만
F정창래2</t>
    <phoneticPr fontId="4" type="noConversion"/>
  </si>
  <si>
    <t>N윤동석2</t>
    <phoneticPr fontId="3" type="noConversion"/>
  </si>
  <si>
    <t>D이명덕</t>
    <phoneticPr fontId="4" type="noConversion"/>
  </si>
  <si>
    <t xml:space="preserve">
C홍우표2</t>
    <phoneticPr fontId="4" type="noConversion"/>
  </si>
  <si>
    <t>D김문식3</t>
    <phoneticPr fontId="3" type="noConversion"/>
  </si>
  <si>
    <t>RA서정욱2</t>
    <phoneticPr fontId="3" type="noConversion"/>
  </si>
  <si>
    <t>RA이정임4</t>
    <phoneticPr fontId="3" type="noConversion"/>
  </si>
  <si>
    <t>김봉예(A)
오정아(B)
이정임4</t>
    <phoneticPr fontId="3" type="noConversion"/>
  </si>
  <si>
    <t>F김복묵
F김주식
F이수길
F김지윤7
F오치영</t>
    <phoneticPr fontId="4" type="noConversion"/>
  </si>
  <si>
    <t>RA송진영</t>
    <phoneticPr fontId="3" type="noConversion"/>
  </si>
  <si>
    <t>RA주현수2</t>
    <phoneticPr fontId="4" type="noConversion"/>
  </si>
  <si>
    <t>N이영임</t>
    <phoneticPr fontId="3" type="noConversion"/>
  </si>
  <si>
    <t>* 퇴원 및 HOLD</t>
    <phoneticPr fontId="3" type="noConversion"/>
  </si>
  <si>
    <t>* 당일시간변경</t>
    <phoneticPr fontId="3" type="noConversion"/>
  </si>
  <si>
    <t>* 신환</t>
  </si>
  <si>
    <t>RG서정욱2</t>
    <phoneticPr fontId="3" type="noConversion"/>
  </si>
  <si>
    <t>RG김귀례</t>
    <phoneticPr fontId="3" type="noConversion"/>
  </si>
  <si>
    <t>RA김귀례</t>
    <phoneticPr fontId="3" type="noConversion"/>
  </si>
  <si>
    <t>RA서정욱2</t>
    <phoneticPr fontId="3" type="noConversion"/>
  </si>
  <si>
    <t xml:space="preserve">MM이강은C
MM김철기C
MM조남선T
MM김영한2Tt
MM서대성S
</t>
    <phoneticPr fontId="3" type="noConversion"/>
  </si>
  <si>
    <t>N이영임
N조태은</t>
    <phoneticPr fontId="4" type="noConversion"/>
  </si>
  <si>
    <t>D정창래2
D이순희5</t>
    <phoneticPr fontId="3" type="noConversion"/>
  </si>
  <si>
    <t>D이영임
D홍우표2
D오정아</t>
    <phoneticPr fontId="3" type="noConversion"/>
  </si>
  <si>
    <t xml:space="preserve">
D이영임
D윤영섭</t>
    <phoneticPr fontId="4" type="noConversion"/>
  </si>
  <si>
    <t xml:space="preserve">
D유해진</t>
    <phoneticPr fontId="4" type="noConversion"/>
  </si>
  <si>
    <t>MM김귀례C
MM정명자5Tt
MM이두현C</t>
    <phoneticPr fontId="3" type="noConversion"/>
  </si>
  <si>
    <t>MM이정례3C</t>
    <phoneticPr fontId="3" type="noConversion"/>
  </si>
  <si>
    <t>MM이정례3C</t>
    <phoneticPr fontId="3" type="noConversion"/>
  </si>
  <si>
    <r>
      <t xml:space="preserve">MM송진영C
</t>
    </r>
    <r>
      <rPr>
        <b/>
        <u/>
        <sz val="10"/>
        <rFont val="돋움"/>
        <family val="3"/>
        <charset val="129"/>
      </rPr>
      <t>MM이재용2C</t>
    </r>
    <r>
      <rPr>
        <sz val="10"/>
        <rFont val="돋움"/>
        <family val="3"/>
        <charset val="129"/>
      </rPr>
      <t xml:space="preserve">
MM배희숙M
</t>
    </r>
    <phoneticPr fontId="3" type="noConversion"/>
  </si>
  <si>
    <t>MM이재용2C</t>
    <phoneticPr fontId="3" type="noConversion"/>
  </si>
  <si>
    <t>MM이재용2C</t>
    <phoneticPr fontId="3" type="noConversion"/>
  </si>
  <si>
    <t>MM주현수2S</t>
  </si>
  <si>
    <t>MM주현수2S</t>
    <phoneticPr fontId="3" type="noConversion"/>
  </si>
  <si>
    <r>
      <t xml:space="preserve">MM서정욱2C
MM박미정4M
MM이두현S
</t>
    </r>
    <r>
      <rPr>
        <b/>
        <u/>
        <sz val="10"/>
        <rFont val="돋움"/>
        <family val="3"/>
        <charset val="129"/>
      </rPr>
      <t>MM유기분C</t>
    </r>
    <phoneticPr fontId="3" type="noConversion"/>
  </si>
  <si>
    <t>MM유기분C</t>
    <phoneticPr fontId="3" type="noConversion"/>
  </si>
  <si>
    <t>N정진월</t>
  </si>
  <si>
    <t>N이명덕</t>
    <phoneticPr fontId="3" type="noConversion"/>
  </si>
  <si>
    <r>
      <t xml:space="preserve">D김문식3
</t>
    </r>
    <r>
      <rPr>
        <u/>
        <sz val="10"/>
        <rFont val="돋움"/>
        <family val="3"/>
        <charset val="129"/>
      </rPr>
      <t>D정창래2</t>
    </r>
    <phoneticPr fontId="4" type="noConversion"/>
  </si>
  <si>
    <t>D정창래2</t>
    <phoneticPr fontId="3" type="noConversion"/>
  </si>
  <si>
    <t>N전용대</t>
    <phoneticPr fontId="3" type="noConversion"/>
  </si>
  <si>
    <t>CA정진월</t>
    <phoneticPr fontId="4" type="noConversion"/>
  </si>
  <si>
    <t>CA정진월</t>
    <phoneticPr fontId="3" type="noConversion"/>
  </si>
  <si>
    <t>N정규설</t>
    <phoneticPr fontId="3" type="noConversion"/>
  </si>
  <si>
    <r>
      <rPr>
        <u/>
        <sz val="10"/>
        <rFont val="돋움"/>
        <family val="3"/>
        <charset val="129"/>
      </rPr>
      <t>N정창래2</t>
    </r>
    <r>
      <rPr>
        <sz val="10"/>
        <rFont val="돋움"/>
        <family val="3"/>
        <charset val="129"/>
      </rPr>
      <t xml:space="preserve">
N박경원2</t>
    </r>
    <phoneticPr fontId="4" type="noConversion"/>
  </si>
  <si>
    <t>N정창래2</t>
    <phoneticPr fontId="3" type="noConversion"/>
  </si>
  <si>
    <r>
      <t xml:space="preserve">N신인섭
</t>
    </r>
    <r>
      <rPr>
        <u/>
        <sz val="10"/>
        <rFont val="돋움"/>
        <family val="3"/>
        <charset val="129"/>
      </rPr>
      <t>N정진월</t>
    </r>
    <phoneticPr fontId="4" type="noConversion"/>
  </si>
  <si>
    <r>
      <t xml:space="preserve">N김형묵3
</t>
    </r>
    <r>
      <rPr>
        <u/>
        <sz val="10"/>
        <rFont val="돋움"/>
        <family val="3"/>
        <charset val="129"/>
      </rPr>
      <t>N정규설</t>
    </r>
    <phoneticPr fontId="4" type="noConversion"/>
  </si>
  <si>
    <t>RM이정임4</t>
    <phoneticPr fontId="3" type="noConversion"/>
  </si>
  <si>
    <t>RM이정임4</t>
    <phoneticPr fontId="3" type="noConversion"/>
  </si>
  <si>
    <r>
      <rPr>
        <b/>
        <u/>
        <sz val="10"/>
        <rFont val="돋움"/>
        <family val="3"/>
        <charset val="129"/>
      </rPr>
      <t>MM이정례3C</t>
    </r>
    <r>
      <rPr>
        <sz val="10"/>
        <rFont val="돋움"/>
        <family val="3"/>
        <charset val="129"/>
      </rPr>
      <t xml:space="preserve">
MM이정임4C
</t>
    </r>
    <r>
      <rPr>
        <b/>
        <u/>
        <sz val="10"/>
        <rFont val="돋움"/>
        <family val="3"/>
        <charset val="129"/>
      </rPr>
      <t xml:space="preserve">
MM유기분C</t>
    </r>
    <phoneticPr fontId="3" type="noConversion"/>
  </si>
  <si>
    <t xml:space="preserve">
MM김철기C
MM송진영C
</t>
    <phoneticPr fontId="3" type="noConversion"/>
  </si>
  <si>
    <t>김귀례(RG10,RA2,MM4)</t>
    <phoneticPr fontId="3" type="noConversion"/>
  </si>
  <si>
    <t>3층 재활센터 시간표     2025. 11. 03 (월)</t>
    <phoneticPr fontId="4" type="noConversion"/>
  </si>
  <si>
    <t>H7오정아A</t>
    <phoneticPr fontId="4" type="noConversion"/>
  </si>
  <si>
    <t xml:space="preserve">N김주식
</t>
    <phoneticPr fontId="3" type="noConversion"/>
  </si>
  <si>
    <t>RG이문호4</t>
    <phoneticPr fontId="3" type="noConversion"/>
  </si>
  <si>
    <t xml:space="preserve">전용대님 N7삭제 / 시간표 다시
곽홍기님 F1삭제 / 시간표 다시
윤동석2님 rtms 휴지기 (11/3~11/9)
송진영님 RM2삭제 RA2추가 / 시간표 다시
주현수2님 RM2삭제 RA2추가 / 시간표 다시
이영임님 오전오후 변경 / 시간표 다시
서정욱2님 RG2,RA2,MM4추가/ 시간표다시
이정임님 오전오후 시간변경 / 시간표 다시
</t>
    <phoneticPr fontId="3" type="noConversion"/>
  </si>
  <si>
    <t>강시내
(연차)</t>
    <phoneticPr fontId="4" type="noConversion"/>
  </si>
  <si>
    <t>김혜민
(연차)</t>
    <phoneticPr fontId="3" type="noConversion"/>
  </si>
  <si>
    <t>N신옥남</t>
    <phoneticPr fontId="3" type="noConversion"/>
  </si>
  <si>
    <t>RM유기분</t>
    <phoneticPr fontId="3" type="noConversion"/>
  </si>
  <si>
    <r>
      <t xml:space="preserve">MM오연숙C
</t>
    </r>
    <r>
      <rPr>
        <b/>
        <sz val="10"/>
        <color rgb="FFFF0000"/>
        <rFont val="돋움"/>
        <family val="3"/>
        <charset val="129"/>
      </rPr>
      <t>MM이문호4C</t>
    </r>
    <r>
      <rPr>
        <sz val="10"/>
        <rFont val="돋움"/>
        <family val="3"/>
        <charset val="129"/>
      </rPr>
      <t xml:space="preserve">
</t>
    </r>
    <r>
      <rPr>
        <b/>
        <u/>
        <sz val="10"/>
        <rFont val="돋움"/>
        <family val="3"/>
        <charset val="129"/>
      </rPr>
      <t>MM이재용2C</t>
    </r>
    <r>
      <rPr>
        <sz val="10"/>
        <rFont val="돋움"/>
        <family val="3"/>
        <charset val="129"/>
      </rPr>
      <t xml:space="preserve">
</t>
    </r>
    <phoneticPr fontId="3" type="noConversion"/>
  </si>
  <si>
    <t>MM이문호4C</t>
    <phoneticPr fontId="3" type="noConversion"/>
  </si>
  <si>
    <r>
      <rPr>
        <b/>
        <sz val="10"/>
        <color rgb="FFFF0000"/>
        <rFont val="돋움"/>
        <family val="3"/>
        <charset val="129"/>
      </rPr>
      <t>MM이강은C</t>
    </r>
    <r>
      <rPr>
        <sz val="10"/>
        <color rgb="FFFF0000"/>
        <rFont val="돋움"/>
        <family val="3"/>
        <charset val="129"/>
      </rPr>
      <t xml:space="preserve">
</t>
    </r>
    <r>
      <rPr>
        <sz val="10"/>
        <rFont val="돋움"/>
        <family val="3"/>
        <charset val="129"/>
      </rPr>
      <t>MM조남선T</t>
    </r>
    <r>
      <rPr>
        <sz val="10"/>
        <color rgb="FFFF0000"/>
        <rFont val="돋움"/>
        <family val="3"/>
        <charset val="129"/>
      </rPr>
      <t xml:space="preserve">
</t>
    </r>
    <r>
      <rPr>
        <sz val="10"/>
        <rFont val="돋움"/>
        <family val="3"/>
        <charset val="129"/>
      </rPr>
      <t xml:space="preserve">MM배희숙Tt
</t>
    </r>
    <r>
      <rPr>
        <b/>
        <u/>
        <sz val="10"/>
        <rFont val="돋움"/>
        <family val="3"/>
        <charset val="129"/>
      </rPr>
      <t>MM주현수2S</t>
    </r>
    <r>
      <rPr>
        <sz val="10"/>
        <rFont val="돋움"/>
        <family val="3"/>
        <charset val="129"/>
      </rPr>
      <t xml:space="preserve">
</t>
    </r>
    <phoneticPr fontId="3" type="noConversion"/>
  </si>
  <si>
    <t>MM이강은C</t>
    <phoneticPr fontId="3" type="noConversion"/>
  </si>
  <si>
    <t>MM서대성C</t>
  </si>
  <si>
    <r>
      <t xml:space="preserve">MM오연숙S
</t>
    </r>
    <r>
      <rPr>
        <sz val="10"/>
        <color rgb="FFFF0000"/>
        <rFont val="돋움"/>
        <family val="3"/>
        <charset val="129"/>
      </rPr>
      <t>MM윤미기자C</t>
    </r>
    <r>
      <rPr>
        <sz val="10"/>
        <rFont val="돋움"/>
        <family val="3"/>
        <charset val="129"/>
      </rPr>
      <t xml:space="preserve">
</t>
    </r>
    <r>
      <rPr>
        <b/>
        <u/>
        <sz val="10"/>
        <rFont val="돋움"/>
        <family val="3"/>
        <charset val="129"/>
      </rPr>
      <t>MM주현수2C</t>
    </r>
    <phoneticPr fontId="3" type="noConversion"/>
  </si>
  <si>
    <r>
      <rPr>
        <sz val="10"/>
        <color rgb="FFFF0000"/>
        <rFont val="돋움"/>
        <family val="3"/>
        <charset val="129"/>
      </rPr>
      <t>MM전효식C</t>
    </r>
    <r>
      <rPr>
        <sz val="10"/>
        <rFont val="돋움"/>
        <family val="3"/>
        <charset val="129"/>
      </rPr>
      <t xml:space="preserve">
MM서정욱2C
MM이문호4S
MM박미정4Tt</t>
    </r>
    <phoneticPr fontId="3" type="noConversion"/>
  </si>
  <si>
    <t>MM정명자5C</t>
  </si>
  <si>
    <r>
      <rPr>
        <sz val="10"/>
        <color rgb="FFFF0000"/>
        <rFont val="돋움"/>
        <family val="3"/>
        <charset val="129"/>
      </rPr>
      <t>MM정명자5C</t>
    </r>
    <r>
      <rPr>
        <sz val="10"/>
        <rFont val="돋움"/>
        <family val="3"/>
        <charset val="129"/>
      </rPr>
      <t xml:space="preserve">
</t>
    </r>
    <r>
      <rPr>
        <sz val="10"/>
        <color rgb="FFFF0000"/>
        <rFont val="돋움"/>
        <family val="3"/>
        <charset val="129"/>
      </rPr>
      <t>MM이정임4C</t>
    </r>
    <r>
      <rPr>
        <sz val="10"/>
        <rFont val="돋움"/>
        <family val="3"/>
        <charset val="129"/>
      </rPr>
      <t xml:space="preserve">
MM전효식C
MM김귀례C
</t>
    </r>
    <r>
      <rPr>
        <b/>
        <u/>
        <sz val="10"/>
        <rFont val="돋움"/>
        <family val="3"/>
        <charset val="129"/>
      </rPr>
      <t>MM이정례3S</t>
    </r>
    <phoneticPr fontId="3" type="noConversion"/>
  </si>
  <si>
    <r>
      <rPr>
        <b/>
        <sz val="10"/>
        <color rgb="FFFF0000"/>
        <rFont val="돋움"/>
        <family val="3"/>
        <charset val="129"/>
      </rPr>
      <t>MM서대성C</t>
    </r>
    <r>
      <rPr>
        <sz val="10"/>
        <rFont val="돋움"/>
        <family val="3"/>
        <charset val="129"/>
      </rPr>
      <t xml:space="preserve">
MM윤미기자C
</t>
    </r>
    <r>
      <rPr>
        <sz val="10"/>
        <color rgb="FFFF0000"/>
        <rFont val="돋움"/>
        <family val="3"/>
        <charset val="129"/>
      </rPr>
      <t>MM김영한2Tt</t>
    </r>
    <r>
      <rPr>
        <sz val="10"/>
        <rFont val="돋움"/>
        <family val="3"/>
        <charset val="129"/>
      </rPr>
      <t xml:space="preserve">
</t>
    </r>
    <phoneticPr fontId="3" type="noConversion"/>
  </si>
  <si>
    <t>MM김영한2Tt</t>
  </si>
  <si>
    <t>RG이문호4 2:05 -&gt; 3:50
김주식님 L7 13:30&gt;9:40</t>
    <phoneticPr fontId="3" type="noConversion"/>
  </si>
  <si>
    <t>RG오연숙</t>
    <phoneticPr fontId="3" type="noConversion"/>
  </si>
  <si>
    <t>RG이문호4</t>
    <phoneticPr fontId="3" type="noConversion"/>
  </si>
  <si>
    <t>RM이재용2</t>
    <phoneticPr fontId="3" type="noConversion"/>
  </si>
  <si>
    <t>RG오연숙</t>
    <phoneticPr fontId="3" type="noConversion"/>
  </si>
  <si>
    <t>N윤영섭</t>
    <phoneticPr fontId="3" type="noConversion"/>
  </si>
  <si>
    <t>10:15~
10:45</t>
    <phoneticPr fontId="4" type="noConversion"/>
  </si>
  <si>
    <t>박지원</t>
    <phoneticPr fontId="4" type="noConversion"/>
  </si>
  <si>
    <t>N김지윤7</t>
    <phoneticPr fontId="4" type="noConversion"/>
  </si>
  <si>
    <t>N윤동석2</t>
    <phoneticPr fontId="3" type="noConversion"/>
  </si>
  <si>
    <t>RN조남선</t>
    <phoneticPr fontId="3" type="noConversion"/>
  </si>
  <si>
    <t>N장광청</t>
    <phoneticPr fontId="3" type="noConversion"/>
  </si>
  <si>
    <t>RG김귀례</t>
    <phoneticPr fontId="3" type="noConversion"/>
  </si>
  <si>
    <t>N김복묵</t>
    <phoneticPr fontId="3" type="noConversion"/>
  </si>
  <si>
    <t>N오정아</t>
    <phoneticPr fontId="3" type="noConversion"/>
  </si>
  <si>
    <t>N김명숙19</t>
    <phoneticPr fontId="3" type="noConversion"/>
  </si>
  <si>
    <t>RM박미정4</t>
    <phoneticPr fontId="3" type="noConversion"/>
  </si>
  <si>
    <t>RG이강은</t>
    <phoneticPr fontId="3" type="noConversion"/>
  </si>
  <si>
    <t>N이영휘</t>
    <phoneticPr fontId="4" type="noConversion"/>
  </si>
  <si>
    <t>서지현</t>
    <phoneticPr fontId="4" type="noConversion"/>
  </si>
  <si>
    <t>RM윤미기자</t>
    <phoneticPr fontId="3" type="noConversion"/>
  </si>
  <si>
    <t>RG이두현</t>
    <phoneticPr fontId="3" type="noConversion"/>
  </si>
  <si>
    <t>RM전효식</t>
    <phoneticPr fontId="3" type="noConversion"/>
  </si>
  <si>
    <t>RG이문호4</t>
    <phoneticPr fontId="3" type="noConversion"/>
  </si>
  <si>
    <t>RM유기분</t>
    <phoneticPr fontId="3" type="noConversion"/>
  </si>
  <si>
    <t>RG김철기</t>
    <phoneticPr fontId="3" type="noConversion"/>
  </si>
  <si>
    <t>RM주현수2</t>
    <phoneticPr fontId="3" type="noConversion"/>
  </si>
  <si>
    <t>전지원</t>
    <phoneticPr fontId="4" type="noConversion"/>
  </si>
  <si>
    <t>RN이정임4</t>
    <phoneticPr fontId="3" type="noConversion"/>
  </si>
  <si>
    <t>RN송진영</t>
    <phoneticPr fontId="3" type="noConversion"/>
  </si>
  <si>
    <t>N이영임</t>
    <phoneticPr fontId="3" type="noConversion"/>
  </si>
  <si>
    <t>RN서대성</t>
    <phoneticPr fontId="3" type="noConversion"/>
  </si>
  <si>
    <t>RG오연숙</t>
    <phoneticPr fontId="3" type="noConversion"/>
  </si>
  <si>
    <t>RM김영한2</t>
    <phoneticPr fontId="3" type="noConversion"/>
  </si>
  <si>
    <t>N김문식3</t>
    <phoneticPr fontId="4" type="noConversion"/>
  </si>
  <si>
    <t>N신인섭</t>
    <phoneticPr fontId="3" type="noConversion"/>
  </si>
  <si>
    <t>N유용진</t>
    <phoneticPr fontId="3" type="noConversion"/>
  </si>
  <si>
    <t>RM송진영</t>
    <phoneticPr fontId="3" type="noConversion"/>
  </si>
  <si>
    <t>김효진</t>
    <phoneticPr fontId="4" type="noConversion"/>
  </si>
  <si>
    <t>RN김영한2</t>
    <phoneticPr fontId="3" type="noConversion"/>
  </si>
  <si>
    <t>RM서대성</t>
    <phoneticPr fontId="3" type="noConversion"/>
  </si>
  <si>
    <t>N변종구</t>
    <phoneticPr fontId="3" type="noConversion"/>
  </si>
  <si>
    <t>RN이재용2</t>
    <phoneticPr fontId="3" type="noConversion"/>
  </si>
  <si>
    <t>N전용대</t>
    <phoneticPr fontId="3" type="noConversion"/>
  </si>
  <si>
    <t>RM이정임4</t>
    <phoneticPr fontId="3" type="noConversion"/>
  </si>
  <si>
    <t>김혜민</t>
    <phoneticPr fontId="3" type="noConversion"/>
  </si>
  <si>
    <t>RM이정례3</t>
    <phoneticPr fontId="3" type="noConversion"/>
  </si>
  <si>
    <t>N곽홍기</t>
    <phoneticPr fontId="4" type="noConversion"/>
  </si>
  <si>
    <t>N신옥남</t>
    <phoneticPr fontId="3" type="noConversion"/>
  </si>
  <si>
    <t>N윤영섭</t>
    <phoneticPr fontId="4" type="noConversion"/>
  </si>
  <si>
    <t>RM조남선</t>
    <phoneticPr fontId="3" type="noConversion"/>
  </si>
  <si>
    <t>* 변경사항</t>
    <phoneticPr fontId="4" type="noConversion"/>
  </si>
  <si>
    <t>공혜빈</t>
    <phoneticPr fontId="4" type="noConversion"/>
  </si>
  <si>
    <t>MM이정례3C</t>
    <phoneticPr fontId="3" type="noConversion"/>
  </si>
  <si>
    <t>N조태은</t>
    <phoneticPr fontId="3" type="noConversion"/>
  </si>
  <si>
    <t>N김형묵3</t>
    <phoneticPr fontId="3" type="noConversion"/>
  </si>
  <si>
    <t xml:space="preserve">
N7오정아B</t>
    <phoneticPr fontId="3" type="noConversion"/>
  </si>
  <si>
    <t>N이흥식</t>
    <phoneticPr fontId="3" type="noConversion"/>
  </si>
  <si>
    <t>N송영연</t>
    <phoneticPr fontId="3" type="noConversion"/>
  </si>
  <si>
    <t>권도희</t>
    <phoneticPr fontId="4" type="noConversion"/>
  </si>
  <si>
    <t>MM이재용2C</t>
    <phoneticPr fontId="3" type="noConversion"/>
  </si>
  <si>
    <t>N이수길</t>
    <phoneticPr fontId="3" type="noConversion"/>
  </si>
  <si>
    <t>RG이강은</t>
    <phoneticPr fontId="3" type="noConversion"/>
  </si>
  <si>
    <t>N이명덕</t>
    <phoneticPr fontId="3" type="noConversion"/>
  </si>
  <si>
    <t>N오치영</t>
    <phoneticPr fontId="3" type="noConversion"/>
  </si>
  <si>
    <t>N정진월</t>
    <phoneticPr fontId="3" type="noConversion"/>
  </si>
  <si>
    <t>N유해진</t>
    <phoneticPr fontId="3" type="noConversion"/>
  </si>
  <si>
    <t>김은채</t>
    <phoneticPr fontId="4" type="noConversion"/>
  </si>
  <si>
    <t>N정규설</t>
    <phoneticPr fontId="3" type="noConversion"/>
  </si>
  <si>
    <t>N윤영섭</t>
    <phoneticPr fontId="3" type="noConversion"/>
  </si>
  <si>
    <t>N권음전</t>
    <phoneticPr fontId="3" type="noConversion"/>
  </si>
  <si>
    <t>RM이재용2</t>
    <phoneticPr fontId="3" type="noConversion"/>
  </si>
  <si>
    <t>RG오연숙</t>
    <phoneticPr fontId="3" type="noConversion"/>
  </si>
  <si>
    <t>N홍우표2</t>
    <phoneticPr fontId="3" type="noConversion"/>
  </si>
  <si>
    <t>N김진현2</t>
    <phoneticPr fontId="3" type="noConversion"/>
  </si>
  <si>
    <t>N이재남4</t>
    <phoneticPr fontId="4" type="noConversion"/>
  </si>
  <si>
    <t>N김지윤7</t>
    <phoneticPr fontId="3" type="noConversion"/>
  </si>
  <si>
    <t>배서현</t>
    <phoneticPr fontId="4" type="noConversion"/>
  </si>
  <si>
    <t>N정규설</t>
    <phoneticPr fontId="3" type="noConversion"/>
  </si>
  <si>
    <t>N정창래2</t>
    <phoneticPr fontId="3" type="noConversion"/>
  </si>
  <si>
    <t>N이동열</t>
    <phoneticPr fontId="3" type="noConversion"/>
  </si>
  <si>
    <t>N이재남4</t>
    <phoneticPr fontId="3" type="noConversion"/>
  </si>
  <si>
    <t>RN주현수2</t>
    <phoneticPr fontId="3" type="noConversion"/>
  </si>
  <si>
    <t>RN박미정4</t>
    <phoneticPr fontId="3" type="noConversion"/>
  </si>
  <si>
    <t>N김봉예</t>
    <phoneticPr fontId="3" type="noConversion"/>
  </si>
  <si>
    <t>N박경원2</t>
    <phoneticPr fontId="4" type="noConversion"/>
  </si>
  <si>
    <t>홍유진</t>
    <phoneticPr fontId="3" type="noConversion"/>
  </si>
  <si>
    <t>N전용대</t>
    <phoneticPr fontId="3" type="noConversion"/>
  </si>
  <si>
    <t>N김주식</t>
    <phoneticPr fontId="3" type="noConversion"/>
  </si>
  <si>
    <t>N유해진</t>
    <phoneticPr fontId="3" type="noConversion"/>
  </si>
  <si>
    <t>N이순희5</t>
    <phoneticPr fontId="3" type="noConversion"/>
  </si>
  <si>
    <t>N정창래2</t>
    <phoneticPr fontId="3" type="noConversion"/>
  </si>
  <si>
    <t>RG이문호4</t>
    <phoneticPr fontId="3" type="noConversion"/>
  </si>
  <si>
    <t>최지영</t>
    <phoneticPr fontId="4" type="noConversion"/>
  </si>
  <si>
    <t>RM유기분</t>
    <phoneticPr fontId="3" type="noConversion"/>
  </si>
  <si>
    <t>RG서정욱2</t>
    <phoneticPr fontId="3" type="noConversion"/>
  </si>
  <si>
    <t>RM윤미기자</t>
    <phoneticPr fontId="3" type="noConversion"/>
  </si>
  <si>
    <t>한상호</t>
    <phoneticPr fontId="4" type="noConversion"/>
  </si>
  <si>
    <t>N유영만</t>
    <phoneticPr fontId="3" type="noConversion"/>
  </si>
  <si>
    <t>RG김귀례</t>
    <phoneticPr fontId="3" type="noConversion"/>
  </si>
  <si>
    <t>N김진학</t>
    <phoneticPr fontId="3" type="noConversion"/>
  </si>
  <si>
    <t>D이순희5V</t>
    <phoneticPr fontId="3" type="noConversion"/>
  </si>
  <si>
    <t>CA이흥식</t>
    <phoneticPr fontId="4" type="noConversion"/>
  </si>
  <si>
    <t>RA윤미기자</t>
    <phoneticPr fontId="3" type="noConversion"/>
  </si>
  <si>
    <t>D곽홍기</t>
    <phoneticPr fontId="4" type="noConversion"/>
  </si>
  <si>
    <t>CA변종구</t>
    <phoneticPr fontId="3" type="noConversion"/>
  </si>
  <si>
    <t>RA서대성</t>
    <phoneticPr fontId="3" type="noConversion"/>
  </si>
  <si>
    <t>C오치영
C이수길</t>
    <phoneticPr fontId="3" type="noConversion"/>
  </si>
  <si>
    <t>RA주현수2</t>
    <phoneticPr fontId="3" type="noConversion"/>
  </si>
  <si>
    <t>김경옥</t>
    <phoneticPr fontId="4" type="noConversion"/>
  </si>
  <si>
    <t>CA송영연</t>
    <phoneticPr fontId="3" type="noConversion"/>
  </si>
  <si>
    <t>D정진월</t>
    <phoneticPr fontId="3" type="noConversion"/>
  </si>
  <si>
    <t>CA권음전</t>
    <phoneticPr fontId="3" type="noConversion"/>
  </si>
  <si>
    <t>RA오연숙</t>
    <phoneticPr fontId="3" type="noConversion"/>
  </si>
  <si>
    <t>RD정명자5</t>
    <phoneticPr fontId="3" type="noConversion"/>
  </si>
  <si>
    <t>H박경원2</t>
    <phoneticPr fontId="3" type="noConversion"/>
  </si>
  <si>
    <t>RA이두현</t>
    <phoneticPr fontId="3" type="noConversion"/>
  </si>
  <si>
    <t>C유용진
C이재남4</t>
    <phoneticPr fontId="3" type="noConversion"/>
  </si>
  <si>
    <t>RA이재용2</t>
    <phoneticPr fontId="3" type="noConversion"/>
  </si>
  <si>
    <t>CA윤동석2</t>
    <phoneticPr fontId="3" type="noConversion"/>
  </si>
  <si>
    <t>D유해진V</t>
    <phoneticPr fontId="3" type="noConversion"/>
  </si>
  <si>
    <t>정지우</t>
    <phoneticPr fontId="4" type="noConversion"/>
  </si>
  <si>
    <t>CA장광청</t>
    <phoneticPr fontId="3" type="noConversion"/>
  </si>
  <si>
    <t>CA오치영</t>
    <phoneticPr fontId="3" type="noConversion"/>
  </si>
  <si>
    <t>CA오정아</t>
    <phoneticPr fontId="4" type="noConversion"/>
  </si>
  <si>
    <t>RA김철기</t>
    <phoneticPr fontId="3" type="noConversion"/>
  </si>
  <si>
    <t>RS송진영</t>
    <phoneticPr fontId="3" type="noConversion"/>
  </si>
  <si>
    <t>CA김형묵3</t>
    <phoneticPr fontId="3" type="noConversion"/>
  </si>
  <si>
    <t>CA이영임</t>
    <phoneticPr fontId="3" type="noConversion"/>
  </si>
  <si>
    <t>RD윤미기자</t>
    <phoneticPr fontId="3" type="noConversion"/>
  </si>
  <si>
    <t>CA곽홍기</t>
    <phoneticPr fontId="4" type="noConversion"/>
  </si>
  <si>
    <t>RA서정욱2</t>
    <phoneticPr fontId="3" type="noConversion"/>
  </si>
  <si>
    <t>* 퇴원 및 HOLD</t>
    <phoneticPr fontId="3" type="noConversion"/>
  </si>
  <si>
    <t>문희연</t>
    <phoneticPr fontId="4" type="noConversion"/>
  </si>
  <si>
    <t>RS유기분</t>
    <phoneticPr fontId="3" type="noConversion"/>
  </si>
  <si>
    <t>CA김문식3</t>
    <phoneticPr fontId="4" type="noConversion"/>
  </si>
  <si>
    <t>CA전용대</t>
    <phoneticPr fontId="3" type="noConversion"/>
  </si>
  <si>
    <t>소아</t>
    <phoneticPr fontId="3" type="noConversion"/>
  </si>
  <si>
    <t>김유정</t>
    <phoneticPr fontId="3" type="noConversion"/>
  </si>
  <si>
    <t>RA배희숙</t>
    <phoneticPr fontId="3" type="noConversion"/>
  </si>
  <si>
    <t>C유해진
C신옥남</t>
    <phoneticPr fontId="3" type="noConversion"/>
  </si>
  <si>
    <t>D홍우표2V</t>
    <phoneticPr fontId="4" type="noConversion"/>
  </si>
  <si>
    <t>RD이문호4</t>
    <phoneticPr fontId="3" type="noConversion"/>
  </si>
  <si>
    <t>D이영휘V</t>
    <phoneticPr fontId="4" type="noConversion"/>
  </si>
  <si>
    <t>CA김명숙19</t>
    <phoneticPr fontId="3" type="noConversion"/>
  </si>
  <si>
    <t>CA유영만</t>
    <phoneticPr fontId="3" type="noConversion"/>
  </si>
  <si>
    <t>RA송진영</t>
    <phoneticPr fontId="3" type="noConversion"/>
  </si>
  <si>
    <t>정유진</t>
    <phoneticPr fontId="4" type="noConversion"/>
  </si>
  <si>
    <t>단축근무</t>
    <phoneticPr fontId="4" type="noConversion"/>
  </si>
  <si>
    <t>CA김복묵</t>
    <phoneticPr fontId="3" type="noConversion"/>
  </si>
  <si>
    <t>RD이정례3</t>
    <phoneticPr fontId="3" type="noConversion"/>
  </si>
  <si>
    <t>CA조태은</t>
    <phoneticPr fontId="3" type="noConversion"/>
  </si>
  <si>
    <t>RA주현수2</t>
    <phoneticPr fontId="4" type="noConversion"/>
  </si>
  <si>
    <t>CA이영휘</t>
    <phoneticPr fontId="3" type="noConversion"/>
  </si>
  <si>
    <t>RS박미정4</t>
    <phoneticPr fontId="3" type="noConversion"/>
  </si>
  <si>
    <t>CA이동열</t>
    <phoneticPr fontId="3" type="noConversion"/>
  </si>
  <si>
    <t>CA신옥남</t>
    <phoneticPr fontId="3" type="noConversion"/>
  </si>
  <si>
    <t>D이명덕V</t>
    <phoneticPr fontId="3" type="noConversion"/>
  </si>
  <si>
    <t>단축근무</t>
    <phoneticPr fontId="4" type="noConversion"/>
  </si>
  <si>
    <t>양은주</t>
    <phoneticPr fontId="4" type="noConversion"/>
  </si>
  <si>
    <t>D정창래2</t>
    <phoneticPr fontId="3" type="noConversion"/>
  </si>
  <si>
    <t>C변종구
C김지윤7</t>
    <phoneticPr fontId="3" type="noConversion"/>
  </si>
  <si>
    <t>CA채남순</t>
    <phoneticPr fontId="3" type="noConversion"/>
  </si>
  <si>
    <t>CA김진현2</t>
    <phoneticPr fontId="3" type="noConversion"/>
  </si>
  <si>
    <t>C김명숙19
C곽홍기</t>
    <phoneticPr fontId="3" type="noConversion"/>
  </si>
  <si>
    <t>C이영휘
C윤영섭</t>
    <phoneticPr fontId="3" type="noConversion"/>
  </si>
  <si>
    <t>* 당일시간변경</t>
    <phoneticPr fontId="3" type="noConversion"/>
  </si>
  <si>
    <t>서한별</t>
    <phoneticPr fontId="4" type="noConversion"/>
  </si>
  <si>
    <t>MM유기분C</t>
    <phoneticPr fontId="3" type="noConversion"/>
  </si>
  <si>
    <t>D오정아V</t>
    <phoneticPr fontId="4" type="noConversion"/>
  </si>
  <si>
    <t>RS전효식</t>
    <phoneticPr fontId="3" type="noConversion"/>
  </si>
  <si>
    <t>RD이재용2</t>
    <phoneticPr fontId="3" type="noConversion"/>
  </si>
  <si>
    <t>RA이두현</t>
    <phoneticPr fontId="3" type="noConversion"/>
  </si>
  <si>
    <t>RA박미정4</t>
    <phoneticPr fontId="3" type="noConversion"/>
  </si>
  <si>
    <t>CA이수길</t>
    <phoneticPr fontId="3" type="noConversion"/>
  </si>
  <si>
    <t>CA김지윤7</t>
    <phoneticPr fontId="3" type="noConversion"/>
  </si>
  <si>
    <t xml:space="preserve">C오정아
</t>
    <phoneticPr fontId="3" type="noConversion"/>
  </si>
  <si>
    <t>D윤영섭V</t>
    <phoneticPr fontId="3" type="noConversion"/>
  </si>
  <si>
    <t>MM주현수2S</t>
    <phoneticPr fontId="3" type="noConversion"/>
  </si>
  <si>
    <t>CA이명덕</t>
    <phoneticPr fontId="3" type="noConversion"/>
  </si>
  <si>
    <t>R주현수2D</t>
    <phoneticPr fontId="3" type="noConversion"/>
  </si>
  <si>
    <t>RS이정임4</t>
    <phoneticPr fontId="3" type="noConversion"/>
  </si>
  <si>
    <t>RA조남선</t>
    <phoneticPr fontId="3" type="noConversion"/>
  </si>
  <si>
    <t>RD서정욱2</t>
    <phoneticPr fontId="3" type="noConversion"/>
  </si>
  <si>
    <t>안순재</t>
    <phoneticPr fontId="4" type="noConversion"/>
  </si>
  <si>
    <t>간호간병</t>
    <phoneticPr fontId="4" type="noConversion"/>
  </si>
  <si>
    <t>RD서정욱2</t>
    <phoneticPr fontId="3" type="noConversion"/>
  </si>
  <si>
    <t>RA서대성</t>
    <phoneticPr fontId="3" type="noConversion"/>
  </si>
  <si>
    <t>CA김진학</t>
    <phoneticPr fontId="3" type="noConversion"/>
  </si>
  <si>
    <t>CA정창래2</t>
    <phoneticPr fontId="3" type="noConversion"/>
  </si>
  <si>
    <t>CA윤영섭</t>
    <phoneticPr fontId="3" type="noConversion"/>
  </si>
  <si>
    <t>계장</t>
    <phoneticPr fontId="3" type="noConversion"/>
  </si>
  <si>
    <t>RA이정임4</t>
    <phoneticPr fontId="3" type="noConversion"/>
  </si>
  <si>
    <t>RA김영한2</t>
    <phoneticPr fontId="3" type="noConversion"/>
  </si>
  <si>
    <t>RA이강은</t>
    <phoneticPr fontId="3" type="noConversion"/>
  </si>
  <si>
    <t>김선영</t>
    <phoneticPr fontId="3" type="noConversion"/>
  </si>
  <si>
    <t>RN윤미기자</t>
    <phoneticPr fontId="3" type="noConversion"/>
  </si>
  <si>
    <t>RN이정례3</t>
    <phoneticPr fontId="3" type="noConversion"/>
  </si>
  <si>
    <t>추가치료</t>
    <phoneticPr fontId="3" type="noConversion"/>
  </si>
  <si>
    <t>RG이강은</t>
    <phoneticPr fontId="3" type="noConversion"/>
  </si>
  <si>
    <t>이다한</t>
    <phoneticPr fontId="4" type="noConversion"/>
  </si>
  <si>
    <t>M김형묵3C
M전용대C
M곽홍기C
M이흥식S</t>
    <phoneticPr fontId="4" type="noConversion"/>
  </si>
  <si>
    <t>M장광청C
M김복묵C
M오정아C
M정규설S
TT박경원2Tt
M이동열Tt</t>
    <phoneticPr fontId="4" type="noConversion"/>
  </si>
  <si>
    <t>M유영만C
M정창래2C
M김지윤7C
M오치영C
M신옥남S
M정진월CPM</t>
    <phoneticPr fontId="4" type="noConversion"/>
  </si>
  <si>
    <r>
      <t>M김문식3C
M김봉예C
M신인섭C</t>
    </r>
    <r>
      <rPr>
        <sz val="10"/>
        <rFont val="돋움"/>
        <family val="3"/>
        <charset val="129"/>
      </rPr>
      <t xml:space="preserve">
M윤영섭C</t>
    </r>
    <r>
      <rPr>
        <sz val="10"/>
        <color theme="1"/>
        <rFont val="돋움"/>
        <family val="3"/>
        <charset val="129"/>
      </rPr>
      <t xml:space="preserve">
M김명숙19T
M이명덕S
M이순희5M</t>
    </r>
    <phoneticPr fontId="4" type="noConversion"/>
  </si>
  <si>
    <t xml:space="preserve">M이수길C
M이영휘C
M변종구C
G박경원2S
M권음전M
M유해진Tt
M이재남4CPM
</t>
    <phoneticPr fontId="4" type="noConversion"/>
  </si>
  <si>
    <t>M김주식C
M송영연C
M채남순S
M조태은S
M김진현2T
M유해진M
M홍우표2Tt
M이영임Tt</t>
    <phoneticPr fontId="4" type="noConversion"/>
  </si>
  <si>
    <t>M이흥식C
M김명숙19C
M기상우C
M유용진S
M윤동석2S
M김진학Tt</t>
    <phoneticPr fontId="4" type="noConversion"/>
  </si>
  <si>
    <t xml:space="preserve">M김복묵C
M송영연C
M윤동석2C
M신옥남C
M곽홍기C
M김진학M
M채남순S
</t>
    <phoneticPr fontId="4" type="noConversion"/>
  </si>
  <si>
    <t>M김형묵3C
M이영휘C
M장광청T
M김주식S
M유영만Tt</t>
    <phoneticPr fontId="4" type="noConversion"/>
  </si>
  <si>
    <t>M이명덕C
M정규설C
M김진현2C
M변종구C
M이수길S
M오정아S
M권음전M
M조태은Tt</t>
    <phoneticPr fontId="4" type="noConversion"/>
  </si>
  <si>
    <t>M김봉예C
M김지윤7C
M정창래2C
M이재남4S
M신인섭T
M이동열Tt
M이영임Tt
M이순희5M
M정진월CPM</t>
    <phoneticPr fontId="4" type="noConversion"/>
  </si>
  <si>
    <t>M김문식3C
M오치영C
M유용진C
M윤영섭C
M전용대S
M홍우표2Tt
G박경원2Tt</t>
    <phoneticPr fontId="4" type="noConversion"/>
  </si>
  <si>
    <t>MM김귀례C
MM정명자5Tt
MM이두현C</t>
    <phoneticPr fontId="3" type="noConversion"/>
  </si>
  <si>
    <r>
      <rPr>
        <sz val="10"/>
        <color rgb="FFFF0000"/>
        <rFont val="돋움"/>
        <family val="3"/>
        <charset val="129"/>
      </rPr>
      <t>MM전효식C</t>
    </r>
    <r>
      <rPr>
        <sz val="10"/>
        <rFont val="돋움"/>
        <family val="3"/>
        <charset val="129"/>
      </rPr>
      <t xml:space="preserve">
MM서정욱2C
MM이문호4S
MM박미정4Tt</t>
    </r>
    <phoneticPr fontId="3" type="noConversion"/>
  </si>
  <si>
    <r>
      <rPr>
        <b/>
        <u/>
        <sz val="10"/>
        <rFont val="돋움"/>
        <family val="3"/>
        <charset val="129"/>
      </rPr>
      <t>MM이정례3C</t>
    </r>
    <r>
      <rPr>
        <sz val="10"/>
        <rFont val="돋움"/>
        <family val="3"/>
        <charset val="129"/>
      </rPr>
      <t xml:space="preserve">
MM이정임4C
</t>
    </r>
    <r>
      <rPr>
        <b/>
        <u/>
        <sz val="10"/>
        <rFont val="돋움"/>
        <family val="3"/>
        <charset val="129"/>
      </rPr>
      <t xml:space="preserve">
MM유기분C</t>
    </r>
    <phoneticPr fontId="3" type="noConversion"/>
  </si>
  <si>
    <t xml:space="preserve">
MM김철기C
MM송진영C
</t>
    <phoneticPr fontId="3" type="noConversion"/>
  </si>
  <si>
    <t>MM 변경 미희망 :  주현수2님</t>
    <phoneticPr fontId="3" type="noConversion"/>
  </si>
  <si>
    <t>강시내</t>
    <phoneticPr fontId="4" type="noConversion"/>
  </si>
  <si>
    <t>단축근무</t>
    <phoneticPr fontId="4" type="noConversion"/>
  </si>
  <si>
    <t xml:space="preserve">
F정규설
F이영휘
F변종구</t>
    <phoneticPr fontId="4" type="noConversion"/>
  </si>
  <si>
    <t>F김복묵
F김주식
F이수길
F김지윤7
F오치영</t>
    <phoneticPr fontId="4" type="noConversion"/>
  </si>
  <si>
    <t>F김진학
F송영연
F전용대
F유용진</t>
    <phoneticPr fontId="4" type="noConversion"/>
  </si>
  <si>
    <t>F윤동석2
F유영만
F정창래2</t>
    <phoneticPr fontId="4" type="noConversion"/>
  </si>
  <si>
    <t>F이명덕
F유해진
F이재남4
F김진현2</t>
    <phoneticPr fontId="4" type="noConversion"/>
  </si>
  <si>
    <t>F장광청
F신인섭
F정진월
F유해진</t>
    <phoneticPr fontId="4" type="noConversion"/>
  </si>
  <si>
    <t>F조태은
F이흥식
F이순희5
F윤영섭
F곽홍기</t>
    <phoneticPr fontId="4" type="noConversion"/>
  </si>
  <si>
    <t>F김형묵3
F김봉예
F이동열
F이영임
F김명숙19</t>
    <phoneticPr fontId="4" type="noConversion"/>
  </si>
  <si>
    <t>F오정아
F권음전
F박경원2
F신옥남
F홍우표2</t>
    <phoneticPr fontId="4" type="noConversion"/>
  </si>
  <si>
    <t>추가</t>
    <phoneticPr fontId="4" type="noConversion"/>
  </si>
  <si>
    <t>NDT</t>
    <phoneticPr fontId="4" type="noConversion"/>
  </si>
  <si>
    <t>N유영만
N김진현2</t>
    <phoneticPr fontId="4" type="noConversion"/>
  </si>
  <si>
    <t>N이영임
N조태은</t>
    <phoneticPr fontId="4" type="noConversion"/>
  </si>
  <si>
    <t>N송영연
N장광청</t>
    <phoneticPr fontId="4" type="noConversion"/>
  </si>
  <si>
    <r>
      <t xml:space="preserve">N김형묵3
</t>
    </r>
    <r>
      <rPr>
        <u/>
        <sz val="10"/>
        <rFont val="돋움"/>
        <family val="3"/>
        <charset val="129"/>
      </rPr>
      <t>N정규설</t>
    </r>
    <phoneticPr fontId="4" type="noConversion"/>
  </si>
  <si>
    <r>
      <t xml:space="preserve">N신인섭
</t>
    </r>
    <r>
      <rPr>
        <u/>
        <sz val="10"/>
        <rFont val="돋움"/>
        <family val="3"/>
        <charset val="129"/>
      </rPr>
      <t>N정진월</t>
    </r>
    <phoneticPr fontId="4" type="noConversion"/>
  </si>
  <si>
    <t>N김문식3</t>
    <phoneticPr fontId="4" type="noConversion"/>
  </si>
  <si>
    <t>N권음전
N김복묵</t>
    <phoneticPr fontId="4" type="noConversion"/>
  </si>
  <si>
    <t>N이순희5
N이동열</t>
    <phoneticPr fontId="3" type="noConversion"/>
  </si>
  <si>
    <t>N채남순
N김봉예</t>
    <phoneticPr fontId="4" type="noConversion"/>
  </si>
  <si>
    <r>
      <rPr>
        <u/>
        <sz val="10"/>
        <rFont val="돋움"/>
        <family val="3"/>
        <charset val="129"/>
      </rPr>
      <t>N정창래2</t>
    </r>
    <r>
      <rPr>
        <sz val="10"/>
        <rFont val="돋움"/>
        <family val="3"/>
        <charset val="129"/>
      </rPr>
      <t xml:space="preserve">
N박경원2</t>
    </r>
    <phoneticPr fontId="4" type="noConversion"/>
  </si>
  <si>
    <r>
      <rPr>
        <u/>
        <sz val="10"/>
        <rFont val="돋움"/>
        <family val="3"/>
        <charset val="129"/>
      </rPr>
      <t>N김주식</t>
    </r>
    <r>
      <rPr>
        <sz val="10"/>
        <rFont val="돋움"/>
        <family val="3"/>
        <charset val="129"/>
      </rPr>
      <t xml:space="preserve">
</t>
    </r>
    <phoneticPr fontId="3" type="noConversion"/>
  </si>
  <si>
    <t>N윤동석2</t>
    <phoneticPr fontId="3" type="noConversion"/>
  </si>
  <si>
    <t>N전용대</t>
    <phoneticPr fontId="3" type="noConversion"/>
  </si>
  <si>
    <t xml:space="preserve">
</t>
    <phoneticPr fontId="4" type="noConversion"/>
  </si>
  <si>
    <t>N이명덕</t>
    <phoneticPr fontId="3" type="noConversion"/>
  </si>
  <si>
    <t xml:space="preserve">
</t>
    <phoneticPr fontId="3" type="noConversion"/>
  </si>
  <si>
    <t>CA정진월</t>
    <phoneticPr fontId="4" type="noConversion"/>
  </si>
  <si>
    <t>CA홍우표</t>
    <phoneticPr fontId="3" type="noConversion"/>
  </si>
  <si>
    <t>CA이순희5</t>
    <phoneticPr fontId="4" type="noConversion"/>
  </si>
  <si>
    <t>D</t>
    <phoneticPr fontId="4" type="noConversion"/>
  </si>
  <si>
    <t>D정창래2
D이순희5</t>
    <phoneticPr fontId="3" type="noConversion"/>
  </si>
  <si>
    <t>D이명덕</t>
    <phoneticPr fontId="4" type="noConversion"/>
  </si>
  <si>
    <t>D이영임
D홍우표2
D오정아</t>
    <phoneticPr fontId="3" type="noConversion"/>
  </si>
  <si>
    <t xml:space="preserve">D김복묵
</t>
    <phoneticPr fontId="3" type="noConversion"/>
  </si>
  <si>
    <t xml:space="preserve">
D권음전</t>
    <phoneticPr fontId="3" type="noConversion"/>
  </si>
  <si>
    <t>D유영만
D곽홍기</t>
    <phoneticPr fontId="4" type="noConversion"/>
  </si>
  <si>
    <t xml:space="preserve">
D이영임
D윤영섭</t>
    <phoneticPr fontId="4" type="noConversion"/>
  </si>
  <si>
    <t xml:space="preserve">
D유해진</t>
    <phoneticPr fontId="4" type="noConversion"/>
  </si>
  <si>
    <t>D김복묵
D정진월</t>
    <phoneticPr fontId="4" type="noConversion"/>
  </si>
  <si>
    <t>D김문식3</t>
    <phoneticPr fontId="3" type="noConversion"/>
  </si>
  <si>
    <t>D권음전
D유영만</t>
    <phoneticPr fontId="4" type="noConversion"/>
  </si>
  <si>
    <t>C채남순</t>
    <phoneticPr fontId="4" type="noConversion"/>
  </si>
  <si>
    <t xml:space="preserve">
C신인섭</t>
    <phoneticPr fontId="4" type="noConversion"/>
  </si>
  <si>
    <t>C박경원2
C이순희5
C조태은</t>
    <phoneticPr fontId="4" type="noConversion"/>
  </si>
  <si>
    <t>C이동열
C윤동석2</t>
    <phoneticPr fontId="3" type="noConversion"/>
  </si>
  <si>
    <t>C정창래2
C장광청</t>
    <phoneticPr fontId="4" type="noConversion"/>
  </si>
  <si>
    <t xml:space="preserve">
C정진월</t>
    <phoneticPr fontId="4" type="noConversion"/>
  </si>
  <si>
    <t>C김문식3
C김형묵3</t>
    <phoneticPr fontId="4" type="noConversion"/>
  </si>
  <si>
    <t>C권음전
C이명덕
C전용대</t>
    <phoneticPr fontId="4" type="noConversion"/>
  </si>
  <si>
    <t>C이영임
C정규설
C김진현2</t>
    <phoneticPr fontId="3" type="noConversion"/>
  </si>
  <si>
    <t xml:space="preserve">
C홍우표2</t>
    <phoneticPr fontId="4" type="noConversion"/>
  </si>
  <si>
    <t>C유영만
C김복묵</t>
    <phoneticPr fontId="4" type="noConversion"/>
  </si>
  <si>
    <t>C송영연
C김봉예</t>
    <phoneticPr fontId="4" type="noConversion"/>
  </si>
  <si>
    <t>10:50~
11:20</t>
    <phoneticPr fontId="4" type="noConversion"/>
  </si>
  <si>
    <t>주현수2</t>
    <phoneticPr fontId="3" type="noConversion"/>
  </si>
  <si>
    <t>이두현</t>
    <phoneticPr fontId="3" type="noConversion"/>
  </si>
  <si>
    <t>로봇 /
 RG2-R</t>
    <phoneticPr fontId="4" type="noConversion"/>
  </si>
  <si>
    <t>배희숙</t>
    <phoneticPr fontId="3" type="noConversion"/>
  </si>
  <si>
    <t>김봉예(A)
오정아(B)
이정임4</t>
    <phoneticPr fontId="3" type="noConversion"/>
  </si>
  <si>
    <t>오정아(A)
김형묵3(B)</t>
    <phoneticPr fontId="3" type="noConversion"/>
  </si>
  <si>
    <t>주현수2
김복묵(A)</t>
    <phoneticPr fontId="3" type="noConversion"/>
  </si>
  <si>
    <t>전산화인지</t>
    <phoneticPr fontId="4" type="noConversion"/>
  </si>
  <si>
    <t>RD김귀례</t>
    <phoneticPr fontId="3" type="noConversion"/>
  </si>
  <si>
    <t>3층 재활센터 시간표     2025. 11. 04 (화)</t>
    <phoneticPr fontId="4" type="noConversion"/>
  </si>
  <si>
    <t>김효진
(연차)</t>
    <phoneticPr fontId="4" type="noConversion"/>
  </si>
  <si>
    <t>문희연
(연차)</t>
    <phoneticPr fontId="4" type="noConversion"/>
  </si>
  <si>
    <t>CA유해진</t>
    <phoneticPr fontId="3" type="noConversion"/>
  </si>
  <si>
    <t>MM이강은C</t>
    <phoneticPr fontId="3" type="noConversion"/>
  </si>
  <si>
    <t>H7윤동석2B</t>
    <phoneticPr fontId="4" type="noConversion"/>
  </si>
  <si>
    <t>H7김형묵3B</t>
    <phoneticPr fontId="4" type="noConversion"/>
  </si>
  <si>
    <t>MM윤미기자C</t>
    <phoneticPr fontId="3" type="noConversion"/>
  </si>
  <si>
    <r>
      <rPr>
        <b/>
        <sz val="10"/>
        <color rgb="FFFF0000"/>
        <rFont val="돋움"/>
        <family val="3"/>
        <charset val="129"/>
      </rPr>
      <t>MM서정욱2C</t>
    </r>
    <r>
      <rPr>
        <sz val="10"/>
        <rFont val="돋움"/>
        <family val="3"/>
        <charset val="129"/>
      </rPr>
      <t xml:space="preserve">
MM박미정4M
MM이두현S
</t>
    </r>
    <r>
      <rPr>
        <b/>
        <u/>
        <sz val="10"/>
        <rFont val="돋움"/>
        <family val="3"/>
        <charset val="129"/>
      </rPr>
      <t>MM유기분C</t>
    </r>
    <phoneticPr fontId="3" type="noConversion"/>
  </si>
  <si>
    <t>MM서정욱2C</t>
    <phoneticPr fontId="3" type="noConversion"/>
  </si>
  <si>
    <t xml:space="preserve">MM이강은C
MM김철기C
MM김영한2Tt
MM서대성S
</t>
    <phoneticPr fontId="3" type="noConversion"/>
  </si>
  <si>
    <r>
      <t xml:space="preserve">MM송진영C
MM조남선S
</t>
    </r>
    <r>
      <rPr>
        <b/>
        <u/>
        <sz val="10"/>
        <rFont val="돋움"/>
        <family val="3"/>
        <charset val="129"/>
      </rPr>
      <t>MM이재용2C</t>
    </r>
    <r>
      <rPr>
        <sz val="10"/>
        <rFont val="돋움"/>
        <family val="3"/>
        <charset val="129"/>
      </rPr>
      <t xml:space="preserve">
MM배희숙M
</t>
    </r>
    <phoneticPr fontId="3" type="noConversion"/>
  </si>
  <si>
    <r>
      <t xml:space="preserve">MM오연숙S
</t>
    </r>
    <r>
      <rPr>
        <b/>
        <sz val="10"/>
        <color rgb="FFFF0000"/>
        <rFont val="돋움"/>
        <family val="3"/>
        <charset val="129"/>
      </rPr>
      <t>MM윤미기자C</t>
    </r>
    <r>
      <rPr>
        <sz val="10"/>
        <rFont val="돋움"/>
        <family val="3"/>
        <charset val="129"/>
      </rPr>
      <t xml:space="preserve">
</t>
    </r>
    <r>
      <rPr>
        <b/>
        <u/>
        <sz val="10"/>
        <rFont val="돋움"/>
        <family val="3"/>
        <charset val="129"/>
      </rPr>
      <t>MM주현수2C</t>
    </r>
    <phoneticPr fontId="3" type="noConversion"/>
  </si>
  <si>
    <t xml:space="preserve">MM이강은C
MM김철기C
MM김영한2Tt
MM서대성S
</t>
    <phoneticPr fontId="3" type="noConversion"/>
  </si>
  <si>
    <r>
      <rPr>
        <b/>
        <sz val="10"/>
        <color rgb="FFFF0000"/>
        <rFont val="돋움"/>
        <family val="3"/>
        <charset val="129"/>
      </rPr>
      <t>MM이강은C</t>
    </r>
    <r>
      <rPr>
        <sz val="10"/>
        <color rgb="FFFF0000"/>
        <rFont val="돋움"/>
        <family val="3"/>
        <charset val="129"/>
      </rPr>
      <t xml:space="preserve">
</t>
    </r>
    <r>
      <rPr>
        <sz val="10"/>
        <rFont val="돋움"/>
        <family val="3"/>
        <charset val="129"/>
      </rPr>
      <t xml:space="preserve">MM배희숙Tt
</t>
    </r>
    <r>
      <rPr>
        <b/>
        <u/>
        <sz val="10"/>
        <rFont val="돋움"/>
        <family val="3"/>
        <charset val="129"/>
      </rPr>
      <t>MM주현수2S</t>
    </r>
    <r>
      <rPr>
        <sz val="10"/>
        <rFont val="돋움"/>
        <family val="3"/>
        <charset val="129"/>
      </rPr>
      <t xml:space="preserve">
</t>
    </r>
    <phoneticPr fontId="3" type="noConversion"/>
  </si>
  <si>
    <t>RM조남선</t>
    <phoneticPr fontId="3" type="noConversion"/>
  </si>
  <si>
    <t>RM서대성</t>
    <phoneticPr fontId="3" type="noConversion"/>
  </si>
  <si>
    <t>통합계획관리</t>
    <phoneticPr fontId="3" type="noConversion"/>
  </si>
  <si>
    <t>RN유기분</t>
    <phoneticPr fontId="3" type="noConversion"/>
  </si>
  <si>
    <t>RN조남선</t>
    <phoneticPr fontId="3" type="noConversion"/>
  </si>
  <si>
    <t>RG김귀례</t>
    <phoneticPr fontId="3" type="noConversion"/>
  </si>
  <si>
    <t>CA전용대</t>
    <phoneticPr fontId="3" type="noConversion"/>
  </si>
  <si>
    <t>RN전효식</t>
    <phoneticPr fontId="3" type="noConversion"/>
  </si>
  <si>
    <t>RM조남선</t>
    <phoneticPr fontId="3" type="noConversion"/>
  </si>
  <si>
    <r>
      <t xml:space="preserve">MM송진영C
</t>
    </r>
    <r>
      <rPr>
        <b/>
        <u/>
        <sz val="10"/>
        <rFont val="돋움"/>
        <family val="3"/>
        <charset val="129"/>
      </rPr>
      <t>MM이재용2C</t>
    </r>
    <r>
      <rPr>
        <sz val="10"/>
        <rFont val="돋움"/>
        <family val="3"/>
        <charset val="129"/>
      </rPr>
      <t xml:space="preserve">
MM배희숙M
</t>
    </r>
    <phoneticPr fontId="3" type="noConversion"/>
  </si>
  <si>
    <t>조남선님 08:30-10:00 1층 도레미발달센터 SNSB 
RN조남선 9:40 -&gt; 1:30
RM조남선 8:30 -&gt;12:00
MM조남선S 9:05 -&gt;2:40</t>
    <phoneticPr fontId="3" type="noConversion"/>
  </si>
  <si>
    <t xml:space="preserve">3층 HOLD
서대성님 1시이후 ALL HOLD
이재용2님 2시 이후 ALL HOLD
</t>
    <phoneticPr fontId="3" type="noConversion"/>
  </si>
  <si>
    <t>MM조남선S</t>
    <phoneticPr fontId="3" type="noConversion"/>
  </si>
  <si>
    <r>
      <t>MM오연숙C
MM이문호4C</t>
    </r>
    <r>
      <rPr>
        <b/>
        <sz val="10"/>
        <color rgb="FFFF0000"/>
        <rFont val="돋움"/>
        <family val="3"/>
        <charset val="129"/>
      </rPr>
      <t xml:space="preserve">
</t>
    </r>
    <r>
      <rPr>
        <sz val="10"/>
        <rFont val="돋움"/>
        <family val="3"/>
        <charset val="129"/>
      </rPr>
      <t xml:space="preserve">MM조남선S
</t>
    </r>
    <phoneticPr fontId="3" type="noConversion"/>
  </si>
  <si>
    <t>RM배희숙</t>
    <phoneticPr fontId="3" type="noConversion"/>
  </si>
  <si>
    <t>N전용대</t>
    <phoneticPr fontId="3" type="noConversion"/>
  </si>
  <si>
    <t>N이영휘</t>
    <phoneticPr fontId="3" type="noConversion"/>
  </si>
  <si>
    <t>RM전효식</t>
    <phoneticPr fontId="3" type="noConversion"/>
  </si>
  <si>
    <r>
      <rPr>
        <sz val="10"/>
        <color rgb="FFFF0000"/>
        <rFont val="돋움"/>
        <family val="3"/>
        <charset val="129"/>
      </rPr>
      <t>MM조남선S</t>
    </r>
    <r>
      <rPr>
        <sz val="10"/>
        <rFont val="돋움"/>
        <family val="3"/>
        <charset val="129"/>
      </rPr>
      <t xml:space="preserve">
MM윤미기자C
</t>
    </r>
    <r>
      <rPr>
        <sz val="10"/>
        <color rgb="FFFF0000"/>
        <rFont val="돋움"/>
        <family val="3"/>
        <charset val="129"/>
      </rPr>
      <t>MM김영한2Tt</t>
    </r>
    <r>
      <rPr>
        <sz val="10"/>
        <rFont val="돋움"/>
        <family val="3"/>
        <charset val="129"/>
      </rPr>
      <t xml:space="preserve">
</t>
    </r>
    <phoneticPr fontId="3" type="noConversion"/>
  </si>
  <si>
    <t>MM김귀례C</t>
  </si>
  <si>
    <t>C채남순
C신인섭</t>
    <phoneticPr fontId="4" type="noConversion"/>
  </si>
  <si>
    <r>
      <t xml:space="preserve">D김문식3
D이명덕
</t>
    </r>
    <r>
      <rPr>
        <u/>
        <sz val="10"/>
        <rFont val="돋움"/>
        <family val="3"/>
        <charset val="129"/>
      </rPr>
      <t>D정창래2</t>
    </r>
    <phoneticPr fontId="4" type="noConversion"/>
  </si>
  <si>
    <t xml:space="preserve">
C장광청</t>
    <phoneticPr fontId="4" type="noConversion"/>
  </si>
  <si>
    <t>C이동열
C윤동석2
C정창래2</t>
    <phoneticPr fontId="3" type="noConversion"/>
  </si>
  <si>
    <t>N유영만</t>
    <phoneticPr fontId="3" type="noConversion"/>
  </si>
  <si>
    <t>RG한상진(4)</t>
    <phoneticPr fontId="3" type="noConversion"/>
  </si>
  <si>
    <t>RA한상진(4)</t>
    <phoneticPr fontId="3" type="noConversion"/>
  </si>
  <si>
    <t>RA한상진(4)</t>
    <phoneticPr fontId="3" type="noConversion"/>
  </si>
  <si>
    <t>RN김영한2</t>
    <phoneticPr fontId="3" type="noConversion"/>
  </si>
  <si>
    <t>RD이문호4</t>
    <phoneticPr fontId="3" type="noConversion"/>
  </si>
  <si>
    <t>RA이강은</t>
    <phoneticPr fontId="3" type="noConversion"/>
  </si>
  <si>
    <t>김귀례님 RA2삭제 / RD2추가
조남선님 오전 오후 기구 변경, 치료 시간 변경 / 시간표 다시
정명자5님 알봇 RG-R 추가RM2 치료 삭제 / 시간표 다시</t>
    <phoneticPr fontId="3" type="noConversion"/>
  </si>
  <si>
    <t>N변종구</t>
    <phoneticPr fontId="3" type="noConversion"/>
  </si>
  <si>
    <r>
      <t xml:space="preserve">MM정명자5C
</t>
    </r>
    <r>
      <rPr>
        <b/>
        <sz val="10"/>
        <color rgb="FFFF0000"/>
        <rFont val="돋움"/>
        <family val="3"/>
        <charset val="129"/>
      </rPr>
      <t>MM이정임4C</t>
    </r>
    <r>
      <rPr>
        <sz val="10"/>
        <rFont val="돋움"/>
        <family val="3"/>
        <charset val="129"/>
      </rPr>
      <t xml:space="preserve">
MM전효식C
</t>
    </r>
    <r>
      <rPr>
        <sz val="10"/>
        <color rgb="FFFF0000"/>
        <rFont val="돋움"/>
        <family val="3"/>
        <charset val="129"/>
      </rPr>
      <t>MM김귀례C</t>
    </r>
    <r>
      <rPr>
        <sz val="10"/>
        <rFont val="돋움"/>
        <family val="3"/>
        <charset val="129"/>
      </rPr>
      <t xml:space="preserve">
</t>
    </r>
    <r>
      <rPr>
        <b/>
        <u/>
        <sz val="10"/>
        <rFont val="돋움"/>
        <family val="3"/>
        <charset val="129"/>
      </rPr>
      <t>MM이정례3S</t>
    </r>
    <phoneticPr fontId="3" type="noConversion"/>
  </si>
  <si>
    <t>MM이정임4C</t>
    <phoneticPr fontId="3" type="noConversion"/>
  </si>
  <si>
    <t>RN전효식</t>
    <phoneticPr fontId="3" type="noConversion"/>
  </si>
  <si>
    <t>RG한순근</t>
    <phoneticPr fontId="3" type="noConversion"/>
  </si>
  <si>
    <t>RA한순근</t>
    <phoneticPr fontId="3" type="noConversion"/>
  </si>
  <si>
    <t>RA한순근</t>
    <phoneticPr fontId="3" type="noConversion"/>
  </si>
  <si>
    <t>RN유기분</t>
    <phoneticPr fontId="3" type="noConversion"/>
  </si>
  <si>
    <r>
      <rPr>
        <b/>
        <u/>
        <sz val="10"/>
        <rFont val="돋움"/>
        <family val="3"/>
        <charset val="129"/>
      </rPr>
      <t>MM이정례3C</t>
    </r>
    <r>
      <rPr>
        <sz val="10"/>
        <rFont val="돋움"/>
        <family val="3"/>
        <charset val="129"/>
      </rPr>
      <t xml:space="preserve">
MM이정임4C
MM오병찬CPM
</t>
    </r>
    <r>
      <rPr>
        <b/>
        <u/>
        <sz val="10"/>
        <rFont val="돋움"/>
        <family val="3"/>
        <charset val="129"/>
      </rPr>
      <t xml:space="preserve">
MM유기분C</t>
    </r>
    <phoneticPr fontId="3" type="noConversion"/>
  </si>
  <si>
    <t>RG오병찬</t>
    <phoneticPr fontId="3" type="noConversion"/>
  </si>
  <si>
    <t>RA오병찬</t>
    <phoneticPr fontId="3" type="noConversion"/>
  </si>
  <si>
    <t>RA오병찬</t>
    <phoneticPr fontId="3" type="noConversion"/>
  </si>
  <si>
    <t>RA오병찬</t>
    <phoneticPr fontId="3" type="noConversion"/>
  </si>
  <si>
    <t xml:space="preserve">한순근님(RG8,RA4,MM4)
오병찬님(RG6RA6MM4)
</t>
    <phoneticPr fontId="3" type="noConversion"/>
  </si>
  <si>
    <t>RM송진영</t>
    <phoneticPr fontId="3" type="noConversion"/>
  </si>
  <si>
    <t>RM조남선</t>
    <phoneticPr fontId="3" type="noConversion"/>
  </si>
  <si>
    <t xml:space="preserve">주현수2님 rtms 재개
김봉예님 로봇 삭제 / 시간표 다시
</t>
    <phoneticPr fontId="3" type="noConversion"/>
  </si>
  <si>
    <r>
      <rPr>
        <sz val="10"/>
        <color rgb="FFFF0000"/>
        <rFont val="돋움"/>
        <family val="3"/>
        <charset val="129"/>
      </rPr>
      <t>MM전효식C</t>
    </r>
    <r>
      <rPr>
        <sz val="10"/>
        <rFont val="돋움"/>
        <family val="3"/>
        <charset val="129"/>
      </rPr>
      <t xml:space="preserve">
MM서정욱2C
MM박미정4Tt
MM한순근CPM</t>
    </r>
    <phoneticPr fontId="3" type="noConversion"/>
  </si>
  <si>
    <r>
      <t>MM오연숙C</t>
    </r>
    <r>
      <rPr>
        <sz val="10"/>
        <color rgb="FFFF0000"/>
        <rFont val="돋움"/>
        <family val="3"/>
        <charset val="129"/>
      </rPr>
      <t xml:space="preserve">
</t>
    </r>
    <r>
      <rPr>
        <sz val="10"/>
        <rFont val="돋움"/>
        <family val="3"/>
        <charset val="129"/>
      </rPr>
      <t xml:space="preserve">MM조남선S
</t>
    </r>
    <r>
      <rPr>
        <b/>
        <u/>
        <sz val="10"/>
        <rFont val="돋움"/>
        <family val="3"/>
        <charset val="129"/>
      </rPr>
      <t>MM이재용2C</t>
    </r>
    <r>
      <rPr>
        <sz val="10"/>
        <rFont val="돋움"/>
        <family val="3"/>
        <charset val="129"/>
      </rPr>
      <t xml:space="preserve">
</t>
    </r>
    <phoneticPr fontId="3" type="noConversion"/>
  </si>
  <si>
    <t>3층 재활센터 시간표     2025. 11. 05 (수)</t>
    <phoneticPr fontId="4" type="noConversion"/>
  </si>
  <si>
    <t>RA주현수2</t>
    <phoneticPr fontId="3" type="noConversion"/>
  </si>
  <si>
    <t>이문호님
3층 HOLD
신옥남님 9시~점심식전 HOLD</t>
    <phoneticPr fontId="3" type="noConversion"/>
  </si>
  <si>
    <t>RG김귀례2</t>
  </si>
  <si>
    <t>RD김귀례2</t>
  </si>
  <si>
    <t>MM김귀례2C
MM정명자5Tt
MM이두현C</t>
  </si>
  <si>
    <t>최지영
(오후반차)</t>
    <phoneticPr fontId="4" type="noConversion"/>
  </si>
  <si>
    <t>문희연
(연차)</t>
    <phoneticPr fontId="4" type="noConversion"/>
  </si>
  <si>
    <r>
      <t xml:space="preserve">MM오연숙S
</t>
    </r>
    <r>
      <rPr>
        <sz val="10"/>
        <color rgb="FFFF0000"/>
        <rFont val="돋움"/>
        <family val="3"/>
        <charset val="129"/>
      </rPr>
      <t>MM윤미기자C</t>
    </r>
    <r>
      <rPr>
        <sz val="10"/>
        <rFont val="돋움"/>
        <family val="3"/>
        <charset val="129"/>
      </rPr>
      <t xml:space="preserve">
</t>
    </r>
    <r>
      <rPr>
        <b/>
        <u/>
        <sz val="10"/>
        <rFont val="돋움"/>
        <family val="3"/>
        <charset val="129"/>
      </rPr>
      <t>MM주현수2C</t>
    </r>
    <phoneticPr fontId="3" type="noConversion"/>
  </si>
  <si>
    <r>
      <rPr>
        <b/>
        <sz val="10"/>
        <color rgb="FFFF0000"/>
        <rFont val="돋움"/>
        <family val="3"/>
        <charset val="129"/>
      </rPr>
      <t>MM이강은C</t>
    </r>
    <r>
      <rPr>
        <sz val="10"/>
        <color rgb="FFFF0000"/>
        <rFont val="돋움"/>
        <family val="3"/>
        <charset val="129"/>
      </rPr>
      <t xml:space="preserve">
</t>
    </r>
    <r>
      <rPr>
        <sz val="10"/>
        <rFont val="돋움"/>
        <family val="3"/>
        <charset val="129"/>
      </rPr>
      <t xml:space="preserve">MM배희숙Tt
MM한순근CPM
</t>
    </r>
    <r>
      <rPr>
        <b/>
        <u/>
        <sz val="10"/>
        <rFont val="돋움"/>
        <family val="3"/>
        <charset val="129"/>
      </rPr>
      <t>MM주현수2S</t>
    </r>
    <r>
      <rPr>
        <sz val="10"/>
        <rFont val="돋움"/>
        <family val="3"/>
        <charset val="129"/>
      </rPr>
      <t xml:space="preserve">
</t>
    </r>
    <phoneticPr fontId="3" type="noConversion"/>
  </si>
  <si>
    <t>MM이강은C</t>
    <phoneticPr fontId="3" type="noConversion"/>
  </si>
  <si>
    <r>
      <rPr>
        <b/>
        <sz val="10"/>
        <color rgb="FFFF0000"/>
        <rFont val="돋움"/>
        <family val="3"/>
        <charset val="129"/>
      </rPr>
      <t>MM서대성C</t>
    </r>
    <r>
      <rPr>
        <sz val="10"/>
        <rFont val="돋움"/>
        <family val="3"/>
        <charset val="129"/>
      </rPr>
      <t xml:space="preserve">
MM윤미기자C
MM김영한2Tt
</t>
    </r>
    <phoneticPr fontId="3" type="noConversion"/>
  </si>
  <si>
    <t>MM서대성C</t>
    <phoneticPr fontId="3" type="noConversion"/>
  </si>
  <si>
    <r>
      <rPr>
        <b/>
        <sz val="10"/>
        <color rgb="FFFF0000"/>
        <rFont val="돋움"/>
        <family val="3"/>
        <charset val="129"/>
      </rPr>
      <t>MM서정욱2C</t>
    </r>
    <r>
      <rPr>
        <sz val="10"/>
        <rFont val="돋움"/>
        <family val="3"/>
        <charset val="129"/>
      </rPr>
      <t xml:space="preserve">
MM박미정4M
MM이두현S
</t>
    </r>
    <r>
      <rPr>
        <b/>
        <u/>
        <sz val="10"/>
        <rFont val="돋움"/>
        <family val="3"/>
        <charset val="129"/>
      </rPr>
      <t>MM유기분C</t>
    </r>
    <phoneticPr fontId="3" type="noConversion"/>
  </si>
  <si>
    <t>MM서정욱2C</t>
    <phoneticPr fontId="3" type="noConversion"/>
  </si>
  <si>
    <t>CA전용대</t>
    <phoneticPr fontId="3" type="noConversion"/>
  </si>
  <si>
    <t>RM전효식</t>
    <phoneticPr fontId="3" type="noConversion"/>
  </si>
  <si>
    <t>RM윤미기자</t>
    <phoneticPr fontId="3" type="noConversion"/>
  </si>
  <si>
    <t>RG서정욱2</t>
    <phoneticPr fontId="3" type="noConversion"/>
  </si>
  <si>
    <t>RA이강은</t>
    <phoneticPr fontId="3" type="noConversion"/>
  </si>
  <si>
    <r>
      <t xml:space="preserve">MM정명자5C
</t>
    </r>
    <r>
      <rPr>
        <sz val="10"/>
        <color rgb="FFFF0000"/>
        <rFont val="돋움"/>
        <family val="3"/>
        <charset val="129"/>
      </rPr>
      <t>MM이정임4C</t>
    </r>
    <r>
      <rPr>
        <sz val="10"/>
        <rFont val="돋움"/>
        <family val="3"/>
        <charset val="129"/>
      </rPr>
      <t xml:space="preserve">
MM전효식C
MM김귀례2C
MM오병찬CPM
MM이정례3S</t>
    </r>
    <phoneticPr fontId="3" type="noConversion"/>
  </si>
  <si>
    <t>RA김철기</t>
    <phoneticPr fontId="3" type="noConversion"/>
  </si>
  <si>
    <r>
      <rPr>
        <b/>
        <sz val="10"/>
        <color rgb="FFFF0000"/>
        <rFont val="돋움"/>
        <family val="3"/>
        <charset val="129"/>
      </rPr>
      <t>MM전효식C</t>
    </r>
    <r>
      <rPr>
        <sz val="10"/>
        <rFont val="돋움"/>
        <family val="3"/>
        <charset val="129"/>
      </rPr>
      <t xml:space="preserve">
MM서정욱2C
MM박미정4Tt
MM한순근CPM</t>
    </r>
    <phoneticPr fontId="3" type="noConversion"/>
  </si>
  <si>
    <t>MM전효식C</t>
    <phoneticPr fontId="3" type="noConversion"/>
  </si>
  <si>
    <r>
      <t xml:space="preserve">C오정아
</t>
    </r>
    <r>
      <rPr>
        <sz val="10"/>
        <color rgb="FF00B050"/>
        <rFont val="돋움"/>
        <family val="3"/>
        <charset val="129"/>
      </rPr>
      <t>C유해진</t>
    </r>
    <phoneticPr fontId="3" type="noConversion"/>
  </si>
  <si>
    <t>D김문식3
D유해진</t>
    <phoneticPr fontId="3" type="noConversion"/>
  </si>
  <si>
    <t>RS유기분</t>
    <phoneticPr fontId="3" type="noConversion"/>
  </si>
  <si>
    <t>D이영임
D오정아</t>
    <phoneticPr fontId="3" type="noConversion"/>
  </si>
  <si>
    <r>
      <t xml:space="preserve">D김문식3
D홍우표2
</t>
    </r>
    <r>
      <rPr>
        <u/>
        <sz val="10"/>
        <rFont val="돋움"/>
        <family val="3"/>
        <charset val="129"/>
      </rPr>
      <t>D정창래2</t>
    </r>
    <phoneticPr fontId="4" type="noConversion"/>
  </si>
  <si>
    <t xml:space="preserve">
</t>
    <phoneticPr fontId="3" type="noConversion"/>
  </si>
  <si>
    <t>D김복묵</t>
    <phoneticPr fontId="3" type="noConversion"/>
  </si>
  <si>
    <t xml:space="preserve">C김문식3
</t>
    <phoneticPr fontId="4" type="noConversion"/>
  </si>
  <si>
    <t>C김형묵3
C신인섭</t>
    <phoneticPr fontId="4" type="noConversion"/>
  </si>
  <si>
    <t>RA오병찬</t>
    <phoneticPr fontId="3" type="noConversion"/>
  </si>
  <si>
    <t>RA주현수2 10:50, 11:25 언어 심화 평가진행 예정
RA주현수2 11:25 -&gt; 2:05
RA김철기 10:15 -&gt; 8:30
C유해진 10:15 -&gt; 2:05
RA오병찬 12:00 -&gt; 9:05</t>
    <phoneticPr fontId="3" type="noConversion"/>
  </si>
  <si>
    <t>RG윤현숙3</t>
  </si>
  <si>
    <t>RA윤현숙3</t>
  </si>
  <si>
    <t xml:space="preserve">MM송진영C
MM조남선S
MM이재용2C
MM배희숙M
MM윤현숙3CPM
</t>
  </si>
  <si>
    <t>CA김문식3</t>
    <phoneticPr fontId="4" type="noConversion"/>
  </si>
  <si>
    <t>3층 재활센터 시간표     2025. 11. 06 (목)</t>
    <phoneticPr fontId="4" type="noConversion"/>
  </si>
  <si>
    <t>박지원
(공가)</t>
    <phoneticPr fontId="4" type="noConversion"/>
  </si>
  <si>
    <t>최지영
(공가)</t>
    <phoneticPr fontId="4" type="noConversion"/>
  </si>
  <si>
    <t>M이흥식C
M김명숙19C
M기상우C
M유용진S
M김진학Tt</t>
    <phoneticPr fontId="4" type="noConversion"/>
  </si>
  <si>
    <t xml:space="preserve">M김복묵C
M송영연C
M신옥남C
M곽홍기C
M김진학M
M채남순S
</t>
    <phoneticPr fontId="4" type="noConversion"/>
  </si>
  <si>
    <t xml:space="preserve">
F유영만
F정창래2</t>
    <phoneticPr fontId="4" type="noConversion"/>
  </si>
  <si>
    <t>C이동열</t>
    <phoneticPr fontId="3" type="noConversion"/>
  </si>
  <si>
    <t>RN배희숙</t>
    <phoneticPr fontId="3" type="noConversion"/>
  </si>
  <si>
    <r>
      <rPr>
        <b/>
        <sz val="10"/>
        <color rgb="FFFF0000"/>
        <rFont val="돋움"/>
        <family val="3"/>
        <charset val="129"/>
      </rPr>
      <t>MM이강은C</t>
    </r>
    <r>
      <rPr>
        <sz val="10"/>
        <color rgb="FFFF0000"/>
        <rFont val="돋움"/>
        <family val="3"/>
        <charset val="129"/>
      </rPr>
      <t xml:space="preserve">
</t>
    </r>
    <r>
      <rPr>
        <sz val="10"/>
        <rFont val="돋움"/>
        <family val="3"/>
        <charset val="129"/>
      </rPr>
      <t xml:space="preserve">MM배희숙Tt
MM한순근CPM
</t>
    </r>
    <r>
      <rPr>
        <b/>
        <u/>
        <sz val="10"/>
        <rFont val="돋움"/>
        <family val="3"/>
        <charset val="129"/>
      </rPr>
      <t>MM주현수2S</t>
    </r>
    <r>
      <rPr>
        <sz val="10"/>
        <rFont val="돋움"/>
        <family val="3"/>
        <charset val="129"/>
      </rPr>
      <t xml:space="preserve">
</t>
    </r>
    <phoneticPr fontId="3" type="noConversion"/>
  </si>
  <si>
    <t>MM서정욱2C</t>
    <phoneticPr fontId="3" type="noConversion"/>
  </si>
  <si>
    <t>배희숙님 알봇 12:00 -&gt; 8:30
RN배희숙 8:30 -&gt; 12:00</t>
    <phoneticPr fontId="3" type="noConversion"/>
  </si>
  <si>
    <r>
      <rPr>
        <sz val="10"/>
        <color rgb="FFFF0000"/>
        <rFont val="돋움"/>
        <family val="3"/>
        <charset val="129"/>
      </rPr>
      <t>MM정명자5C</t>
    </r>
    <r>
      <rPr>
        <sz val="10"/>
        <rFont val="돋움"/>
        <family val="3"/>
        <charset val="129"/>
      </rPr>
      <t xml:space="preserve">
</t>
    </r>
    <r>
      <rPr>
        <sz val="10"/>
        <color rgb="FFFF0000"/>
        <rFont val="돋움"/>
        <family val="3"/>
        <charset val="129"/>
      </rPr>
      <t>MM이정임4C</t>
    </r>
    <r>
      <rPr>
        <sz val="10"/>
        <rFont val="돋움"/>
        <family val="3"/>
        <charset val="129"/>
      </rPr>
      <t xml:space="preserve">
MM전효식C
MM김귀례2C
MM오병찬CPM
MM이정례3S</t>
    </r>
    <phoneticPr fontId="3" type="noConversion"/>
  </si>
  <si>
    <r>
      <t xml:space="preserve">MM서대성C
MM윤미기자C
</t>
    </r>
    <r>
      <rPr>
        <sz val="10"/>
        <color rgb="FFFF0000"/>
        <rFont val="돋움"/>
        <family val="3"/>
        <charset val="129"/>
      </rPr>
      <t>MM김영한2Tt</t>
    </r>
    <r>
      <rPr>
        <sz val="10"/>
        <rFont val="돋움"/>
        <family val="3"/>
        <charset val="129"/>
      </rPr>
      <t xml:space="preserve">
MM윤현숙3CPM
</t>
    </r>
    <phoneticPr fontId="3" type="noConversion"/>
  </si>
  <si>
    <t>MM김영한2Tt</t>
    <phoneticPr fontId="3" type="noConversion"/>
  </si>
  <si>
    <t>H7김형묵3B</t>
    <phoneticPr fontId="4" type="noConversion"/>
  </si>
  <si>
    <t>RG김귀례2</t>
    <phoneticPr fontId="3" type="noConversion"/>
  </si>
  <si>
    <t>RM서대성</t>
    <phoneticPr fontId="3" type="noConversion"/>
  </si>
  <si>
    <t>RM윤미기자</t>
    <phoneticPr fontId="3" type="noConversion"/>
  </si>
  <si>
    <t>윤동석2님 가퇴원</t>
    <phoneticPr fontId="3" type="noConversion"/>
  </si>
  <si>
    <t>윤현숙3님 (RG8,RA4,MM4)</t>
    <phoneticPr fontId="3" type="noConversion"/>
  </si>
  <si>
    <t>RA김영한2</t>
    <phoneticPr fontId="3" type="noConversion"/>
  </si>
  <si>
    <t>RS김영한2</t>
    <phoneticPr fontId="3" type="noConversion"/>
  </si>
  <si>
    <t>RG윤현숙3</t>
    <phoneticPr fontId="3" type="noConversion"/>
  </si>
  <si>
    <t>3층HOLD
오연숙님 오전 HOLD
김철기님 9시~오전HOLD
서대성님 오후 HOLD</t>
    <phoneticPr fontId="3" type="noConversion"/>
  </si>
  <si>
    <t>김영한2님 RS2추가 RG2R 삭제 / 시간표 다시
윤동석2님 재입원</t>
    <phoneticPr fontId="3" type="noConversion"/>
  </si>
  <si>
    <t>RG오병찬</t>
    <phoneticPr fontId="3" type="noConversion"/>
  </si>
  <si>
    <t>3층 재활센터 시간표     2025. 11. 07 (금)</t>
    <phoneticPr fontId="4" type="noConversion"/>
  </si>
  <si>
    <t>RD서정욱2</t>
    <phoneticPr fontId="3" type="noConversion"/>
  </si>
  <si>
    <t>양은주
(공가)</t>
    <phoneticPr fontId="4" type="noConversion"/>
  </si>
  <si>
    <t>김우주
(연차)</t>
    <phoneticPr fontId="3" type="noConversion"/>
  </si>
  <si>
    <t>D김문식3
D정창래2</t>
    <phoneticPr fontId="4" type="noConversion"/>
  </si>
  <si>
    <t>RD서정욱2 2:05 -&gt; 9:05
RG이강은 3:15 -&gt; 3:50</t>
    <phoneticPr fontId="3" type="noConversion"/>
  </si>
  <si>
    <t>RA이정례3</t>
    <phoneticPr fontId="3" type="noConversion"/>
  </si>
  <si>
    <t xml:space="preserve">MM이강은C
MM김영한2Tt
MM서대성S
</t>
    <phoneticPr fontId="3" type="noConversion"/>
  </si>
  <si>
    <t xml:space="preserve">
MM송진영C
</t>
    <phoneticPr fontId="3" type="noConversion"/>
  </si>
  <si>
    <t xml:space="preserve">MM윤미기자C
MM김영한2Tt
MM윤현숙3CPM
</t>
    <phoneticPr fontId="3" type="noConversion"/>
  </si>
  <si>
    <t>RA이정임4</t>
    <phoneticPr fontId="3" type="noConversion"/>
  </si>
  <si>
    <t>RA서정욱2</t>
    <phoneticPr fontId="3" type="noConversion"/>
  </si>
  <si>
    <t>CA이재남4</t>
    <phoneticPr fontId="3" type="noConversion"/>
  </si>
  <si>
    <r>
      <rPr>
        <b/>
        <sz val="10"/>
        <color rgb="FFFF0000"/>
        <rFont val="돋움"/>
        <family val="3"/>
        <charset val="129"/>
      </rPr>
      <t>MM전효식C</t>
    </r>
    <r>
      <rPr>
        <sz val="10"/>
        <rFont val="돋움"/>
        <family val="3"/>
        <charset val="129"/>
      </rPr>
      <t xml:space="preserve">
MM서정욱2C
MM박미정4Tt
MM한순근CPM</t>
    </r>
    <phoneticPr fontId="3" type="noConversion"/>
  </si>
  <si>
    <t>MM전효식C</t>
  </si>
  <si>
    <r>
      <rPr>
        <b/>
        <sz val="10"/>
        <color rgb="FFFF0000"/>
        <rFont val="돋움"/>
        <family val="3"/>
        <charset val="129"/>
      </rPr>
      <t>MM이강은C</t>
    </r>
    <r>
      <rPr>
        <sz val="10"/>
        <color rgb="FFFF0000"/>
        <rFont val="돋움"/>
        <family val="3"/>
        <charset val="129"/>
      </rPr>
      <t xml:space="preserve">
</t>
    </r>
    <r>
      <rPr>
        <sz val="10"/>
        <rFont val="돋움"/>
        <family val="3"/>
        <charset val="129"/>
      </rPr>
      <t xml:space="preserve">MM배희숙Tt
MM한순근CPM
</t>
    </r>
    <r>
      <rPr>
        <b/>
        <u/>
        <sz val="10"/>
        <rFont val="돋움"/>
        <family val="3"/>
        <charset val="129"/>
      </rPr>
      <t>MM주현수2S</t>
    </r>
    <r>
      <rPr>
        <sz val="10"/>
        <rFont val="돋움"/>
        <family val="3"/>
        <charset val="129"/>
      </rPr>
      <t xml:space="preserve">
</t>
    </r>
    <phoneticPr fontId="3" type="noConversion"/>
  </si>
  <si>
    <t>MM이강은C</t>
    <phoneticPr fontId="3" type="noConversion"/>
  </si>
  <si>
    <r>
      <t xml:space="preserve">MM정명자5C
</t>
    </r>
    <r>
      <rPr>
        <b/>
        <sz val="10"/>
        <color rgb="FFFF0000"/>
        <rFont val="돋움"/>
        <family val="3"/>
        <charset val="129"/>
      </rPr>
      <t>MM이정임4C</t>
    </r>
    <r>
      <rPr>
        <sz val="10"/>
        <rFont val="돋움"/>
        <family val="3"/>
        <charset val="129"/>
      </rPr>
      <t xml:space="preserve">
MM전효식C
MM김귀례2C
MM오병찬CPM
MM이정례3S</t>
    </r>
    <phoneticPr fontId="3" type="noConversion"/>
  </si>
  <si>
    <t>MM이정임4C</t>
    <phoneticPr fontId="3" type="noConversion"/>
  </si>
  <si>
    <r>
      <rPr>
        <b/>
        <sz val="10"/>
        <color rgb="FFFF0000"/>
        <rFont val="돋움"/>
        <family val="3"/>
        <charset val="129"/>
      </rPr>
      <t>MM서정욱2C</t>
    </r>
    <r>
      <rPr>
        <sz val="10"/>
        <rFont val="돋움"/>
        <family val="3"/>
        <charset val="129"/>
      </rPr>
      <t xml:space="preserve">
MM박미정4M
MM이두현S
</t>
    </r>
    <r>
      <rPr>
        <b/>
        <u/>
        <sz val="10"/>
        <rFont val="돋움"/>
        <family val="3"/>
        <charset val="129"/>
      </rPr>
      <t>MM유기분C</t>
    </r>
    <phoneticPr fontId="3" type="noConversion"/>
  </si>
  <si>
    <t>MM서정욱2C</t>
    <phoneticPr fontId="3" type="noConversion"/>
  </si>
  <si>
    <r>
      <rPr>
        <b/>
        <sz val="10"/>
        <color rgb="FFFF0000"/>
        <rFont val="돋움"/>
        <family val="3"/>
        <charset val="129"/>
      </rPr>
      <t>MM윤미기자C</t>
    </r>
    <r>
      <rPr>
        <sz val="10"/>
        <rFont val="돋움"/>
        <family val="3"/>
        <charset val="129"/>
      </rPr>
      <t xml:space="preserve">
</t>
    </r>
    <r>
      <rPr>
        <b/>
        <u/>
        <sz val="10"/>
        <rFont val="돋움"/>
        <family val="3"/>
        <charset val="129"/>
      </rPr>
      <t>MM주현수2C</t>
    </r>
    <phoneticPr fontId="3" type="noConversion"/>
  </si>
  <si>
    <t>MM윤미기자C</t>
    <phoneticPr fontId="3" type="noConversion"/>
  </si>
  <si>
    <t>CA김진현2</t>
    <phoneticPr fontId="3" type="noConversion"/>
  </si>
  <si>
    <t>C이영휘
C윤영섭</t>
    <phoneticPr fontId="3" type="noConversion"/>
  </si>
  <si>
    <t>CA신인섭</t>
    <phoneticPr fontId="3" type="noConversion"/>
  </si>
  <si>
    <t>H7김형묵3B</t>
    <phoneticPr fontId="4" type="noConversion"/>
  </si>
  <si>
    <t>CA김봉예</t>
    <phoneticPr fontId="3" type="noConversion"/>
  </si>
  <si>
    <t xml:space="preserve">
C김형묵3</t>
    <phoneticPr fontId="4" type="noConversion"/>
  </si>
  <si>
    <t>C김문식3
C채남순</t>
    <phoneticPr fontId="4" type="noConversion"/>
  </si>
  <si>
    <t>R윤동석2A
H7윤동석2B</t>
    <phoneticPr fontId="4" type="noConversion"/>
  </si>
  <si>
    <t>N정창래2
N박경원2</t>
    <phoneticPr fontId="4" type="noConversion"/>
  </si>
  <si>
    <t>N김형묵3
N정규설</t>
    <phoneticPr fontId="4" type="noConversion"/>
  </si>
  <si>
    <t>D김문식3
D정창래2</t>
    <phoneticPr fontId="4" type="noConversion"/>
  </si>
  <si>
    <t>주현수2</t>
    <phoneticPr fontId="3" type="noConversion"/>
  </si>
  <si>
    <t>RA주현수2</t>
    <phoneticPr fontId="3" type="noConversion"/>
  </si>
  <si>
    <r>
      <t xml:space="preserve">
MM김철기C
</t>
    </r>
    <r>
      <rPr>
        <b/>
        <u/>
        <sz val="10"/>
        <rFont val="돋움"/>
        <family val="3"/>
        <charset val="129"/>
      </rPr>
      <t>MM송진영C</t>
    </r>
    <r>
      <rPr>
        <sz val="10"/>
        <rFont val="돋움"/>
        <family val="3"/>
        <charset val="129"/>
      </rPr>
      <t xml:space="preserve">
</t>
    </r>
    <phoneticPr fontId="3" type="noConversion"/>
  </si>
  <si>
    <t>MM송진영C</t>
    <phoneticPr fontId="3" type="noConversion"/>
  </si>
  <si>
    <t>MM송진영C</t>
    <phoneticPr fontId="3" type="noConversion"/>
  </si>
  <si>
    <r>
      <t>MM오연숙C</t>
    </r>
    <r>
      <rPr>
        <sz val="10"/>
        <color rgb="FFFF0000"/>
        <rFont val="돋움"/>
        <family val="3"/>
        <charset val="129"/>
      </rPr>
      <t xml:space="preserve">
</t>
    </r>
    <r>
      <rPr>
        <b/>
        <u/>
        <sz val="10"/>
        <rFont val="돋움"/>
        <family val="3"/>
        <charset val="129"/>
      </rPr>
      <t>MM조남선S</t>
    </r>
    <r>
      <rPr>
        <sz val="10"/>
        <rFont val="돋움"/>
        <family val="3"/>
        <charset val="129"/>
      </rPr>
      <t xml:space="preserve">
MM이재용2C
</t>
    </r>
    <phoneticPr fontId="3" type="noConversion"/>
  </si>
  <si>
    <t>MM조남선S</t>
    <phoneticPr fontId="3" type="noConversion"/>
  </si>
  <si>
    <t>D오정아</t>
    <phoneticPr fontId="3" type="noConversion"/>
  </si>
  <si>
    <r>
      <t xml:space="preserve">D이영임
D홍우표2
</t>
    </r>
    <r>
      <rPr>
        <u/>
        <sz val="10"/>
        <rFont val="돋움"/>
        <family val="3"/>
        <charset val="129"/>
      </rPr>
      <t>D오정아</t>
    </r>
    <phoneticPr fontId="3" type="noConversion"/>
  </si>
  <si>
    <t>N권음전</t>
    <phoneticPr fontId="3" type="noConversion"/>
  </si>
  <si>
    <r>
      <rPr>
        <u/>
        <sz val="10"/>
        <rFont val="돋움"/>
        <family val="3"/>
        <charset val="129"/>
      </rPr>
      <t>N권음전</t>
    </r>
    <r>
      <rPr>
        <sz val="10"/>
        <rFont val="돋움"/>
        <family val="3"/>
        <charset val="129"/>
      </rPr>
      <t xml:space="preserve">
N김복묵</t>
    </r>
    <phoneticPr fontId="4" type="noConversion"/>
  </si>
  <si>
    <t>MM오연숙S
MM윤미기자C</t>
    <phoneticPr fontId="3" type="noConversion"/>
  </si>
  <si>
    <r>
      <rPr>
        <sz val="10"/>
        <color rgb="FFFF0000"/>
        <rFont val="돋움"/>
        <family val="3"/>
        <charset val="129"/>
      </rPr>
      <t>MM전효식C</t>
    </r>
    <r>
      <rPr>
        <sz val="10"/>
        <rFont val="돋움"/>
        <family val="3"/>
        <charset val="129"/>
      </rPr>
      <t xml:space="preserve">
MM서정욱2C
</t>
    </r>
    <r>
      <rPr>
        <b/>
        <u/>
        <sz val="10"/>
        <rFont val="돋움"/>
        <family val="3"/>
        <charset val="129"/>
      </rPr>
      <t>MM박미정4Tt</t>
    </r>
    <r>
      <rPr>
        <sz val="10"/>
        <rFont val="돋움"/>
        <family val="3"/>
        <charset val="129"/>
      </rPr>
      <t xml:space="preserve">
MM한순근CPM</t>
    </r>
    <phoneticPr fontId="3" type="noConversion"/>
  </si>
  <si>
    <t>MM박미정4Tt</t>
    <phoneticPr fontId="3" type="noConversion"/>
  </si>
  <si>
    <t>MM박미정4Tt</t>
    <phoneticPr fontId="3" type="noConversion"/>
  </si>
  <si>
    <r>
      <rPr>
        <u/>
        <sz val="10"/>
        <rFont val="돋움"/>
        <family val="3"/>
        <charset val="129"/>
      </rPr>
      <t>N신인섭</t>
    </r>
    <r>
      <rPr>
        <sz val="10"/>
        <rFont val="돋움"/>
        <family val="3"/>
        <charset val="129"/>
      </rPr>
      <t xml:space="preserve">
N정진월</t>
    </r>
    <phoneticPr fontId="4" type="noConversion"/>
  </si>
  <si>
    <r>
      <t xml:space="preserve">D유영만
</t>
    </r>
    <r>
      <rPr>
        <u/>
        <sz val="10"/>
        <rFont val="돋움"/>
        <family val="3"/>
        <charset val="129"/>
      </rPr>
      <t>D곽홍기</t>
    </r>
    <phoneticPr fontId="4" type="noConversion"/>
  </si>
  <si>
    <t>N송영연</t>
    <phoneticPr fontId="3" type="noConversion"/>
  </si>
  <si>
    <t>N김문식3</t>
    <phoneticPr fontId="3" type="noConversion"/>
  </si>
  <si>
    <r>
      <rPr>
        <u/>
        <sz val="10"/>
        <rFont val="돋움"/>
        <family val="3"/>
        <charset val="129"/>
      </rPr>
      <t>N송영연</t>
    </r>
    <r>
      <rPr>
        <sz val="10"/>
        <rFont val="돋움"/>
        <family val="3"/>
        <charset val="129"/>
      </rPr>
      <t xml:space="preserve">
</t>
    </r>
    <r>
      <rPr>
        <u/>
        <sz val="10"/>
        <rFont val="돋움"/>
        <family val="3"/>
        <charset val="129"/>
      </rPr>
      <t>N장광청</t>
    </r>
    <phoneticPr fontId="4" type="noConversion"/>
  </si>
  <si>
    <t>D곽홍기</t>
    <phoneticPr fontId="3" type="noConversion"/>
  </si>
  <si>
    <r>
      <t xml:space="preserve">MM이정례3C
</t>
    </r>
    <r>
      <rPr>
        <b/>
        <u/>
        <sz val="10"/>
        <rFont val="돋움"/>
        <family val="3"/>
        <charset val="129"/>
      </rPr>
      <t>MM이정임4C</t>
    </r>
    <r>
      <rPr>
        <sz val="10"/>
        <rFont val="돋움"/>
        <family val="3"/>
        <charset val="129"/>
      </rPr>
      <t xml:space="preserve">
MM오병찬CPM
</t>
    </r>
    <r>
      <rPr>
        <b/>
        <u/>
        <sz val="10"/>
        <rFont val="돋움"/>
        <family val="3"/>
        <charset val="129"/>
      </rPr>
      <t xml:space="preserve">
</t>
    </r>
    <r>
      <rPr>
        <sz val="10"/>
        <rFont val="돋움"/>
        <family val="3"/>
        <charset val="129"/>
      </rPr>
      <t>MM유기분C</t>
    </r>
    <phoneticPr fontId="3" type="noConversion"/>
  </si>
  <si>
    <t>MM이정임4C</t>
    <phoneticPr fontId="3" type="noConversion"/>
  </si>
  <si>
    <t>MM전효식C</t>
    <phoneticPr fontId="3" type="noConversion"/>
  </si>
  <si>
    <r>
      <rPr>
        <u/>
        <sz val="10"/>
        <rFont val="돋움"/>
        <family val="3"/>
        <charset val="129"/>
      </rPr>
      <t>C김문식3</t>
    </r>
    <r>
      <rPr>
        <sz val="10"/>
        <rFont val="돋움"/>
        <family val="3"/>
        <charset val="129"/>
      </rPr>
      <t xml:space="preserve">
C김형묵3</t>
    </r>
    <phoneticPr fontId="4" type="noConversion"/>
  </si>
  <si>
    <t>C김문식3</t>
    <phoneticPr fontId="3" type="noConversion"/>
  </si>
  <si>
    <t>배희숙</t>
    <phoneticPr fontId="3" type="noConversion"/>
  </si>
  <si>
    <r>
      <rPr>
        <b/>
        <u/>
        <sz val="10"/>
        <rFont val="돋움"/>
        <family val="3"/>
        <charset val="129"/>
      </rPr>
      <t>MM송진영C</t>
    </r>
    <r>
      <rPr>
        <sz val="10"/>
        <rFont val="돋움"/>
        <family val="3"/>
        <charset val="129"/>
      </rPr>
      <t xml:space="preserve">
</t>
    </r>
    <r>
      <rPr>
        <b/>
        <u/>
        <sz val="10"/>
        <rFont val="돋움"/>
        <family val="3"/>
        <charset val="129"/>
      </rPr>
      <t>MM조남선S</t>
    </r>
    <r>
      <rPr>
        <sz val="10"/>
        <rFont val="돋움"/>
        <family val="3"/>
        <charset val="129"/>
      </rPr>
      <t xml:space="preserve">
MM이재용2C
</t>
    </r>
    <r>
      <rPr>
        <sz val="10"/>
        <color rgb="FFFF0000"/>
        <rFont val="돋움"/>
        <family val="3"/>
        <charset val="129"/>
      </rPr>
      <t>MM배희숙C</t>
    </r>
    <r>
      <rPr>
        <sz val="10"/>
        <rFont val="돋움"/>
        <family val="3"/>
        <charset val="129"/>
      </rPr>
      <t xml:space="preserve">
MM윤현숙3CPM
</t>
    </r>
    <phoneticPr fontId="3" type="noConversion"/>
  </si>
  <si>
    <t xml:space="preserve"> - 윤동석2님 rtms 재개
 - 주현수님 RM2삭제, RP2추가, ESWT시간변경 시간표다시
 - 배희숙님 오전기구변경 M -&gt; C</t>
    <phoneticPr fontId="3" type="noConversion"/>
  </si>
  <si>
    <t xml:space="preserve">*3층 HOLD
- 배희숙님 외진 ALL HOLD
- 김형묵3님 퇴원 오후 HOLD </t>
    <phoneticPr fontId="3" type="noConversion"/>
  </si>
  <si>
    <t>3층 재활센터 시간표     2025. 11. 10 (월)</t>
    <phoneticPr fontId="4" type="noConversion"/>
  </si>
  <si>
    <r>
      <rPr>
        <b/>
        <u/>
        <sz val="10"/>
        <rFont val="돋움"/>
        <family val="3"/>
        <charset val="129"/>
      </rPr>
      <t>MM송진영C</t>
    </r>
    <r>
      <rPr>
        <sz val="10"/>
        <rFont val="돋움"/>
        <family val="3"/>
        <charset val="129"/>
      </rPr>
      <t xml:space="preserve">
</t>
    </r>
    <r>
      <rPr>
        <b/>
        <u/>
        <sz val="10"/>
        <rFont val="돋움"/>
        <family val="3"/>
        <charset val="129"/>
      </rPr>
      <t>MM조남선S</t>
    </r>
    <r>
      <rPr>
        <sz val="10"/>
        <rFont val="돋움"/>
        <family val="3"/>
        <charset val="129"/>
      </rPr>
      <t xml:space="preserve">
MM이재용2C
</t>
    </r>
    <r>
      <rPr>
        <sz val="10"/>
        <rFont val="돋움"/>
        <family val="3"/>
        <charset val="129"/>
      </rPr>
      <t xml:space="preserve">MM윤현숙3CPM
</t>
    </r>
    <phoneticPr fontId="3" type="noConversion"/>
  </si>
  <si>
    <r>
      <rPr>
        <sz val="10"/>
        <color rgb="FFFF0000"/>
        <rFont val="돋움"/>
        <family val="3"/>
        <charset val="129"/>
      </rPr>
      <t xml:space="preserve">MM이강은C
</t>
    </r>
    <r>
      <rPr>
        <sz val="10"/>
        <rFont val="돋움"/>
        <family val="3"/>
        <charset val="129"/>
      </rPr>
      <t xml:space="preserve">MM한순근CPM
MM주현수2S
</t>
    </r>
    <phoneticPr fontId="3" type="noConversion"/>
  </si>
  <si>
    <t>RM이정례3</t>
    <phoneticPr fontId="3" type="noConversion"/>
  </si>
  <si>
    <t xml:space="preserve">
  정창래2님 L7 시간변경 (13:30&gt;10:50)
</t>
    <phoneticPr fontId="3" type="noConversion"/>
  </si>
  <si>
    <t>한상호
(공가)</t>
    <phoneticPr fontId="4" type="noConversion"/>
  </si>
  <si>
    <t>안순재
(연차)</t>
    <phoneticPr fontId="4" type="noConversion"/>
  </si>
  <si>
    <r>
      <rPr>
        <b/>
        <sz val="10"/>
        <color rgb="FFFF0000"/>
        <rFont val="돋움"/>
        <family val="3"/>
        <charset val="129"/>
      </rPr>
      <t>MM전효식C</t>
    </r>
    <r>
      <rPr>
        <sz val="10"/>
        <rFont val="돋움"/>
        <family val="3"/>
        <charset val="129"/>
      </rPr>
      <t xml:space="preserve">
MM서정욱2C
</t>
    </r>
    <r>
      <rPr>
        <b/>
        <u/>
        <sz val="10"/>
        <rFont val="돋움"/>
        <family val="3"/>
        <charset val="129"/>
      </rPr>
      <t>MM박미정4Tt</t>
    </r>
    <r>
      <rPr>
        <sz val="10"/>
        <rFont val="돋움"/>
        <family val="3"/>
        <charset val="129"/>
      </rPr>
      <t xml:space="preserve">
MM한순근CPM</t>
    </r>
    <phoneticPr fontId="3" type="noConversion"/>
  </si>
  <si>
    <r>
      <rPr>
        <b/>
        <sz val="10"/>
        <color rgb="FFFF0000"/>
        <rFont val="돋움"/>
        <family val="3"/>
        <charset val="129"/>
      </rPr>
      <t>MM서정욱2C</t>
    </r>
    <r>
      <rPr>
        <sz val="10"/>
        <rFont val="돋움"/>
        <family val="3"/>
        <charset val="129"/>
      </rPr>
      <t xml:space="preserve">
</t>
    </r>
    <r>
      <rPr>
        <b/>
        <u/>
        <sz val="10"/>
        <rFont val="돋움"/>
        <family val="3"/>
        <charset val="129"/>
      </rPr>
      <t>MM박미정4M</t>
    </r>
    <r>
      <rPr>
        <sz val="10"/>
        <rFont val="돋움"/>
        <family val="3"/>
        <charset val="129"/>
      </rPr>
      <t xml:space="preserve">
MM이두현S
MM유기분C</t>
    </r>
    <phoneticPr fontId="3" type="noConversion"/>
  </si>
  <si>
    <t>MM서정욱2C</t>
    <phoneticPr fontId="3" type="noConversion"/>
  </si>
  <si>
    <t>RG한상진(4)</t>
    <phoneticPr fontId="3" type="noConversion"/>
  </si>
  <si>
    <t>RN전효식</t>
    <phoneticPr fontId="3" type="noConversion"/>
  </si>
  <si>
    <t>RG이강은</t>
    <phoneticPr fontId="3" type="noConversion"/>
  </si>
  <si>
    <t>MM정명자5C</t>
    <phoneticPr fontId="3" type="noConversion"/>
  </si>
  <si>
    <r>
      <t xml:space="preserve">MM서대성C
</t>
    </r>
    <r>
      <rPr>
        <sz val="10"/>
        <color rgb="FFFF0000"/>
        <rFont val="돋움"/>
        <family val="3"/>
        <charset val="129"/>
      </rPr>
      <t>MM윤미기자C</t>
    </r>
    <r>
      <rPr>
        <sz val="10"/>
        <rFont val="돋움"/>
        <family val="3"/>
        <charset val="129"/>
      </rPr>
      <t xml:space="preserve">
MM김영한2Tt
MM윤현숙3CPM
</t>
    </r>
    <phoneticPr fontId="3" type="noConversion"/>
  </si>
  <si>
    <t>MM윤미기자C</t>
    <phoneticPr fontId="3" type="noConversion"/>
  </si>
  <si>
    <t>RA유기분</t>
    <phoneticPr fontId="3" type="noConversion"/>
  </si>
  <si>
    <t>N유영만</t>
    <phoneticPr fontId="3" type="noConversion"/>
  </si>
  <si>
    <t>M이영휘C
M장광청T
M김주식S
M유영만Tt</t>
    <phoneticPr fontId="4" type="noConversion"/>
  </si>
  <si>
    <t>F김봉예
F이동열
F이영임
F김명숙19</t>
    <phoneticPr fontId="4" type="noConversion"/>
  </si>
  <si>
    <t xml:space="preserve">오정아(A)
</t>
    <phoneticPr fontId="3" type="noConversion"/>
  </si>
  <si>
    <t>H7오정아A</t>
    <phoneticPr fontId="4" type="noConversion"/>
  </si>
  <si>
    <r>
      <rPr>
        <sz val="10"/>
        <color rgb="FFFF0000"/>
        <rFont val="돋움"/>
        <family val="3"/>
        <charset val="129"/>
      </rPr>
      <t>MM정명자5C</t>
    </r>
    <r>
      <rPr>
        <sz val="10"/>
        <rFont val="돋움"/>
        <family val="3"/>
        <charset val="129"/>
      </rPr>
      <t xml:space="preserve">
</t>
    </r>
    <r>
      <rPr>
        <b/>
        <sz val="10"/>
        <color rgb="FFFF0000"/>
        <rFont val="돋움"/>
        <family val="3"/>
        <charset val="129"/>
      </rPr>
      <t>MM이정임4C</t>
    </r>
    <r>
      <rPr>
        <sz val="10"/>
        <rFont val="돋움"/>
        <family val="3"/>
        <charset val="129"/>
      </rPr>
      <t xml:space="preserve">
</t>
    </r>
    <r>
      <rPr>
        <b/>
        <u/>
        <sz val="10"/>
        <rFont val="돋움"/>
        <family val="3"/>
        <charset val="129"/>
      </rPr>
      <t>MM전효식C</t>
    </r>
    <r>
      <rPr>
        <sz val="10"/>
        <rFont val="돋움"/>
        <family val="3"/>
        <charset val="129"/>
      </rPr>
      <t xml:space="preserve">
MM김귀례2C
MM오병찬CPM
MM이정례3S
MM주현수2C</t>
    </r>
    <phoneticPr fontId="3" type="noConversion"/>
  </si>
  <si>
    <t>F김봉예
F이동열
F이영임
F김명숙19</t>
    <phoneticPr fontId="4" type="noConversion"/>
  </si>
  <si>
    <t>수중</t>
    <phoneticPr fontId="4" type="noConversion"/>
  </si>
  <si>
    <t>주현수2</t>
    <phoneticPr fontId="3" type="noConversion"/>
  </si>
  <si>
    <t xml:space="preserve">
김주식</t>
    <phoneticPr fontId="3" type="noConversion"/>
  </si>
  <si>
    <t>주현수2
정창래2(A)</t>
    <phoneticPr fontId="3" type="noConversion"/>
  </si>
  <si>
    <t>C송영연
C김봉예
C정창래2</t>
    <phoneticPr fontId="4" type="noConversion"/>
  </si>
  <si>
    <t xml:space="preserve">MM윤미기자C
MM오연숙S
</t>
    <phoneticPr fontId="3" type="noConversion"/>
  </si>
  <si>
    <r>
      <t>MM오연숙C
MM이재용2C</t>
    </r>
    <r>
      <rPr>
        <sz val="10"/>
        <color rgb="FFFF0000"/>
        <rFont val="돋움"/>
        <family val="3"/>
        <charset val="129"/>
      </rPr>
      <t xml:space="preserve">
</t>
    </r>
    <r>
      <rPr>
        <b/>
        <u/>
        <sz val="10"/>
        <rFont val="돋움"/>
        <family val="3"/>
        <charset val="129"/>
      </rPr>
      <t>MM조남선S</t>
    </r>
    <r>
      <rPr>
        <sz val="10"/>
        <rFont val="돋움"/>
        <family val="3"/>
        <charset val="129"/>
      </rPr>
      <t xml:space="preserve">
</t>
    </r>
    <phoneticPr fontId="3" type="noConversion"/>
  </si>
  <si>
    <t>M전용대C
M곽홍기C
M이흥식S</t>
    <phoneticPr fontId="4" type="noConversion"/>
  </si>
  <si>
    <t>C김문식3</t>
    <phoneticPr fontId="4" type="noConversion"/>
  </si>
  <si>
    <t>오정아(A)</t>
    <phoneticPr fontId="3" type="noConversion"/>
  </si>
  <si>
    <t>N전용대
N정규설</t>
    <phoneticPr fontId="4" type="noConversion"/>
  </si>
  <si>
    <t>3층 재활센터 시간표     2025. 11. 11 (화)</t>
    <phoneticPr fontId="4" type="noConversion"/>
  </si>
  <si>
    <t>조해인
(연차)</t>
    <phoneticPr fontId="3" type="noConversion"/>
  </si>
  <si>
    <r>
      <t xml:space="preserve">MM이정례3C
MM이정임4C
MM오병찬CPM
</t>
    </r>
    <r>
      <rPr>
        <b/>
        <u/>
        <sz val="10"/>
        <rFont val="돋움"/>
        <family val="3"/>
        <charset val="129"/>
      </rPr>
      <t xml:space="preserve">
</t>
    </r>
    <r>
      <rPr>
        <sz val="10"/>
        <rFont val="돋움"/>
        <family val="3"/>
        <charset val="129"/>
      </rPr>
      <t>MM유기분C</t>
    </r>
    <phoneticPr fontId="3" type="noConversion"/>
  </si>
  <si>
    <t>RA한상진(4)</t>
    <phoneticPr fontId="3" type="noConversion"/>
  </si>
  <si>
    <t>RA정명자5</t>
    <phoneticPr fontId="3" type="noConversion"/>
  </si>
  <si>
    <t>정명자5님 RD2삭제,RA2추가 / 시간표 다시</t>
    <phoneticPr fontId="3" type="noConversion"/>
  </si>
  <si>
    <t>김형묵3님
서대성님 오후 HOLD</t>
    <phoneticPr fontId="3" type="noConversion"/>
  </si>
  <si>
    <r>
      <rPr>
        <b/>
        <sz val="10"/>
        <color rgb="FFFF0000"/>
        <rFont val="돋움"/>
        <family val="3"/>
        <charset val="129"/>
      </rPr>
      <t>MM서정욱2C</t>
    </r>
    <r>
      <rPr>
        <sz val="10"/>
        <rFont val="돋움"/>
        <family val="3"/>
        <charset val="129"/>
      </rPr>
      <t xml:space="preserve">
</t>
    </r>
    <r>
      <rPr>
        <b/>
        <u/>
        <sz val="10"/>
        <rFont val="돋움"/>
        <family val="3"/>
        <charset val="129"/>
      </rPr>
      <t>MM박미정4M</t>
    </r>
    <r>
      <rPr>
        <sz val="10"/>
        <rFont val="돋움"/>
        <family val="3"/>
        <charset val="129"/>
      </rPr>
      <t xml:space="preserve">
MM이두현S
MM유기분C</t>
    </r>
    <phoneticPr fontId="3" type="noConversion"/>
  </si>
  <si>
    <t>RA조남선</t>
    <phoneticPr fontId="3" type="noConversion"/>
  </si>
  <si>
    <t xml:space="preserve"> 근전도 : (14:50-16:10) 전효식님(42087) / EP</t>
    <phoneticPr fontId="3" type="noConversion"/>
  </si>
  <si>
    <r>
      <t xml:space="preserve">MM정명자5C
</t>
    </r>
    <r>
      <rPr>
        <sz val="10"/>
        <color rgb="FFFF0000"/>
        <rFont val="돋움"/>
        <family val="3"/>
        <charset val="129"/>
      </rPr>
      <t>MM이정임4C</t>
    </r>
    <r>
      <rPr>
        <sz val="10"/>
        <rFont val="돋움"/>
        <family val="3"/>
        <charset val="129"/>
      </rPr>
      <t xml:space="preserve">
</t>
    </r>
    <r>
      <rPr>
        <b/>
        <u/>
        <sz val="10"/>
        <rFont val="돋움"/>
        <family val="3"/>
        <charset val="129"/>
      </rPr>
      <t>MM전효식C</t>
    </r>
    <r>
      <rPr>
        <sz val="10"/>
        <rFont val="돋움"/>
        <family val="3"/>
        <charset val="129"/>
      </rPr>
      <t xml:space="preserve">
MM김귀례2C
</t>
    </r>
    <r>
      <rPr>
        <sz val="10"/>
        <color rgb="FFFF0000"/>
        <rFont val="돋움"/>
        <family val="3"/>
        <charset val="129"/>
      </rPr>
      <t>MM오병찬CPM</t>
    </r>
    <r>
      <rPr>
        <sz val="10"/>
        <rFont val="돋움"/>
        <family val="3"/>
        <charset val="129"/>
      </rPr>
      <t xml:space="preserve">
MM이정례3S
MM주현수2C</t>
    </r>
    <phoneticPr fontId="3" type="noConversion"/>
  </si>
  <si>
    <t>MM오병찬CPM</t>
  </si>
  <si>
    <r>
      <t xml:space="preserve">MM윤미기자C
MM김영한2Tt
</t>
    </r>
    <r>
      <rPr>
        <sz val="10"/>
        <color rgb="FFFF0000"/>
        <rFont val="돋움"/>
        <family val="3"/>
        <charset val="129"/>
      </rPr>
      <t>MM윤현숙3CPM</t>
    </r>
    <r>
      <rPr>
        <sz val="10"/>
        <rFont val="돋움"/>
        <family val="3"/>
        <charset val="129"/>
      </rPr>
      <t xml:space="preserve">
</t>
    </r>
    <phoneticPr fontId="3" type="noConversion"/>
  </si>
  <si>
    <t>MM윤현숙3CPM</t>
    <phoneticPr fontId="3" type="noConversion"/>
  </si>
  <si>
    <t>안순재
(연차)</t>
    <phoneticPr fontId="4" type="noConversion"/>
  </si>
  <si>
    <t>MM서정욱2C</t>
    <phoneticPr fontId="3" type="noConversion"/>
  </si>
  <si>
    <t>CA윤영섭</t>
    <phoneticPr fontId="3" type="noConversion"/>
  </si>
  <si>
    <r>
      <rPr>
        <b/>
        <sz val="10"/>
        <color rgb="FFFF0000"/>
        <rFont val="돋움"/>
        <family val="3"/>
        <charset val="129"/>
      </rPr>
      <t>MM이강은C</t>
    </r>
    <r>
      <rPr>
        <sz val="10"/>
        <color rgb="FFFF0000"/>
        <rFont val="돋움"/>
        <family val="3"/>
        <charset val="129"/>
      </rPr>
      <t xml:space="preserve">
</t>
    </r>
    <r>
      <rPr>
        <sz val="10"/>
        <rFont val="돋움"/>
        <family val="3"/>
        <charset val="129"/>
      </rPr>
      <t xml:space="preserve">MM배희숙Tt
MM한순근CPM
MM주현수2S
</t>
    </r>
    <phoneticPr fontId="3" type="noConversion"/>
  </si>
  <si>
    <t>MM이강은C</t>
    <phoneticPr fontId="3" type="noConversion"/>
  </si>
  <si>
    <t>H7윤동석2B</t>
    <phoneticPr fontId="4" type="noConversion"/>
  </si>
  <si>
    <t>RG이강은</t>
    <phoneticPr fontId="4" type="noConversion"/>
  </si>
  <si>
    <t>N곽홍기</t>
    <phoneticPr fontId="3" type="noConversion"/>
  </si>
  <si>
    <t>CA곽홍기</t>
    <phoneticPr fontId="3" type="noConversion"/>
  </si>
  <si>
    <t>RD김귀례2</t>
    <phoneticPr fontId="3" type="noConversion"/>
  </si>
  <si>
    <t>3층 재활센터 시간표     2025. 11. 12 (수)</t>
    <phoneticPr fontId="4" type="noConversion"/>
  </si>
  <si>
    <t xml:space="preserve">이강은님 오후 시간변경 / 시간표 다시
김귀례님 오후 시간변경 / 시간표 다시
곽홍기님 오후 시간 변경 / 시간표 다시
</t>
    <phoneticPr fontId="3" type="noConversion"/>
  </si>
  <si>
    <t>배서현
(공가)</t>
    <phoneticPr fontId="4" type="noConversion"/>
  </si>
  <si>
    <t>한상호
(연차)</t>
    <phoneticPr fontId="4" type="noConversion"/>
  </si>
  <si>
    <r>
      <rPr>
        <u/>
        <sz val="10"/>
        <rFont val="돋움"/>
        <family val="3"/>
        <charset val="129"/>
      </rPr>
      <t>N송영연</t>
    </r>
    <r>
      <rPr>
        <sz val="10"/>
        <rFont val="돋움"/>
        <family val="3"/>
        <charset val="129"/>
      </rPr>
      <t xml:space="preserve">
N장광청</t>
    </r>
    <phoneticPr fontId="4" type="noConversion"/>
  </si>
  <si>
    <t>N신인섭
N정진월</t>
    <phoneticPr fontId="4" type="noConversion"/>
  </si>
  <si>
    <t>H7윤동석2B</t>
    <phoneticPr fontId="4" type="noConversion"/>
  </si>
  <si>
    <t>MM서대성C</t>
    <phoneticPr fontId="3" type="noConversion"/>
  </si>
  <si>
    <r>
      <rPr>
        <b/>
        <u/>
        <sz val="10"/>
        <rFont val="돋움"/>
        <family val="3"/>
        <charset val="129"/>
      </rPr>
      <t>MM송진영C</t>
    </r>
    <r>
      <rPr>
        <sz val="10"/>
        <rFont val="돋움"/>
        <family val="3"/>
        <charset val="129"/>
      </rPr>
      <t xml:space="preserve">
</t>
    </r>
    <r>
      <rPr>
        <b/>
        <u/>
        <sz val="10"/>
        <rFont val="돋움"/>
        <family val="3"/>
        <charset val="129"/>
      </rPr>
      <t>MM조남선S</t>
    </r>
    <r>
      <rPr>
        <sz val="10"/>
        <rFont val="돋움"/>
        <family val="3"/>
        <charset val="129"/>
      </rPr>
      <t xml:space="preserve">
MM이재용2C</t>
    </r>
    <r>
      <rPr>
        <b/>
        <sz val="10"/>
        <rFont val="돋움"/>
        <family val="3"/>
        <charset val="129"/>
      </rPr>
      <t xml:space="preserve">
</t>
    </r>
    <r>
      <rPr>
        <b/>
        <sz val="10"/>
        <color rgb="FFFF0000"/>
        <rFont val="돋움"/>
        <family val="3"/>
        <charset val="129"/>
      </rPr>
      <t>MM배희숙C</t>
    </r>
    <r>
      <rPr>
        <sz val="10"/>
        <rFont val="돋움"/>
        <family val="3"/>
        <charset val="129"/>
      </rPr>
      <t xml:space="preserve">
MM윤현숙3CPM
</t>
    </r>
    <phoneticPr fontId="3" type="noConversion"/>
  </si>
  <si>
    <t>MM배희숙C</t>
    <phoneticPr fontId="3" type="noConversion"/>
  </si>
  <si>
    <t>RG김귀례2</t>
    <phoneticPr fontId="3" type="noConversion"/>
  </si>
  <si>
    <t>RG이강은</t>
    <phoneticPr fontId="3" type="noConversion"/>
  </si>
  <si>
    <t>RM정명자5</t>
    <phoneticPr fontId="3" type="noConversion"/>
  </si>
  <si>
    <t>RG한순근</t>
    <phoneticPr fontId="3" type="noConversion"/>
  </si>
  <si>
    <t>RN박미정4</t>
    <phoneticPr fontId="3" type="noConversion"/>
  </si>
  <si>
    <t>N김봉예</t>
    <phoneticPr fontId="3" type="noConversion"/>
  </si>
  <si>
    <t>M이명덕C
M정규설C
M변종구C
M이수길S
M오정아S
M권음전M
M조태은Tt</t>
    <phoneticPr fontId="4" type="noConversion"/>
  </si>
  <si>
    <t>N유영만</t>
    <phoneticPr fontId="4" type="noConversion"/>
  </si>
  <si>
    <t>C이영임
C정규설</t>
    <phoneticPr fontId="3" type="noConversion"/>
  </si>
  <si>
    <t>F이명덕
F유해진
F이재남4</t>
    <phoneticPr fontId="4" type="noConversion"/>
  </si>
  <si>
    <t>RG한상진(4)</t>
    <phoneticPr fontId="3" type="noConversion"/>
  </si>
  <si>
    <t>RM조남선</t>
    <phoneticPr fontId="3" type="noConversion"/>
  </si>
  <si>
    <t>김진현님 ALL HOLD
이흥식님 3:50 N7 HOLD</t>
    <phoneticPr fontId="3" type="noConversion"/>
  </si>
  <si>
    <t xml:space="preserve">
C윤동석2</t>
    <phoneticPr fontId="3" type="noConversion"/>
  </si>
  <si>
    <t>C채남순
C이동열</t>
    <phoneticPr fontId="4" type="noConversion"/>
  </si>
  <si>
    <t>MM서정욱2C</t>
    <phoneticPr fontId="3" type="noConversion"/>
  </si>
  <si>
    <t>N이순희5
N이동열</t>
    <phoneticPr fontId="3" type="noConversion"/>
  </si>
  <si>
    <r>
      <rPr>
        <sz val="10"/>
        <color rgb="FFFF0000"/>
        <rFont val="돋움"/>
        <family val="3"/>
        <charset val="129"/>
      </rPr>
      <t>N홍우표2</t>
    </r>
    <r>
      <rPr>
        <sz val="10"/>
        <rFont val="돋움"/>
        <family val="3"/>
        <charset val="129"/>
      </rPr>
      <t xml:space="preserve">
</t>
    </r>
    <phoneticPr fontId="3" type="noConversion"/>
  </si>
  <si>
    <t>MM이정임4C</t>
  </si>
  <si>
    <r>
      <t>MM정명자5C</t>
    </r>
    <r>
      <rPr>
        <sz val="10"/>
        <rFont val="돋움"/>
        <family val="3"/>
        <charset val="129"/>
      </rPr>
      <t xml:space="preserve">
</t>
    </r>
    <r>
      <rPr>
        <b/>
        <u/>
        <sz val="10"/>
        <rFont val="돋움"/>
        <family val="3"/>
        <charset val="129"/>
      </rPr>
      <t>MM전효식C</t>
    </r>
    <r>
      <rPr>
        <sz val="10"/>
        <rFont val="돋움"/>
        <family val="3"/>
        <charset val="129"/>
      </rPr>
      <t xml:space="preserve">
MM김귀례2C
MM오병찬CPM
MM이정례3S
MM주현수2C</t>
    </r>
    <phoneticPr fontId="3" type="noConversion"/>
  </si>
  <si>
    <t>RD이준구2(4)</t>
    <phoneticPr fontId="3" type="noConversion"/>
  </si>
  <si>
    <t>RA최의숙(4)</t>
    <phoneticPr fontId="3" type="noConversion"/>
  </si>
  <si>
    <t>RS김을순2(4)</t>
    <phoneticPr fontId="3" type="noConversion"/>
  </si>
  <si>
    <r>
      <t xml:space="preserve">MM이정례3C
</t>
    </r>
    <r>
      <rPr>
        <b/>
        <u/>
        <sz val="10"/>
        <rFont val="돋움"/>
        <family val="3"/>
        <charset val="129"/>
      </rPr>
      <t>MM이정임4C</t>
    </r>
    <r>
      <rPr>
        <sz val="10"/>
        <rFont val="돋움"/>
        <family val="3"/>
        <charset val="129"/>
      </rPr>
      <t xml:space="preserve">
MM오병찬CPM
</t>
    </r>
    <r>
      <rPr>
        <b/>
        <u/>
        <sz val="10"/>
        <rFont val="돋움"/>
        <family val="3"/>
        <charset val="129"/>
      </rPr>
      <t xml:space="preserve">
</t>
    </r>
    <r>
      <rPr>
        <sz val="10"/>
        <rFont val="돋움"/>
        <family val="3"/>
        <charset val="129"/>
      </rPr>
      <t>MM유기분C</t>
    </r>
    <phoneticPr fontId="3" type="noConversion"/>
  </si>
  <si>
    <r>
      <rPr>
        <b/>
        <sz val="10"/>
        <color rgb="FFFF0000"/>
        <rFont val="돋움"/>
        <family val="3"/>
        <charset val="129"/>
      </rPr>
      <t>MM서대성C</t>
    </r>
    <r>
      <rPr>
        <sz val="10"/>
        <rFont val="돋움"/>
        <family val="3"/>
        <charset val="129"/>
      </rPr>
      <t xml:space="preserve">
MM윤미기자C
MM김영한2Tt
MM윤현숙3CPM
</t>
    </r>
    <phoneticPr fontId="3" type="noConversion"/>
  </si>
  <si>
    <r>
      <rPr>
        <b/>
        <sz val="10"/>
        <color rgb="FFFF0000"/>
        <rFont val="돋움"/>
        <family val="3"/>
        <charset val="129"/>
      </rPr>
      <t>MM이강은C(2)</t>
    </r>
    <r>
      <rPr>
        <sz val="10"/>
        <color rgb="FFFF0000"/>
        <rFont val="돋움"/>
        <family val="3"/>
        <charset val="129"/>
      </rPr>
      <t xml:space="preserve">
</t>
    </r>
    <r>
      <rPr>
        <sz val="10"/>
        <rFont val="돋움"/>
        <family val="3"/>
        <charset val="129"/>
      </rPr>
      <t xml:space="preserve">MM배희숙Tt
MM한순근CPM
MM주현수2S
</t>
    </r>
    <phoneticPr fontId="3" type="noConversion"/>
  </si>
  <si>
    <r>
      <rPr>
        <b/>
        <sz val="10"/>
        <color rgb="FFFF0000"/>
        <rFont val="돋움"/>
        <family val="3"/>
        <charset val="129"/>
      </rPr>
      <t>MM전효식C(소아)</t>
    </r>
    <r>
      <rPr>
        <sz val="10"/>
        <rFont val="돋움"/>
        <family val="3"/>
        <charset val="129"/>
      </rPr>
      <t xml:space="preserve">
MM서정욱2C
</t>
    </r>
    <r>
      <rPr>
        <b/>
        <u/>
        <sz val="10"/>
        <rFont val="돋움"/>
        <family val="3"/>
        <charset val="129"/>
      </rPr>
      <t>MM박미정4Tt</t>
    </r>
    <r>
      <rPr>
        <sz val="10"/>
        <rFont val="돋움"/>
        <family val="3"/>
        <charset val="129"/>
      </rPr>
      <t xml:space="preserve">
MM한순근CPM</t>
    </r>
    <phoneticPr fontId="3" type="noConversion"/>
  </si>
  <si>
    <t xml:space="preserve">8:30 - N이동열 (10:15으로 변경)
        RN전효식(3:50으로 변경)
9:05 - N유영만(10:15으로 변경)
2:05 - N김진학(3:50으로 변경)
2:40 - N곽홍기(10:15으로 변경)
배서현T, 한상호T 2층 부분 대체 진행
MM이정임4C 2:05 -&gt; 1:30 
RA이정례3 2:40 -&gt; 3:15 </t>
    <phoneticPr fontId="3" type="noConversion"/>
  </si>
  <si>
    <t>RA이강은(4)</t>
    <phoneticPr fontId="3" type="noConversion"/>
  </si>
  <si>
    <t>RA이정례3(4)</t>
    <phoneticPr fontId="3" type="noConversion"/>
  </si>
  <si>
    <t>MM윤미기자C
MM오연숙S
MM김귀례2Tt</t>
    <phoneticPr fontId="3" type="noConversion"/>
  </si>
  <si>
    <t>RG권병호</t>
    <phoneticPr fontId="3" type="noConversion"/>
  </si>
  <si>
    <t>RG권병호</t>
    <phoneticPr fontId="3" type="noConversion"/>
  </si>
  <si>
    <t>RD권병호</t>
    <phoneticPr fontId="3" type="noConversion"/>
  </si>
  <si>
    <t>RA권병호</t>
    <phoneticPr fontId="3" type="noConversion"/>
  </si>
  <si>
    <t>권병호님 전실 (RG4,RA2,RD6,MM
김귀례님 오전 기구 시간 변경 / 시간표 다시</t>
    <phoneticPr fontId="3" type="noConversion"/>
  </si>
  <si>
    <t xml:space="preserve">
MM정명자5Tt
MM권병호C
MM이두현C</t>
    <phoneticPr fontId="3" type="noConversion"/>
  </si>
  <si>
    <t>배서현
(연차)</t>
    <phoneticPr fontId="4" type="noConversion"/>
  </si>
  <si>
    <t>N신인섭
N정진월</t>
    <phoneticPr fontId="4" type="noConversion"/>
  </si>
  <si>
    <t>3층 HOLD
조태은님 9:30~점심 HOLD</t>
    <phoneticPr fontId="3" type="noConversion"/>
  </si>
  <si>
    <t>C박경원2
C이순희5</t>
    <phoneticPr fontId="4" type="noConversion"/>
  </si>
  <si>
    <t>M김주식C
M송영연C
M채남순S
M김진현2T
M유해진M
M홍우표2Tt
M이영임Tt</t>
    <phoneticPr fontId="4" type="noConversion"/>
  </si>
  <si>
    <t>3층 재활센터 시간표     2025. 11. 13 (목)</t>
    <phoneticPr fontId="4" type="noConversion"/>
  </si>
  <si>
    <t>RM조남선</t>
    <phoneticPr fontId="3" type="noConversion"/>
  </si>
  <si>
    <r>
      <rPr>
        <sz val="10"/>
        <color rgb="FFFF0000"/>
        <rFont val="돋움"/>
        <family val="3"/>
        <charset val="129"/>
      </rPr>
      <t>MM서대성C</t>
    </r>
    <r>
      <rPr>
        <sz val="10"/>
        <rFont val="돋움"/>
        <family val="3"/>
        <charset val="129"/>
      </rPr>
      <t xml:space="preserve">
MM윤미기자C
MM김영한2Tt
MM윤현숙3CPM
</t>
    </r>
    <phoneticPr fontId="3" type="noConversion"/>
  </si>
  <si>
    <t xml:space="preserve">3층 재활센터 시간표     2025. 11. </t>
    <phoneticPr fontId="4" type="noConversion"/>
  </si>
  <si>
    <t>배서현</t>
    <phoneticPr fontId="4" type="noConversion"/>
  </si>
  <si>
    <t>한상호</t>
    <phoneticPr fontId="4" type="noConversion"/>
  </si>
  <si>
    <t>M김주식C
M송영연C
M채남순S
M조태은S
M유해진M
M홍우표2Tt
M이영임Tt</t>
    <phoneticPr fontId="4" type="noConversion"/>
  </si>
  <si>
    <t>H7윤동석2B</t>
    <phoneticPr fontId="4" type="noConversion"/>
  </si>
  <si>
    <r>
      <rPr>
        <b/>
        <u/>
        <sz val="10"/>
        <rFont val="돋움"/>
        <family val="3"/>
        <charset val="129"/>
      </rPr>
      <t>MM송진영C</t>
    </r>
    <r>
      <rPr>
        <sz val="10"/>
        <rFont val="돋움"/>
        <family val="3"/>
        <charset val="129"/>
      </rPr>
      <t xml:space="preserve">
</t>
    </r>
    <r>
      <rPr>
        <b/>
        <u/>
        <sz val="10"/>
        <rFont val="돋움"/>
        <family val="3"/>
        <charset val="129"/>
      </rPr>
      <t>MM조남선S</t>
    </r>
    <r>
      <rPr>
        <sz val="10"/>
        <rFont val="돋움"/>
        <family val="3"/>
        <charset val="129"/>
      </rPr>
      <t xml:space="preserve">
</t>
    </r>
    <r>
      <rPr>
        <b/>
        <sz val="10"/>
        <color rgb="FFFF0000"/>
        <rFont val="돋움"/>
        <family val="3"/>
        <charset val="129"/>
      </rPr>
      <t>MM이재용2C</t>
    </r>
    <r>
      <rPr>
        <sz val="10"/>
        <rFont val="돋움"/>
        <family val="3"/>
        <charset val="129"/>
      </rPr>
      <t xml:space="preserve">
MM배희숙C
MM윤현숙3CPM
</t>
    </r>
    <phoneticPr fontId="3" type="noConversion"/>
  </si>
  <si>
    <t>MM이재용2C</t>
  </si>
  <si>
    <r>
      <t xml:space="preserve">MM오연숙C
MM이재용2C
</t>
    </r>
    <r>
      <rPr>
        <sz val="10"/>
        <color rgb="FFFF0000"/>
        <rFont val="돋움"/>
        <family val="3"/>
        <charset val="129"/>
      </rPr>
      <t xml:space="preserve">MM권병호C
</t>
    </r>
    <r>
      <rPr>
        <b/>
        <u/>
        <sz val="10"/>
        <rFont val="돋움"/>
        <family val="3"/>
        <charset val="129"/>
      </rPr>
      <t>MM조남선S</t>
    </r>
    <r>
      <rPr>
        <sz val="10"/>
        <rFont val="돋움"/>
        <family val="3"/>
        <charset val="129"/>
      </rPr>
      <t xml:space="preserve">
</t>
    </r>
    <phoneticPr fontId="3" type="noConversion"/>
  </si>
  <si>
    <t>MM서정욱2C</t>
  </si>
  <si>
    <r>
      <rPr>
        <sz val="10"/>
        <color rgb="FFFF0000"/>
        <rFont val="돋움"/>
        <family val="3"/>
        <charset val="129"/>
      </rPr>
      <t>MM서대성C</t>
    </r>
    <r>
      <rPr>
        <sz val="10"/>
        <rFont val="돋움"/>
        <family val="3"/>
        <charset val="129"/>
      </rPr>
      <t xml:space="preserve">
MM윤미기자C
MM김영한2Tt
</t>
    </r>
    <r>
      <rPr>
        <sz val="10"/>
        <color rgb="FFFF0000"/>
        <rFont val="돋움"/>
        <family val="3"/>
        <charset val="129"/>
      </rPr>
      <t xml:space="preserve">MM윤현숙3CPM
</t>
    </r>
    <phoneticPr fontId="3" type="noConversion"/>
  </si>
  <si>
    <t>MM윤현숙3CPM</t>
    <phoneticPr fontId="3" type="noConversion"/>
  </si>
  <si>
    <r>
      <t xml:space="preserve">MM정명자5C
</t>
    </r>
    <r>
      <rPr>
        <sz val="10"/>
        <color rgb="FFFF0000"/>
        <rFont val="돋움"/>
        <family val="3"/>
        <charset val="129"/>
      </rPr>
      <t>MM이정임4C</t>
    </r>
    <r>
      <rPr>
        <sz val="10"/>
        <rFont val="돋움"/>
        <family val="3"/>
        <charset val="129"/>
      </rPr>
      <t xml:space="preserve">
</t>
    </r>
    <r>
      <rPr>
        <b/>
        <u/>
        <sz val="10"/>
        <rFont val="돋움"/>
        <family val="3"/>
        <charset val="129"/>
      </rPr>
      <t>MM전효식C</t>
    </r>
    <r>
      <rPr>
        <sz val="10"/>
        <rFont val="돋움"/>
        <family val="3"/>
        <charset val="129"/>
      </rPr>
      <t xml:space="preserve">
MM김귀례2C
MM이정례3S
</t>
    </r>
    <r>
      <rPr>
        <sz val="10"/>
        <color rgb="FFFF0000"/>
        <rFont val="돋움"/>
        <family val="3"/>
        <charset val="129"/>
      </rPr>
      <t>MM오병찬CPM</t>
    </r>
    <r>
      <rPr>
        <sz val="10"/>
        <rFont val="돋움"/>
        <family val="3"/>
        <charset val="129"/>
      </rPr>
      <t xml:space="preserve">
MM주현수2C</t>
    </r>
    <phoneticPr fontId="3" type="noConversion"/>
  </si>
  <si>
    <t xml:space="preserve">D이영임
D홍우표2
</t>
    <phoneticPr fontId="3" type="noConversion"/>
  </si>
  <si>
    <r>
      <t xml:space="preserve">
D권음전
</t>
    </r>
    <r>
      <rPr>
        <u/>
        <sz val="10"/>
        <rFont val="돋움"/>
        <family val="3"/>
        <charset val="129"/>
      </rPr>
      <t>D오정아</t>
    </r>
    <phoneticPr fontId="3" type="noConversion"/>
  </si>
  <si>
    <t>N7오정아B</t>
    <phoneticPr fontId="3" type="noConversion"/>
  </si>
  <si>
    <t>N유용진</t>
    <phoneticPr fontId="3" type="noConversion"/>
  </si>
  <si>
    <t>N7오정아B 11:25 -&gt; 10:15
N유용진 10:15 -&gt; 11:25</t>
    <phoneticPr fontId="3" type="noConversion"/>
  </si>
  <si>
    <t>RA한순근</t>
    <phoneticPr fontId="3" type="noConversion"/>
  </si>
  <si>
    <t>연현숙님 전실 (N1,CA1,M2,F1)
한순근님 RG2삭제 RA2추가</t>
    <phoneticPr fontId="3" type="noConversion"/>
  </si>
  <si>
    <t>N연현숙2</t>
    <phoneticPr fontId="3" type="noConversion"/>
  </si>
  <si>
    <t>CA연현숙2</t>
    <phoneticPr fontId="3" type="noConversion"/>
  </si>
  <si>
    <t xml:space="preserve">
MM정명자5Tt
MM권병호C
MM이두현C</t>
    <phoneticPr fontId="3" type="noConversion"/>
  </si>
  <si>
    <t>M전용대C
M곽홍기C
M연현숙2C
M이흥식S</t>
    <phoneticPr fontId="4" type="noConversion"/>
  </si>
  <si>
    <t xml:space="preserve">
F정규설
F이영휘
F변종구
F연현숙2</t>
    <phoneticPr fontId="4" type="noConversion"/>
  </si>
  <si>
    <t>M이흥식C
M김명숙19C
M기상우C
M연현숙2C
M유용진S
M윤동석2S
M김진학Tt</t>
    <phoneticPr fontId="4" type="noConversion"/>
  </si>
  <si>
    <t xml:space="preserve">N김문식3
</t>
    <phoneticPr fontId="4" type="noConversion"/>
  </si>
  <si>
    <t xml:space="preserve">N김주식
N연현숙2
</t>
    <phoneticPr fontId="3" type="noConversion"/>
  </si>
  <si>
    <t>C연현숙2
C홍우표2</t>
    <phoneticPr fontId="4" type="noConversion"/>
  </si>
  <si>
    <t xml:space="preserve">3층 HOLD
오연숙님 오후 HOLD
김철기님 오후 HOLD
서대성님 오후 HOLD
</t>
    <phoneticPr fontId="3" type="noConversion"/>
  </si>
  <si>
    <t>3층 재활센터 시간표     2025. 11. 14 (금)</t>
    <phoneticPr fontId="4" type="noConversion"/>
  </si>
  <si>
    <t>RA송진영</t>
    <phoneticPr fontId="3" type="noConversion"/>
  </si>
  <si>
    <t>N권음전
N김복묵</t>
    <phoneticPr fontId="4" type="noConversion"/>
  </si>
  <si>
    <r>
      <t xml:space="preserve">
MM이재용2C
MM권병호C</t>
    </r>
    <r>
      <rPr>
        <sz val="10"/>
        <color rgb="FFFF0000"/>
        <rFont val="돋움"/>
        <family val="3"/>
        <charset val="129"/>
      </rPr>
      <t xml:space="preserve">
</t>
    </r>
    <r>
      <rPr>
        <b/>
        <u/>
        <sz val="10"/>
        <rFont val="돋움"/>
        <family val="3"/>
        <charset val="129"/>
      </rPr>
      <t>MM조남선S</t>
    </r>
    <r>
      <rPr>
        <sz val="10"/>
        <rFont val="돋움"/>
        <family val="3"/>
        <charset val="129"/>
      </rPr>
      <t xml:space="preserve">
</t>
    </r>
    <phoneticPr fontId="3" type="noConversion"/>
  </si>
  <si>
    <t>R윤동석2A</t>
    <phoneticPr fontId="4" type="noConversion"/>
  </si>
  <si>
    <r>
      <t xml:space="preserve">MM정명자5C
</t>
    </r>
    <r>
      <rPr>
        <sz val="10"/>
        <color rgb="FFFF0000"/>
        <rFont val="돋움"/>
        <family val="3"/>
        <charset val="129"/>
      </rPr>
      <t>MM이정임4C</t>
    </r>
    <r>
      <rPr>
        <sz val="10"/>
        <rFont val="돋움"/>
        <family val="3"/>
        <charset val="129"/>
      </rPr>
      <t xml:space="preserve">
</t>
    </r>
    <r>
      <rPr>
        <b/>
        <u/>
        <sz val="10"/>
        <rFont val="돋움"/>
        <family val="3"/>
        <charset val="129"/>
      </rPr>
      <t>MM전효식C</t>
    </r>
    <r>
      <rPr>
        <sz val="10"/>
        <rFont val="돋움"/>
        <family val="3"/>
        <charset val="129"/>
      </rPr>
      <t xml:space="preserve">
MM김귀례2C
MM이정례3S
</t>
    </r>
    <r>
      <rPr>
        <sz val="10"/>
        <color rgb="FFFF0000"/>
        <rFont val="돋움"/>
        <family val="3"/>
        <charset val="129"/>
      </rPr>
      <t>MM오병찬CPM</t>
    </r>
    <r>
      <rPr>
        <sz val="10"/>
        <rFont val="돋움"/>
        <family val="3"/>
        <charset val="129"/>
      </rPr>
      <t xml:space="preserve">
MM주현수2C</t>
    </r>
    <phoneticPr fontId="3" type="noConversion"/>
  </si>
  <si>
    <t>MM오병찬CPM</t>
    <phoneticPr fontId="3" type="noConversion"/>
  </si>
  <si>
    <r>
      <t xml:space="preserve">MM윤미기자C
MM김영한2Tt
</t>
    </r>
    <r>
      <rPr>
        <sz val="10"/>
        <color rgb="FFFF0000"/>
        <rFont val="돋움"/>
        <family val="3"/>
        <charset val="129"/>
      </rPr>
      <t>MM윤현숙3CPM</t>
    </r>
    <r>
      <rPr>
        <sz val="10"/>
        <rFont val="돋움"/>
        <family val="3"/>
        <charset val="129"/>
      </rPr>
      <t xml:space="preserve">
</t>
    </r>
    <phoneticPr fontId="3" type="noConversion"/>
  </si>
  <si>
    <t>MM윤현숙3CPM</t>
    <phoneticPr fontId="3" type="noConversion"/>
  </si>
  <si>
    <r>
      <rPr>
        <b/>
        <sz val="10"/>
        <color rgb="FFFF0000"/>
        <rFont val="돋움"/>
        <family val="3"/>
        <charset val="129"/>
      </rPr>
      <t>MM서정욱2C</t>
    </r>
    <r>
      <rPr>
        <sz val="10"/>
        <rFont val="돋움"/>
        <family val="3"/>
        <charset val="129"/>
      </rPr>
      <t xml:space="preserve">
</t>
    </r>
    <r>
      <rPr>
        <b/>
        <u/>
        <sz val="10"/>
        <rFont val="돋움"/>
        <family val="3"/>
        <charset val="129"/>
      </rPr>
      <t>MM박미정4M</t>
    </r>
    <r>
      <rPr>
        <sz val="10"/>
        <rFont val="돋움"/>
        <family val="3"/>
        <charset val="129"/>
      </rPr>
      <t xml:space="preserve">
MM이두현S
MM유기분C</t>
    </r>
    <phoneticPr fontId="3" type="noConversion"/>
  </si>
  <si>
    <t>MM이강은C</t>
  </si>
  <si>
    <t xml:space="preserve">
F권음전
F박경원2
F신옥남
F홍우표2</t>
    <phoneticPr fontId="4" type="noConversion"/>
  </si>
  <si>
    <t>F김복묵
F김주식
F이수길
F김지윤7
F오치영
F오정아</t>
    <phoneticPr fontId="4" type="noConversion"/>
  </si>
  <si>
    <t>F오정아 3:15 -&gt; 10:15</t>
    <phoneticPr fontId="3" type="noConversion"/>
  </si>
  <si>
    <r>
      <rPr>
        <b/>
        <u/>
        <sz val="10"/>
        <rFont val="돋움"/>
        <family val="3"/>
        <charset val="129"/>
      </rPr>
      <t>MM송진영C</t>
    </r>
    <r>
      <rPr>
        <sz val="10"/>
        <rFont val="돋움"/>
        <family val="3"/>
        <charset val="129"/>
      </rPr>
      <t xml:space="preserve">
</t>
    </r>
    <r>
      <rPr>
        <b/>
        <u/>
        <sz val="10"/>
        <rFont val="돋움"/>
        <family val="3"/>
        <charset val="129"/>
      </rPr>
      <t>MM조남선S</t>
    </r>
    <r>
      <rPr>
        <sz val="10"/>
        <rFont val="돋움"/>
        <family val="3"/>
        <charset val="129"/>
      </rPr>
      <t xml:space="preserve">
MM이재용2C
</t>
    </r>
    <r>
      <rPr>
        <b/>
        <sz val="10"/>
        <color rgb="FFFF0000"/>
        <rFont val="돋움"/>
        <family val="3"/>
        <charset val="129"/>
      </rPr>
      <t>MM배희숙C</t>
    </r>
    <r>
      <rPr>
        <sz val="10"/>
        <rFont val="돋움"/>
        <family val="3"/>
        <charset val="129"/>
      </rPr>
      <t xml:space="preserve">
MM윤현숙3CPM
</t>
    </r>
    <phoneticPr fontId="3" type="noConversion"/>
  </si>
  <si>
    <r>
      <rPr>
        <sz val="10"/>
        <color rgb="FFFF0000"/>
        <rFont val="돋움"/>
        <family val="3"/>
        <charset val="129"/>
      </rPr>
      <t>MM전효식C</t>
    </r>
    <r>
      <rPr>
        <sz val="10"/>
        <rFont val="돋움"/>
        <family val="3"/>
        <charset val="129"/>
      </rPr>
      <t xml:space="preserve">
MM서정욱2C
MM박미정4Tt
MM한순근CPM</t>
    </r>
    <phoneticPr fontId="3" type="noConversion"/>
  </si>
  <si>
    <r>
      <t xml:space="preserve">MM오연숙C
MM이재용2C
</t>
    </r>
    <r>
      <rPr>
        <sz val="10"/>
        <color rgb="FFFF0000"/>
        <rFont val="돋움"/>
        <family val="3"/>
        <charset val="129"/>
      </rPr>
      <t xml:space="preserve">MM권병호C
</t>
    </r>
    <r>
      <rPr>
        <sz val="10"/>
        <rFont val="돋움"/>
        <family val="3"/>
        <charset val="129"/>
      </rPr>
      <t xml:space="preserve">MM조남선S
</t>
    </r>
    <phoneticPr fontId="3" type="noConversion"/>
  </si>
  <si>
    <t>N권음전
N김복묵</t>
    <phoneticPr fontId="4" type="noConversion"/>
  </si>
  <si>
    <t>D이영임
D홍우표2
D오정아</t>
    <phoneticPr fontId="3" type="noConversion"/>
  </si>
  <si>
    <t>D유영만
D곽홍기</t>
    <phoneticPr fontId="4" type="noConversion"/>
  </si>
  <si>
    <t>N유기분</t>
    <phoneticPr fontId="3" type="noConversion"/>
  </si>
  <si>
    <t>M김주식C
M송영연C
M유기분C
M채남순S
M조태은S
M김진현2T
M유해진M
M홍우표2Tt
M이영임Tt</t>
    <phoneticPr fontId="4" type="noConversion"/>
  </si>
  <si>
    <r>
      <rPr>
        <sz val="10"/>
        <color rgb="FFFF0000"/>
        <rFont val="돋움"/>
        <family val="3"/>
        <charset val="129"/>
      </rPr>
      <t>MM서정욱2C</t>
    </r>
    <r>
      <rPr>
        <sz val="10"/>
        <rFont val="돋움"/>
        <family val="3"/>
        <charset val="129"/>
      </rPr>
      <t xml:space="preserve">
MM박미정4M
MM이두현S
</t>
    </r>
    <phoneticPr fontId="3" type="noConversion"/>
  </si>
  <si>
    <t>M김문식3C
M오치영C
M유용진C
M윤영섭C
M유기분C
M전용대S
M홍우표2Tt
G박경원2Tt</t>
    <phoneticPr fontId="4" type="noConversion"/>
  </si>
  <si>
    <t>C오정아
C유기분</t>
    <phoneticPr fontId="3" type="noConversion"/>
  </si>
  <si>
    <t>F김봉예
F이동열
F이영임
F김명숙19
F유기분</t>
    <phoneticPr fontId="4" type="noConversion"/>
  </si>
  <si>
    <t>F김진학
F송영연
F전용대
F유용진
F유기분</t>
    <phoneticPr fontId="4" type="noConversion"/>
  </si>
  <si>
    <t>N주현수2</t>
    <phoneticPr fontId="3" type="noConversion"/>
  </si>
  <si>
    <t>CA주현수2</t>
    <phoneticPr fontId="4" type="noConversion"/>
  </si>
  <si>
    <r>
      <rPr>
        <sz val="10"/>
        <color rgb="FFFF0000"/>
        <rFont val="돋움"/>
        <family val="3"/>
        <charset val="129"/>
      </rPr>
      <t xml:space="preserve">MM이강은C
</t>
    </r>
    <r>
      <rPr>
        <sz val="10"/>
        <rFont val="돋움"/>
        <family val="3"/>
        <charset val="129"/>
      </rPr>
      <t xml:space="preserve">MM배희숙Tt
MM한순근CPM
</t>
    </r>
    <phoneticPr fontId="3" type="noConversion"/>
  </si>
  <si>
    <t>MM 변경 미희망 :  없음</t>
    <phoneticPr fontId="3" type="noConversion"/>
  </si>
  <si>
    <t xml:space="preserve"> O7주현수2D</t>
    <phoneticPr fontId="3" type="noConversion"/>
  </si>
  <si>
    <t>RA오연숙</t>
    <phoneticPr fontId="3" type="noConversion"/>
  </si>
  <si>
    <t xml:space="preserve">C주현수2
</t>
    <phoneticPr fontId="3" type="noConversion"/>
  </si>
  <si>
    <t>N주현수2</t>
    <phoneticPr fontId="3" type="noConversion"/>
  </si>
  <si>
    <r>
      <t xml:space="preserve">MM윤미기자C
MM오연숙S
</t>
    </r>
    <r>
      <rPr>
        <b/>
        <u/>
        <sz val="10"/>
        <rFont val="돋움"/>
        <family val="3"/>
        <charset val="129"/>
      </rPr>
      <t>MM김귀례2Tt</t>
    </r>
    <phoneticPr fontId="3" type="noConversion"/>
  </si>
  <si>
    <t>MM김귀례2Tt</t>
  </si>
  <si>
    <r>
      <rPr>
        <b/>
        <u/>
        <sz val="10"/>
        <rFont val="돋움"/>
        <family val="3"/>
        <charset val="129"/>
      </rPr>
      <t>MM이강은C</t>
    </r>
    <r>
      <rPr>
        <sz val="10"/>
        <rFont val="돋움"/>
        <family val="3"/>
        <charset val="129"/>
      </rPr>
      <t xml:space="preserve">
</t>
    </r>
    <r>
      <rPr>
        <b/>
        <u/>
        <sz val="10"/>
        <rFont val="돋움"/>
        <family val="3"/>
        <charset val="129"/>
      </rPr>
      <t>MM김철기C</t>
    </r>
    <r>
      <rPr>
        <sz val="10"/>
        <rFont val="돋움"/>
        <family val="3"/>
        <charset val="129"/>
      </rPr>
      <t xml:space="preserve">
MM김영한2Tt
MM서대성S
</t>
    </r>
    <phoneticPr fontId="3" type="noConversion"/>
  </si>
  <si>
    <r>
      <t xml:space="preserve">
</t>
    </r>
    <r>
      <rPr>
        <b/>
        <u/>
        <sz val="10"/>
        <rFont val="돋움"/>
        <family val="3"/>
        <charset val="129"/>
      </rPr>
      <t>MM김철기C</t>
    </r>
    <r>
      <rPr>
        <sz val="10"/>
        <rFont val="돋움"/>
        <family val="3"/>
        <charset val="129"/>
      </rPr>
      <t xml:space="preserve">
MM송진영C
</t>
    </r>
    <phoneticPr fontId="3" type="noConversion"/>
  </si>
  <si>
    <t>MM김철기C</t>
  </si>
  <si>
    <r>
      <t xml:space="preserve">MM이정례3C
MM이정임4C
</t>
    </r>
    <r>
      <rPr>
        <b/>
        <u/>
        <sz val="10"/>
        <rFont val="돋움"/>
        <family val="3"/>
        <charset val="129"/>
      </rPr>
      <t>MM오병찬CPM</t>
    </r>
    <r>
      <rPr>
        <sz val="10"/>
        <rFont val="돋움"/>
        <family val="3"/>
        <charset val="129"/>
      </rPr>
      <t xml:space="preserve">
</t>
    </r>
    <phoneticPr fontId="3" type="noConversion"/>
  </si>
  <si>
    <r>
      <t xml:space="preserve">MM정명자5C
MM이정임4C
MM전효식C
</t>
    </r>
    <r>
      <rPr>
        <b/>
        <u/>
        <sz val="10"/>
        <rFont val="돋움"/>
        <family val="3"/>
        <charset val="129"/>
      </rPr>
      <t>MM김귀례2Tt</t>
    </r>
    <r>
      <rPr>
        <sz val="10"/>
        <rFont val="돋움"/>
        <family val="3"/>
        <charset val="129"/>
      </rPr>
      <t xml:space="preserve">
MM이정례3S
</t>
    </r>
    <r>
      <rPr>
        <b/>
        <u/>
        <sz val="10"/>
        <rFont val="돋움"/>
        <family val="3"/>
        <charset val="129"/>
      </rPr>
      <t>MM오병찬CPM</t>
    </r>
    <r>
      <rPr>
        <sz val="10"/>
        <rFont val="돋움"/>
        <family val="3"/>
        <charset val="129"/>
      </rPr>
      <t xml:space="preserve">
</t>
    </r>
    <phoneticPr fontId="3" type="noConversion"/>
  </si>
  <si>
    <r>
      <t xml:space="preserve">
MM정명자5Tt
</t>
    </r>
    <r>
      <rPr>
        <b/>
        <u/>
        <sz val="10"/>
        <rFont val="돋움"/>
        <family val="3"/>
        <charset val="129"/>
      </rPr>
      <t>MM권병호C</t>
    </r>
    <r>
      <rPr>
        <sz val="10"/>
        <rFont val="돋움"/>
        <family val="3"/>
        <charset val="129"/>
      </rPr>
      <t xml:space="preserve">
MM이두현C</t>
    </r>
    <phoneticPr fontId="3" type="noConversion"/>
  </si>
  <si>
    <t>MM권병호C</t>
  </si>
  <si>
    <t>N유영만</t>
  </si>
  <si>
    <r>
      <rPr>
        <u/>
        <sz val="10"/>
        <rFont val="돋움"/>
        <family val="3"/>
        <charset val="129"/>
      </rPr>
      <t>N유영만</t>
    </r>
    <r>
      <rPr>
        <sz val="10"/>
        <rFont val="돋움"/>
        <family val="3"/>
        <charset val="129"/>
      </rPr>
      <t xml:space="preserve">
N김진현2</t>
    </r>
    <phoneticPr fontId="4" type="noConversion"/>
  </si>
  <si>
    <r>
      <t xml:space="preserve">N이순희5
</t>
    </r>
    <r>
      <rPr>
        <u/>
        <sz val="10"/>
        <rFont val="돋움"/>
        <family val="3"/>
        <charset val="129"/>
      </rPr>
      <t>N이동열</t>
    </r>
    <phoneticPr fontId="3" type="noConversion"/>
  </si>
  <si>
    <t>N이동열</t>
  </si>
  <si>
    <r>
      <t xml:space="preserve">C이영임
C정규설
</t>
    </r>
    <r>
      <rPr>
        <u/>
        <sz val="10"/>
        <rFont val="돋움"/>
        <family val="3"/>
        <charset val="129"/>
      </rPr>
      <t>C김진현2</t>
    </r>
    <phoneticPr fontId="3" type="noConversion"/>
  </si>
  <si>
    <t>C김진현2</t>
  </si>
  <si>
    <r>
      <rPr>
        <u/>
        <sz val="10"/>
        <rFont val="돋움"/>
        <family val="3"/>
        <charset val="129"/>
      </rPr>
      <t>C이동열</t>
    </r>
    <r>
      <rPr>
        <sz val="10"/>
        <rFont val="돋움"/>
        <family val="3"/>
        <charset val="129"/>
      </rPr>
      <t xml:space="preserve">
C윤동석2</t>
    </r>
    <phoneticPr fontId="3" type="noConversion"/>
  </si>
  <si>
    <t>C이동열</t>
  </si>
  <si>
    <t>C유영만</t>
  </si>
  <si>
    <r>
      <rPr>
        <u/>
        <sz val="10"/>
        <rFont val="돋움"/>
        <family val="3"/>
        <charset val="129"/>
      </rPr>
      <t>C유영만</t>
    </r>
    <r>
      <rPr>
        <sz val="10"/>
        <rFont val="돋움"/>
        <family val="3"/>
        <charset val="129"/>
      </rPr>
      <t xml:space="preserve">
</t>
    </r>
    <r>
      <rPr>
        <u/>
        <sz val="10"/>
        <rFont val="돋움"/>
        <family val="3"/>
        <charset val="129"/>
      </rPr>
      <t>C김복묵</t>
    </r>
    <phoneticPr fontId="4" type="noConversion"/>
  </si>
  <si>
    <t>C김복묵</t>
  </si>
  <si>
    <t>C채남순</t>
  </si>
  <si>
    <t>C채남순</t>
    <phoneticPr fontId="4" type="noConversion"/>
  </si>
  <si>
    <r>
      <t xml:space="preserve">C송영연
</t>
    </r>
    <r>
      <rPr>
        <u/>
        <sz val="10"/>
        <rFont val="돋움"/>
        <family val="3"/>
        <charset val="129"/>
      </rPr>
      <t>C김봉예</t>
    </r>
    <r>
      <rPr>
        <sz val="10"/>
        <rFont val="돋움"/>
        <family val="3"/>
        <charset val="129"/>
      </rPr>
      <t xml:space="preserve">
C정창래2</t>
    </r>
    <phoneticPr fontId="4" type="noConversion"/>
  </si>
  <si>
    <t>CA유기분</t>
    <phoneticPr fontId="3" type="noConversion"/>
  </si>
  <si>
    <t>CA김문식3</t>
    <phoneticPr fontId="3" type="noConversion"/>
  </si>
  <si>
    <t>CA전용대</t>
    <phoneticPr fontId="3" type="noConversion"/>
  </si>
  <si>
    <t>CA유해진</t>
    <phoneticPr fontId="3" type="noConversion"/>
  </si>
  <si>
    <t>CA오정아</t>
    <phoneticPr fontId="4" type="noConversion"/>
  </si>
  <si>
    <t>RS이정임4</t>
    <phoneticPr fontId="3" type="noConversion"/>
  </si>
  <si>
    <t>임지승</t>
    <phoneticPr fontId="3" type="noConversion"/>
  </si>
  <si>
    <t>RN배희숙</t>
    <phoneticPr fontId="3" type="noConversion"/>
  </si>
  <si>
    <t>RA배희숙</t>
    <phoneticPr fontId="3" type="noConversion"/>
  </si>
  <si>
    <t>RG오연숙</t>
    <phoneticPr fontId="3" type="noConversion"/>
  </si>
  <si>
    <t>RG서정욱2</t>
    <phoneticPr fontId="3" type="noConversion"/>
  </si>
  <si>
    <t>N7주현수2D</t>
    <phoneticPr fontId="3" type="noConversion"/>
  </si>
  <si>
    <t xml:space="preserve">M김복묵C
M송영연C
M윤동석2C
M신옥남C
M곽홍기C
M김진학M
M채남순S
M주현수2S
</t>
    <phoneticPr fontId="4" type="noConversion"/>
  </si>
  <si>
    <t>* 당일시간변경</t>
    <phoneticPr fontId="4" type="noConversion"/>
  </si>
  <si>
    <t xml:space="preserve">M이영휘C
M장광청T
M김주식S
M유영만Tt
</t>
    <phoneticPr fontId="4" type="noConversion"/>
  </si>
  <si>
    <t>F조태은
F이흥식
F이순희5
F윤영섭
F곽홍기
F주현수2</t>
    <phoneticPr fontId="4" type="noConversion"/>
  </si>
  <si>
    <t>RN박미정4</t>
    <phoneticPr fontId="3" type="noConversion"/>
  </si>
  <si>
    <t>RM윤미기자</t>
    <phoneticPr fontId="3" type="noConversion"/>
  </si>
  <si>
    <t>김선영
(오전반차)</t>
    <phoneticPr fontId="3" type="noConversion"/>
  </si>
  <si>
    <t>김은채
(연차)</t>
    <phoneticPr fontId="4" type="noConversion"/>
  </si>
  <si>
    <t>배서현
(연차)</t>
    <phoneticPr fontId="4" type="noConversion"/>
  </si>
  <si>
    <r>
      <rPr>
        <b/>
        <u/>
        <sz val="10"/>
        <rFont val="돋움"/>
        <family val="3"/>
        <charset val="129"/>
      </rPr>
      <t>MM이강은C</t>
    </r>
    <r>
      <rPr>
        <sz val="10"/>
        <rFont val="돋움"/>
        <family val="3"/>
        <charset val="129"/>
      </rPr>
      <t xml:space="preserve">
MM김철기C
MM김영한2Tt
MM서대성S
</t>
    </r>
    <phoneticPr fontId="3" type="noConversion"/>
  </si>
  <si>
    <t xml:space="preserve">
MM김철기C
MM송진영C
</t>
    <phoneticPr fontId="3" type="noConversion"/>
  </si>
  <si>
    <t xml:space="preserve">MM이정례3C
MM이정임4C
</t>
    <phoneticPr fontId="3" type="noConversion"/>
  </si>
  <si>
    <t>3층 HOLD
오병찬님 11시이후 1시 까지 HOLD</t>
    <phoneticPr fontId="3" type="noConversion"/>
  </si>
  <si>
    <t>N김진현2</t>
  </si>
  <si>
    <t>N이재남4</t>
    <phoneticPr fontId="3" type="noConversion"/>
  </si>
  <si>
    <t>3층 재활센터 시간표     2025. 11. 17 (월)</t>
    <phoneticPr fontId="4" type="noConversion"/>
  </si>
  <si>
    <r>
      <rPr>
        <sz val="10"/>
        <color rgb="FFFF0000"/>
        <rFont val="돋움"/>
        <family val="3"/>
        <charset val="129"/>
      </rPr>
      <t>MM서대성C</t>
    </r>
    <r>
      <rPr>
        <sz val="10"/>
        <rFont val="돋움"/>
        <family val="3"/>
        <charset val="129"/>
      </rPr>
      <t xml:space="preserve">
MM윤미기자C
MM김영한2Tt
</t>
    </r>
    <r>
      <rPr>
        <sz val="10"/>
        <color rgb="FFFF0000"/>
        <rFont val="돋움"/>
        <family val="3"/>
        <charset val="129"/>
      </rPr>
      <t>MM윤현숙3CPM</t>
    </r>
    <r>
      <rPr>
        <sz val="10"/>
        <rFont val="돋움"/>
        <family val="3"/>
        <charset val="129"/>
      </rPr>
      <t xml:space="preserve">
</t>
    </r>
    <phoneticPr fontId="3" type="noConversion"/>
  </si>
  <si>
    <t>MM윤현숙3CPM</t>
    <phoneticPr fontId="3" type="noConversion"/>
  </si>
  <si>
    <r>
      <t xml:space="preserve">MM정명자5C
MM이정임4C
MM전효식C
</t>
    </r>
    <r>
      <rPr>
        <b/>
        <u/>
        <sz val="10"/>
        <rFont val="돋움"/>
        <family val="3"/>
        <charset val="129"/>
      </rPr>
      <t>MM김귀례2Tt</t>
    </r>
    <r>
      <rPr>
        <sz val="10"/>
        <rFont val="돋움"/>
        <family val="3"/>
        <charset val="129"/>
      </rPr>
      <t xml:space="preserve">
MM이정례3S
</t>
    </r>
    <r>
      <rPr>
        <sz val="10"/>
        <color rgb="FFFF0000"/>
        <rFont val="돋움"/>
        <family val="3"/>
        <charset val="129"/>
      </rPr>
      <t>MM오병찬CPM</t>
    </r>
    <r>
      <rPr>
        <sz val="10"/>
        <rFont val="돋움"/>
        <family val="3"/>
        <charset val="129"/>
      </rPr>
      <t xml:space="preserve">
</t>
    </r>
    <phoneticPr fontId="3" type="noConversion"/>
  </si>
  <si>
    <t>MM오병찬CPM</t>
    <phoneticPr fontId="3" type="noConversion"/>
  </si>
  <si>
    <r>
      <rPr>
        <sz val="10"/>
        <color rgb="FFFF0000"/>
        <rFont val="돋움"/>
        <family val="3"/>
        <charset val="129"/>
      </rPr>
      <t>MM송진영C</t>
    </r>
    <r>
      <rPr>
        <sz val="10"/>
        <rFont val="돋움"/>
        <family val="3"/>
        <charset val="129"/>
      </rPr>
      <t xml:space="preserve">
MM조남선S
MM이재용2C
MM배희숙C
MM윤현숙3CPM
</t>
    </r>
    <phoneticPr fontId="3" type="noConversion"/>
  </si>
  <si>
    <t>N정규설</t>
    <phoneticPr fontId="3" type="noConversion"/>
  </si>
  <si>
    <t>11.17 (월) 스케줄 변경사항</t>
    <phoneticPr fontId="4" type="noConversion"/>
  </si>
  <si>
    <t>11.17 (월) 스케줄 변경사항</t>
    <phoneticPr fontId="4" type="noConversion"/>
  </si>
  <si>
    <t xml:space="preserve">유기분님 회복기 종결 (N2,M2,F2,C2A)
주현수2님 회복기 종결 (N2,M1,F1,C2A,WD)L7, N7,O7,N7추가
오연숙님 RG2삭제, RA2추가 / 시간표다시
김귀례님 오후 기구 변경
배희숙님 RA2삭제/ RM2추가 / 시간표다시
오연숙님 RA2삭제 / RG2추가 / 시간표다시
윤미기자 RA2삭제/ RM2추가 / 시간표다시
서정욱2님 오전 시간 변경 / 시간표 다시
윤현숙3님 통증 치료 추가 / 시간표 다시
문희연T
11:25 RA이강은님 -&gt; RG변경
12:00 RA오병찬님 -&gt; RG변경 시간그대로 2층 김용하T진행
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</si>
</sst>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%"/>
  </numFmts>
  <fonts count="42" x14ac:knownFonts="1">
    <font>
      <sz val="10"/>
      <color theme="1"/>
      <name val="돋움"/>
      <family val="2"/>
      <charset val="129"/>
    </font>
    <font>
      <sz val="11"/>
      <color theme="1"/>
      <name val="맑은 고딕"/>
      <family val="2"/>
      <charset val="129"/>
      <scheme val="minor"/>
    </font>
    <font>
      <b/>
      <sz val="12"/>
      <color rgb="FF000000"/>
      <name val="돋움"/>
      <family val="3"/>
      <charset val="129"/>
    </font>
    <font>
      <sz val="8"/>
      <name val="돋움"/>
      <family val="2"/>
      <charset val="129"/>
    </font>
    <font>
      <sz val="8"/>
      <name val="맑은 고딕"/>
      <family val="2"/>
      <charset val="129"/>
      <scheme val="minor"/>
    </font>
    <font>
      <b/>
      <sz val="10"/>
      <color rgb="FF000000"/>
      <name val="돋움"/>
      <family val="3"/>
      <charset val="129"/>
    </font>
    <font>
      <sz val="8.5"/>
      <color rgb="FF000000"/>
      <name val="돋움"/>
      <family val="3"/>
      <charset val="129"/>
    </font>
    <font>
      <sz val="8.5"/>
      <name val="돋움"/>
      <family val="3"/>
      <charset val="129"/>
    </font>
    <font>
      <sz val="8"/>
      <color rgb="FF000000"/>
      <name val="돋움"/>
      <family val="3"/>
      <charset val="129"/>
    </font>
    <font>
      <sz val="10"/>
      <color rgb="FF000000"/>
      <name val="돋움"/>
      <family val="3"/>
      <charset val="129"/>
    </font>
    <font>
      <b/>
      <u/>
      <sz val="10"/>
      <name val="돋움"/>
      <family val="3"/>
      <charset val="129"/>
    </font>
    <font>
      <sz val="10"/>
      <name val="돋움"/>
      <family val="3"/>
      <charset val="129"/>
    </font>
    <font>
      <sz val="11"/>
      <color rgb="FF000000"/>
      <name val="돋움"/>
      <family val="3"/>
      <charset val="129"/>
    </font>
    <font>
      <sz val="8"/>
      <name val="돋움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0"/>
      <name val="돋움"/>
      <family val="3"/>
      <charset val="129"/>
    </font>
    <font>
      <sz val="10"/>
      <color theme="1"/>
      <name val="돋움"/>
      <family val="3"/>
      <charset val="129"/>
    </font>
    <font>
      <b/>
      <u/>
      <sz val="10"/>
      <color rgb="FF000000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8"/>
      <color rgb="FF000000"/>
      <name val="굴림"/>
      <family val="3"/>
      <charset val="129"/>
    </font>
    <font>
      <sz val="10"/>
      <color rgb="FFFF0000"/>
      <name val="돋움"/>
      <family val="3"/>
      <charset val="129"/>
    </font>
    <font>
      <sz val="10"/>
      <color theme="0"/>
      <name val="돋움"/>
      <family val="3"/>
      <charset val="129"/>
    </font>
    <font>
      <b/>
      <sz val="10"/>
      <color theme="1"/>
      <name val="돋움"/>
      <family val="3"/>
      <charset val="129"/>
    </font>
    <font>
      <sz val="9"/>
      <color rgb="FF000000"/>
      <name val="돋움"/>
      <family val="3"/>
      <charset val="129"/>
    </font>
    <font>
      <sz val="8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sz val="11"/>
      <name val="맑은 고딕"/>
      <family val="2"/>
      <charset val="129"/>
      <scheme val="minor"/>
    </font>
    <font>
      <sz val="10"/>
      <color rgb="FF000000"/>
      <name val="굴림"/>
      <family val="3"/>
      <charset val="129"/>
    </font>
    <font>
      <b/>
      <sz val="10"/>
      <name val="굴림"/>
      <family val="3"/>
      <charset val="129"/>
    </font>
    <font>
      <sz val="10"/>
      <color theme="1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8"/>
      <color theme="1"/>
      <name val="맑은 고딕"/>
      <family val="2"/>
      <charset val="129"/>
      <scheme val="minor"/>
    </font>
    <font>
      <sz val="18"/>
      <color theme="1"/>
      <name val="맑은 고딕"/>
      <family val="3"/>
      <charset val="129"/>
      <scheme val="minor"/>
    </font>
    <font>
      <sz val="12"/>
      <color rgb="FFFF000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ajor"/>
    </font>
    <font>
      <u/>
      <sz val="10"/>
      <name val="돋움"/>
      <family val="3"/>
      <charset val="129"/>
    </font>
    <font>
      <b/>
      <sz val="10"/>
      <color rgb="FFFF0000"/>
      <name val="돋움"/>
      <family val="3"/>
      <charset val="129"/>
    </font>
    <font>
      <sz val="10"/>
      <color rgb="FF00B050"/>
      <name val="돋움"/>
      <family val="3"/>
      <charset val="129"/>
    </font>
    <font>
      <sz val="10"/>
      <color theme="1"/>
      <name val="돋움"/>
      <family val="2"/>
      <charset val="129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88">
    <border>
      <left/>
      <right/>
      <top/>
      <bottom/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1">
    <xf numFmtId="0" fontId="0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4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823">
    <xf numFmtId="0" fontId="0" fillId="0" borderId="0" xfId="0">
      <alignment vertical="center"/>
    </xf>
    <xf numFmtId="0" fontId="1" fillId="0" borderId="0" xfId="1">
      <alignment vertical="center"/>
    </xf>
    <xf numFmtId="0" fontId="11" fillId="0" borderId="9" xfId="1" applyNumberFormat="1" applyFont="1" applyFill="1" applyBorder="1" applyAlignment="1" applyProtection="1">
      <alignment horizontal="center" vertical="center" wrapText="1"/>
    </xf>
    <xf numFmtId="0" fontId="11" fillId="0" borderId="9" xfId="1" applyFont="1" applyFill="1" applyBorder="1" applyAlignment="1">
      <alignment horizontal="center" vertical="center" wrapText="1"/>
    </xf>
    <xf numFmtId="0" fontId="11" fillId="0" borderId="10" xfId="1" applyNumberFormat="1" applyFont="1" applyFill="1" applyBorder="1" applyAlignment="1" applyProtection="1">
      <alignment horizontal="center" vertical="center" wrapText="1"/>
    </xf>
    <xf numFmtId="0" fontId="11" fillId="0" borderId="5" xfId="2" applyFont="1" applyFill="1" applyBorder="1" applyAlignment="1">
      <alignment horizontal="center" vertical="center" wrapText="1"/>
    </xf>
    <xf numFmtId="0" fontId="15" fillId="0" borderId="9" xfId="2" applyNumberFormat="1" applyFont="1" applyFill="1" applyBorder="1" applyAlignment="1" applyProtection="1">
      <alignment horizontal="center" vertical="center" wrapText="1"/>
    </xf>
    <xf numFmtId="0" fontId="15" fillId="0" borderId="23" xfId="2" applyNumberFormat="1" applyFont="1" applyFill="1" applyBorder="1" applyAlignment="1" applyProtection="1">
      <alignment horizontal="center" vertical="center" wrapText="1"/>
    </xf>
    <xf numFmtId="0" fontId="16" fillId="0" borderId="23" xfId="1" applyFont="1" applyFill="1" applyBorder="1" applyAlignment="1">
      <alignment horizontal="center" vertical="center"/>
    </xf>
    <xf numFmtId="0" fontId="11" fillId="0" borderId="23" xfId="2" applyFont="1" applyFill="1" applyBorder="1" applyAlignment="1">
      <alignment horizontal="center" vertical="center" wrapText="1"/>
    </xf>
    <xf numFmtId="0" fontId="11" fillId="0" borderId="23" xfId="1" applyFont="1" applyFill="1" applyBorder="1" applyAlignment="1">
      <alignment horizontal="center" vertical="center"/>
    </xf>
    <xf numFmtId="0" fontId="11" fillId="0" borderId="23" xfId="2" applyFont="1" applyFill="1" applyBorder="1" applyAlignment="1">
      <alignment horizontal="center" vertical="center"/>
    </xf>
    <xf numFmtId="0" fontId="11" fillId="0" borderId="9" xfId="1" applyFont="1" applyFill="1" applyBorder="1" applyAlignment="1">
      <alignment horizontal="center" vertical="center"/>
    </xf>
    <xf numFmtId="0" fontId="11" fillId="0" borderId="33" xfId="1" applyNumberFormat="1" applyFont="1" applyFill="1" applyBorder="1" applyAlignment="1" applyProtection="1">
      <alignment horizontal="center" vertical="center" wrapText="1"/>
    </xf>
    <xf numFmtId="0" fontId="11" fillId="0" borderId="35" xfId="1" applyFont="1" applyFill="1" applyBorder="1" applyAlignment="1">
      <alignment horizontal="center" vertical="center" wrapText="1"/>
    </xf>
    <xf numFmtId="0" fontId="11" fillId="0" borderId="26" xfId="1" applyFont="1" applyFill="1" applyBorder="1" applyAlignment="1">
      <alignment horizontal="center" vertical="center" wrapText="1"/>
    </xf>
    <xf numFmtId="0" fontId="11" fillId="0" borderId="10" xfId="2" applyFont="1" applyFill="1" applyBorder="1" applyAlignment="1">
      <alignment horizontal="center" vertical="center"/>
    </xf>
    <xf numFmtId="0" fontId="11" fillId="0" borderId="10" xfId="2" applyNumberFormat="1" applyFont="1" applyFill="1" applyBorder="1" applyAlignment="1" applyProtection="1">
      <alignment horizontal="center" vertical="center" wrapText="1"/>
    </xf>
    <xf numFmtId="0" fontId="11" fillId="0" borderId="10" xfId="2" applyFont="1" applyFill="1" applyBorder="1" applyAlignment="1">
      <alignment horizontal="center" vertical="center" wrapText="1"/>
    </xf>
    <xf numFmtId="0" fontId="11" fillId="3" borderId="5" xfId="1" applyNumberFormat="1" applyFont="1" applyFill="1" applyBorder="1" applyAlignment="1" applyProtection="1">
      <alignment horizontal="center" vertical="center" wrapText="1"/>
    </xf>
    <xf numFmtId="0" fontId="11" fillId="3" borderId="6" xfId="1" applyNumberFormat="1" applyFont="1" applyFill="1" applyBorder="1" applyAlignment="1" applyProtection="1">
      <alignment horizontal="center" vertical="center" wrapText="1"/>
    </xf>
    <xf numFmtId="0" fontId="16" fillId="0" borderId="0" xfId="1" applyFont="1" applyFill="1" applyAlignment="1">
      <alignment horizontal="center" vertical="center"/>
    </xf>
    <xf numFmtId="0" fontId="21" fillId="4" borderId="6" xfId="1" applyFont="1" applyFill="1" applyBorder="1" applyAlignment="1">
      <alignment horizontal="center" vertical="center"/>
    </xf>
    <xf numFmtId="0" fontId="11" fillId="0" borderId="5" xfId="2" applyNumberFormat="1" applyFont="1" applyFill="1" applyBorder="1" applyAlignment="1" applyProtection="1">
      <alignment horizontal="center" vertical="center" wrapText="1"/>
    </xf>
    <xf numFmtId="0" fontId="20" fillId="0" borderId="5" xfId="1" applyFont="1" applyFill="1" applyBorder="1" applyAlignment="1">
      <alignment horizontal="center" vertical="center"/>
    </xf>
    <xf numFmtId="0" fontId="15" fillId="0" borderId="26" xfId="1" applyFont="1" applyFill="1" applyBorder="1" applyAlignment="1">
      <alignment horizontal="center" vertical="center" wrapText="1"/>
    </xf>
    <xf numFmtId="0" fontId="20" fillId="0" borderId="23" xfId="1" applyFont="1" applyFill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/>
    </xf>
    <xf numFmtId="0" fontId="30" fillId="0" borderId="0" xfId="1" applyFont="1" applyBorder="1" applyAlignment="1">
      <alignment horizontal="center" vertical="center" wrapText="1"/>
    </xf>
    <xf numFmtId="0" fontId="1" fillId="0" borderId="0" xfId="1" applyBorder="1">
      <alignment vertical="center"/>
    </xf>
    <xf numFmtId="0" fontId="20" fillId="0" borderId="6" xfId="2" applyFont="1" applyFill="1" applyBorder="1" applyAlignment="1">
      <alignment horizontal="center" vertical="center" wrapText="1"/>
    </xf>
    <xf numFmtId="0" fontId="2" fillId="0" borderId="4" xfId="4" applyNumberFormat="1" applyFont="1" applyFill="1" applyBorder="1" applyAlignment="1" applyProtection="1">
      <alignment horizontal="center" vertical="center"/>
    </xf>
    <xf numFmtId="0" fontId="1" fillId="0" borderId="0" xfId="4">
      <alignment vertical="center"/>
    </xf>
    <xf numFmtId="0" fontId="1" fillId="0" borderId="0" xfId="4" applyAlignment="1">
      <alignment vertical="center"/>
    </xf>
    <xf numFmtId="0" fontId="1" fillId="0" borderId="0" xfId="4" applyAlignment="1">
      <alignment vertical="top"/>
    </xf>
    <xf numFmtId="0" fontId="2" fillId="0" borderId="0" xfId="4" applyNumberFormat="1" applyFont="1" applyFill="1" applyBorder="1" applyAlignment="1" applyProtection="1">
      <alignment horizontal="center" vertical="center"/>
    </xf>
    <xf numFmtId="0" fontId="6" fillId="2" borderId="5" xfId="4" applyNumberFormat="1" applyFont="1" applyFill="1" applyBorder="1" applyAlignment="1" applyProtection="1">
      <alignment horizontal="center" vertical="center"/>
    </xf>
    <xf numFmtId="0" fontId="6" fillId="2" borderId="5" xfId="4" applyNumberFormat="1" applyFont="1" applyFill="1" applyBorder="1" applyAlignment="1" applyProtection="1">
      <alignment horizontal="left" vertical="center" wrapText="1"/>
    </xf>
    <xf numFmtId="0" fontId="6" fillId="2" borderId="5" xfId="4" applyNumberFormat="1" applyFont="1" applyFill="1" applyBorder="1" applyAlignment="1" applyProtection="1">
      <alignment horizontal="center" vertical="center" wrapText="1"/>
    </xf>
    <xf numFmtId="0" fontId="6" fillId="2" borderId="6" xfId="4" applyNumberFormat="1" applyFont="1" applyFill="1" applyBorder="1" applyAlignment="1" applyProtection="1">
      <alignment horizontal="center" vertical="center" wrapText="1"/>
    </xf>
    <xf numFmtId="0" fontId="7" fillId="2" borderId="6" xfId="4" applyNumberFormat="1" applyFont="1" applyFill="1" applyBorder="1" applyAlignment="1" applyProtection="1">
      <alignment horizontal="center" vertical="center"/>
    </xf>
    <xf numFmtId="0" fontId="8" fillId="0" borderId="0" xfId="4" applyNumberFormat="1" applyFont="1" applyFill="1" applyBorder="1" applyAlignment="1" applyProtection="1">
      <alignment horizontal="center" vertical="center" wrapText="1"/>
    </xf>
    <xf numFmtId="0" fontId="9" fillId="0" borderId="6" xfId="4" applyFont="1" applyFill="1" applyBorder="1" applyAlignment="1">
      <alignment horizontal="center" vertical="center"/>
    </xf>
    <xf numFmtId="0" fontId="5" fillId="0" borderId="5" xfId="4" applyNumberFormat="1" applyFont="1" applyFill="1" applyBorder="1" applyAlignment="1" applyProtection="1">
      <alignment horizontal="center" vertical="center" wrapText="1"/>
    </xf>
    <xf numFmtId="0" fontId="11" fillId="0" borderId="9" xfId="4" applyNumberFormat="1" applyFont="1" applyFill="1" applyBorder="1" applyAlignment="1" applyProtection="1">
      <alignment horizontal="center" vertical="center" wrapText="1"/>
    </xf>
    <xf numFmtId="0" fontId="11" fillId="0" borderId="5" xfId="4" applyFont="1" applyFill="1" applyBorder="1" applyAlignment="1">
      <alignment horizontal="center" vertical="center"/>
    </xf>
    <xf numFmtId="0" fontId="11" fillId="0" borderId="9" xfId="4" applyFont="1" applyFill="1" applyBorder="1" applyAlignment="1">
      <alignment horizontal="center" vertical="center" wrapText="1"/>
    </xf>
    <xf numFmtId="0" fontId="1" fillId="0" borderId="0" xfId="4" applyFill="1">
      <alignment vertical="center"/>
    </xf>
    <xf numFmtId="0" fontId="1" fillId="0" borderId="0" xfId="4" applyFill="1" applyAlignment="1">
      <alignment vertical="top"/>
    </xf>
    <xf numFmtId="0" fontId="5" fillId="0" borderId="10" xfId="4" applyNumberFormat="1" applyFont="1" applyFill="1" applyBorder="1" applyAlignment="1" applyProtection="1">
      <alignment horizontal="center" vertical="center" wrapText="1"/>
    </xf>
    <xf numFmtId="0" fontId="13" fillId="0" borderId="0" xfId="4" applyFont="1" applyFill="1" applyBorder="1" applyAlignment="1">
      <alignment horizontal="center" vertical="center" wrapText="1"/>
    </xf>
    <xf numFmtId="0" fontId="15" fillId="0" borderId="5" xfId="4" applyNumberFormat="1" applyFont="1" applyFill="1" applyBorder="1" applyAlignment="1" applyProtection="1">
      <alignment horizontal="center" vertical="center" wrapText="1"/>
    </xf>
    <xf numFmtId="0" fontId="13" fillId="0" borderId="4" xfId="4" applyFont="1" applyFill="1" applyBorder="1" applyAlignment="1">
      <alignment horizontal="center" vertical="center" wrapText="1"/>
    </xf>
    <xf numFmtId="0" fontId="15" fillId="0" borderId="5" xfId="4" applyFont="1" applyFill="1" applyBorder="1" applyAlignment="1">
      <alignment horizontal="center" vertical="center" wrapText="1"/>
    </xf>
    <xf numFmtId="0" fontId="15" fillId="0" borderId="6" xfId="4" applyNumberFormat="1" applyFont="1" applyFill="1" applyBorder="1" applyAlignment="1" applyProtection="1">
      <alignment horizontal="center" vertical="center" wrapText="1"/>
    </xf>
    <xf numFmtId="0" fontId="15" fillId="0" borderId="9" xfId="4" applyNumberFormat="1" applyFont="1" applyFill="1" applyBorder="1" applyAlignment="1" applyProtection="1">
      <alignment horizontal="center" vertical="center" wrapText="1"/>
    </xf>
    <xf numFmtId="0" fontId="19" fillId="0" borderId="0" xfId="4" applyNumberFormat="1" applyFont="1" applyFill="1" applyBorder="1" applyAlignment="1" applyProtection="1">
      <alignment horizontal="center" vertical="center" wrapText="1"/>
    </xf>
    <xf numFmtId="0" fontId="9" fillId="0" borderId="23" xfId="4" applyFont="1" applyFill="1" applyBorder="1" applyAlignment="1">
      <alignment horizontal="center" vertical="center"/>
    </xf>
    <xf numFmtId="0" fontId="5" fillId="0" borderId="23" xfId="4" applyNumberFormat="1" applyFont="1" applyFill="1" applyBorder="1" applyAlignment="1" applyProtection="1">
      <alignment horizontal="center" vertical="center" wrapText="1"/>
    </xf>
    <xf numFmtId="0" fontId="9" fillId="0" borderId="10" xfId="4" applyFont="1" applyFill="1" applyBorder="1" applyAlignment="1">
      <alignment horizontal="center" vertical="center"/>
    </xf>
    <xf numFmtId="0" fontId="1" fillId="0" borderId="0" xfId="4" applyBorder="1">
      <alignment vertical="center"/>
    </xf>
    <xf numFmtId="0" fontId="15" fillId="0" borderId="10" xfId="4" applyNumberFormat="1" applyFont="1" applyFill="1" applyBorder="1" applyAlignment="1" applyProtection="1">
      <alignment horizontal="center" vertical="center" wrapText="1"/>
    </xf>
    <xf numFmtId="0" fontId="9" fillId="0" borderId="5" xfId="4" applyFont="1" applyFill="1" applyBorder="1" applyAlignment="1">
      <alignment horizontal="center" vertical="center"/>
    </xf>
    <xf numFmtId="0" fontId="15" fillId="0" borderId="23" xfId="4" applyFont="1" applyFill="1" applyBorder="1" applyAlignment="1">
      <alignment horizontal="center" vertical="center" wrapText="1"/>
    </xf>
    <xf numFmtId="0" fontId="22" fillId="0" borderId="5" xfId="4" applyFont="1" applyFill="1" applyBorder="1" applyAlignment="1">
      <alignment horizontal="center" vertical="center" wrapText="1"/>
    </xf>
    <xf numFmtId="17" fontId="1" fillId="0" borderId="0" xfId="4" applyNumberFormat="1" applyAlignment="1">
      <alignment vertical="top"/>
    </xf>
    <xf numFmtId="0" fontId="22" fillId="0" borderId="6" xfId="4" applyFont="1" applyFill="1" applyBorder="1" applyAlignment="1">
      <alignment horizontal="center" vertical="center" wrapText="1"/>
    </xf>
    <xf numFmtId="0" fontId="19" fillId="0" borderId="4" xfId="4" applyNumberFormat="1" applyFont="1" applyFill="1" applyBorder="1" applyAlignment="1" applyProtection="1">
      <alignment horizontal="center" vertical="center" wrapText="1"/>
    </xf>
    <xf numFmtId="0" fontId="23" fillId="0" borderId="26" xfId="4" applyNumberFormat="1" applyFont="1" applyFill="1" applyBorder="1" applyAlignment="1" applyProtection="1">
      <alignment horizontal="center" vertical="center"/>
    </xf>
    <xf numFmtId="0" fontId="5" fillId="0" borderId="26" xfId="4" applyFont="1" applyFill="1" applyBorder="1" applyAlignment="1">
      <alignment horizontal="center" vertical="center" wrapText="1"/>
    </xf>
    <xf numFmtId="0" fontId="9" fillId="0" borderId="23" xfId="4" applyNumberFormat="1" applyFont="1" applyFill="1" applyBorder="1" applyAlignment="1" applyProtection="1">
      <alignment horizontal="center" vertical="center"/>
    </xf>
    <xf numFmtId="0" fontId="5" fillId="0" borderId="23" xfId="4" applyFont="1" applyFill="1" applyBorder="1" applyAlignment="1">
      <alignment horizontal="center" vertical="center" wrapText="1"/>
    </xf>
    <xf numFmtId="0" fontId="24" fillId="0" borderId="0" xfId="4" applyFont="1">
      <alignment vertical="center"/>
    </xf>
    <xf numFmtId="0" fontId="24" fillId="0" borderId="0" xfId="4" applyFont="1" applyAlignment="1">
      <alignment vertical="top"/>
    </xf>
    <xf numFmtId="0" fontId="9" fillId="0" borderId="9" xfId="4" applyNumberFormat="1" applyFont="1" applyFill="1" applyBorder="1" applyAlignment="1" applyProtection="1">
      <alignment horizontal="center" vertical="center"/>
    </xf>
    <xf numFmtId="0" fontId="5" fillId="0" borderId="9" xfId="4" applyFont="1" applyFill="1" applyBorder="1" applyAlignment="1">
      <alignment horizontal="center" vertical="center" wrapText="1"/>
    </xf>
    <xf numFmtId="0" fontId="5" fillId="0" borderId="4" xfId="4" applyFont="1" applyFill="1" applyBorder="1" applyAlignment="1">
      <alignment horizontal="center" vertical="center" wrapText="1"/>
    </xf>
    <xf numFmtId="0" fontId="5" fillId="0" borderId="14" xfId="4" applyFont="1" applyFill="1" applyBorder="1" applyAlignment="1">
      <alignment horizontal="center" vertical="center" wrapText="1"/>
    </xf>
    <xf numFmtId="0" fontId="11" fillId="0" borderId="75" xfId="4" applyNumberFormat="1" applyFont="1" applyFill="1" applyBorder="1" applyAlignment="1" applyProtection="1">
      <alignment horizontal="center" vertical="center" wrapText="1"/>
    </xf>
    <xf numFmtId="0" fontId="11" fillId="0" borderId="75" xfId="4" applyFont="1" applyFill="1" applyBorder="1" applyAlignment="1">
      <alignment horizontal="center" vertical="center" wrapText="1"/>
    </xf>
    <xf numFmtId="0" fontId="11" fillId="0" borderId="75" xfId="2" applyFont="1" applyFill="1" applyBorder="1" applyAlignment="1">
      <alignment horizontal="center" vertical="center" wrapText="1"/>
    </xf>
    <xf numFmtId="0" fontId="11" fillId="0" borderId="75" xfId="4" applyFont="1" applyFill="1" applyBorder="1" applyAlignment="1">
      <alignment horizontal="center" vertical="center"/>
    </xf>
    <xf numFmtId="0" fontId="20" fillId="0" borderId="75" xfId="2" applyFont="1" applyFill="1" applyBorder="1" applyAlignment="1">
      <alignment horizontal="center" vertical="center" wrapText="1"/>
    </xf>
    <xf numFmtId="0" fontId="20" fillId="0" borderId="75" xfId="4" applyFont="1" applyFill="1" applyBorder="1" applyAlignment="1">
      <alignment horizontal="center" vertical="center" wrapText="1"/>
    </xf>
    <xf numFmtId="0" fontId="9" fillId="0" borderId="23" xfId="4" applyFont="1" applyBorder="1" applyAlignment="1">
      <alignment horizontal="center" vertical="center"/>
    </xf>
    <xf numFmtId="0" fontId="9" fillId="0" borderId="0" xfId="4" applyFont="1" applyFill="1" applyBorder="1" applyAlignment="1">
      <alignment horizontal="center" vertical="center"/>
    </xf>
    <xf numFmtId="0" fontId="5" fillId="0" borderId="14" xfId="4" applyNumberFormat="1" applyFont="1" applyFill="1" applyBorder="1" applyAlignment="1" applyProtection="1">
      <alignment horizontal="center" vertical="center" wrapText="1"/>
    </xf>
    <xf numFmtId="0" fontId="10" fillId="0" borderId="4" xfId="4" applyNumberFormat="1" applyFont="1" applyFill="1" applyBorder="1" applyAlignment="1" applyProtection="1">
      <alignment vertical="center" wrapText="1"/>
    </xf>
    <xf numFmtId="0" fontId="1" fillId="0" borderId="4" xfId="4" applyFill="1" applyBorder="1">
      <alignment vertical="center"/>
    </xf>
    <xf numFmtId="0" fontId="25" fillId="0" borderId="0" xfId="4" applyFont="1" applyFill="1" applyAlignment="1">
      <alignment vertical="center" wrapText="1"/>
    </xf>
    <xf numFmtId="0" fontId="1" fillId="0" borderId="0" xfId="4" applyFill="1" applyAlignment="1">
      <alignment vertical="center"/>
    </xf>
    <xf numFmtId="0" fontId="27" fillId="0" borderId="0" xfId="4" applyNumberFormat="1" applyFont="1" applyFill="1" applyBorder="1" applyAlignment="1" applyProtection="1">
      <alignment horizontal="center" vertical="center"/>
    </xf>
    <xf numFmtId="0" fontId="28" fillId="0" borderId="0" xfId="4" applyFont="1" applyFill="1" applyBorder="1" applyAlignment="1">
      <alignment horizontal="center" vertical="center" wrapText="1"/>
    </xf>
    <xf numFmtId="0" fontId="28" fillId="0" borderId="76" xfId="4" applyFont="1" applyFill="1" applyBorder="1" applyAlignment="1">
      <alignment horizontal="center" vertical="center" wrapText="1"/>
    </xf>
    <xf numFmtId="0" fontId="6" fillId="2" borderId="77" xfId="4" applyNumberFormat="1" applyFont="1" applyFill="1" applyBorder="1" applyAlignment="1" applyProtection="1">
      <alignment horizontal="center" vertical="center" wrapText="1"/>
    </xf>
    <xf numFmtId="0" fontId="7" fillId="2" borderId="78" xfId="4" applyNumberFormat="1" applyFont="1" applyFill="1" applyBorder="1" applyAlignment="1" applyProtection="1">
      <alignment horizontal="center" vertical="center" wrapText="1"/>
    </xf>
    <xf numFmtId="0" fontId="7" fillId="2" borderId="44" xfId="4" applyNumberFormat="1" applyFont="1" applyFill="1" applyBorder="1" applyAlignment="1" applyProtection="1">
      <alignment horizontal="center" vertical="center" wrapText="1"/>
    </xf>
    <xf numFmtId="0" fontId="7" fillId="2" borderId="44" xfId="4" applyNumberFormat="1" applyFont="1" applyFill="1" applyBorder="1" applyAlignment="1" applyProtection="1">
      <alignment horizontal="center" vertical="center"/>
    </xf>
    <xf numFmtId="0" fontId="7" fillId="2" borderId="45" xfId="4" applyNumberFormat="1" applyFont="1" applyFill="1" applyBorder="1" applyAlignment="1" applyProtection="1">
      <alignment horizontal="center" vertical="center" wrapText="1"/>
    </xf>
    <xf numFmtId="0" fontId="1" fillId="0" borderId="0" xfId="4" applyAlignment="1">
      <alignment vertical="center" wrapText="1"/>
    </xf>
    <xf numFmtId="0" fontId="11" fillId="0" borderId="0" xfId="4" applyFont="1" applyFill="1" applyBorder="1" applyAlignment="1">
      <alignment horizontal="left" vertical="top" wrapText="1"/>
    </xf>
    <xf numFmtId="0" fontId="36" fillId="0" borderId="0" xfId="4" applyFont="1" applyFill="1" applyBorder="1" applyAlignment="1">
      <alignment horizontal="center" vertical="center" wrapText="1"/>
    </xf>
    <xf numFmtId="0" fontId="27" fillId="0" borderId="0" xfId="4" applyNumberFormat="1" applyFont="1" applyFill="1" applyBorder="1" applyAlignment="1" applyProtection="1">
      <alignment horizontal="left" vertical="top" wrapText="1"/>
    </xf>
    <xf numFmtId="0" fontId="37" fillId="0" borderId="0" xfId="4" applyNumberFormat="1" applyFont="1" applyFill="1" applyBorder="1" applyAlignment="1" applyProtection="1">
      <alignment horizontal="center" vertical="center" wrapText="1"/>
    </xf>
    <xf numFmtId="0" fontId="11" fillId="5" borderId="46" xfId="4" applyFont="1" applyFill="1" applyBorder="1" applyAlignment="1">
      <alignment horizontal="center" vertical="center" wrapText="1"/>
    </xf>
    <xf numFmtId="0" fontId="29" fillId="0" borderId="0" xfId="4" applyFont="1" applyFill="1" applyAlignment="1">
      <alignment horizontal="left" vertical="top"/>
    </xf>
    <xf numFmtId="0" fontId="25" fillId="0" borderId="0" xfId="4" applyFont="1" applyFill="1" applyAlignment="1">
      <alignment horizontal="center" vertical="center"/>
    </xf>
    <xf numFmtId="0" fontId="11" fillId="5" borderId="81" xfId="4" applyFont="1" applyFill="1" applyBorder="1" applyAlignment="1">
      <alignment horizontal="center" vertical="center" wrapText="1"/>
    </xf>
    <xf numFmtId="0" fontId="24" fillId="0" borderId="0" xfId="4" applyFont="1" applyAlignment="1">
      <alignment vertical="center"/>
    </xf>
    <xf numFmtId="0" fontId="1" fillId="0" borderId="70" xfId="4" applyBorder="1" applyAlignment="1">
      <alignment vertical="center" wrapText="1"/>
    </xf>
    <xf numFmtId="0" fontId="6" fillId="2" borderId="82" xfId="4" applyNumberFormat="1" applyFont="1" applyFill="1" applyBorder="1" applyAlignment="1" applyProtection="1">
      <alignment horizontal="center" vertical="center" wrapText="1"/>
    </xf>
    <xf numFmtId="0" fontId="6" fillId="2" borderId="44" xfId="4" applyNumberFormat="1" applyFont="1" applyFill="1" applyBorder="1" applyAlignment="1" applyProtection="1">
      <alignment horizontal="center" vertical="center" wrapText="1"/>
    </xf>
    <xf numFmtId="0" fontId="6" fillId="2" borderId="78" xfId="4" applyNumberFormat="1" applyFont="1" applyFill="1" applyBorder="1" applyAlignment="1" applyProtection="1">
      <alignment horizontal="center" vertical="center" wrapText="1"/>
    </xf>
    <xf numFmtId="0" fontId="6" fillId="2" borderId="83" xfId="4" applyNumberFormat="1" applyFont="1" applyFill="1" applyBorder="1" applyAlignment="1" applyProtection="1">
      <alignment horizontal="center" vertical="center" wrapText="1"/>
    </xf>
    <xf numFmtId="0" fontId="6" fillId="2" borderId="45" xfId="4" applyNumberFormat="1" applyFont="1" applyFill="1" applyBorder="1" applyAlignment="1" applyProtection="1">
      <alignment horizontal="center" vertical="center" wrapText="1"/>
    </xf>
    <xf numFmtId="0" fontId="16" fillId="0" borderId="46" xfId="4" applyFont="1" applyBorder="1" applyAlignment="1">
      <alignment horizontal="center" vertical="center" wrapText="1"/>
    </xf>
    <xf numFmtId="0" fontId="16" fillId="0" borderId="74" xfId="4" applyFont="1" applyFill="1" applyBorder="1" applyAlignment="1">
      <alignment horizontal="center" vertical="center" wrapText="1"/>
    </xf>
    <xf numFmtId="0" fontId="16" fillId="0" borderId="10" xfId="4" applyFont="1" applyBorder="1" applyAlignment="1">
      <alignment horizontal="center" vertical="center"/>
    </xf>
    <xf numFmtId="0" fontId="16" fillId="0" borderId="10" xfId="4" applyFont="1" applyFill="1" applyBorder="1" applyAlignment="1">
      <alignment horizontal="center" vertical="center"/>
    </xf>
    <xf numFmtId="0" fontId="16" fillId="0" borderId="10" xfId="4" applyFont="1" applyBorder="1" applyAlignment="1">
      <alignment horizontal="center" vertical="center" wrapText="1"/>
    </xf>
    <xf numFmtId="0" fontId="11" fillId="0" borderId="10" xfId="4" applyFont="1" applyBorder="1" applyAlignment="1">
      <alignment horizontal="center" vertical="center"/>
    </xf>
    <xf numFmtId="0" fontId="16" fillId="0" borderId="74" xfId="4" applyFont="1" applyBorder="1" applyAlignment="1">
      <alignment horizontal="center" vertical="center"/>
    </xf>
    <xf numFmtId="0" fontId="16" fillId="0" borderId="84" xfId="4" applyFont="1" applyFill="1" applyBorder="1" applyAlignment="1">
      <alignment horizontal="center" vertical="center"/>
    </xf>
    <xf numFmtId="0" fontId="16" fillId="0" borderId="85" xfId="4" applyFont="1" applyBorder="1" applyAlignment="1">
      <alignment horizontal="center" vertical="center" wrapText="1"/>
    </xf>
    <xf numFmtId="0" fontId="16" fillId="0" borderId="37" xfId="4" applyFont="1" applyBorder="1" applyAlignment="1">
      <alignment horizontal="center" vertical="center"/>
    </xf>
    <xf numFmtId="0" fontId="16" fillId="0" borderId="5" xfId="4" applyFont="1" applyBorder="1" applyAlignment="1">
      <alignment horizontal="center" vertical="center"/>
    </xf>
    <xf numFmtId="0" fontId="16" fillId="0" borderId="5" xfId="4" applyFont="1" applyFill="1" applyBorder="1" applyAlignment="1">
      <alignment horizontal="center" vertical="center"/>
    </xf>
    <xf numFmtId="0" fontId="16" fillId="0" borderId="5" xfId="4" applyFont="1" applyFill="1" applyBorder="1" applyAlignment="1">
      <alignment horizontal="center" vertical="center" wrapText="1"/>
    </xf>
    <xf numFmtId="0" fontId="16" fillId="0" borderId="47" xfId="4" applyFont="1" applyFill="1" applyBorder="1" applyAlignment="1">
      <alignment horizontal="center" vertical="center"/>
    </xf>
    <xf numFmtId="0" fontId="1" fillId="0" borderId="0" xfId="4" applyAlignment="1">
      <alignment horizontal="center" vertical="top"/>
    </xf>
    <xf numFmtId="0" fontId="16" fillId="0" borderId="5" xfId="4" applyFont="1" applyBorder="1" applyAlignment="1">
      <alignment horizontal="center" vertical="center" wrapText="1"/>
    </xf>
    <xf numFmtId="0" fontId="16" fillId="0" borderId="47" xfId="4" applyFont="1" applyFill="1" applyBorder="1" applyAlignment="1">
      <alignment horizontal="center" vertical="center" wrapText="1"/>
    </xf>
    <xf numFmtId="0" fontId="16" fillId="0" borderId="81" xfId="4" applyFont="1" applyBorder="1" applyAlignment="1">
      <alignment horizontal="center" vertical="center" wrapText="1"/>
    </xf>
    <xf numFmtId="0" fontId="16" fillId="0" borderId="48" xfId="4" applyFont="1" applyBorder="1" applyAlignment="1">
      <alignment horizontal="center" vertical="center"/>
    </xf>
    <xf numFmtId="0" fontId="16" fillId="0" borderId="49" xfId="4" applyFont="1" applyBorder="1" applyAlignment="1">
      <alignment horizontal="center" vertical="center"/>
    </xf>
    <xf numFmtId="0" fontId="16" fillId="0" borderId="49" xfId="4" applyFont="1" applyFill="1" applyBorder="1" applyAlignment="1">
      <alignment horizontal="center" vertical="center"/>
    </xf>
    <xf numFmtId="0" fontId="16" fillId="0" borderId="50" xfId="4" applyFont="1" applyFill="1" applyBorder="1" applyAlignment="1">
      <alignment horizontal="center" vertical="center"/>
    </xf>
    <xf numFmtId="0" fontId="26" fillId="0" borderId="0" xfId="4" applyFont="1">
      <alignment vertical="center"/>
    </xf>
    <xf numFmtId="0" fontId="0" fillId="0" borderId="0" xfId="4" applyFont="1" applyAlignment="1">
      <alignment vertical="center" wrapText="1"/>
    </xf>
    <xf numFmtId="0" fontId="16" fillId="0" borderId="10" xfId="1" applyNumberFormat="1" applyFont="1" applyFill="1" applyBorder="1" applyAlignment="1" applyProtection="1">
      <alignment horizontal="center" vertical="center" wrapText="1"/>
    </xf>
    <xf numFmtId="0" fontId="16" fillId="0" borderId="10" xfId="1" applyFont="1" applyFill="1" applyBorder="1" applyAlignment="1">
      <alignment horizontal="center" vertical="center" wrapText="1"/>
    </xf>
    <xf numFmtId="0" fontId="1" fillId="0" borderId="5" xfId="4" applyBorder="1">
      <alignment vertical="center"/>
    </xf>
    <xf numFmtId="0" fontId="11" fillId="6" borderId="23" xfId="2" applyFont="1" applyFill="1" applyBorder="1" applyAlignment="1">
      <alignment horizontal="center" vertical="center" wrapText="1"/>
    </xf>
    <xf numFmtId="0" fontId="9" fillId="0" borderId="26" xfId="4" applyFont="1" applyFill="1" applyBorder="1" applyAlignment="1">
      <alignment horizontal="center" vertical="center"/>
    </xf>
    <xf numFmtId="0" fontId="9" fillId="0" borderId="9" xfId="4" applyFont="1" applyFill="1" applyBorder="1" applyAlignment="1">
      <alignment horizontal="center" vertical="center"/>
    </xf>
    <xf numFmtId="0" fontId="11" fillId="6" borderId="9" xfId="1" applyNumberFormat="1" applyFont="1" applyFill="1" applyBorder="1" applyAlignment="1" applyProtection="1">
      <alignment horizontal="center" vertical="center" wrapText="1"/>
    </xf>
    <xf numFmtId="0" fontId="17" fillId="0" borderId="26" xfId="1" applyNumberFormat="1" applyFont="1" applyFill="1" applyBorder="1" applyAlignment="1" applyProtection="1">
      <alignment horizontal="center" vertical="center" wrapText="1"/>
    </xf>
    <xf numFmtId="0" fontId="5" fillId="0" borderId="26" xfId="4" applyNumberFormat="1" applyFont="1" applyFill="1" applyBorder="1" applyAlignment="1" applyProtection="1">
      <alignment horizontal="center" vertical="center" wrapText="1"/>
    </xf>
    <xf numFmtId="0" fontId="11" fillId="0" borderId="6" xfId="1" applyNumberFormat="1" applyFont="1" applyFill="1" applyBorder="1" applyAlignment="1" applyProtection="1">
      <alignment horizontal="center" vertical="center" wrapText="1"/>
    </xf>
    <xf numFmtId="0" fontId="11" fillId="0" borderId="5" xfId="1" applyNumberFormat="1" applyFont="1" applyFill="1" applyBorder="1" applyAlignment="1" applyProtection="1">
      <alignment horizontal="center" vertical="center" wrapText="1"/>
    </xf>
    <xf numFmtId="0" fontId="11" fillId="0" borderId="5" xfId="1" applyFont="1" applyFill="1" applyBorder="1" applyAlignment="1">
      <alignment horizontal="center" vertical="center" wrapText="1"/>
    </xf>
    <xf numFmtId="0" fontId="11" fillId="0" borderId="5" xfId="1" applyFont="1" applyFill="1" applyBorder="1" applyAlignment="1">
      <alignment horizontal="center" vertical="center"/>
    </xf>
    <xf numFmtId="0" fontId="11" fillId="0" borderId="10" xfId="1" applyFont="1" applyFill="1" applyBorder="1" applyAlignment="1">
      <alignment horizontal="center" vertical="center"/>
    </xf>
    <xf numFmtId="0" fontId="11" fillId="0" borderId="10" xfId="1" applyFont="1" applyFill="1" applyBorder="1" applyAlignment="1">
      <alignment horizontal="center" vertical="center" wrapText="1"/>
    </xf>
    <xf numFmtId="0" fontId="11" fillId="0" borderId="23" xfId="1" applyNumberFormat="1" applyFont="1" applyFill="1" applyBorder="1" applyAlignment="1" applyProtection="1">
      <alignment horizontal="center" vertical="center" wrapText="1"/>
    </xf>
    <xf numFmtId="0" fontId="11" fillId="0" borderId="6" xfId="1" applyFont="1" applyFill="1" applyBorder="1" applyAlignment="1">
      <alignment horizontal="center" vertical="center" wrapText="1"/>
    </xf>
    <xf numFmtId="0" fontId="17" fillId="0" borderId="5" xfId="1" applyNumberFormat="1" applyFont="1" applyFill="1" applyBorder="1" applyAlignment="1" applyProtection="1">
      <alignment horizontal="center" vertical="center" wrapText="1"/>
    </xf>
    <xf numFmtId="0" fontId="11" fillId="0" borderId="26" xfId="1" applyNumberFormat="1" applyFont="1" applyFill="1" applyBorder="1" applyAlignment="1" applyProtection="1">
      <alignment horizontal="center" vertical="center" wrapText="1"/>
    </xf>
    <xf numFmtId="0" fontId="17" fillId="0" borderId="6" xfId="1" applyNumberFormat="1" applyFont="1" applyFill="1" applyBorder="1" applyAlignment="1" applyProtection="1">
      <alignment horizontal="center" vertical="center" wrapText="1"/>
    </xf>
    <xf numFmtId="0" fontId="11" fillId="0" borderId="23" xfId="1" applyFont="1" applyFill="1" applyBorder="1" applyAlignment="1">
      <alignment horizontal="center" vertical="center" wrapText="1"/>
    </xf>
    <xf numFmtId="0" fontId="11" fillId="0" borderId="26" xfId="2" applyFont="1" applyFill="1" applyBorder="1" applyAlignment="1">
      <alignment horizontal="center" vertical="center" wrapText="1"/>
    </xf>
    <xf numFmtId="0" fontId="11" fillId="0" borderId="26" xfId="1" applyFont="1" applyFill="1" applyBorder="1" applyAlignment="1">
      <alignment horizontal="center" vertical="center"/>
    </xf>
    <xf numFmtId="0" fontId="11" fillId="0" borderId="5" xfId="1" applyFont="1" applyBorder="1" applyAlignment="1">
      <alignment horizontal="center" vertical="center" wrapText="1"/>
    </xf>
    <xf numFmtId="0" fontId="11" fillId="0" borderId="5" xfId="1" applyFont="1" applyBorder="1" applyAlignment="1">
      <alignment horizontal="center" vertical="center"/>
    </xf>
    <xf numFmtId="0" fontId="26" fillId="0" borderId="0" xfId="1" applyFont="1">
      <alignment vertical="center"/>
    </xf>
    <xf numFmtId="0" fontId="11" fillId="0" borderId="0" xfId="1" applyFont="1" applyAlignment="1">
      <alignment horizontal="center" vertical="center" wrapText="1"/>
    </xf>
    <xf numFmtId="0" fontId="11" fillId="6" borderId="5" xfId="1" applyFont="1" applyFill="1" applyBorder="1" applyAlignment="1">
      <alignment horizontal="center" vertical="center"/>
    </xf>
    <xf numFmtId="0" fontId="11" fillId="6" borderId="5" xfId="1" applyNumberFormat="1" applyFont="1" applyFill="1" applyBorder="1" applyAlignment="1" applyProtection="1">
      <alignment horizontal="center" vertical="center" wrapText="1"/>
    </xf>
    <xf numFmtId="0" fontId="11" fillId="6" borderId="10" xfId="1" applyNumberFormat="1" applyFont="1" applyFill="1" applyBorder="1" applyAlignment="1" applyProtection="1">
      <alignment horizontal="center" vertical="center" wrapText="1"/>
    </xf>
    <xf numFmtId="0" fontId="11" fillId="6" borderId="23" xfId="1" applyFont="1" applyFill="1" applyBorder="1" applyAlignment="1">
      <alignment horizontal="center" vertical="center"/>
    </xf>
    <xf numFmtId="0" fontId="11" fillId="0" borderId="6" xfId="2" applyFont="1" applyFill="1" applyBorder="1" applyAlignment="1">
      <alignment horizontal="center" vertical="center" wrapText="1"/>
    </xf>
    <xf numFmtId="0" fontId="11" fillId="0" borderId="6" xfId="2" applyFont="1" applyFill="1" applyBorder="1" applyAlignment="1">
      <alignment horizontal="center" vertical="center"/>
    </xf>
    <xf numFmtId="0" fontId="11" fillId="0" borderId="5" xfId="4" applyFont="1" applyBorder="1" applyAlignment="1">
      <alignment horizontal="center" vertical="center"/>
    </xf>
    <xf numFmtId="0" fontId="11" fillId="0" borderId="49" xfId="4" applyFont="1" applyBorder="1" applyAlignment="1">
      <alignment horizontal="center" vertical="center"/>
    </xf>
    <xf numFmtId="0" fontId="11" fillId="6" borderId="6" xfId="2" applyFont="1" applyFill="1" applyBorder="1" applyAlignment="1">
      <alignment horizontal="center" vertical="center" wrapText="1"/>
    </xf>
    <xf numFmtId="0" fontId="11" fillId="6" borderId="23" xfId="1" applyNumberFormat="1" applyFont="1" applyFill="1" applyBorder="1" applyAlignment="1" applyProtection="1">
      <alignment horizontal="center" vertical="center" wrapText="1"/>
    </xf>
    <xf numFmtId="0" fontId="11" fillId="0" borderId="36" xfId="1" applyFont="1" applyFill="1" applyBorder="1" applyAlignment="1">
      <alignment horizontal="center" vertical="center"/>
    </xf>
    <xf numFmtId="0" fontId="11" fillId="3" borderId="10" xfId="2" applyFont="1" applyFill="1" applyBorder="1" applyAlignment="1">
      <alignment horizontal="center" vertical="center" wrapText="1"/>
    </xf>
    <xf numFmtId="0" fontId="16" fillId="6" borderId="0" xfId="4" applyFont="1" applyFill="1" applyAlignment="1">
      <alignment horizontal="center" vertical="center"/>
    </xf>
    <xf numFmtId="0" fontId="38" fillId="0" borderId="5" xfId="1" applyFont="1" applyBorder="1" applyAlignment="1">
      <alignment horizontal="center" vertical="center"/>
    </xf>
    <xf numFmtId="0" fontId="16" fillId="0" borderId="0" xfId="4" applyFont="1" applyFill="1" applyAlignment="1">
      <alignment horizontal="center" vertical="center"/>
    </xf>
    <xf numFmtId="0" fontId="21" fillId="4" borderId="39" xfId="1" applyFont="1" applyFill="1" applyBorder="1" applyAlignment="1">
      <alignment horizontal="center" vertical="center" wrapText="1"/>
    </xf>
    <xf numFmtId="0" fontId="1" fillId="0" borderId="0" xfId="4" applyAlignment="1">
      <alignment horizontal="center" vertical="center"/>
    </xf>
    <xf numFmtId="0" fontId="11" fillId="0" borderId="37" xfId="1" applyNumberFormat="1" applyFont="1" applyFill="1" applyBorder="1" applyAlignment="1" applyProtection="1">
      <alignment horizontal="center" vertical="center" wrapText="1"/>
    </xf>
    <xf numFmtId="0" fontId="15" fillId="7" borderId="9" xfId="2" applyNumberFormat="1" applyFont="1" applyFill="1" applyBorder="1" applyAlignment="1" applyProtection="1">
      <alignment horizontal="center" vertical="center" wrapText="1"/>
    </xf>
    <xf numFmtId="0" fontId="15" fillId="7" borderId="23" xfId="4" applyNumberFormat="1" applyFont="1" applyFill="1" applyBorder="1" applyAlignment="1" applyProtection="1">
      <alignment horizontal="center" vertical="center" wrapText="1"/>
    </xf>
    <xf numFmtId="0" fontId="40" fillId="0" borderId="23" xfId="1" applyNumberFormat="1" applyFont="1" applyFill="1" applyBorder="1" applyAlignment="1" applyProtection="1">
      <alignment horizontal="center" vertical="center" wrapText="1"/>
    </xf>
    <xf numFmtId="0" fontId="40" fillId="6" borderId="23" xfId="1" applyNumberFormat="1" applyFont="1" applyFill="1" applyBorder="1" applyAlignment="1" applyProtection="1">
      <alignment horizontal="center" vertical="center" wrapText="1"/>
    </xf>
    <xf numFmtId="0" fontId="40" fillId="0" borderId="23" xfId="2" applyFont="1" applyFill="1" applyBorder="1" applyAlignment="1">
      <alignment horizontal="center" vertical="center"/>
    </xf>
    <xf numFmtId="0" fontId="40" fillId="0" borderId="6" xfId="1" applyNumberFormat="1" applyFont="1" applyFill="1" applyBorder="1" applyAlignment="1" applyProtection="1">
      <alignment horizontal="center" vertical="center" wrapText="1"/>
    </xf>
    <xf numFmtId="0" fontId="40" fillId="8" borderId="23" xfId="1" applyNumberFormat="1" applyFont="1" applyFill="1" applyBorder="1" applyAlignment="1" applyProtection="1">
      <alignment horizontal="center" vertical="center" wrapText="1"/>
    </xf>
    <xf numFmtId="0" fontId="11" fillId="6" borderId="10" xfId="1" applyFont="1" applyFill="1" applyBorder="1" applyAlignment="1">
      <alignment horizontal="center" vertical="center"/>
    </xf>
    <xf numFmtId="0" fontId="11" fillId="6" borderId="10" xfId="1" applyFont="1" applyFill="1" applyBorder="1" applyAlignment="1">
      <alignment horizontal="center" vertical="center" wrapText="1"/>
    </xf>
    <xf numFmtId="0" fontId="11" fillId="7" borderId="6" xfId="1" applyFont="1" applyFill="1" applyBorder="1" applyAlignment="1">
      <alignment horizontal="center" vertical="center" wrapText="1"/>
    </xf>
    <xf numFmtId="0" fontId="11" fillId="7" borderId="23" xfId="1" applyNumberFormat="1" applyFont="1" applyFill="1" applyBorder="1" applyAlignment="1" applyProtection="1">
      <alignment horizontal="center" vertical="center" wrapText="1"/>
    </xf>
    <xf numFmtId="0" fontId="11" fillId="7" borderId="6" xfId="1" applyNumberFormat="1" applyFont="1" applyFill="1" applyBorder="1" applyAlignment="1" applyProtection="1">
      <alignment horizontal="center" vertical="center" wrapText="1"/>
    </xf>
    <xf numFmtId="0" fontId="11" fillId="7" borderId="6" xfId="1" applyFont="1" applyFill="1" applyBorder="1" applyAlignment="1">
      <alignment horizontal="center" vertical="center"/>
    </xf>
    <xf numFmtId="0" fontId="1" fillId="7" borderId="0" xfId="4" applyFill="1">
      <alignment vertical="center"/>
    </xf>
    <xf numFmtId="0" fontId="40" fillId="0" borderId="26" xfId="1" applyFont="1" applyFill="1" applyBorder="1" applyAlignment="1">
      <alignment horizontal="center" vertical="center"/>
    </xf>
    <xf numFmtId="0" fontId="40" fillId="0" borderId="5" xfId="1" applyNumberFormat="1" applyFont="1" applyFill="1" applyBorder="1" applyAlignment="1" applyProtection="1">
      <alignment horizontal="center" vertical="center" wrapText="1"/>
    </xf>
    <xf numFmtId="0" fontId="40" fillId="0" borderId="26" xfId="4" applyFont="1" applyFill="1" applyBorder="1" applyAlignment="1">
      <alignment horizontal="center" vertical="center"/>
    </xf>
    <xf numFmtId="0" fontId="20" fillId="0" borderId="10" xfId="1" applyNumberFormat="1" applyFont="1" applyFill="1" applyBorder="1" applyAlignment="1" applyProtection="1">
      <alignment horizontal="center" vertical="center" wrapText="1"/>
    </xf>
    <xf numFmtId="0" fontId="20" fillId="0" borderId="26" xfId="2" applyFont="1" applyFill="1" applyBorder="1" applyAlignment="1">
      <alignment horizontal="center" vertical="center" wrapText="1"/>
    </xf>
    <xf numFmtId="0" fontId="20" fillId="0" borderId="0" xfId="4" applyFont="1" applyAlignment="1">
      <alignment horizontal="center" vertical="center"/>
    </xf>
    <xf numFmtId="0" fontId="40" fillId="0" borderId="0" xfId="4" applyFont="1" applyAlignment="1">
      <alignment horizontal="center" vertical="center"/>
    </xf>
    <xf numFmtId="0" fontId="40" fillId="0" borderId="5" xfId="1" applyFont="1" applyFill="1" applyBorder="1" applyAlignment="1">
      <alignment horizontal="center" vertical="center" wrapText="1"/>
    </xf>
    <xf numFmtId="0" fontId="40" fillId="0" borderId="5" xfId="1" applyFont="1" applyFill="1" applyBorder="1" applyAlignment="1">
      <alignment horizontal="center" vertical="center"/>
    </xf>
    <xf numFmtId="0" fontId="20" fillId="0" borderId="5" xfId="1" applyFont="1" applyBorder="1" applyAlignment="1">
      <alignment horizontal="center" vertical="center"/>
    </xf>
    <xf numFmtId="0" fontId="20" fillId="0" borderId="26" xfId="1" applyFont="1" applyBorder="1" applyAlignment="1">
      <alignment horizontal="center" vertical="center"/>
    </xf>
    <xf numFmtId="0" fontId="40" fillId="7" borderId="6" xfId="1" applyNumberFormat="1" applyFont="1" applyFill="1" applyBorder="1" applyAlignment="1" applyProtection="1">
      <alignment horizontal="center" vertical="center" wrapText="1"/>
    </xf>
    <xf numFmtId="0" fontId="40" fillId="7" borderId="6" xfId="2" applyFont="1" applyFill="1" applyBorder="1" applyAlignment="1">
      <alignment horizontal="center" vertical="center" wrapText="1"/>
    </xf>
    <xf numFmtId="0" fontId="40" fillId="7" borderId="23" xfId="1" applyFont="1" applyFill="1" applyBorder="1" applyAlignment="1">
      <alignment horizontal="center" vertical="center" wrapText="1"/>
    </xf>
    <xf numFmtId="0" fontId="40" fillId="7" borderId="6" xfId="2" applyFont="1" applyFill="1" applyBorder="1" applyAlignment="1">
      <alignment horizontal="center" vertical="center"/>
    </xf>
    <xf numFmtId="0" fontId="40" fillId="7" borderId="6" xfId="1" applyFont="1" applyFill="1" applyBorder="1" applyAlignment="1">
      <alignment horizontal="center" vertical="center" wrapText="1"/>
    </xf>
    <xf numFmtId="0" fontId="40" fillId="7" borderId="23" xfId="1" applyNumberFormat="1" applyFont="1" applyFill="1" applyBorder="1" applyAlignment="1" applyProtection="1">
      <alignment horizontal="center" vertical="center" wrapText="1"/>
    </xf>
    <xf numFmtId="0" fontId="40" fillId="7" borderId="0" xfId="4" applyFont="1" applyFill="1" applyAlignment="1">
      <alignment horizontal="center" vertical="center"/>
    </xf>
    <xf numFmtId="0" fontId="2" fillId="0" borderId="4" xfId="8" applyNumberFormat="1" applyFont="1" applyFill="1" applyBorder="1" applyAlignment="1" applyProtection="1">
      <alignment horizontal="center" vertical="center"/>
    </xf>
    <xf numFmtId="0" fontId="1" fillId="0" borderId="0" xfId="7">
      <alignment vertical="center"/>
    </xf>
    <xf numFmtId="0" fontId="1" fillId="0" borderId="0" xfId="7" applyAlignment="1">
      <alignment vertical="center"/>
    </xf>
    <xf numFmtId="0" fontId="1" fillId="0" borderId="0" xfId="7" applyAlignment="1">
      <alignment vertical="top"/>
    </xf>
    <xf numFmtId="0" fontId="2" fillId="0" borderId="0" xfId="8" applyNumberFormat="1" applyFont="1" applyFill="1" applyBorder="1" applyAlignment="1" applyProtection="1">
      <alignment horizontal="center" vertical="center"/>
    </xf>
    <xf numFmtId="0" fontId="6" fillId="2" borderId="5" xfId="7" applyNumberFormat="1" applyFont="1" applyFill="1" applyBorder="1" applyAlignment="1" applyProtection="1">
      <alignment horizontal="center" vertical="center"/>
    </xf>
    <xf numFmtId="0" fontId="6" fillId="2" borderId="5" xfId="7" applyNumberFormat="1" applyFont="1" applyFill="1" applyBorder="1" applyAlignment="1" applyProtection="1">
      <alignment horizontal="left" vertical="center" wrapText="1"/>
    </xf>
    <xf numFmtId="0" fontId="6" fillId="2" borderId="5" xfId="7" applyNumberFormat="1" applyFont="1" applyFill="1" applyBorder="1" applyAlignment="1" applyProtection="1">
      <alignment horizontal="center" vertical="center" wrapText="1"/>
    </xf>
    <xf numFmtId="0" fontId="6" fillId="2" borderId="6" xfId="7" applyNumberFormat="1" applyFont="1" applyFill="1" applyBorder="1" applyAlignment="1" applyProtection="1">
      <alignment horizontal="center" vertical="center" wrapText="1"/>
    </xf>
    <xf numFmtId="0" fontId="7" fillId="2" borderId="6" xfId="7" applyNumberFormat="1" applyFont="1" applyFill="1" applyBorder="1" applyAlignment="1" applyProtection="1">
      <alignment horizontal="center" vertical="center"/>
    </xf>
    <xf numFmtId="176" fontId="9" fillId="0" borderId="0" xfId="9" applyNumberFormat="1" applyFont="1" applyFill="1" applyBorder="1" applyAlignment="1" applyProtection="1">
      <alignment horizontal="center" vertical="center" wrapText="1"/>
    </xf>
    <xf numFmtId="0" fontId="9" fillId="0" borderId="10" xfId="7" applyFont="1" applyFill="1" applyBorder="1" applyAlignment="1">
      <alignment horizontal="center" vertical="center"/>
    </xf>
    <xf numFmtId="0" fontId="15" fillId="0" borderId="5" xfId="7" applyFont="1" applyFill="1" applyBorder="1" applyAlignment="1">
      <alignment horizontal="center" vertical="center" wrapText="1"/>
    </xf>
    <xf numFmtId="0" fontId="11" fillId="0" borderId="5" xfId="7" applyNumberFormat="1" applyFont="1" applyFill="1" applyBorder="1" applyAlignment="1" applyProtection="1">
      <alignment horizontal="center" vertical="center" wrapText="1"/>
    </xf>
    <xf numFmtId="0" fontId="11" fillId="0" borderId="6" xfId="7" applyNumberFormat="1" applyFont="1" applyFill="1" applyBorder="1" applyAlignment="1" applyProtection="1">
      <alignment horizontal="center" vertical="center" wrapText="1"/>
    </xf>
    <xf numFmtId="0" fontId="11" fillId="0" borderId="10" xfId="7" applyNumberFormat="1" applyFont="1" applyFill="1" applyBorder="1" applyAlignment="1" applyProtection="1">
      <alignment horizontal="center" vertical="center" wrapText="1"/>
    </xf>
    <xf numFmtId="0" fontId="11" fillId="0" borderId="10" xfId="7" applyFont="1" applyFill="1" applyBorder="1" applyAlignment="1">
      <alignment horizontal="center" vertical="center"/>
    </xf>
    <xf numFmtId="0" fontId="11" fillId="0" borderId="10" xfId="7" applyFont="1" applyFill="1" applyBorder="1" applyAlignment="1">
      <alignment horizontal="center" vertical="center" wrapText="1"/>
    </xf>
    <xf numFmtId="0" fontId="16" fillId="0" borderId="5" xfId="7" applyFont="1" applyFill="1" applyBorder="1" applyAlignment="1">
      <alignment horizontal="center" vertical="center"/>
    </xf>
    <xf numFmtId="9" fontId="9" fillId="0" borderId="0" xfId="6" applyFont="1" applyFill="1" applyBorder="1" applyAlignment="1" applyProtection="1">
      <alignment horizontal="center" vertical="center" wrapText="1"/>
    </xf>
    <xf numFmtId="0" fontId="1" fillId="0" borderId="0" xfId="7" applyAlignment="1">
      <alignment horizontal="center" vertical="center"/>
    </xf>
    <xf numFmtId="0" fontId="1" fillId="0" borderId="0" xfId="7" applyFill="1">
      <alignment vertical="center"/>
    </xf>
    <xf numFmtId="0" fontId="1" fillId="0" borderId="0" xfId="7" applyFill="1" applyAlignment="1">
      <alignment vertical="top"/>
    </xf>
    <xf numFmtId="0" fontId="9" fillId="0" borderId="6" xfId="7" applyFont="1" applyFill="1" applyBorder="1" applyAlignment="1">
      <alignment horizontal="center" vertical="center"/>
    </xf>
    <xf numFmtId="0" fontId="5" fillId="0" borderId="10" xfId="7" applyNumberFormat="1" applyFont="1" applyFill="1" applyBorder="1" applyAlignment="1" applyProtection="1">
      <alignment horizontal="center" vertical="center" wrapText="1"/>
    </xf>
    <xf numFmtId="0" fontId="11" fillId="0" borderId="5" xfId="7" applyFont="1" applyFill="1" applyBorder="1" applyAlignment="1">
      <alignment horizontal="center" vertical="center" wrapText="1"/>
    </xf>
    <xf numFmtId="0" fontId="15" fillId="0" borderId="6" xfId="7" applyNumberFormat="1" applyFont="1" applyFill="1" applyBorder="1" applyAlignment="1" applyProtection="1">
      <alignment horizontal="center" vertical="center" wrapText="1"/>
    </xf>
    <xf numFmtId="0" fontId="11" fillId="0" borderId="5" xfId="7" applyFont="1" applyFill="1" applyBorder="1" applyAlignment="1">
      <alignment horizontal="center" vertical="center"/>
    </xf>
    <xf numFmtId="0" fontId="11" fillId="0" borderId="9" xfId="7" applyFont="1" applyFill="1" applyBorder="1" applyAlignment="1">
      <alignment horizontal="center" vertical="center" wrapText="1"/>
    </xf>
    <xf numFmtId="0" fontId="15" fillId="0" borderId="5" xfId="7" applyNumberFormat="1" applyFont="1" applyFill="1" applyBorder="1" applyAlignment="1" applyProtection="1">
      <alignment horizontal="center" vertical="center" wrapText="1"/>
    </xf>
    <xf numFmtId="0" fontId="16" fillId="0" borderId="0" xfId="7" applyFont="1" applyFill="1" applyAlignment="1">
      <alignment horizontal="center" vertical="center"/>
    </xf>
    <xf numFmtId="0" fontId="11" fillId="0" borderId="23" xfId="7" applyFont="1" applyFill="1" applyBorder="1" applyAlignment="1">
      <alignment horizontal="center" vertical="center" wrapText="1"/>
    </xf>
    <xf numFmtId="0" fontId="11" fillId="0" borderId="6" xfId="7" applyFont="1" applyFill="1" applyBorder="1" applyAlignment="1">
      <alignment horizontal="center" vertical="center" wrapText="1"/>
    </xf>
    <xf numFmtId="0" fontId="11" fillId="0" borderId="23" xfId="7" applyNumberFormat="1" applyFont="1" applyFill="1" applyBorder="1" applyAlignment="1" applyProtection="1">
      <alignment horizontal="center" vertical="center" wrapText="1"/>
    </xf>
    <xf numFmtId="0" fontId="9" fillId="0" borderId="26" xfId="7" applyFont="1" applyFill="1" applyBorder="1" applyAlignment="1">
      <alignment horizontal="center" vertical="center"/>
    </xf>
    <xf numFmtId="0" fontId="5" fillId="0" borderId="26" xfId="7" applyNumberFormat="1" applyFont="1" applyFill="1" applyBorder="1" applyAlignment="1" applyProtection="1">
      <alignment horizontal="center" vertical="center" wrapText="1"/>
    </xf>
    <xf numFmtId="0" fontId="17" fillId="0" borderId="26" xfId="7" applyNumberFormat="1" applyFont="1" applyFill="1" applyBorder="1" applyAlignment="1" applyProtection="1">
      <alignment horizontal="center" vertical="center" wrapText="1"/>
    </xf>
    <xf numFmtId="0" fontId="11" fillId="0" borderId="26" xfId="7" applyNumberFormat="1" applyFont="1" applyFill="1" applyBorder="1" applyAlignment="1" applyProtection="1">
      <alignment horizontal="center" vertical="center" wrapText="1"/>
    </xf>
    <xf numFmtId="0" fontId="11" fillId="0" borderId="26" xfId="7" applyFont="1" applyFill="1" applyBorder="1" applyAlignment="1">
      <alignment horizontal="center" vertical="center"/>
    </xf>
    <xf numFmtId="0" fontId="17" fillId="0" borderId="5" xfId="7" applyNumberFormat="1" applyFont="1" applyFill="1" applyBorder="1" applyAlignment="1" applyProtection="1">
      <alignment horizontal="center" vertical="center" wrapText="1"/>
    </xf>
    <xf numFmtId="0" fontId="11" fillId="0" borderId="36" xfId="7" applyFont="1" applyFill="1" applyBorder="1" applyAlignment="1">
      <alignment horizontal="center" vertical="center"/>
    </xf>
    <xf numFmtId="0" fontId="15" fillId="0" borderId="9" xfId="7" applyNumberFormat="1" applyFont="1" applyFill="1" applyBorder="1" applyAlignment="1" applyProtection="1">
      <alignment horizontal="center" vertical="center" wrapText="1"/>
    </xf>
    <xf numFmtId="0" fontId="9" fillId="0" borderId="23" xfId="7" applyFont="1" applyFill="1" applyBorder="1" applyAlignment="1">
      <alignment horizontal="center" vertical="center"/>
    </xf>
    <xf numFmtId="0" fontId="17" fillId="0" borderId="23" xfId="7" applyNumberFormat="1" applyFont="1" applyFill="1" applyBorder="1" applyAlignment="1" applyProtection="1">
      <alignment horizontal="center" vertical="center" wrapText="1"/>
    </xf>
    <xf numFmtId="0" fontId="16" fillId="0" borderId="23" xfId="7" applyFont="1" applyFill="1" applyBorder="1" applyAlignment="1">
      <alignment horizontal="center" vertical="center"/>
    </xf>
    <xf numFmtId="0" fontId="11" fillId="0" borderId="23" xfId="7" applyFont="1" applyFill="1" applyBorder="1" applyAlignment="1">
      <alignment horizontal="center" vertical="center"/>
    </xf>
    <xf numFmtId="0" fontId="16" fillId="0" borderId="23" xfId="7" applyNumberFormat="1" applyFont="1" applyFill="1" applyBorder="1" applyAlignment="1" applyProtection="1">
      <alignment horizontal="center" vertical="center" wrapText="1"/>
    </xf>
    <xf numFmtId="0" fontId="9" fillId="0" borderId="9" xfId="7" applyFont="1" applyFill="1" applyBorder="1" applyAlignment="1">
      <alignment horizontal="center" vertical="center"/>
    </xf>
    <xf numFmtId="0" fontId="5" fillId="0" borderId="5" xfId="7" applyNumberFormat="1" applyFont="1" applyFill="1" applyBorder="1" applyAlignment="1" applyProtection="1">
      <alignment horizontal="center" vertical="center" wrapText="1"/>
    </xf>
    <xf numFmtId="0" fontId="5" fillId="0" borderId="23" xfId="7" applyNumberFormat="1" applyFont="1" applyFill="1" applyBorder="1" applyAlignment="1" applyProtection="1">
      <alignment horizontal="center" vertical="center" wrapText="1"/>
    </xf>
    <xf numFmtId="0" fontId="11" fillId="0" borderId="33" xfId="7" applyNumberFormat="1" applyFont="1" applyFill="1" applyBorder="1" applyAlignment="1" applyProtection="1">
      <alignment horizontal="center" vertical="center" wrapText="1"/>
    </xf>
    <xf numFmtId="0" fontId="15" fillId="0" borderId="10" xfId="7" applyNumberFormat="1" applyFont="1" applyFill="1" applyBorder="1" applyAlignment="1" applyProtection="1">
      <alignment horizontal="center" vertical="center" wrapText="1"/>
    </xf>
    <xf numFmtId="0" fontId="17" fillId="0" borderId="6" xfId="7" applyNumberFormat="1" applyFont="1" applyFill="1" applyBorder="1" applyAlignment="1" applyProtection="1">
      <alignment horizontal="center" vertical="center" wrapText="1"/>
    </xf>
    <xf numFmtId="0" fontId="11" fillId="3" borderId="5" xfId="7" applyNumberFormat="1" applyFont="1" applyFill="1" applyBorder="1" applyAlignment="1" applyProtection="1">
      <alignment horizontal="center" vertical="center" wrapText="1"/>
    </xf>
    <xf numFmtId="0" fontId="9" fillId="0" borderId="5" xfId="7" applyFont="1" applyFill="1" applyBorder="1" applyAlignment="1">
      <alignment horizontal="center" vertical="center"/>
    </xf>
    <xf numFmtId="0" fontId="16" fillId="6" borderId="0" xfId="7" applyFont="1" applyFill="1" applyAlignment="1">
      <alignment horizontal="center" vertical="center"/>
    </xf>
    <xf numFmtId="0" fontId="11" fillId="0" borderId="9" xfId="7" applyFont="1" applyFill="1" applyBorder="1" applyAlignment="1">
      <alignment horizontal="center" vertical="center"/>
    </xf>
    <xf numFmtId="0" fontId="11" fillId="3" borderId="6" xfId="7" applyNumberFormat="1" applyFont="1" applyFill="1" applyBorder="1" applyAlignment="1" applyProtection="1">
      <alignment horizontal="center" vertical="center" wrapText="1"/>
    </xf>
    <xf numFmtId="0" fontId="15" fillId="0" borderId="23" xfId="7" applyFont="1" applyFill="1" applyBorder="1" applyAlignment="1">
      <alignment horizontal="center" vertical="center" wrapText="1"/>
    </xf>
    <xf numFmtId="0" fontId="21" fillId="4" borderId="6" xfId="7" applyFont="1" applyFill="1" applyBorder="1" applyAlignment="1">
      <alignment horizontal="center" vertical="center"/>
    </xf>
    <xf numFmtId="0" fontId="21" fillId="4" borderId="39" xfId="7" applyFont="1" applyFill="1" applyBorder="1" applyAlignment="1">
      <alignment horizontal="center" vertical="center" wrapText="1"/>
    </xf>
    <xf numFmtId="0" fontId="11" fillId="0" borderId="35" xfId="7" applyFont="1" applyFill="1" applyBorder="1" applyAlignment="1">
      <alignment horizontal="center" vertical="center" wrapText="1"/>
    </xf>
    <xf numFmtId="0" fontId="11" fillId="0" borderId="26" xfId="7" applyFont="1" applyFill="1" applyBorder="1" applyAlignment="1">
      <alignment horizontal="center" vertical="center" wrapText="1"/>
    </xf>
    <xf numFmtId="0" fontId="11" fillId="0" borderId="9" xfId="7" applyNumberFormat="1" applyFont="1" applyFill="1" applyBorder="1" applyAlignment="1" applyProtection="1">
      <alignment horizontal="center" vertical="center" wrapText="1"/>
    </xf>
    <xf numFmtId="0" fontId="22" fillId="0" borderId="5" xfId="7" applyFont="1" applyFill="1" applyBorder="1" applyAlignment="1">
      <alignment horizontal="center" vertical="center" wrapText="1"/>
    </xf>
    <xf numFmtId="0" fontId="20" fillId="0" borderId="5" xfId="7" applyFont="1" applyFill="1" applyBorder="1" applyAlignment="1">
      <alignment horizontal="center" vertical="center"/>
    </xf>
    <xf numFmtId="0" fontId="16" fillId="0" borderId="5" xfId="7" applyFont="1" applyBorder="1" applyAlignment="1">
      <alignment horizontal="center" vertical="center"/>
    </xf>
    <xf numFmtId="17" fontId="1" fillId="0" borderId="0" xfId="7" applyNumberFormat="1" applyAlignment="1">
      <alignment vertical="top"/>
    </xf>
    <xf numFmtId="0" fontId="22" fillId="0" borderId="6" xfId="7" applyFont="1" applyFill="1" applyBorder="1" applyAlignment="1">
      <alignment horizontal="center" vertical="center" wrapText="1"/>
    </xf>
    <xf numFmtId="0" fontId="23" fillId="0" borderId="26" xfId="7" applyNumberFormat="1" applyFont="1" applyFill="1" applyBorder="1" applyAlignment="1" applyProtection="1">
      <alignment horizontal="center" vertical="center"/>
    </xf>
    <xf numFmtId="0" fontId="5" fillId="0" borderId="26" xfId="7" applyFont="1" applyFill="1" applyBorder="1" applyAlignment="1">
      <alignment horizontal="center" vertical="center" wrapText="1"/>
    </xf>
    <xf numFmtId="0" fontId="15" fillId="0" borderId="26" xfId="7" applyFont="1" applyFill="1" applyBorder="1" applyAlignment="1">
      <alignment horizontal="center" vertical="center" wrapText="1"/>
    </xf>
    <xf numFmtId="0" fontId="9" fillId="0" borderId="23" xfId="7" applyNumberFormat="1" applyFont="1" applyFill="1" applyBorder="1" applyAlignment="1" applyProtection="1">
      <alignment horizontal="center" vertical="center"/>
    </xf>
    <xf numFmtId="0" fontId="5" fillId="0" borderId="23" xfId="7" applyFont="1" applyFill="1" applyBorder="1" applyAlignment="1">
      <alignment horizontal="center" vertical="center" wrapText="1"/>
    </xf>
    <xf numFmtId="0" fontId="20" fillId="0" borderId="23" xfId="7" applyFont="1" applyFill="1" applyBorder="1" applyAlignment="1">
      <alignment horizontal="center" vertical="center" wrapText="1"/>
    </xf>
    <xf numFmtId="0" fontId="24" fillId="0" borderId="0" xfId="7" applyFont="1">
      <alignment vertical="center"/>
    </xf>
    <xf numFmtId="0" fontId="24" fillId="0" borderId="0" xfId="7" applyFont="1" applyAlignment="1">
      <alignment vertical="top"/>
    </xf>
    <xf numFmtId="0" fontId="9" fillId="0" borderId="9" xfId="7" applyNumberFormat="1" applyFont="1" applyFill="1" applyBorder="1" applyAlignment="1" applyProtection="1">
      <alignment horizontal="center" vertical="center"/>
    </xf>
    <xf numFmtId="0" fontId="5" fillId="0" borderId="9" xfId="7" applyFont="1" applyFill="1" applyBorder="1" applyAlignment="1">
      <alignment horizontal="center" vertical="center" wrapText="1"/>
    </xf>
    <xf numFmtId="0" fontId="5" fillId="0" borderId="4" xfId="7" applyFont="1" applyFill="1" applyBorder="1" applyAlignment="1">
      <alignment horizontal="center" vertical="center" wrapText="1"/>
    </xf>
    <xf numFmtId="0" fontId="5" fillId="0" borderId="14" xfId="7" applyFont="1" applyFill="1" applyBorder="1" applyAlignment="1">
      <alignment horizontal="center" vertical="center" wrapText="1"/>
    </xf>
    <xf numFmtId="0" fontId="11" fillId="0" borderId="75" xfId="7" applyNumberFormat="1" applyFont="1" applyFill="1" applyBorder="1" applyAlignment="1" applyProtection="1">
      <alignment horizontal="center" vertical="center" wrapText="1"/>
    </xf>
    <xf numFmtId="0" fontId="11" fillId="0" borderId="75" xfId="7" applyFont="1" applyFill="1" applyBorder="1" applyAlignment="1">
      <alignment horizontal="center" vertical="center" wrapText="1"/>
    </xf>
    <xf numFmtId="0" fontId="11" fillId="0" borderId="75" xfId="7" applyFont="1" applyFill="1" applyBorder="1" applyAlignment="1">
      <alignment horizontal="center" vertical="center"/>
    </xf>
    <xf numFmtId="0" fontId="20" fillId="0" borderId="75" xfId="7" applyFont="1" applyFill="1" applyBorder="1" applyAlignment="1">
      <alignment horizontal="center" vertical="center" wrapText="1"/>
    </xf>
    <xf numFmtId="0" fontId="16" fillId="0" borderId="10" xfId="7" applyNumberFormat="1" applyFont="1" applyFill="1" applyBorder="1" applyAlignment="1" applyProtection="1">
      <alignment horizontal="center" vertical="center" wrapText="1"/>
    </xf>
    <xf numFmtId="0" fontId="16" fillId="0" borderId="10" xfId="7" applyFont="1" applyFill="1" applyBorder="1" applyAlignment="1">
      <alignment horizontal="center" vertical="center" wrapText="1"/>
    </xf>
    <xf numFmtId="0" fontId="9" fillId="0" borderId="23" xfId="7" applyFont="1" applyBorder="1" applyAlignment="1">
      <alignment horizontal="center" vertical="center"/>
    </xf>
    <xf numFmtId="0" fontId="15" fillId="0" borderId="23" xfId="7" applyNumberFormat="1" applyFont="1" applyFill="1" applyBorder="1" applyAlignment="1" applyProtection="1">
      <alignment horizontal="center" vertical="center" wrapText="1"/>
    </xf>
    <xf numFmtId="0" fontId="11" fillId="0" borderId="6" xfId="7" applyFont="1" applyFill="1" applyBorder="1" applyAlignment="1">
      <alignment horizontal="center" vertical="center"/>
    </xf>
    <xf numFmtId="0" fontId="9" fillId="0" borderId="0" xfId="7" applyFont="1" applyFill="1" applyBorder="1" applyAlignment="1">
      <alignment horizontal="center" vertical="center"/>
    </xf>
    <xf numFmtId="0" fontId="5" fillId="0" borderId="14" xfId="7" applyNumberFormat="1" applyFont="1" applyFill="1" applyBorder="1" applyAlignment="1" applyProtection="1">
      <alignment horizontal="center" vertical="center" wrapText="1"/>
    </xf>
    <xf numFmtId="0" fontId="10" fillId="0" borderId="4" xfId="7" applyNumberFormat="1" applyFont="1" applyFill="1" applyBorder="1" applyAlignment="1" applyProtection="1">
      <alignment vertical="center" wrapText="1"/>
    </xf>
    <xf numFmtId="0" fontId="25" fillId="0" borderId="0" xfId="7" applyFont="1" applyFill="1" applyAlignment="1">
      <alignment vertical="center" wrapText="1"/>
    </xf>
    <xf numFmtId="0" fontId="1" fillId="0" borderId="0" xfId="7" applyFill="1" applyAlignment="1">
      <alignment vertical="center"/>
    </xf>
    <xf numFmtId="0" fontId="27" fillId="0" borderId="0" xfId="7" applyNumberFormat="1" applyFont="1" applyFill="1" applyBorder="1" applyAlignment="1" applyProtection="1">
      <alignment horizontal="center" vertical="center"/>
    </xf>
    <xf numFmtId="0" fontId="28" fillId="0" borderId="0" xfId="7" applyFont="1" applyFill="1" applyBorder="1" applyAlignment="1">
      <alignment horizontal="center" vertical="center" wrapText="1"/>
    </xf>
    <xf numFmtId="0" fontId="28" fillId="0" borderId="76" xfId="7" applyFont="1" applyFill="1" applyBorder="1" applyAlignment="1">
      <alignment horizontal="center" vertical="center" wrapText="1"/>
    </xf>
    <xf numFmtId="0" fontId="6" fillId="2" borderId="77" xfId="7" applyNumberFormat="1" applyFont="1" applyFill="1" applyBorder="1" applyAlignment="1" applyProtection="1">
      <alignment horizontal="center" vertical="center" wrapText="1"/>
    </xf>
    <xf numFmtId="0" fontId="7" fillId="2" borderId="78" xfId="7" applyNumberFormat="1" applyFont="1" applyFill="1" applyBorder="1" applyAlignment="1" applyProtection="1">
      <alignment horizontal="center" vertical="center" wrapText="1"/>
    </xf>
    <xf numFmtId="0" fontId="7" fillId="2" borderId="44" xfId="7" applyNumberFormat="1" applyFont="1" applyFill="1" applyBorder="1" applyAlignment="1" applyProtection="1">
      <alignment horizontal="center" vertical="center" wrapText="1"/>
    </xf>
    <xf numFmtId="0" fontId="7" fillId="2" borderId="44" xfId="7" applyNumberFormat="1" applyFont="1" applyFill="1" applyBorder="1" applyAlignment="1" applyProtection="1">
      <alignment horizontal="center" vertical="center"/>
    </xf>
    <xf numFmtId="0" fontId="7" fillId="2" borderId="45" xfId="7" applyNumberFormat="1" applyFont="1" applyFill="1" applyBorder="1" applyAlignment="1" applyProtection="1">
      <alignment horizontal="center" vertical="center" wrapText="1"/>
    </xf>
    <xf numFmtId="0" fontId="13" fillId="0" borderId="0" xfId="8" applyFont="1" applyFill="1" applyBorder="1" applyAlignment="1">
      <alignment horizontal="center" vertical="center" wrapText="1"/>
    </xf>
    <xf numFmtId="0" fontId="1" fillId="0" borderId="0" xfId="7" applyAlignment="1">
      <alignment vertical="center" wrapText="1"/>
    </xf>
    <xf numFmtId="0" fontId="11" fillId="0" borderId="5" xfId="7" applyFont="1" applyBorder="1" applyAlignment="1">
      <alignment horizontal="center" vertical="center" wrapText="1"/>
    </xf>
    <xf numFmtId="0" fontId="11" fillId="0" borderId="5" xfId="7" applyFont="1" applyBorder="1" applyAlignment="1">
      <alignment horizontal="center" vertical="center"/>
    </xf>
    <xf numFmtId="0" fontId="36" fillId="0" borderId="0" xfId="7" applyFont="1" applyFill="1" applyBorder="1" applyAlignment="1">
      <alignment horizontal="center" vertical="center" wrapText="1"/>
    </xf>
    <xf numFmtId="0" fontId="38" fillId="0" borderId="5" xfId="7" applyFont="1" applyBorder="1" applyAlignment="1">
      <alignment horizontal="center" vertical="center" wrapText="1"/>
    </xf>
    <xf numFmtId="0" fontId="11" fillId="0" borderId="0" xfId="8" applyFont="1" applyFill="1" applyBorder="1" applyAlignment="1">
      <alignment horizontal="left" vertical="top" wrapText="1"/>
    </xf>
    <xf numFmtId="0" fontId="37" fillId="0" borderId="0" xfId="7" applyNumberFormat="1" applyFont="1" applyFill="1" applyBorder="1" applyAlignment="1" applyProtection="1">
      <alignment horizontal="center" vertical="center" wrapText="1"/>
    </xf>
    <xf numFmtId="0" fontId="11" fillId="5" borderId="46" xfId="7" applyFont="1" applyFill="1" applyBorder="1" applyAlignment="1">
      <alignment horizontal="center" vertical="center" wrapText="1"/>
    </xf>
    <xf numFmtId="0" fontId="38" fillId="0" borderId="5" xfId="7" applyFont="1" applyBorder="1" applyAlignment="1">
      <alignment horizontal="center" vertical="center"/>
    </xf>
    <xf numFmtId="0" fontId="26" fillId="0" borderId="0" xfId="7" applyFont="1">
      <alignment vertical="center"/>
    </xf>
    <xf numFmtId="0" fontId="27" fillId="0" borderId="0" xfId="8" applyNumberFormat="1" applyFont="1" applyFill="1" applyBorder="1" applyAlignment="1" applyProtection="1">
      <alignment horizontal="left" vertical="top" wrapText="1"/>
    </xf>
    <xf numFmtId="0" fontId="11" fillId="0" borderId="0" xfId="7" applyFont="1" applyAlignment="1">
      <alignment horizontal="center" vertical="center" wrapText="1"/>
    </xf>
    <xf numFmtId="0" fontId="25" fillId="0" borderId="0" xfId="7" applyFont="1" applyFill="1" applyAlignment="1">
      <alignment horizontal="center" vertical="center"/>
    </xf>
    <xf numFmtId="0" fontId="11" fillId="5" borderId="81" xfId="7" applyFont="1" applyFill="1" applyBorder="1" applyAlignment="1">
      <alignment horizontal="center" vertical="center" wrapText="1"/>
    </xf>
    <xf numFmtId="0" fontId="11" fillId="0" borderId="49" xfId="7" applyFont="1" applyBorder="1" applyAlignment="1">
      <alignment horizontal="center" vertical="center"/>
    </xf>
    <xf numFmtId="0" fontId="29" fillId="0" borderId="0" xfId="8" applyFont="1" applyFill="1" applyAlignment="1">
      <alignment horizontal="left" vertical="top"/>
    </xf>
    <xf numFmtId="0" fontId="24" fillId="0" borderId="0" xfId="7" applyFont="1" applyAlignment="1">
      <alignment vertical="center"/>
    </xf>
    <xf numFmtId="0" fontId="1" fillId="0" borderId="70" xfId="7" applyBorder="1" applyAlignment="1">
      <alignment vertical="center" wrapText="1"/>
    </xf>
    <xf numFmtId="0" fontId="6" fillId="2" borderId="82" xfId="7" applyNumberFormat="1" applyFont="1" applyFill="1" applyBorder="1" applyAlignment="1" applyProtection="1">
      <alignment horizontal="center" vertical="center" wrapText="1"/>
    </xf>
    <xf numFmtId="0" fontId="6" fillId="2" borderId="44" xfId="7" applyNumberFormat="1" applyFont="1" applyFill="1" applyBorder="1" applyAlignment="1" applyProtection="1">
      <alignment horizontal="center" vertical="center" wrapText="1"/>
    </xf>
    <xf numFmtId="0" fontId="6" fillId="2" borderId="78" xfId="7" applyNumberFormat="1" applyFont="1" applyFill="1" applyBorder="1" applyAlignment="1" applyProtection="1">
      <alignment horizontal="center" vertical="center" wrapText="1"/>
    </xf>
    <xf numFmtId="0" fontId="6" fillId="2" borderId="83" xfId="7" applyNumberFormat="1" applyFont="1" applyFill="1" applyBorder="1" applyAlignment="1" applyProtection="1">
      <alignment horizontal="center" vertical="center" wrapText="1"/>
    </xf>
    <xf numFmtId="0" fontId="6" fillId="2" borderId="45" xfId="8" applyNumberFormat="1" applyFont="1" applyFill="1" applyBorder="1" applyAlignment="1" applyProtection="1">
      <alignment horizontal="center" vertical="center" wrapText="1"/>
    </xf>
    <xf numFmtId="0" fontId="6" fillId="2" borderId="45" xfId="7" applyNumberFormat="1" applyFont="1" applyFill="1" applyBorder="1" applyAlignment="1" applyProtection="1">
      <alignment horizontal="center" vertical="center" wrapText="1"/>
    </xf>
    <xf numFmtId="0" fontId="16" fillId="0" borderId="46" xfId="7" applyFont="1" applyBorder="1" applyAlignment="1">
      <alignment horizontal="center" vertical="center" wrapText="1"/>
    </xf>
    <xf numFmtId="0" fontId="16" fillId="0" borderId="74" xfId="7" applyFont="1" applyFill="1" applyBorder="1" applyAlignment="1">
      <alignment horizontal="center" vertical="center" wrapText="1"/>
    </xf>
    <xf numFmtId="0" fontId="16" fillId="0" borderId="10" xfId="7" applyFont="1" applyBorder="1" applyAlignment="1">
      <alignment horizontal="center" vertical="center"/>
    </xf>
    <xf numFmtId="0" fontId="16" fillId="0" borderId="10" xfId="7" applyFont="1" applyFill="1" applyBorder="1" applyAlignment="1">
      <alignment horizontal="center" vertical="center"/>
    </xf>
    <xf numFmtId="0" fontId="16" fillId="0" borderId="10" xfId="7" applyFont="1" applyBorder="1" applyAlignment="1">
      <alignment horizontal="center" vertical="center" wrapText="1"/>
    </xf>
    <xf numFmtId="0" fontId="11" fillId="0" borderId="10" xfId="7" applyFont="1" applyBorder="1" applyAlignment="1">
      <alignment horizontal="center" vertical="center"/>
    </xf>
    <xf numFmtId="0" fontId="16" fillId="0" borderId="74" xfId="7" applyFont="1" applyBorder="1" applyAlignment="1">
      <alignment horizontal="center" vertical="center"/>
    </xf>
    <xf numFmtId="0" fontId="16" fillId="0" borderId="84" xfId="8" applyFont="1" applyFill="1" applyBorder="1" applyAlignment="1">
      <alignment horizontal="center" vertical="center"/>
    </xf>
    <xf numFmtId="0" fontId="16" fillId="0" borderId="84" xfId="7" applyFont="1" applyFill="1" applyBorder="1" applyAlignment="1">
      <alignment horizontal="center" vertical="center"/>
    </xf>
    <xf numFmtId="0" fontId="16" fillId="0" borderId="85" xfId="7" applyFont="1" applyBorder="1" applyAlignment="1">
      <alignment horizontal="center" vertical="center" wrapText="1"/>
    </xf>
    <xf numFmtId="0" fontId="16" fillId="0" borderId="37" xfId="7" applyFont="1" applyBorder="1" applyAlignment="1">
      <alignment horizontal="center" vertical="center"/>
    </xf>
    <xf numFmtId="0" fontId="16" fillId="0" borderId="5" xfId="7" applyFont="1" applyFill="1" applyBorder="1" applyAlignment="1">
      <alignment horizontal="center" vertical="center" wrapText="1"/>
    </xf>
    <xf numFmtId="0" fontId="16" fillId="0" borderId="47" xfId="8" applyFont="1" applyFill="1" applyBorder="1" applyAlignment="1">
      <alignment horizontal="center" vertical="center"/>
    </xf>
    <xf numFmtId="0" fontId="16" fillId="0" borderId="47" xfId="7" applyFont="1" applyFill="1" applyBorder="1" applyAlignment="1">
      <alignment horizontal="center" vertical="center"/>
    </xf>
    <xf numFmtId="0" fontId="1" fillId="0" borderId="0" xfId="7" applyAlignment="1">
      <alignment horizontal="center" vertical="top"/>
    </xf>
    <xf numFmtId="0" fontId="16" fillId="0" borderId="5" xfId="7" applyFont="1" applyBorder="1" applyAlignment="1">
      <alignment horizontal="center" vertical="center" wrapText="1"/>
    </xf>
    <xf numFmtId="0" fontId="16" fillId="0" borderId="47" xfId="8" applyFont="1" applyFill="1" applyBorder="1" applyAlignment="1">
      <alignment horizontal="center" vertical="center" wrapText="1"/>
    </xf>
    <xf numFmtId="0" fontId="16" fillId="0" borderId="47" xfId="7" applyFont="1" applyFill="1" applyBorder="1" applyAlignment="1">
      <alignment horizontal="center" vertical="center" wrapText="1"/>
    </xf>
    <xf numFmtId="0" fontId="16" fillId="0" borderId="81" xfId="7" applyFont="1" applyBorder="1" applyAlignment="1">
      <alignment horizontal="center" vertical="center" wrapText="1"/>
    </xf>
    <xf numFmtId="0" fontId="16" fillId="0" borderId="48" xfId="7" applyFont="1" applyBorder="1" applyAlignment="1">
      <alignment horizontal="center" vertical="center"/>
    </xf>
    <xf numFmtId="0" fontId="16" fillId="0" borderId="49" xfId="7" applyFont="1" applyBorder="1" applyAlignment="1">
      <alignment horizontal="center" vertical="center"/>
    </xf>
    <xf numFmtId="0" fontId="16" fillId="0" borderId="49" xfId="7" applyFont="1" applyFill="1" applyBorder="1" applyAlignment="1">
      <alignment horizontal="center" vertical="center"/>
    </xf>
    <xf numFmtId="0" fontId="16" fillId="0" borderId="50" xfId="8" applyFont="1" applyFill="1" applyBorder="1" applyAlignment="1">
      <alignment horizontal="center" vertical="center"/>
    </xf>
    <xf numFmtId="0" fontId="16" fillId="0" borderId="50" xfId="7" applyFont="1" applyFill="1" applyBorder="1" applyAlignment="1">
      <alignment horizontal="center" vertical="center"/>
    </xf>
    <xf numFmtId="0" fontId="1" fillId="0" borderId="0" xfId="8" applyFill="1">
      <alignment vertical="center"/>
    </xf>
    <xf numFmtId="0" fontId="1" fillId="0" borderId="0" xfId="8" applyAlignment="1">
      <alignment vertical="center" wrapText="1"/>
    </xf>
    <xf numFmtId="0" fontId="0" fillId="0" borderId="0" xfId="7" applyFont="1" applyAlignment="1">
      <alignment vertical="center" wrapText="1"/>
    </xf>
    <xf numFmtId="9" fontId="9" fillId="0" borderId="4" xfId="6" applyFont="1" applyFill="1" applyBorder="1" applyAlignment="1" applyProtection="1">
      <alignment horizontal="center" vertical="center" wrapText="1"/>
    </xf>
    <xf numFmtId="0" fontId="11" fillId="3" borderId="9" xfId="7" applyNumberFormat="1" applyFont="1" applyFill="1" applyBorder="1" applyAlignment="1" applyProtection="1">
      <alignment horizontal="center" vertical="center" wrapText="1"/>
    </xf>
    <xf numFmtId="0" fontId="1" fillId="0" borderId="0" xfId="7" applyAlignment="1">
      <alignment horizontal="center" vertical="center"/>
    </xf>
    <xf numFmtId="0" fontId="21" fillId="4" borderId="39" xfId="7" applyFont="1" applyFill="1" applyBorder="1" applyAlignment="1">
      <alignment horizontal="center" vertical="center" wrapText="1"/>
    </xf>
    <xf numFmtId="0" fontId="11" fillId="0" borderId="37" xfId="7" applyNumberFormat="1" applyFont="1" applyFill="1" applyBorder="1" applyAlignment="1" applyProtection="1">
      <alignment horizontal="center" vertical="center" wrapText="1"/>
    </xf>
    <xf numFmtId="0" fontId="9" fillId="0" borderId="6" xfId="7" applyNumberFormat="1" applyFont="1" applyFill="1" applyBorder="1" applyAlignment="1" applyProtection="1">
      <alignment horizontal="center" vertical="center" wrapText="1"/>
    </xf>
    <xf numFmtId="0" fontId="15" fillId="7" borderId="5" xfId="7" applyNumberFormat="1" applyFont="1" applyFill="1" applyBorder="1" applyAlignment="1" applyProtection="1">
      <alignment horizontal="center" vertical="center" wrapText="1"/>
    </xf>
    <xf numFmtId="0" fontId="40" fillId="0" borderId="5" xfId="7" applyNumberFormat="1" applyFont="1" applyFill="1" applyBorder="1" applyAlignment="1" applyProtection="1">
      <alignment horizontal="center" vertical="center" wrapText="1"/>
    </xf>
    <xf numFmtId="0" fontId="40" fillId="0" borderId="0" xfId="7" applyFont="1" applyFill="1" applyAlignment="1">
      <alignment horizontal="center" vertical="center"/>
    </xf>
    <xf numFmtId="0" fontId="1" fillId="7" borderId="0" xfId="7" applyFill="1">
      <alignment vertical="center"/>
    </xf>
    <xf numFmtId="0" fontId="40" fillId="7" borderId="5" xfId="2" applyFont="1" applyFill="1" applyBorder="1" applyAlignment="1">
      <alignment horizontal="center" vertical="center" wrapText="1"/>
    </xf>
    <xf numFmtId="0" fontId="11" fillId="7" borderId="5" xfId="7" applyNumberFormat="1" applyFont="1" applyFill="1" applyBorder="1" applyAlignment="1" applyProtection="1">
      <alignment horizontal="center" vertical="center" wrapText="1"/>
    </xf>
    <xf numFmtId="0" fontId="40" fillId="0" borderId="6" xfId="7" applyNumberFormat="1" applyFont="1" applyFill="1" applyBorder="1" applyAlignment="1" applyProtection="1">
      <alignment horizontal="center" vertical="center" wrapText="1"/>
    </xf>
    <xf numFmtId="0" fontId="40" fillId="0" borderId="23" xfId="7" applyNumberFormat="1" applyFont="1" applyFill="1" applyBorder="1" applyAlignment="1" applyProtection="1">
      <alignment horizontal="center" vertical="center" wrapText="1"/>
    </xf>
    <xf numFmtId="0" fontId="40" fillId="7" borderId="0" xfId="7" applyFont="1" applyFill="1" applyAlignment="1">
      <alignment horizontal="center" vertical="center"/>
    </xf>
    <xf numFmtId="0" fontId="40" fillId="7" borderId="5" xfId="7" applyNumberFormat="1" applyFont="1" applyFill="1" applyBorder="1" applyAlignment="1" applyProtection="1">
      <alignment horizontal="center" vertical="center" wrapText="1"/>
    </xf>
    <xf numFmtId="0" fontId="40" fillId="7" borderId="10" xfId="7" applyNumberFormat="1" applyFont="1" applyFill="1" applyBorder="1" applyAlignment="1" applyProtection="1">
      <alignment horizontal="center" vertical="center" wrapText="1"/>
    </xf>
    <xf numFmtId="0" fontId="40" fillId="7" borderId="5" xfId="7" applyFont="1" applyFill="1" applyBorder="1" applyAlignment="1">
      <alignment horizontal="center" vertical="center"/>
    </xf>
    <xf numFmtId="0" fontId="20" fillId="0" borderId="0" xfId="7" applyFont="1" applyAlignment="1">
      <alignment horizontal="center" vertical="center"/>
    </xf>
    <xf numFmtId="0" fontId="20" fillId="0" borderId="6" xfId="7" applyNumberFormat="1" applyFont="1" applyFill="1" applyBorder="1" applyAlignment="1" applyProtection="1">
      <alignment horizontal="center" vertical="center" wrapText="1"/>
    </xf>
    <xf numFmtId="0" fontId="20" fillId="0" borderId="10" xfId="2" applyFont="1" applyFill="1" applyBorder="1" applyAlignment="1">
      <alignment horizontal="center" vertical="center"/>
    </xf>
    <xf numFmtId="0" fontId="40" fillId="8" borderId="23" xfId="2" applyFont="1" applyFill="1" applyBorder="1" applyAlignment="1">
      <alignment horizontal="center" vertical="center" wrapText="1"/>
    </xf>
    <xf numFmtId="0" fontId="40" fillId="8" borderId="5" xfId="7" applyFont="1" applyFill="1" applyBorder="1" applyAlignment="1">
      <alignment horizontal="center" vertical="center"/>
    </xf>
    <xf numFmtId="0" fontId="11" fillId="8" borderId="6" xfId="2" applyFont="1" applyFill="1" applyBorder="1" applyAlignment="1">
      <alignment horizontal="center" vertical="center" wrapText="1"/>
    </xf>
    <xf numFmtId="0" fontId="20" fillId="0" borderId="23" xfId="7" applyNumberFormat="1" applyFont="1" applyFill="1" applyBorder="1" applyAlignment="1" applyProtection="1">
      <alignment horizontal="center" vertical="center" wrapText="1"/>
    </xf>
    <xf numFmtId="0" fontId="20" fillId="8" borderId="0" xfId="7" applyFont="1" applyFill="1" applyAlignment="1">
      <alignment horizontal="center" vertical="center"/>
    </xf>
    <xf numFmtId="0" fontId="40" fillId="0" borderId="5" xfId="2" applyFont="1" applyFill="1" applyBorder="1" applyAlignment="1">
      <alignment horizontal="center" vertical="center" wrapText="1"/>
    </xf>
    <xf numFmtId="0" fontId="40" fillId="0" borderId="10" xfId="7" applyNumberFormat="1" applyFont="1" applyFill="1" applyBorder="1" applyAlignment="1" applyProtection="1">
      <alignment horizontal="center" vertical="center" wrapText="1"/>
    </xf>
    <xf numFmtId="0" fontId="40" fillId="0" borderId="10" xfId="7" applyFont="1" applyFill="1" applyBorder="1" applyAlignment="1">
      <alignment horizontal="center" vertical="center" wrapText="1"/>
    </xf>
    <xf numFmtId="0" fontId="20" fillId="0" borderId="5" xfId="7" applyFont="1" applyBorder="1" applyAlignment="1">
      <alignment horizontal="center" vertical="center"/>
    </xf>
    <xf numFmtId="0" fontId="20" fillId="0" borderId="10" xfId="7" applyFont="1" applyBorder="1" applyAlignment="1">
      <alignment horizontal="center" vertical="center"/>
    </xf>
    <xf numFmtId="0" fontId="20" fillId="0" borderId="39" xfId="7" applyFont="1" applyBorder="1" applyAlignment="1">
      <alignment horizontal="center" vertical="center"/>
    </xf>
    <xf numFmtId="0" fontId="11" fillId="6" borderId="23" xfId="7" applyNumberFormat="1" applyFont="1" applyFill="1" applyBorder="1" applyAlignment="1" applyProtection="1">
      <alignment horizontal="center" vertical="center" wrapText="1"/>
    </xf>
    <xf numFmtId="0" fontId="11" fillId="6" borderId="5" xfId="7" applyFont="1" applyFill="1" applyBorder="1" applyAlignment="1">
      <alignment horizontal="center" vertical="center" wrapText="1"/>
    </xf>
    <xf numFmtId="0" fontId="20" fillId="0" borderId="6" xfId="7" applyFont="1" applyFill="1" applyBorder="1" applyAlignment="1">
      <alignment horizontal="center" vertical="center" wrapText="1"/>
    </xf>
    <xf numFmtId="0" fontId="11" fillId="6" borderId="5" xfId="7" applyFont="1" applyFill="1" applyBorder="1" applyAlignment="1">
      <alignment horizontal="center" vertical="center"/>
    </xf>
    <xf numFmtId="0" fontId="9" fillId="6" borderId="6" xfId="7" applyNumberFormat="1" applyFont="1" applyFill="1" applyBorder="1" applyAlignment="1" applyProtection="1">
      <alignment horizontal="center" vertical="center" wrapText="1"/>
    </xf>
    <xf numFmtId="0" fontId="1" fillId="0" borderId="0" xfId="7" applyAlignment="1">
      <alignment horizontal="center" vertical="center"/>
    </xf>
    <xf numFmtId="0" fontId="11" fillId="0" borderId="37" xfId="7" applyNumberFormat="1" applyFont="1" applyFill="1" applyBorder="1" applyAlignment="1" applyProtection="1">
      <alignment horizontal="center" vertical="center" wrapText="1"/>
    </xf>
    <xf numFmtId="0" fontId="21" fillId="4" borderId="39" xfId="7" applyFont="1" applyFill="1" applyBorder="1" applyAlignment="1">
      <alignment horizontal="center" vertical="center" wrapText="1"/>
    </xf>
    <xf numFmtId="0" fontId="11" fillId="6" borderId="5" xfId="7" applyNumberFormat="1" applyFont="1" applyFill="1" applyBorder="1" applyAlignment="1" applyProtection="1">
      <alignment horizontal="center" vertical="center" wrapText="1"/>
    </xf>
    <xf numFmtId="0" fontId="11" fillId="6" borderId="6" xfId="7" applyNumberFormat="1" applyFont="1" applyFill="1" applyBorder="1" applyAlignment="1" applyProtection="1">
      <alignment horizontal="center" vertical="center" wrapText="1"/>
    </xf>
    <xf numFmtId="0" fontId="40" fillId="8" borderId="23" xfId="7" applyFont="1" applyFill="1" applyBorder="1" applyAlignment="1">
      <alignment horizontal="center" vertical="center"/>
    </xf>
    <xf numFmtId="0" fontId="11" fillId="6" borderId="5" xfId="2" applyFont="1" applyFill="1" applyBorder="1" applyAlignment="1">
      <alignment horizontal="center" vertical="center" wrapText="1"/>
    </xf>
    <xf numFmtId="0" fontId="16" fillId="6" borderId="23" xfId="7" applyFont="1" applyFill="1" applyBorder="1" applyAlignment="1">
      <alignment horizontal="center" vertical="center"/>
    </xf>
    <xf numFmtId="0" fontId="5" fillId="7" borderId="5" xfId="7" applyNumberFormat="1" applyFont="1" applyFill="1" applyBorder="1" applyAlignment="1" applyProtection="1">
      <alignment horizontal="center" vertical="center" wrapText="1"/>
    </xf>
    <xf numFmtId="0" fontId="40" fillId="0" borderId="9" xfId="7" applyFont="1" applyFill="1" applyBorder="1" applyAlignment="1">
      <alignment horizontal="center" vertical="center"/>
    </xf>
    <xf numFmtId="0" fontId="20" fillId="0" borderId="5" xfId="7" applyNumberFormat="1" applyFont="1" applyFill="1" applyBorder="1" applyAlignment="1" applyProtection="1">
      <alignment horizontal="center" vertical="center" wrapText="1"/>
    </xf>
    <xf numFmtId="0" fontId="40" fillId="0" borderId="0" xfId="7" applyFont="1" applyAlignment="1">
      <alignment horizontal="center" vertical="center"/>
    </xf>
    <xf numFmtId="0" fontId="40" fillId="7" borderId="26" xfId="7" applyFont="1" applyFill="1" applyBorder="1" applyAlignment="1">
      <alignment horizontal="center" vertical="center" wrapText="1"/>
    </xf>
    <xf numFmtId="0" fontId="40" fillId="7" borderId="5" xfId="7" applyFont="1" applyFill="1" applyBorder="1" applyAlignment="1">
      <alignment horizontal="center" vertical="center" wrapText="1"/>
    </xf>
    <xf numFmtId="0" fontId="40" fillId="7" borderId="10" xfId="2" applyFont="1" applyFill="1" applyBorder="1" applyAlignment="1">
      <alignment horizontal="center" vertical="center"/>
    </xf>
    <xf numFmtId="0" fontId="40" fillId="0" borderId="26" xfId="2" applyFont="1" applyFill="1" applyBorder="1" applyAlignment="1">
      <alignment horizontal="center" vertical="center" wrapText="1"/>
    </xf>
    <xf numFmtId="0" fontId="40" fillId="0" borderId="9" xfId="7" applyFont="1" applyFill="1" applyBorder="1" applyAlignment="1">
      <alignment horizontal="center" vertical="center" wrapText="1"/>
    </xf>
    <xf numFmtId="0" fontId="40" fillId="0" borderId="39" xfId="7" applyFont="1" applyBorder="1" applyAlignment="1">
      <alignment horizontal="center" vertical="center"/>
    </xf>
    <xf numFmtId="0" fontId="40" fillId="8" borderId="6" xfId="7" applyNumberFormat="1" applyFont="1" applyFill="1" applyBorder="1" applyAlignment="1" applyProtection="1">
      <alignment horizontal="center" vertical="center" wrapText="1"/>
    </xf>
    <xf numFmtId="0" fontId="20" fillId="0" borderId="0" xfId="7" applyFont="1" applyFill="1" applyAlignment="1">
      <alignment horizontal="center" vertical="center"/>
    </xf>
    <xf numFmtId="0" fontId="11" fillId="8" borderId="5" xfId="7" applyNumberFormat="1" applyFont="1" applyFill="1" applyBorder="1" applyAlignment="1" applyProtection="1">
      <alignment horizontal="center" vertical="center" wrapText="1"/>
    </xf>
    <xf numFmtId="0" fontId="40" fillId="8" borderId="5" xfId="7" applyNumberFormat="1" applyFont="1" applyFill="1" applyBorder="1" applyAlignment="1" applyProtection="1">
      <alignment horizontal="center" vertical="center" wrapText="1"/>
    </xf>
    <xf numFmtId="0" fontId="10" fillId="0" borderId="86" xfId="7" applyNumberFormat="1" applyFont="1" applyFill="1" applyBorder="1" applyAlignment="1" applyProtection="1">
      <alignment vertical="center" wrapText="1"/>
    </xf>
    <xf numFmtId="0" fontId="10" fillId="0" borderId="86" xfId="4" applyNumberFormat="1" applyFont="1" applyFill="1" applyBorder="1" applyAlignment="1" applyProtection="1">
      <alignment vertical="center" wrapText="1"/>
    </xf>
    <xf numFmtId="0" fontId="11" fillId="6" borderId="26" xfId="7" applyFont="1" applyFill="1" applyBorder="1" applyAlignment="1">
      <alignment horizontal="center" vertical="center" wrapText="1"/>
    </xf>
    <xf numFmtId="0" fontId="1" fillId="0" borderId="0" xfId="7" applyAlignment="1">
      <alignment horizontal="center" vertical="center"/>
    </xf>
    <xf numFmtId="0" fontId="11" fillId="0" borderId="37" xfId="7" applyNumberFormat="1" applyFont="1" applyFill="1" applyBorder="1" applyAlignment="1" applyProtection="1">
      <alignment horizontal="center" vertical="center" wrapText="1"/>
    </xf>
    <xf numFmtId="0" fontId="21" fillId="4" borderId="39" xfId="7" applyFont="1" applyFill="1" applyBorder="1" applyAlignment="1">
      <alignment horizontal="center" vertical="center" wrapText="1"/>
    </xf>
    <xf numFmtId="0" fontId="15" fillId="9" borderId="5" xfId="7" applyFont="1" applyFill="1" applyBorder="1" applyAlignment="1">
      <alignment horizontal="center" vertical="center" wrapText="1"/>
    </xf>
    <xf numFmtId="0" fontId="5" fillId="9" borderId="5" xfId="7" applyNumberFormat="1" applyFont="1" applyFill="1" applyBorder="1" applyAlignment="1" applyProtection="1">
      <alignment horizontal="center" vertical="center" wrapText="1"/>
    </xf>
    <xf numFmtId="0" fontId="40" fillId="0" borderId="5" xfId="7" applyFont="1" applyFill="1" applyBorder="1" applyAlignment="1">
      <alignment horizontal="center" vertical="center"/>
    </xf>
    <xf numFmtId="0" fontId="40" fillId="9" borderId="5" xfId="7" applyNumberFormat="1" applyFont="1" applyFill="1" applyBorder="1" applyAlignment="1" applyProtection="1">
      <alignment horizontal="center" vertical="center" wrapText="1"/>
    </xf>
    <xf numFmtId="0" fontId="40" fillId="9" borderId="6" xfId="7" applyNumberFormat="1" applyFont="1" applyFill="1" applyBorder="1" applyAlignment="1" applyProtection="1">
      <alignment horizontal="center" vertical="center" wrapText="1"/>
    </xf>
    <xf numFmtId="0" fontId="40" fillId="9" borderId="10" xfId="7" applyNumberFormat="1" applyFont="1" applyFill="1" applyBorder="1" applyAlignment="1" applyProtection="1">
      <alignment horizontal="center" vertical="center" wrapText="1"/>
    </xf>
    <xf numFmtId="0" fontId="40" fillId="9" borderId="10" xfId="7" applyFont="1" applyFill="1" applyBorder="1" applyAlignment="1">
      <alignment horizontal="center" vertical="center"/>
    </xf>
    <xf numFmtId="0" fontId="40" fillId="9" borderId="10" xfId="7" applyFont="1" applyFill="1" applyBorder="1" applyAlignment="1">
      <alignment horizontal="center" vertical="center" wrapText="1"/>
    </xf>
    <xf numFmtId="0" fontId="40" fillId="9" borderId="5" xfId="7" applyFont="1" applyFill="1" applyBorder="1" applyAlignment="1">
      <alignment horizontal="center" vertical="center"/>
    </xf>
    <xf numFmtId="0" fontId="40" fillId="9" borderId="5" xfId="7" applyFont="1" applyFill="1" applyBorder="1" applyAlignment="1">
      <alignment horizontal="center" vertical="center" wrapText="1"/>
    </xf>
    <xf numFmtId="0" fontId="40" fillId="9" borderId="0" xfId="7" applyFont="1" applyFill="1" applyAlignment="1">
      <alignment horizontal="center" vertical="center"/>
    </xf>
    <xf numFmtId="0" fontId="40" fillId="9" borderId="26" xfId="7" applyFont="1" applyFill="1" applyBorder="1" applyAlignment="1">
      <alignment horizontal="center" vertical="center" wrapText="1"/>
    </xf>
    <xf numFmtId="0" fontId="1" fillId="0" borderId="0" xfId="7" applyAlignment="1">
      <alignment horizontal="center" vertical="center"/>
    </xf>
    <xf numFmtId="0" fontId="21" fillId="4" borderId="39" xfId="7" applyFont="1" applyFill="1" applyBorder="1" applyAlignment="1">
      <alignment horizontal="center" vertical="center" wrapText="1"/>
    </xf>
    <xf numFmtId="0" fontId="11" fillId="0" borderId="37" xfId="7" applyNumberFormat="1" applyFont="1" applyFill="1" applyBorder="1" applyAlignment="1" applyProtection="1">
      <alignment horizontal="center" vertical="center" wrapText="1"/>
    </xf>
    <xf numFmtId="0" fontId="5" fillId="9" borderId="26" xfId="7" applyFont="1" applyFill="1" applyBorder="1" applyAlignment="1">
      <alignment horizontal="center" vertical="center" wrapText="1"/>
    </xf>
    <xf numFmtId="0" fontId="15" fillId="9" borderId="5" xfId="7" applyNumberFormat="1" applyFont="1" applyFill="1" applyBorder="1" applyAlignment="1" applyProtection="1">
      <alignment horizontal="center" vertical="center" wrapText="1"/>
    </xf>
    <xf numFmtId="0" fontId="40" fillId="8" borderId="0" xfId="7" applyFont="1" applyFill="1" applyAlignment="1">
      <alignment horizontal="center" vertical="center"/>
    </xf>
    <xf numFmtId="0" fontId="40" fillId="0" borderId="6" xfId="2" applyFont="1" applyFill="1" applyBorder="1" applyAlignment="1">
      <alignment horizontal="center" vertical="center" wrapText="1"/>
    </xf>
    <xf numFmtId="0" fontId="40" fillId="0" borderId="23" xfId="7" applyFont="1" applyFill="1" applyBorder="1" applyAlignment="1">
      <alignment horizontal="center" vertical="center" wrapText="1"/>
    </xf>
    <xf numFmtId="0" fontId="11" fillId="9" borderId="26" xfId="7" applyFont="1" applyFill="1" applyBorder="1" applyAlignment="1">
      <alignment horizontal="center" vertical="center" wrapText="1"/>
    </xf>
    <xf numFmtId="0" fontId="11" fillId="9" borderId="5" xfId="7" applyNumberFormat="1" applyFont="1" applyFill="1" applyBorder="1" applyAlignment="1" applyProtection="1">
      <alignment horizontal="center" vertical="center" wrapText="1"/>
    </xf>
    <xf numFmtId="0" fontId="40" fillId="9" borderId="26" xfId="7" applyFont="1" applyFill="1" applyBorder="1" applyAlignment="1">
      <alignment horizontal="center" vertical="center"/>
    </xf>
    <xf numFmtId="0" fontId="15" fillId="9" borderId="26" xfId="7" applyFont="1" applyFill="1" applyBorder="1" applyAlignment="1">
      <alignment horizontal="center" vertical="center" wrapText="1"/>
    </xf>
    <xf numFmtId="0" fontId="11" fillId="9" borderId="26" xfId="7" applyFont="1" applyFill="1" applyBorder="1" applyAlignment="1">
      <alignment horizontal="center" vertical="center"/>
    </xf>
    <xf numFmtId="0" fontId="11" fillId="9" borderId="26" xfId="2" applyFont="1" applyFill="1" applyBorder="1" applyAlignment="1">
      <alignment horizontal="center" vertical="center" wrapText="1"/>
    </xf>
    <xf numFmtId="0" fontId="40" fillId="9" borderId="26" xfId="7" applyNumberFormat="1" applyFont="1" applyFill="1" applyBorder="1" applyAlignment="1" applyProtection="1">
      <alignment horizontal="center" vertical="center" wrapText="1"/>
    </xf>
    <xf numFmtId="0" fontId="40" fillId="9" borderId="35" xfId="7" applyFont="1" applyFill="1" applyBorder="1" applyAlignment="1">
      <alignment horizontal="center" vertical="center" wrapText="1"/>
    </xf>
    <xf numFmtId="0" fontId="40" fillId="9" borderId="26" xfId="2" applyFont="1" applyFill="1" applyBorder="1" applyAlignment="1">
      <alignment horizontal="center" vertical="center" wrapText="1"/>
    </xf>
    <xf numFmtId="0" fontId="40" fillId="9" borderId="9" xfId="7" applyNumberFormat="1" applyFont="1" applyFill="1" applyBorder="1" applyAlignment="1" applyProtection="1">
      <alignment horizontal="center" vertical="center" wrapText="1"/>
    </xf>
    <xf numFmtId="0" fontId="40" fillId="0" borderId="5" xfId="7" applyFont="1" applyFill="1" applyBorder="1" applyAlignment="1">
      <alignment horizontal="center" vertical="center" wrapText="1"/>
    </xf>
    <xf numFmtId="0" fontId="20" fillId="0" borderId="5" xfId="7" applyFont="1" applyFill="1" applyBorder="1" applyAlignment="1">
      <alignment horizontal="center" vertical="center" wrapText="1"/>
    </xf>
    <xf numFmtId="0" fontId="20" fillId="0" borderId="26" xfId="7" applyNumberFormat="1" applyFont="1" applyFill="1" applyBorder="1" applyAlignment="1" applyProtection="1">
      <alignment horizontal="center" vertical="center" wrapText="1"/>
    </xf>
    <xf numFmtId="0" fontId="16" fillId="9" borderId="27" xfId="7" applyFont="1" applyFill="1" applyBorder="1" applyAlignment="1">
      <alignment vertical="center"/>
    </xf>
    <xf numFmtId="0" fontId="16" fillId="9" borderId="16" xfId="7" applyFont="1" applyFill="1" applyBorder="1" applyAlignment="1">
      <alignment vertical="center"/>
    </xf>
    <xf numFmtId="0" fontId="21" fillId="4" borderId="23" xfId="7" applyFont="1" applyFill="1" applyBorder="1" applyAlignment="1">
      <alignment horizontal="center" vertical="center"/>
    </xf>
    <xf numFmtId="0" fontId="1" fillId="0" borderId="0" xfId="7" applyAlignment="1">
      <alignment horizontal="center" vertical="center"/>
    </xf>
    <xf numFmtId="0" fontId="11" fillId="0" borderId="37" xfId="7" applyNumberFormat="1" applyFont="1" applyFill="1" applyBorder="1" applyAlignment="1" applyProtection="1">
      <alignment horizontal="center" vertical="center" wrapText="1"/>
    </xf>
    <xf numFmtId="0" fontId="21" fillId="4" borderId="39" xfId="7" applyFont="1" applyFill="1" applyBorder="1" applyAlignment="1">
      <alignment horizontal="center" vertical="center" wrapText="1"/>
    </xf>
    <xf numFmtId="0" fontId="5" fillId="9" borderId="23" xfId="7" applyNumberFormat="1" applyFont="1" applyFill="1" applyBorder="1" applyAlignment="1" applyProtection="1">
      <alignment horizontal="center" vertical="center" wrapText="1"/>
    </xf>
    <xf numFmtId="0" fontId="22" fillId="9" borderId="6" xfId="7" applyFont="1" applyFill="1" applyBorder="1" applyAlignment="1">
      <alignment horizontal="center" vertical="center" wrapText="1"/>
    </xf>
    <xf numFmtId="0" fontId="40" fillId="9" borderId="23" xfId="7" applyNumberFormat="1" applyFont="1" applyFill="1" applyBorder="1" applyAlignment="1" applyProtection="1">
      <alignment horizontal="center" vertical="center" wrapText="1"/>
    </xf>
    <xf numFmtId="0" fontId="40" fillId="9" borderId="23" xfId="7" applyFont="1" applyFill="1" applyBorder="1" applyAlignment="1">
      <alignment horizontal="center" vertical="center"/>
    </xf>
    <xf numFmtId="0" fontId="40" fillId="9" borderId="23" xfId="2" applyFont="1" applyFill="1" applyBorder="1" applyAlignment="1">
      <alignment horizontal="center" vertical="center" wrapText="1"/>
    </xf>
    <xf numFmtId="0" fontId="40" fillId="9" borderId="33" xfId="7" applyNumberFormat="1" applyFont="1" applyFill="1" applyBorder="1" applyAlignment="1" applyProtection="1">
      <alignment horizontal="center" vertical="center" wrapText="1"/>
    </xf>
    <xf numFmtId="0" fontId="40" fillId="9" borderId="6" xfId="7" applyFont="1" applyFill="1" applyBorder="1" applyAlignment="1">
      <alignment horizontal="center" vertical="center" wrapText="1"/>
    </xf>
    <xf numFmtId="0" fontId="1" fillId="0" borderId="0" xfId="7" applyAlignment="1">
      <alignment horizontal="center" vertical="center"/>
    </xf>
    <xf numFmtId="0" fontId="11" fillId="0" borderId="37" xfId="7" applyNumberFormat="1" applyFont="1" applyFill="1" applyBorder="1" applyAlignment="1" applyProtection="1">
      <alignment horizontal="center" vertical="center" wrapText="1"/>
    </xf>
    <xf numFmtId="0" fontId="21" fillId="4" borderId="39" xfId="7" applyFont="1" applyFill="1" applyBorder="1" applyAlignment="1">
      <alignment horizontal="center" vertical="center" wrapText="1"/>
    </xf>
    <xf numFmtId="0" fontId="22" fillId="9" borderId="5" xfId="7" applyFont="1" applyFill="1" applyBorder="1" applyAlignment="1">
      <alignment horizontal="center" vertical="center" wrapText="1"/>
    </xf>
    <xf numFmtId="0" fontId="40" fillId="0" borderId="10" xfId="7" applyFont="1" applyFill="1" applyBorder="1" applyAlignment="1">
      <alignment horizontal="center" vertical="center"/>
    </xf>
    <xf numFmtId="0" fontId="40" fillId="9" borderId="10" xfId="2" applyFont="1" applyFill="1" applyBorder="1" applyAlignment="1">
      <alignment horizontal="center" vertical="center"/>
    </xf>
    <xf numFmtId="0" fontId="16" fillId="9" borderId="5" xfId="7" applyFont="1" applyFill="1" applyBorder="1" applyAlignment="1">
      <alignment horizontal="center" vertical="center"/>
    </xf>
    <xf numFmtId="0" fontId="16" fillId="9" borderId="31" xfId="7" applyFont="1" applyFill="1" applyBorder="1" applyAlignment="1">
      <alignment vertical="center"/>
    </xf>
    <xf numFmtId="0" fontId="16" fillId="9" borderId="32" xfId="7" applyFont="1" applyFill="1" applyBorder="1" applyAlignment="1">
      <alignment vertical="center"/>
    </xf>
    <xf numFmtId="0" fontId="20" fillId="0" borderId="10" xfId="7" applyNumberFormat="1" applyFont="1" applyFill="1" applyBorder="1" applyAlignment="1" applyProtection="1">
      <alignment horizontal="center" vertical="center" wrapText="1"/>
    </xf>
    <xf numFmtId="0" fontId="1" fillId="0" borderId="0" xfId="7" applyAlignment="1">
      <alignment horizontal="center" vertical="center"/>
    </xf>
    <xf numFmtId="0" fontId="11" fillId="0" borderId="37" xfId="7" applyNumberFormat="1" applyFont="1" applyFill="1" applyBorder="1" applyAlignment="1" applyProtection="1">
      <alignment horizontal="center" vertical="center" wrapText="1"/>
    </xf>
    <xf numFmtId="0" fontId="21" fillId="4" borderId="39" xfId="7" applyFont="1" applyFill="1" applyBorder="1" applyAlignment="1">
      <alignment horizontal="center" vertical="center" wrapText="1"/>
    </xf>
    <xf numFmtId="0" fontId="15" fillId="9" borderId="9" xfId="7" applyNumberFormat="1" applyFont="1" applyFill="1" applyBorder="1" applyAlignment="1" applyProtection="1">
      <alignment horizontal="center" vertical="center" wrapText="1"/>
    </xf>
    <xf numFmtId="0" fontId="40" fillId="6" borderId="6" xfId="7" applyNumberFormat="1" applyFont="1" applyFill="1" applyBorder="1" applyAlignment="1" applyProtection="1">
      <alignment horizontal="center" vertical="center" wrapText="1"/>
    </xf>
    <xf numFmtId="0" fontId="40" fillId="0" borderId="9" xfId="7" applyNumberFormat="1" applyFont="1" applyFill="1" applyBorder="1" applyAlignment="1" applyProtection="1">
      <alignment horizontal="center" vertical="center" wrapText="1"/>
    </xf>
    <xf numFmtId="0" fontId="40" fillId="0" borderId="26" xfId="7" applyFont="1" applyFill="1" applyBorder="1" applyAlignment="1">
      <alignment horizontal="center" vertical="center" wrapText="1"/>
    </xf>
    <xf numFmtId="0" fontId="1" fillId="9" borderId="0" xfId="7" applyFill="1">
      <alignment vertical="center"/>
    </xf>
    <xf numFmtId="0" fontId="16" fillId="9" borderId="4" xfId="7" applyFont="1" applyFill="1" applyBorder="1" applyAlignment="1">
      <alignment vertical="center"/>
    </xf>
    <xf numFmtId="0" fontId="16" fillId="9" borderId="0" xfId="7" applyFont="1" applyFill="1" applyBorder="1" applyAlignment="1">
      <alignment vertical="center"/>
    </xf>
    <xf numFmtId="0" fontId="20" fillId="8" borderId="6" xfId="7" applyNumberFormat="1" applyFont="1" applyFill="1" applyBorder="1" applyAlignment="1" applyProtection="1">
      <alignment horizontal="center" vertical="center" wrapText="1"/>
    </xf>
    <xf numFmtId="0" fontId="11" fillId="6" borderId="10" xfId="7" applyFont="1" applyFill="1" applyBorder="1" applyAlignment="1">
      <alignment horizontal="center" vertical="center"/>
    </xf>
    <xf numFmtId="0" fontId="16" fillId="6" borderId="5" xfId="7" applyFont="1" applyFill="1" applyBorder="1" applyAlignment="1">
      <alignment horizontal="center" vertical="center"/>
    </xf>
    <xf numFmtId="0" fontId="1" fillId="0" borderId="0" xfId="7" applyAlignment="1">
      <alignment horizontal="center" vertical="center"/>
    </xf>
    <xf numFmtId="0" fontId="21" fillId="4" borderId="39" xfId="7" applyFont="1" applyFill="1" applyBorder="1" applyAlignment="1">
      <alignment horizontal="center" vertical="center" wrapText="1"/>
    </xf>
    <xf numFmtId="0" fontId="11" fillId="0" borderId="37" xfId="7" applyNumberFormat="1" applyFont="1" applyFill="1" applyBorder="1" applyAlignment="1" applyProtection="1">
      <alignment horizontal="center" vertical="center" wrapText="1"/>
    </xf>
    <xf numFmtId="0" fontId="11" fillId="0" borderId="37" xfId="7" applyNumberFormat="1" applyFont="1" applyFill="1" applyBorder="1" applyAlignment="1" applyProtection="1">
      <alignment horizontal="center" vertical="center" wrapText="1"/>
    </xf>
    <xf numFmtId="0" fontId="11" fillId="8" borderId="10" xfId="7" applyFont="1" applyFill="1" applyBorder="1" applyAlignment="1">
      <alignment horizontal="center" vertical="center" wrapText="1"/>
    </xf>
    <xf numFmtId="0" fontId="11" fillId="8" borderId="9" xfId="7" applyFont="1" applyFill="1" applyBorder="1" applyAlignment="1">
      <alignment horizontal="center" vertical="center" wrapText="1"/>
    </xf>
    <xf numFmtId="0" fontId="1" fillId="0" borderId="0" xfId="7" applyAlignment="1">
      <alignment horizontal="center" vertical="center"/>
    </xf>
    <xf numFmtId="0" fontId="21" fillId="4" borderId="39" xfId="7" applyFont="1" applyFill="1" applyBorder="1" applyAlignment="1">
      <alignment horizontal="center" vertical="center" wrapText="1"/>
    </xf>
    <xf numFmtId="0" fontId="11" fillId="6" borderId="10" xfId="7" applyFont="1" applyFill="1" applyBorder="1" applyAlignment="1">
      <alignment horizontal="center" vertical="center" wrapText="1"/>
    </xf>
    <xf numFmtId="0" fontId="11" fillId="6" borderId="23" xfId="7" applyFont="1" applyFill="1" applyBorder="1" applyAlignment="1">
      <alignment horizontal="center" vertical="center"/>
    </xf>
    <xf numFmtId="0" fontId="11" fillId="6" borderId="6" xfId="7" applyFont="1" applyFill="1" applyBorder="1" applyAlignment="1">
      <alignment horizontal="center" vertical="center" wrapText="1"/>
    </xf>
    <xf numFmtId="0" fontId="11" fillId="6" borderId="26" xfId="7" applyNumberFormat="1" applyFont="1" applyFill="1" applyBorder="1" applyAlignment="1" applyProtection="1">
      <alignment horizontal="center" vertical="center" wrapText="1"/>
    </xf>
    <xf numFmtId="0" fontId="20" fillId="0" borderId="10" xfId="7" applyFont="1" applyFill="1" applyBorder="1" applyAlignment="1">
      <alignment horizontal="center" vertical="center" wrapText="1"/>
    </xf>
    <xf numFmtId="0" fontId="20" fillId="0" borderId="23" xfId="7" applyFont="1" applyFill="1" applyBorder="1" applyAlignment="1">
      <alignment horizontal="center" vertical="center"/>
    </xf>
    <xf numFmtId="0" fontId="40" fillId="9" borderId="36" xfId="7" applyFont="1" applyFill="1" applyBorder="1" applyAlignment="1">
      <alignment horizontal="center" vertical="center"/>
    </xf>
    <xf numFmtId="0" fontId="40" fillId="9" borderId="37" xfId="7" applyNumberFormat="1" applyFont="1" applyFill="1" applyBorder="1" applyAlignment="1" applyProtection="1">
      <alignment horizontal="center" vertical="center" wrapText="1"/>
    </xf>
    <xf numFmtId="0" fontId="11" fillId="8" borderId="23" xfId="7" applyNumberFormat="1" applyFont="1" applyFill="1" applyBorder="1" applyAlignment="1" applyProtection="1">
      <alignment horizontal="center" vertical="center" wrapText="1"/>
    </xf>
    <xf numFmtId="0" fontId="11" fillId="6" borderId="10" xfId="7" applyNumberFormat="1" applyFont="1" applyFill="1" applyBorder="1" applyAlignment="1" applyProtection="1">
      <alignment horizontal="center" vertical="center" wrapText="1"/>
    </xf>
    <xf numFmtId="0" fontId="11" fillId="6" borderId="23" xfId="7" applyFont="1" applyFill="1" applyBorder="1" applyAlignment="1">
      <alignment horizontal="center" vertical="center" wrapText="1"/>
    </xf>
    <xf numFmtId="0" fontId="1" fillId="0" borderId="0" xfId="7" applyAlignment="1">
      <alignment horizontal="center" vertical="center"/>
    </xf>
    <xf numFmtId="0" fontId="1" fillId="0" borderId="0" xfId="7" applyAlignment="1">
      <alignment horizontal="center" vertical="center"/>
    </xf>
    <xf numFmtId="0" fontId="21" fillId="4" borderId="39" xfId="7" applyFont="1" applyFill="1" applyBorder="1" applyAlignment="1">
      <alignment horizontal="center" vertical="center" wrapText="1"/>
    </xf>
    <xf numFmtId="0" fontId="15" fillId="0" borderId="6" xfId="2" applyNumberFormat="1" applyFont="1" applyFill="1" applyBorder="1" applyAlignment="1" applyProtection="1">
      <alignment horizontal="center" vertical="center" wrapText="1"/>
    </xf>
    <xf numFmtId="0" fontId="15" fillId="0" borderId="5" xfId="2" applyNumberFormat="1" applyFont="1" applyFill="1" applyBorder="1" applyAlignment="1" applyProtection="1">
      <alignment horizontal="center" vertical="center" wrapText="1"/>
    </xf>
    <xf numFmtId="0" fontId="16" fillId="0" borderId="9" xfId="7" applyFont="1" applyFill="1" applyBorder="1" applyAlignment="1">
      <alignment horizontal="center" vertical="center"/>
    </xf>
    <xf numFmtId="0" fontId="11" fillId="0" borderId="5" xfId="2" applyFont="1" applyFill="1" applyBorder="1" applyAlignment="1">
      <alignment horizontal="center" vertical="center"/>
    </xf>
    <xf numFmtId="0" fontId="16" fillId="0" borderId="6" xfId="7" applyNumberFormat="1" applyFont="1" applyFill="1" applyBorder="1" applyAlignment="1" applyProtection="1">
      <alignment horizontal="center" vertical="center" wrapText="1"/>
    </xf>
    <xf numFmtId="0" fontId="16" fillId="0" borderId="5" xfId="7" applyNumberFormat="1" applyFont="1" applyFill="1" applyBorder="1" applyAlignment="1" applyProtection="1">
      <alignment horizontal="center" vertical="center" wrapText="1"/>
    </xf>
    <xf numFmtId="0" fontId="16" fillId="0" borderId="36" xfId="7" applyFont="1" applyFill="1" applyBorder="1" applyAlignment="1">
      <alignment horizontal="center" vertical="center"/>
    </xf>
    <xf numFmtId="0" fontId="5" fillId="9" borderId="23" xfId="7" applyFont="1" applyFill="1" applyBorder="1" applyAlignment="1">
      <alignment horizontal="center" vertical="center" wrapText="1"/>
    </xf>
    <xf numFmtId="0" fontId="40" fillId="9" borderId="23" xfId="7" applyFont="1" applyFill="1" applyBorder="1" applyAlignment="1">
      <alignment horizontal="center" vertical="center" wrapText="1"/>
    </xf>
    <xf numFmtId="0" fontId="40" fillId="9" borderId="6" xfId="2" applyFont="1" applyFill="1" applyBorder="1" applyAlignment="1">
      <alignment horizontal="center" vertical="center" wrapText="1"/>
    </xf>
    <xf numFmtId="0" fontId="11" fillId="5" borderId="79" xfId="7" applyFont="1" applyFill="1" applyBorder="1" applyAlignment="1">
      <alignment horizontal="center" vertical="center" wrapText="1"/>
    </xf>
    <xf numFmtId="0" fontId="11" fillId="5" borderId="80" xfId="7" applyFont="1" applyFill="1" applyBorder="1" applyAlignment="1">
      <alignment horizontal="center" vertical="center" wrapText="1"/>
    </xf>
    <xf numFmtId="0" fontId="1" fillId="0" borderId="87" xfId="7" applyBorder="1" applyAlignment="1">
      <alignment horizontal="center" vertical="center"/>
    </xf>
    <xf numFmtId="0" fontId="1" fillId="0" borderId="0" xfId="7" applyAlignment="1">
      <alignment horizontal="center" vertical="center"/>
    </xf>
    <xf numFmtId="0" fontId="16" fillId="0" borderId="27" xfId="7" applyFont="1" applyFill="1" applyBorder="1" applyAlignment="1">
      <alignment horizontal="center" vertical="center"/>
    </xf>
    <xf numFmtId="0" fontId="16" fillId="0" borderId="16" xfId="7" applyFont="1" applyFill="1" applyBorder="1" applyAlignment="1">
      <alignment horizontal="center" vertical="center"/>
    </xf>
    <xf numFmtId="0" fontId="16" fillId="0" borderId="4" xfId="7" applyFont="1" applyFill="1" applyBorder="1" applyAlignment="1">
      <alignment horizontal="center" vertical="center"/>
    </xf>
    <xf numFmtId="0" fontId="16" fillId="0" borderId="0" xfId="7" applyFont="1" applyFill="1" applyBorder="1" applyAlignment="1">
      <alignment horizontal="center" vertical="center"/>
    </xf>
    <xf numFmtId="0" fontId="16" fillId="0" borderId="31" xfId="7" applyFont="1" applyFill="1" applyBorder="1" applyAlignment="1">
      <alignment horizontal="center" vertical="center"/>
    </xf>
    <xf numFmtId="0" fontId="16" fillId="0" borderId="32" xfId="7" applyFont="1" applyFill="1" applyBorder="1" applyAlignment="1">
      <alignment horizontal="center" vertical="center"/>
    </xf>
    <xf numFmtId="0" fontId="14" fillId="0" borderId="20" xfId="7" applyFont="1" applyBorder="1" applyAlignment="1">
      <alignment horizontal="left" vertical="center"/>
    </xf>
    <xf numFmtId="0" fontId="14" fillId="0" borderId="21" xfId="7" applyFont="1" applyBorder="1" applyAlignment="1">
      <alignment horizontal="left" vertical="center"/>
    </xf>
    <xf numFmtId="0" fontId="14" fillId="0" borderId="22" xfId="7" applyFont="1" applyBorder="1" applyAlignment="1">
      <alignment horizontal="left" vertical="center"/>
    </xf>
    <xf numFmtId="0" fontId="17" fillId="0" borderId="39" xfId="7" applyFont="1" applyFill="1" applyBorder="1" applyAlignment="1">
      <alignment horizontal="center" vertical="center" wrapText="1"/>
    </xf>
    <xf numFmtId="0" fontId="17" fillId="0" borderId="40" xfId="7" applyFont="1" applyFill="1" applyBorder="1" applyAlignment="1">
      <alignment horizontal="center" vertical="center" wrapText="1"/>
    </xf>
    <xf numFmtId="0" fontId="5" fillId="0" borderId="27" xfId="7" applyFont="1" applyFill="1" applyBorder="1" applyAlignment="1">
      <alignment horizontal="center" vertical="center" wrapText="1"/>
    </xf>
    <xf numFmtId="0" fontId="5" fillId="0" borderId="34" xfId="7" applyFont="1" applyFill="1" applyBorder="1" applyAlignment="1">
      <alignment horizontal="center" vertical="center" wrapText="1"/>
    </xf>
    <xf numFmtId="0" fontId="5" fillId="0" borderId="24" xfId="7" applyFont="1" applyFill="1" applyBorder="1" applyAlignment="1">
      <alignment horizontal="center" vertical="center" wrapText="1"/>
    </xf>
    <xf numFmtId="0" fontId="5" fillId="0" borderId="25" xfId="7" applyFont="1" applyFill="1" applyBorder="1" applyAlignment="1">
      <alignment horizontal="center" vertical="center" wrapText="1"/>
    </xf>
    <xf numFmtId="0" fontId="14" fillId="0" borderId="15" xfId="7" applyFont="1" applyBorder="1" applyAlignment="1">
      <alignment horizontal="center" vertical="center"/>
    </xf>
    <xf numFmtId="0" fontId="14" fillId="0" borderId="16" xfId="7" applyFont="1" applyBorder="1" applyAlignment="1">
      <alignment horizontal="center" vertical="center"/>
    </xf>
    <xf numFmtId="0" fontId="14" fillId="0" borderId="17" xfId="7" applyFont="1" applyBorder="1" applyAlignment="1">
      <alignment horizontal="center" vertical="center"/>
    </xf>
    <xf numFmtId="0" fontId="14" fillId="0" borderId="18" xfId="7" applyFont="1" applyBorder="1" applyAlignment="1">
      <alignment horizontal="center" vertical="center"/>
    </xf>
    <xf numFmtId="0" fontId="14" fillId="0" borderId="0" xfId="7" applyFont="1" applyBorder="1" applyAlignment="1">
      <alignment horizontal="center" vertical="center"/>
    </xf>
    <xf numFmtId="0" fontId="14" fillId="0" borderId="19" xfId="7" applyFont="1" applyBorder="1" applyAlignment="1">
      <alignment horizontal="center" vertical="center"/>
    </xf>
    <xf numFmtId="0" fontId="14" fillId="0" borderId="28" xfId="7" applyFont="1" applyBorder="1" applyAlignment="1">
      <alignment horizontal="center" vertical="center"/>
    </xf>
    <xf numFmtId="0" fontId="14" fillId="0" borderId="29" xfId="7" applyFont="1" applyBorder="1" applyAlignment="1">
      <alignment horizontal="center" vertical="center"/>
    </xf>
    <xf numFmtId="0" fontId="14" fillId="0" borderId="30" xfId="7" applyFont="1" applyBorder="1" applyAlignment="1">
      <alignment horizontal="center" vertical="center"/>
    </xf>
    <xf numFmtId="0" fontId="1" fillId="0" borderId="15" xfId="7" applyBorder="1" applyAlignment="1">
      <alignment horizontal="center" vertical="top" wrapText="1"/>
    </xf>
    <xf numFmtId="0" fontId="1" fillId="0" borderId="16" xfId="7" applyBorder="1" applyAlignment="1">
      <alignment horizontal="center" vertical="top" wrapText="1"/>
    </xf>
    <xf numFmtId="0" fontId="1" fillId="0" borderId="17" xfId="7" applyBorder="1" applyAlignment="1">
      <alignment horizontal="center" vertical="top" wrapText="1"/>
    </xf>
    <xf numFmtId="0" fontId="1" fillId="0" borderId="18" xfId="7" applyBorder="1" applyAlignment="1">
      <alignment horizontal="center" vertical="top" wrapText="1"/>
    </xf>
    <xf numFmtId="0" fontId="1" fillId="0" borderId="0" xfId="7" applyBorder="1" applyAlignment="1">
      <alignment horizontal="center" vertical="top" wrapText="1"/>
    </xf>
    <xf numFmtId="0" fontId="1" fillId="0" borderId="19" xfId="7" applyBorder="1" applyAlignment="1">
      <alignment horizontal="center" vertical="top" wrapText="1"/>
    </xf>
    <xf numFmtId="0" fontId="1" fillId="0" borderId="28" xfId="7" applyBorder="1" applyAlignment="1">
      <alignment horizontal="center" vertical="top" wrapText="1"/>
    </xf>
    <xf numFmtId="0" fontId="1" fillId="0" borderId="29" xfId="7" applyBorder="1" applyAlignment="1">
      <alignment horizontal="center" vertical="top" wrapText="1"/>
    </xf>
    <xf numFmtId="0" fontId="1" fillId="0" borderId="30" xfId="7" applyBorder="1" applyAlignment="1">
      <alignment horizontal="center" vertical="top" wrapText="1"/>
    </xf>
    <xf numFmtId="0" fontId="9" fillId="0" borderId="35" xfId="7" applyFont="1" applyBorder="1" applyAlignment="1">
      <alignment horizontal="center" vertical="center"/>
    </xf>
    <xf numFmtId="0" fontId="9" fillId="0" borderId="10" xfId="7" applyFont="1" applyBorder="1" applyAlignment="1">
      <alignment horizontal="center" vertical="center"/>
    </xf>
    <xf numFmtId="0" fontId="15" fillId="0" borderId="35" xfId="2" applyNumberFormat="1" applyFont="1" applyFill="1" applyBorder="1" applyAlignment="1" applyProtection="1">
      <alignment horizontal="center" vertical="center" wrapText="1"/>
    </xf>
    <xf numFmtId="0" fontId="15" fillId="0" borderId="10" xfId="2" applyNumberFormat="1" applyFont="1" applyFill="1" applyBorder="1" applyAlignment="1" applyProtection="1">
      <alignment horizontal="center" vertical="center" wrapText="1"/>
    </xf>
    <xf numFmtId="0" fontId="15" fillId="0" borderId="27" xfId="2" applyNumberFormat="1" applyFont="1" applyFill="1" applyBorder="1" applyAlignment="1" applyProtection="1">
      <alignment horizontal="center" vertical="center" wrapText="1"/>
    </xf>
    <xf numFmtId="0" fontId="15" fillId="0" borderId="34" xfId="2" applyNumberFormat="1" applyFont="1" applyFill="1" applyBorder="1" applyAlignment="1" applyProtection="1">
      <alignment horizontal="center" vertical="center" wrapText="1"/>
    </xf>
    <xf numFmtId="0" fontId="15" fillId="0" borderId="4" xfId="2" applyNumberFormat="1" applyFont="1" applyFill="1" applyBorder="1" applyAlignment="1" applyProtection="1">
      <alignment horizontal="center" vertical="center" wrapText="1"/>
    </xf>
    <xf numFmtId="0" fontId="15" fillId="0" borderId="14" xfId="2" applyNumberFormat="1" applyFont="1" applyFill="1" applyBorder="1" applyAlignment="1" applyProtection="1">
      <alignment horizontal="center" vertical="center" wrapText="1"/>
    </xf>
    <xf numFmtId="0" fontId="15" fillId="0" borderId="24" xfId="2" applyNumberFormat="1" applyFont="1" applyFill="1" applyBorder="1" applyAlignment="1" applyProtection="1">
      <alignment horizontal="center" vertical="center" wrapText="1"/>
    </xf>
    <xf numFmtId="0" fontId="15" fillId="0" borderId="25" xfId="2" applyNumberFormat="1" applyFont="1" applyFill="1" applyBorder="1" applyAlignment="1" applyProtection="1">
      <alignment horizontal="center" vertical="center" wrapText="1"/>
    </xf>
    <xf numFmtId="0" fontId="18" fillId="0" borderId="18" xfId="7" applyFont="1" applyFill="1" applyBorder="1" applyAlignment="1">
      <alignment horizontal="center" vertical="center" wrapText="1"/>
    </xf>
    <xf numFmtId="0" fontId="18" fillId="0" borderId="0" xfId="7" applyFont="1" applyFill="1" applyBorder="1" applyAlignment="1">
      <alignment horizontal="center" vertical="center" wrapText="1"/>
    </xf>
    <xf numFmtId="0" fontId="18" fillId="0" borderId="19" xfId="7" applyFont="1" applyFill="1" applyBorder="1" applyAlignment="1">
      <alignment horizontal="center" vertical="center" wrapText="1"/>
    </xf>
    <xf numFmtId="0" fontId="18" fillId="0" borderId="28" xfId="7" applyFont="1" applyFill="1" applyBorder="1" applyAlignment="1">
      <alignment horizontal="center" vertical="center" wrapText="1"/>
    </xf>
    <xf numFmtId="0" fontId="18" fillId="0" borderId="29" xfId="7" applyFont="1" applyFill="1" applyBorder="1" applyAlignment="1">
      <alignment horizontal="center" vertical="center" wrapText="1"/>
    </xf>
    <xf numFmtId="0" fontId="18" fillId="0" borderId="30" xfId="7" applyFont="1" applyFill="1" applyBorder="1" applyAlignment="1">
      <alignment horizontal="center" vertical="center" wrapText="1"/>
    </xf>
    <xf numFmtId="0" fontId="21" fillId="4" borderId="39" xfId="7" applyFont="1" applyFill="1" applyBorder="1" applyAlignment="1">
      <alignment horizontal="center" vertical="center" wrapText="1"/>
    </xf>
    <xf numFmtId="0" fontId="21" fillId="4" borderId="40" xfId="7" applyFont="1" applyFill="1" applyBorder="1" applyAlignment="1">
      <alignment horizontal="center" vertical="center" wrapText="1"/>
    </xf>
    <xf numFmtId="0" fontId="18" fillId="0" borderId="18" xfId="5" applyFont="1" applyBorder="1" applyAlignment="1">
      <alignment horizontal="left" vertical="top" wrapText="1"/>
    </xf>
    <xf numFmtId="0" fontId="18" fillId="0" borderId="0" xfId="5" applyFont="1" applyBorder="1" applyAlignment="1">
      <alignment horizontal="left" vertical="top" wrapText="1"/>
    </xf>
    <xf numFmtId="0" fontId="18" fillId="0" borderId="19" xfId="5" applyFont="1" applyBorder="1" applyAlignment="1">
      <alignment horizontal="left" vertical="top" wrapText="1"/>
    </xf>
    <xf numFmtId="0" fontId="18" fillId="0" borderId="28" xfId="5" applyFont="1" applyBorder="1" applyAlignment="1">
      <alignment horizontal="left" vertical="top" wrapText="1"/>
    </xf>
    <xf numFmtId="0" fontId="18" fillId="0" borderId="29" xfId="5" applyFont="1" applyBorder="1" applyAlignment="1">
      <alignment horizontal="left" vertical="top" wrapText="1"/>
    </xf>
    <xf numFmtId="0" fontId="18" fillId="0" borderId="30" xfId="5" applyFont="1" applyBorder="1" applyAlignment="1">
      <alignment horizontal="left" vertical="top" wrapText="1"/>
    </xf>
    <xf numFmtId="0" fontId="17" fillId="0" borderId="4" xfId="7" applyNumberFormat="1" applyFont="1" applyFill="1" applyBorder="1" applyAlignment="1" applyProtection="1">
      <alignment horizontal="center" vertical="center" wrapText="1"/>
    </xf>
    <xf numFmtId="0" fontId="17" fillId="0" borderId="14" xfId="7" applyNumberFormat="1" applyFont="1" applyFill="1" applyBorder="1" applyAlignment="1" applyProtection="1">
      <alignment horizontal="center" vertical="center" wrapText="1"/>
    </xf>
    <xf numFmtId="0" fontId="17" fillId="0" borderId="24" xfId="7" applyNumberFormat="1" applyFont="1" applyFill="1" applyBorder="1" applyAlignment="1" applyProtection="1">
      <alignment horizontal="center" vertical="center" wrapText="1"/>
    </xf>
    <xf numFmtId="0" fontId="17" fillId="0" borderId="25" xfId="7" applyNumberFormat="1" applyFont="1" applyFill="1" applyBorder="1" applyAlignment="1" applyProtection="1">
      <alignment horizontal="center" vertical="center" wrapText="1"/>
    </xf>
    <xf numFmtId="0" fontId="21" fillId="4" borderId="36" xfId="7" applyNumberFormat="1" applyFont="1" applyFill="1" applyBorder="1" applyAlignment="1" applyProtection="1">
      <alignment horizontal="center" vertical="center" wrapText="1"/>
    </xf>
    <xf numFmtId="0" fontId="21" fillId="4" borderId="37" xfId="7" applyNumberFormat="1" applyFont="1" applyFill="1" applyBorder="1" applyAlignment="1" applyProtection="1">
      <alignment horizontal="center" vertical="center" wrapText="1"/>
    </xf>
    <xf numFmtId="0" fontId="17" fillId="0" borderId="7" xfId="7" applyNumberFormat="1" applyFont="1" applyFill="1" applyBorder="1" applyAlignment="1" applyProtection="1">
      <alignment horizontal="center" vertical="center" wrapText="1"/>
    </xf>
    <xf numFmtId="0" fontId="17" fillId="0" borderId="8" xfId="7" applyNumberFormat="1" applyFont="1" applyFill="1" applyBorder="1" applyAlignment="1" applyProtection="1">
      <alignment horizontal="center" vertical="center" wrapText="1"/>
    </xf>
    <xf numFmtId="0" fontId="2" fillId="0" borderId="1" xfId="7" applyNumberFormat="1" applyFont="1" applyFill="1" applyBorder="1" applyAlignment="1" applyProtection="1">
      <alignment horizontal="center" vertical="center"/>
    </xf>
    <xf numFmtId="0" fontId="2" fillId="0" borderId="2" xfId="7" applyNumberFormat="1" applyFont="1" applyFill="1" applyBorder="1" applyAlignment="1" applyProtection="1">
      <alignment horizontal="center" vertical="center"/>
    </xf>
    <xf numFmtId="0" fontId="2" fillId="0" borderId="3" xfId="7" applyNumberFormat="1" applyFont="1" applyFill="1" applyBorder="1" applyAlignment="1" applyProtection="1">
      <alignment horizontal="center" vertical="center"/>
    </xf>
    <xf numFmtId="0" fontId="2" fillId="0" borderId="5" xfId="7" applyNumberFormat="1" applyFont="1" applyFill="1" applyBorder="1" applyAlignment="1" applyProtection="1">
      <alignment horizontal="center" vertical="center"/>
    </xf>
    <xf numFmtId="0" fontId="5" fillId="0" borderId="5" xfId="7" applyNumberFormat="1" applyFont="1" applyFill="1" applyBorder="1" applyAlignment="1" applyProtection="1">
      <alignment horizontal="center" vertical="center"/>
    </xf>
    <xf numFmtId="0" fontId="1" fillId="0" borderId="29" xfId="7" applyBorder="1" applyAlignment="1">
      <alignment horizontal="center" vertical="center"/>
    </xf>
    <xf numFmtId="0" fontId="14" fillId="0" borderId="20" xfId="10" applyFont="1" applyBorder="1" applyAlignment="1">
      <alignment horizontal="left" vertical="center" wrapText="1"/>
    </xf>
    <xf numFmtId="0" fontId="14" fillId="0" borderId="21" xfId="10" applyFont="1" applyBorder="1" applyAlignment="1">
      <alignment horizontal="left" vertical="center" wrapText="1"/>
    </xf>
    <xf numFmtId="0" fontId="14" fillId="0" borderId="22" xfId="10" applyFont="1" applyBorder="1" applyAlignment="1">
      <alignment horizontal="left" vertical="center" wrapText="1"/>
    </xf>
    <xf numFmtId="0" fontId="14" fillId="0" borderId="15" xfId="10" applyFont="1" applyBorder="1" applyAlignment="1">
      <alignment horizontal="left" vertical="top" wrapText="1"/>
    </xf>
    <xf numFmtId="0" fontId="14" fillId="0" borderId="16" xfId="10" applyFont="1" applyBorder="1" applyAlignment="1">
      <alignment horizontal="left" vertical="top" wrapText="1"/>
    </xf>
    <xf numFmtId="0" fontId="14" fillId="0" borderId="17" xfId="10" applyFont="1" applyBorder="1" applyAlignment="1">
      <alignment horizontal="left" vertical="top" wrapText="1"/>
    </xf>
    <xf numFmtId="0" fontId="14" fillId="0" borderId="18" xfId="10" applyFont="1" applyBorder="1" applyAlignment="1">
      <alignment horizontal="left" vertical="top" wrapText="1"/>
    </xf>
    <xf numFmtId="0" fontId="14" fillId="0" borderId="0" xfId="10" applyFont="1" applyBorder="1" applyAlignment="1">
      <alignment horizontal="left" vertical="top" wrapText="1"/>
    </xf>
    <xf numFmtId="0" fontId="14" fillId="0" borderId="19" xfId="10" applyFont="1" applyBorder="1" applyAlignment="1">
      <alignment horizontal="left" vertical="top" wrapText="1"/>
    </xf>
    <xf numFmtId="0" fontId="14" fillId="0" borderId="28" xfId="10" applyFont="1" applyBorder="1" applyAlignment="1">
      <alignment horizontal="left" vertical="top" wrapText="1"/>
    </xf>
    <xf numFmtId="0" fontId="14" fillId="0" borderId="29" xfId="10" applyFont="1" applyBorder="1" applyAlignment="1">
      <alignment horizontal="left" vertical="top" wrapText="1"/>
    </xf>
    <xf numFmtId="0" fontId="14" fillId="0" borderId="30" xfId="10" applyFont="1" applyBorder="1" applyAlignment="1">
      <alignment horizontal="left" vertical="top" wrapText="1"/>
    </xf>
    <xf numFmtId="0" fontId="2" fillId="0" borderId="1" xfId="4" applyNumberFormat="1" applyFont="1" applyFill="1" applyBorder="1" applyAlignment="1" applyProtection="1">
      <alignment horizontal="center" vertical="center"/>
    </xf>
    <xf numFmtId="0" fontId="2" fillId="0" borderId="2" xfId="4" applyNumberFormat="1" applyFont="1" applyFill="1" applyBorder="1" applyAlignment="1" applyProtection="1">
      <alignment horizontal="center" vertical="center"/>
    </xf>
    <xf numFmtId="0" fontId="2" fillId="0" borderId="3" xfId="4" applyNumberFormat="1" applyFont="1" applyFill="1" applyBorder="1" applyAlignment="1" applyProtection="1">
      <alignment horizontal="center" vertical="center"/>
    </xf>
    <xf numFmtId="0" fontId="2" fillId="0" borderId="5" xfId="4" applyNumberFormat="1" applyFont="1" applyFill="1" applyBorder="1" applyAlignment="1" applyProtection="1">
      <alignment horizontal="center" vertical="center"/>
    </xf>
    <xf numFmtId="0" fontId="5" fillId="0" borderId="5" xfId="4" applyNumberFormat="1" applyFont="1" applyFill="1" applyBorder="1" applyAlignment="1" applyProtection="1">
      <alignment horizontal="center" vertical="center"/>
    </xf>
    <xf numFmtId="0" fontId="1" fillId="0" borderId="0" xfId="4" applyAlignment="1">
      <alignment horizontal="center" vertical="center"/>
    </xf>
    <xf numFmtId="0" fontId="1" fillId="0" borderId="29" xfId="4" applyBorder="1" applyAlignment="1">
      <alignment horizontal="center" vertical="center"/>
    </xf>
    <xf numFmtId="0" fontId="17" fillId="0" borderId="7" xfId="1" applyNumberFormat="1" applyFont="1" applyFill="1" applyBorder="1" applyAlignment="1" applyProtection="1">
      <alignment horizontal="center" vertical="center" wrapText="1"/>
    </xf>
    <xf numFmtId="0" fontId="17" fillId="0" borderId="8" xfId="1" applyNumberFormat="1" applyFont="1" applyFill="1" applyBorder="1" applyAlignment="1" applyProtection="1">
      <alignment horizontal="center" vertical="center" wrapText="1"/>
    </xf>
    <xf numFmtId="0" fontId="17" fillId="0" borderId="4" xfId="1" applyNumberFormat="1" applyFont="1" applyFill="1" applyBorder="1" applyAlignment="1" applyProtection="1">
      <alignment horizontal="center" vertical="center" wrapText="1"/>
    </xf>
    <xf numFmtId="0" fontId="17" fillId="0" borderId="14" xfId="1" applyNumberFormat="1" applyFont="1" applyFill="1" applyBorder="1" applyAlignment="1" applyProtection="1">
      <alignment horizontal="center" vertical="center" wrapText="1"/>
    </xf>
    <xf numFmtId="0" fontId="14" fillId="0" borderId="20" xfId="5" applyFont="1" applyBorder="1" applyAlignment="1">
      <alignment horizontal="left" vertical="center" wrapText="1"/>
    </xf>
    <xf numFmtId="0" fontId="14" fillId="0" borderId="21" xfId="5" applyFont="1" applyBorder="1" applyAlignment="1">
      <alignment horizontal="left" vertical="center" wrapText="1"/>
    </xf>
    <xf numFmtId="0" fontId="14" fillId="0" borderId="22" xfId="5" applyFont="1" applyBorder="1" applyAlignment="1">
      <alignment horizontal="left" vertical="center" wrapText="1"/>
    </xf>
    <xf numFmtId="0" fontId="14" fillId="0" borderId="15" xfId="5" applyFont="1" applyBorder="1" applyAlignment="1">
      <alignment horizontal="left" vertical="top" wrapText="1"/>
    </xf>
    <xf numFmtId="0" fontId="14" fillId="0" borderId="16" xfId="5" applyFont="1" applyBorder="1" applyAlignment="1">
      <alignment horizontal="left" vertical="top" wrapText="1"/>
    </xf>
    <xf numFmtId="0" fontId="14" fillId="0" borderId="17" xfId="5" applyFont="1" applyBorder="1" applyAlignment="1">
      <alignment horizontal="left" vertical="top" wrapText="1"/>
    </xf>
    <xf numFmtId="0" fontId="14" fillId="0" borderId="18" xfId="5" applyFont="1" applyBorder="1" applyAlignment="1">
      <alignment horizontal="left" vertical="top" wrapText="1"/>
    </xf>
    <xf numFmtId="0" fontId="14" fillId="0" borderId="0" xfId="5" applyFont="1" applyBorder="1" applyAlignment="1">
      <alignment horizontal="left" vertical="top" wrapText="1"/>
    </xf>
    <xf numFmtId="0" fontId="14" fillId="0" borderId="19" xfId="5" applyFont="1" applyBorder="1" applyAlignment="1">
      <alignment horizontal="left" vertical="top" wrapText="1"/>
    </xf>
    <xf numFmtId="0" fontId="14" fillId="0" borderId="28" xfId="5" applyFont="1" applyBorder="1" applyAlignment="1">
      <alignment horizontal="left" vertical="top" wrapText="1"/>
    </xf>
    <xf numFmtId="0" fontId="14" fillId="0" borderId="29" xfId="5" applyFont="1" applyBorder="1" applyAlignment="1">
      <alignment horizontal="left" vertical="top" wrapText="1"/>
    </xf>
    <xf numFmtId="0" fontId="14" fillId="0" borderId="30" xfId="5" applyFont="1" applyBorder="1" applyAlignment="1">
      <alignment horizontal="left" vertical="top" wrapText="1"/>
    </xf>
    <xf numFmtId="0" fontId="14" fillId="0" borderId="15" xfId="5" applyFont="1" applyBorder="1" applyAlignment="1">
      <alignment horizontal="left" vertical="center" wrapText="1"/>
    </xf>
    <xf numFmtId="0" fontId="14" fillId="0" borderId="16" xfId="5" applyFont="1" applyBorder="1" applyAlignment="1">
      <alignment horizontal="left" vertical="center" wrapText="1"/>
    </xf>
    <xf numFmtId="0" fontId="14" fillId="0" borderId="17" xfId="5" applyFont="1" applyBorder="1" applyAlignment="1">
      <alignment horizontal="left" vertical="center" wrapText="1"/>
    </xf>
    <xf numFmtId="0" fontId="14" fillId="0" borderId="15" xfId="4" applyFont="1" applyBorder="1" applyAlignment="1">
      <alignment horizontal="center" vertical="center"/>
    </xf>
    <xf numFmtId="0" fontId="14" fillId="0" borderId="16" xfId="4" applyFont="1" applyBorder="1" applyAlignment="1">
      <alignment horizontal="center" vertical="center"/>
    </xf>
    <xf numFmtId="0" fontId="14" fillId="0" borderId="17" xfId="4" applyFont="1" applyBorder="1" applyAlignment="1">
      <alignment horizontal="center" vertical="center"/>
    </xf>
    <xf numFmtId="0" fontId="14" fillId="0" borderId="18" xfId="4" applyFont="1" applyBorder="1" applyAlignment="1">
      <alignment horizontal="center" vertical="center"/>
    </xf>
    <xf numFmtId="0" fontId="14" fillId="0" borderId="0" xfId="4" applyFont="1" applyBorder="1" applyAlignment="1">
      <alignment horizontal="center" vertical="center"/>
    </xf>
    <xf numFmtId="0" fontId="14" fillId="0" borderId="19" xfId="4" applyFont="1" applyBorder="1" applyAlignment="1">
      <alignment horizontal="center" vertical="center"/>
    </xf>
    <xf numFmtId="0" fontId="14" fillId="0" borderId="28" xfId="4" applyFont="1" applyBorder="1" applyAlignment="1">
      <alignment horizontal="center" vertical="center"/>
    </xf>
    <xf numFmtId="0" fontId="14" fillId="0" borderId="29" xfId="4" applyFont="1" applyBorder="1" applyAlignment="1">
      <alignment horizontal="center" vertical="center"/>
    </xf>
    <xf numFmtId="0" fontId="14" fillId="0" borderId="30" xfId="4" applyFont="1" applyBorder="1" applyAlignment="1">
      <alignment horizontal="center" vertical="center"/>
    </xf>
    <xf numFmtId="0" fontId="21" fillId="4" borderId="36" xfId="1" applyNumberFormat="1" applyFont="1" applyFill="1" applyBorder="1" applyAlignment="1" applyProtection="1">
      <alignment horizontal="center" vertical="center" wrapText="1"/>
    </xf>
    <xf numFmtId="0" fontId="21" fillId="4" borderId="37" xfId="1" applyNumberFormat="1" applyFont="1" applyFill="1" applyBorder="1" applyAlignment="1" applyProtection="1">
      <alignment horizontal="center" vertical="center" wrapText="1"/>
    </xf>
    <xf numFmtId="0" fontId="9" fillId="0" borderId="35" xfId="4" applyFont="1" applyBorder="1" applyAlignment="1">
      <alignment horizontal="center" vertical="center"/>
    </xf>
    <xf numFmtId="0" fontId="9" fillId="0" borderId="10" xfId="4" applyFont="1" applyBorder="1" applyAlignment="1">
      <alignment horizontal="center" vertical="center"/>
    </xf>
    <xf numFmtId="0" fontId="18" fillId="0" borderId="18" xfId="4" applyFont="1" applyFill="1" applyBorder="1" applyAlignment="1">
      <alignment horizontal="center" vertical="center" wrapText="1"/>
    </xf>
    <xf numFmtId="0" fontId="18" fillId="0" borderId="0" xfId="4" applyFont="1" applyFill="1" applyBorder="1" applyAlignment="1">
      <alignment horizontal="center" vertical="center" wrapText="1"/>
    </xf>
    <xf numFmtId="0" fontId="18" fillId="0" borderId="19" xfId="4" applyFont="1" applyFill="1" applyBorder="1" applyAlignment="1">
      <alignment horizontal="center" vertical="center" wrapText="1"/>
    </xf>
    <xf numFmtId="0" fontId="18" fillId="0" borderId="28" xfId="4" applyFont="1" applyFill="1" applyBorder="1" applyAlignment="1">
      <alignment horizontal="center" vertical="center" wrapText="1"/>
    </xf>
    <xf numFmtId="0" fontId="18" fillId="0" borderId="29" xfId="4" applyFont="1" applyFill="1" applyBorder="1" applyAlignment="1">
      <alignment horizontal="center" vertical="center" wrapText="1"/>
    </xf>
    <xf numFmtId="0" fontId="18" fillId="0" borderId="30" xfId="4" applyFont="1" applyFill="1" applyBorder="1" applyAlignment="1">
      <alignment horizontal="center" vertical="center" wrapText="1"/>
    </xf>
    <xf numFmtId="0" fontId="21" fillId="7" borderId="39" xfId="1" applyFont="1" applyFill="1" applyBorder="1" applyAlignment="1">
      <alignment horizontal="center" vertical="center" wrapText="1"/>
    </xf>
    <xf numFmtId="0" fontId="21" fillId="7" borderId="40" xfId="1" applyFont="1" applyFill="1" applyBorder="1" applyAlignment="1">
      <alignment horizontal="center" vertical="center" wrapText="1"/>
    </xf>
    <xf numFmtId="0" fontId="11" fillId="5" borderId="79" xfId="4" applyFont="1" applyFill="1" applyBorder="1" applyAlignment="1">
      <alignment horizontal="center" vertical="center" wrapText="1"/>
    </xf>
    <xf numFmtId="0" fontId="11" fillId="5" borderId="80" xfId="4" applyFont="1" applyFill="1" applyBorder="1" applyAlignment="1">
      <alignment horizontal="center" vertical="center" wrapText="1"/>
    </xf>
    <xf numFmtId="0" fontId="1" fillId="0" borderId="87" xfId="4" applyBorder="1" applyAlignment="1">
      <alignment horizontal="center" vertical="center"/>
    </xf>
    <xf numFmtId="0" fontId="17" fillId="0" borderId="39" xfId="1" applyNumberFormat="1" applyFont="1" applyFill="1" applyBorder="1" applyAlignment="1" applyProtection="1">
      <alignment horizontal="center" vertical="center" wrapText="1"/>
    </xf>
    <xf numFmtId="0" fontId="17" fillId="0" borderId="40" xfId="1" applyNumberFormat="1" applyFont="1" applyFill="1" applyBorder="1" applyAlignment="1" applyProtection="1">
      <alignment horizontal="center" vertical="center" wrapText="1"/>
    </xf>
    <xf numFmtId="0" fontId="1" fillId="0" borderId="27" xfId="4" applyFill="1" applyBorder="1" applyAlignment="1">
      <alignment horizontal="center" vertical="center"/>
    </xf>
    <xf numFmtId="0" fontId="1" fillId="0" borderId="16" xfId="4" applyFill="1" applyBorder="1" applyAlignment="1">
      <alignment horizontal="center" vertical="center"/>
    </xf>
    <xf numFmtId="0" fontId="1" fillId="0" borderId="4" xfId="4" applyFill="1" applyBorder="1" applyAlignment="1">
      <alignment horizontal="center" vertical="center"/>
    </xf>
    <xf numFmtId="0" fontId="1" fillId="0" borderId="0" xfId="4" applyFill="1" applyBorder="1" applyAlignment="1">
      <alignment horizontal="center" vertical="center"/>
    </xf>
    <xf numFmtId="0" fontId="1" fillId="0" borderId="31" xfId="4" applyFill="1" applyBorder="1" applyAlignment="1">
      <alignment horizontal="center" vertical="center"/>
    </xf>
    <xf numFmtId="0" fontId="1" fillId="0" borderId="32" xfId="4" applyFill="1" applyBorder="1" applyAlignment="1">
      <alignment horizontal="center" vertical="center"/>
    </xf>
    <xf numFmtId="0" fontId="14" fillId="0" borderId="20" xfId="4" applyFont="1" applyBorder="1" applyAlignment="1">
      <alignment horizontal="left" vertical="center"/>
    </xf>
    <xf numFmtId="0" fontId="14" fillId="0" borderId="21" xfId="4" applyFont="1" applyBorder="1" applyAlignment="1">
      <alignment horizontal="left" vertical="center"/>
    </xf>
    <xf numFmtId="0" fontId="14" fillId="0" borderId="22" xfId="4" applyFont="1" applyBorder="1" applyAlignment="1">
      <alignment horizontal="left" vertical="center"/>
    </xf>
    <xf numFmtId="0" fontId="1" fillId="0" borderId="15" xfId="4" applyBorder="1" applyAlignment="1">
      <alignment horizontal="left" vertical="top" wrapText="1"/>
    </xf>
    <xf numFmtId="0" fontId="1" fillId="0" borderId="16" xfId="4" applyBorder="1" applyAlignment="1">
      <alignment horizontal="left" vertical="top" wrapText="1"/>
    </xf>
    <xf numFmtId="0" fontId="1" fillId="0" borderId="17" xfId="4" applyBorder="1" applyAlignment="1">
      <alignment horizontal="left" vertical="top" wrapText="1"/>
    </xf>
    <xf numFmtId="0" fontId="1" fillId="0" borderId="18" xfId="4" applyBorder="1" applyAlignment="1">
      <alignment horizontal="left" vertical="top" wrapText="1"/>
    </xf>
    <xf numFmtId="0" fontId="1" fillId="0" borderId="0" xfId="4" applyBorder="1" applyAlignment="1">
      <alignment horizontal="left" vertical="top" wrapText="1"/>
    </xf>
    <xf numFmtId="0" fontId="1" fillId="0" borderId="19" xfId="4" applyBorder="1" applyAlignment="1">
      <alignment horizontal="left" vertical="top" wrapText="1"/>
    </xf>
    <xf numFmtId="0" fontId="1" fillId="0" borderId="28" xfId="4" applyBorder="1" applyAlignment="1">
      <alignment horizontal="left" vertical="top" wrapText="1"/>
    </xf>
    <xf numFmtId="0" fontId="1" fillId="0" borderId="29" xfId="4" applyBorder="1" applyAlignment="1">
      <alignment horizontal="left" vertical="top" wrapText="1"/>
    </xf>
    <xf numFmtId="0" fontId="1" fillId="0" borderId="30" xfId="4" applyBorder="1" applyAlignment="1">
      <alignment horizontal="left" vertical="top" wrapText="1"/>
    </xf>
    <xf numFmtId="0" fontId="17" fillId="0" borderId="39" xfId="4" applyFont="1" applyFill="1" applyBorder="1" applyAlignment="1">
      <alignment horizontal="center" vertical="center" wrapText="1"/>
    </xf>
    <xf numFmtId="0" fontId="17" fillId="0" borderId="40" xfId="4" applyFont="1" applyFill="1" applyBorder="1" applyAlignment="1">
      <alignment horizontal="center" vertical="center" wrapText="1"/>
    </xf>
    <xf numFmtId="0" fontId="5" fillId="0" borderId="27" xfId="4" applyFont="1" applyFill="1" applyBorder="1" applyAlignment="1">
      <alignment horizontal="center" vertical="center" wrapText="1"/>
    </xf>
    <xf numFmtId="0" fontId="5" fillId="0" borderId="34" xfId="4" applyFont="1" applyFill="1" applyBorder="1" applyAlignment="1">
      <alignment horizontal="center" vertical="center" wrapText="1"/>
    </xf>
    <xf numFmtId="0" fontId="5" fillId="0" borderId="24" xfId="4" applyFont="1" applyFill="1" applyBorder="1" applyAlignment="1">
      <alignment horizontal="center" vertical="center" wrapText="1"/>
    </xf>
    <xf numFmtId="0" fontId="5" fillId="0" borderId="25" xfId="4" applyFont="1" applyFill="1" applyBorder="1" applyAlignment="1">
      <alignment horizontal="center" vertical="center" wrapText="1"/>
    </xf>
    <xf numFmtId="0" fontId="10" fillId="0" borderId="4" xfId="4" applyNumberFormat="1" applyFont="1" applyFill="1" applyBorder="1" applyAlignment="1" applyProtection="1">
      <alignment horizontal="center" vertical="center" wrapText="1"/>
    </xf>
    <xf numFmtId="0" fontId="10" fillId="0" borderId="14" xfId="4" applyNumberFormat="1" applyFont="1" applyFill="1" applyBorder="1" applyAlignment="1" applyProtection="1">
      <alignment horizontal="center" vertical="center" wrapText="1"/>
    </xf>
    <xf numFmtId="0" fontId="10" fillId="0" borderId="24" xfId="4" applyNumberFormat="1" applyFont="1" applyFill="1" applyBorder="1" applyAlignment="1" applyProtection="1">
      <alignment horizontal="center" vertical="center" wrapText="1"/>
    </xf>
    <xf numFmtId="0" fontId="10" fillId="0" borderId="25" xfId="4" applyNumberFormat="1" applyFont="1" applyFill="1" applyBorder="1" applyAlignment="1" applyProtection="1">
      <alignment horizontal="center" vertical="center" wrapText="1"/>
    </xf>
    <xf numFmtId="0" fontId="17" fillId="0" borderId="4" xfId="4" applyNumberFormat="1" applyFont="1" applyFill="1" applyBorder="1" applyAlignment="1" applyProtection="1">
      <alignment horizontal="center" vertical="center" wrapText="1"/>
    </xf>
    <xf numFmtId="0" fontId="17" fillId="0" borderId="14" xfId="4" applyNumberFormat="1" applyFont="1" applyFill="1" applyBorder="1" applyAlignment="1" applyProtection="1">
      <alignment horizontal="center" vertical="center" wrapText="1"/>
    </xf>
    <xf numFmtId="0" fontId="17" fillId="0" borderId="24" xfId="4" applyNumberFormat="1" applyFont="1" applyFill="1" applyBorder="1" applyAlignment="1" applyProtection="1">
      <alignment horizontal="center" vertical="center" wrapText="1"/>
    </xf>
    <xf numFmtId="0" fontId="17" fillId="0" borderId="25" xfId="4" applyNumberFormat="1" applyFont="1" applyFill="1" applyBorder="1" applyAlignment="1" applyProtection="1">
      <alignment horizontal="center" vertical="center" wrapText="1"/>
    </xf>
    <xf numFmtId="0" fontId="11" fillId="0" borderId="36" xfId="1" applyNumberFormat="1" applyFont="1" applyFill="1" applyBorder="1" applyAlignment="1" applyProtection="1">
      <alignment horizontal="center" vertical="center" wrapText="1"/>
    </xf>
    <xf numFmtId="0" fontId="11" fillId="0" borderId="37" xfId="1" applyNumberFormat="1" applyFont="1" applyFill="1" applyBorder="1" applyAlignment="1" applyProtection="1">
      <alignment horizontal="center" vertical="center" wrapText="1"/>
    </xf>
    <xf numFmtId="0" fontId="11" fillId="0" borderId="38" xfId="1" applyNumberFormat="1" applyFont="1" applyFill="1" applyBorder="1" applyAlignment="1" applyProtection="1">
      <alignment horizontal="center" vertical="center" wrapText="1"/>
    </xf>
    <xf numFmtId="0" fontId="1" fillId="0" borderId="15" xfId="7" applyBorder="1" applyAlignment="1">
      <alignment horizontal="left" vertical="top" wrapText="1"/>
    </xf>
    <xf numFmtId="0" fontId="1" fillId="0" borderId="16" xfId="7" applyBorder="1" applyAlignment="1">
      <alignment horizontal="left" vertical="top" wrapText="1"/>
    </xf>
    <xf numFmtId="0" fontId="1" fillId="0" borderId="17" xfId="7" applyBorder="1" applyAlignment="1">
      <alignment horizontal="left" vertical="top" wrapText="1"/>
    </xf>
    <xf numFmtId="0" fontId="1" fillId="0" borderId="18" xfId="7" applyBorder="1" applyAlignment="1">
      <alignment horizontal="left" vertical="top" wrapText="1"/>
    </xf>
    <xf numFmtId="0" fontId="1" fillId="0" borderId="0" xfId="7" applyBorder="1" applyAlignment="1">
      <alignment horizontal="left" vertical="top" wrapText="1"/>
    </xf>
    <xf numFmtId="0" fontId="1" fillId="0" borderId="19" xfId="7" applyBorder="1" applyAlignment="1">
      <alignment horizontal="left" vertical="top" wrapText="1"/>
    </xf>
    <xf numFmtId="0" fontId="1" fillId="0" borderId="28" xfId="7" applyBorder="1" applyAlignment="1">
      <alignment horizontal="left" vertical="top" wrapText="1"/>
    </xf>
    <xf numFmtId="0" fontId="1" fillId="0" borderId="29" xfId="7" applyBorder="1" applyAlignment="1">
      <alignment horizontal="left" vertical="top" wrapText="1"/>
    </xf>
    <xf numFmtId="0" fontId="1" fillId="0" borderId="30" xfId="7" applyBorder="1" applyAlignment="1">
      <alignment horizontal="left" vertical="top" wrapText="1"/>
    </xf>
    <xf numFmtId="0" fontId="16" fillId="0" borderId="24" xfId="7" applyFont="1" applyFill="1" applyBorder="1" applyAlignment="1">
      <alignment horizontal="center" vertical="center"/>
    </xf>
    <xf numFmtId="0" fontId="16" fillId="0" borderId="29" xfId="7" applyFont="1" applyFill="1" applyBorder="1" applyAlignment="1">
      <alignment horizontal="center" vertical="center"/>
    </xf>
    <xf numFmtId="0" fontId="10" fillId="0" borderId="4" xfId="7" applyNumberFormat="1" applyFont="1" applyFill="1" applyBorder="1" applyAlignment="1" applyProtection="1">
      <alignment horizontal="center" vertical="center" wrapText="1"/>
    </xf>
    <xf numFmtId="0" fontId="10" fillId="0" borderId="14" xfId="7" applyNumberFormat="1" applyFont="1" applyFill="1" applyBorder="1" applyAlignment="1" applyProtection="1">
      <alignment horizontal="center" vertical="center" wrapText="1"/>
    </xf>
    <xf numFmtId="0" fontId="10" fillId="0" borderId="24" xfId="7" applyNumberFormat="1" applyFont="1" applyFill="1" applyBorder="1" applyAlignment="1" applyProtection="1">
      <alignment horizontal="center" vertical="center" wrapText="1"/>
    </xf>
    <xf numFmtId="0" fontId="10" fillId="0" borderId="25" xfId="7" applyNumberFormat="1" applyFont="1" applyFill="1" applyBorder="1" applyAlignment="1" applyProtection="1">
      <alignment horizontal="center" vertical="center" wrapText="1"/>
    </xf>
    <xf numFmtId="0" fontId="11" fillId="0" borderId="36" xfId="7" applyNumberFormat="1" applyFont="1" applyFill="1" applyBorder="1" applyAlignment="1" applyProtection="1">
      <alignment horizontal="center" vertical="center" wrapText="1"/>
    </xf>
    <xf numFmtId="0" fontId="11" fillId="0" borderId="37" xfId="7" applyNumberFormat="1" applyFont="1" applyFill="1" applyBorder="1" applyAlignment="1" applyProtection="1">
      <alignment horizontal="center" vertical="center" wrapText="1"/>
    </xf>
    <xf numFmtId="0" fontId="11" fillId="7" borderId="36" xfId="7" applyNumberFormat="1" applyFont="1" applyFill="1" applyBorder="1" applyAlignment="1" applyProtection="1">
      <alignment horizontal="center" vertical="center" wrapText="1"/>
    </xf>
    <xf numFmtId="0" fontId="11" fillId="7" borderId="38" xfId="7" applyNumberFormat="1" applyFont="1" applyFill="1" applyBorder="1" applyAlignment="1" applyProtection="1">
      <alignment horizontal="center" vertical="center" wrapText="1"/>
    </xf>
    <xf numFmtId="0" fontId="11" fillId="7" borderId="37" xfId="7" applyNumberFormat="1" applyFont="1" applyFill="1" applyBorder="1" applyAlignment="1" applyProtection="1">
      <alignment horizontal="center" vertical="center" wrapText="1"/>
    </xf>
    <xf numFmtId="0" fontId="18" fillId="0" borderId="15" xfId="7" applyFont="1" applyBorder="1" applyAlignment="1">
      <alignment horizontal="left" vertical="center" wrapText="1"/>
    </xf>
    <xf numFmtId="0" fontId="18" fillId="0" borderId="16" xfId="7" applyFont="1" applyBorder="1" applyAlignment="1">
      <alignment horizontal="left" vertical="center"/>
    </xf>
    <xf numFmtId="0" fontId="18" fillId="0" borderId="17" xfId="7" applyFont="1" applyBorder="1" applyAlignment="1">
      <alignment horizontal="left" vertical="center"/>
    </xf>
    <xf numFmtId="0" fontId="18" fillId="0" borderId="18" xfId="7" applyFont="1" applyBorder="1" applyAlignment="1">
      <alignment horizontal="left" vertical="center"/>
    </xf>
    <xf numFmtId="0" fontId="18" fillId="0" borderId="0" xfId="7" applyFont="1" applyBorder="1" applyAlignment="1">
      <alignment horizontal="left" vertical="center"/>
    </xf>
    <xf numFmtId="0" fontId="18" fillId="0" borderId="19" xfId="7" applyFont="1" applyBorder="1" applyAlignment="1">
      <alignment horizontal="left" vertical="center"/>
    </xf>
    <xf numFmtId="0" fontId="18" fillId="0" borderId="28" xfId="7" applyFont="1" applyBorder="1" applyAlignment="1">
      <alignment horizontal="left" vertical="center"/>
    </xf>
    <xf numFmtId="0" fontId="18" fillId="0" borderId="29" xfId="7" applyFont="1" applyBorder="1" applyAlignment="1">
      <alignment horizontal="left" vertical="center"/>
    </xf>
    <xf numFmtId="0" fontId="18" fillId="0" borderId="30" xfId="7" applyFont="1" applyBorder="1" applyAlignment="1">
      <alignment horizontal="left" vertical="center"/>
    </xf>
    <xf numFmtId="0" fontId="14" fillId="0" borderId="15" xfId="7" applyFont="1" applyBorder="1" applyAlignment="1">
      <alignment horizontal="left" vertical="center" wrapText="1"/>
    </xf>
    <xf numFmtId="0" fontId="14" fillId="0" borderId="16" xfId="7" applyFont="1" applyBorder="1" applyAlignment="1">
      <alignment horizontal="left" vertical="center"/>
    </xf>
    <xf numFmtId="0" fontId="14" fillId="0" borderId="17" xfId="7" applyFont="1" applyBorder="1" applyAlignment="1">
      <alignment horizontal="left" vertical="center"/>
    </xf>
    <xf numFmtId="0" fontId="14" fillId="0" borderId="18" xfId="7" applyFont="1" applyBorder="1" applyAlignment="1">
      <alignment horizontal="left" vertical="center"/>
    </xf>
    <xf numFmtId="0" fontId="14" fillId="0" borderId="0" xfId="7" applyFont="1" applyBorder="1" applyAlignment="1">
      <alignment horizontal="left" vertical="center"/>
    </xf>
    <xf numFmtId="0" fontId="14" fillId="0" borderId="19" xfId="7" applyFont="1" applyBorder="1" applyAlignment="1">
      <alignment horizontal="left" vertical="center"/>
    </xf>
    <xf numFmtId="0" fontId="14" fillId="0" borderId="28" xfId="7" applyFont="1" applyBorder="1" applyAlignment="1">
      <alignment horizontal="left" vertical="center"/>
    </xf>
    <xf numFmtId="0" fontId="14" fillId="0" borderId="29" xfId="7" applyFont="1" applyBorder="1" applyAlignment="1">
      <alignment horizontal="left" vertical="center"/>
    </xf>
    <xf numFmtId="0" fontId="14" fillId="0" borderId="30" xfId="7" applyFont="1" applyBorder="1" applyAlignment="1">
      <alignment horizontal="left" vertical="center"/>
    </xf>
    <xf numFmtId="0" fontId="11" fillId="0" borderId="38" xfId="7" applyNumberFormat="1" applyFont="1" applyFill="1" applyBorder="1" applyAlignment="1" applyProtection="1">
      <alignment horizontal="center" vertical="center" wrapText="1"/>
    </xf>
    <xf numFmtId="0" fontId="14" fillId="0" borderId="15" xfId="7" applyFont="1" applyBorder="1" applyAlignment="1">
      <alignment horizontal="left" vertical="center"/>
    </xf>
    <xf numFmtId="0" fontId="17" fillId="0" borderId="1" xfId="7" applyNumberFormat="1" applyFont="1" applyFill="1" applyBorder="1" applyAlignment="1" applyProtection="1">
      <alignment horizontal="center" vertical="center" wrapText="1"/>
    </xf>
    <xf numFmtId="0" fontId="17" fillId="0" borderId="3" xfId="7" applyNumberFormat="1" applyFont="1" applyFill="1" applyBorder="1" applyAlignment="1" applyProtection="1">
      <alignment horizontal="center" vertical="center" wrapText="1"/>
    </xf>
    <xf numFmtId="0" fontId="17" fillId="0" borderId="36" xfId="7" applyNumberFormat="1" applyFont="1" applyFill="1" applyBorder="1" applyAlignment="1" applyProtection="1">
      <alignment horizontal="center" vertical="center" wrapText="1"/>
    </xf>
    <xf numFmtId="0" fontId="17" fillId="0" borderId="37" xfId="7" applyNumberFormat="1" applyFont="1" applyFill="1" applyBorder="1" applyAlignment="1" applyProtection="1">
      <alignment horizontal="center" vertical="center" wrapText="1"/>
    </xf>
    <xf numFmtId="0" fontId="17" fillId="0" borderId="31" xfId="7" applyNumberFormat="1" applyFont="1" applyFill="1" applyBorder="1" applyAlignment="1" applyProtection="1">
      <alignment horizontal="center" vertical="center" wrapText="1"/>
    </xf>
    <xf numFmtId="0" fontId="17" fillId="0" borderId="74" xfId="7" applyNumberFormat="1" applyFont="1" applyFill="1" applyBorder="1" applyAlignment="1" applyProtection="1">
      <alignment horizontal="center" vertical="center" wrapText="1"/>
    </xf>
    <xf numFmtId="0" fontId="34" fillId="0" borderId="41" xfId="1" applyFont="1" applyFill="1" applyBorder="1" applyAlignment="1">
      <alignment horizontal="center" vertical="center"/>
    </xf>
    <xf numFmtId="0" fontId="34" fillId="0" borderId="42" xfId="1" applyFont="1" applyFill="1" applyBorder="1" applyAlignment="1">
      <alignment horizontal="center" vertical="center"/>
    </xf>
    <xf numFmtId="0" fontId="34" fillId="0" borderId="61" xfId="1" applyFont="1" applyFill="1" applyBorder="1" applyAlignment="1">
      <alignment horizontal="center" vertical="center"/>
    </xf>
    <xf numFmtId="0" fontId="34" fillId="0" borderId="43" xfId="1" applyFont="1" applyFill="1" applyBorder="1" applyAlignment="1">
      <alignment horizontal="center" vertical="center"/>
    </xf>
    <xf numFmtId="0" fontId="34" fillId="0" borderId="59" xfId="1" applyFont="1" applyFill="1" applyBorder="1" applyAlignment="1">
      <alignment horizontal="center" vertical="center"/>
    </xf>
    <xf numFmtId="0" fontId="34" fillId="0" borderId="70" xfId="1" applyFont="1" applyFill="1" applyBorder="1" applyAlignment="1">
      <alignment horizontal="center" vertical="center"/>
    </xf>
    <xf numFmtId="0" fontId="34" fillId="0" borderId="56" xfId="1" applyFont="1" applyFill="1" applyBorder="1" applyAlignment="1">
      <alignment horizontal="center" vertical="center"/>
    </xf>
    <xf numFmtId="0" fontId="34" fillId="0" borderId="73" xfId="1" applyFont="1" applyFill="1" applyBorder="1" applyAlignment="1">
      <alignment horizontal="center" vertical="center"/>
    </xf>
    <xf numFmtId="0" fontId="34" fillId="0" borderId="62" xfId="1" applyFont="1" applyFill="1" applyBorder="1" applyAlignment="1">
      <alignment horizontal="center" vertical="center"/>
    </xf>
    <xf numFmtId="0" fontId="34" fillId="0" borderId="68" xfId="1" applyFont="1" applyFill="1" applyBorder="1" applyAlignment="1">
      <alignment horizontal="center" vertical="center"/>
    </xf>
    <xf numFmtId="0" fontId="34" fillId="0" borderId="55" xfId="1" applyFont="1" applyFill="1" applyBorder="1" applyAlignment="1">
      <alignment horizontal="center" vertical="center"/>
    </xf>
    <xf numFmtId="0" fontId="34" fillId="0" borderId="71" xfId="1" applyFont="1" applyFill="1" applyBorder="1" applyAlignment="1">
      <alignment horizontal="center" vertical="center"/>
    </xf>
    <xf numFmtId="0" fontId="34" fillId="0" borderId="69" xfId="1" applyFont="1" applyFill="1" applyBorder="1" applyAlignment="1">
      <alignment horizontal="center" vertical="center"/>
    </xf>
    <xf numFmtId="0" fontId="34" fillId="0" borderId="72" xfId="1" applyFont="1" applyFill="1" applyBorder="1" applyAlignment="1">
      <alignment horizontal="center" vertical="center"/>
    </xf>
    <xf numFmtId="0" fontId="34" fillId="0" borderId="41" xfId="1" applyFont="1" applyFill="1" applyBorder="1" applyAlignment="1">
      <alignment horizontal="left" vertical="center"/>
    </xf>
    <xf numFmtId="0" fontId="34" fillId="0" borderId="51" xfId="1" applyFont="1" applyFill="1" applyBorder="1" applyAlignment="1">
      <alignment horizontal="center" vertical="center" wrapText="1"/>
    </xf>
    <xf numFmtId="0" fontId="34" fillId="0" borderId="64" xfId="1" applyFont="1" applyFill="1" applyBorder="1" applyAlignment="1">
      <alignment horizontal="center" vertical="center" wrapText="1"/>
    </xf>
    <xf numFmtId="0" fontId="34" fillId="0" borderId="68" xfId="1" applyFont="1" applyFill="1" applyBorder="1" applyAlignment="1">
      <alignment horizontal="center" vertical="center" wrapText="1"/>
    </xf>
    <xf numFmtId="0" fontId="34" fillId="0" borderId="52" xfId="1" applyFont="1" applyFill="1" applyBorder="1" applyAlignment="1">
      <alignment horizontal="left" vertical="center" wrapText="1"/>
    </xf>
    <xf numFmtId="0" fontId="34" fillId="0" borderId="52" xfId="1" applyFont="1" applyFill="1" applyBorder="1" applyAlignment="1">
      <alignment horizontal="left" vertical="center"/>
    </xf>
    <xf numFmtId="0" fontId="34" fillId="0" borderId="65" xfId="1" applyFont="1" applyFill="1" applyBorder="1" applyAlignment="1">
      <alignment horizontal="left" vertical="center" wrapText="1"/>
    </xf>
    <xf numFmtId="0" fontId="34" fillId="0" borderId="65" xfId="1" applyFont="1" applyFill="1" applyBorder="1" applyAlignment="1">
      <alignment horizontal="left" vertical="center"/>
    </xf>
    <xf numFmtId="0" fontId="34" fillId="0" borderId="52" xfId="1" applyFont="1" applyFill="1" applyBorder="1" applyAlignment="1">
      <alignment horizontal="center" vertical="center"/>
    </xf>
    <xf numFmtId="0" fontId="34" fillId="0" borderId="65" xfId="1" applyFont="1" applyFill="1" applyBorder="1" applyAlignment="1">
      <alignment horizontal="center" vertical="center"/>
    </xf>
    <xf numFmtId="0" fontId="34" fillId="0" borderId="52" xfId="1" applyFont="1" applyFill="1" applyBorder="1" applyAlignment="1">
      <alignment horizontal="center" vertical="center" wrapText="1"/>
    </xf>
    <xf numFmtId="0" fontId="34" fillId="0" borderId="65" xfId="1" applyFont="1" applyFill="1" applyBorder="1" applyAlignment="1">
      <alignment horizontal="center" vertical="center" wrapText="1"/>
    </xf>
    <xf numFmtId="0" fontId="34" fillId="0" borderId="63" xfId="1" applyFont="1" applyFill="1" applyBorder="1" applyAlignment="1">
      <alignment horizontal="center" vertical="center"/>
    </xf>
    <xf numFmtId="0" fontId="34" fillId="0" borderId="53" xfId="1" applyFont="1" applyFill="1" applyBorder="1" applyAlignment="1">
      <alignment horizontal="center" vertical="center"/>
    </xf>
    <xf numFmtId="0" fontId="34" fillId="0" borderId="66" xfId="1" applyFont="1" applyFill="1" applyBorder="1" applyAlignment="1">
      <alignment horizontal="center" vertical="center"/>
    </xf>
    <xf numFmtId="0" fontId="34" fillId="0" borderId="67" xfId="1" applyFont="1" applyFill="1" applyBorder="1" applyAlignment="1">
      <alignment horizontal="center" vertical="center"/>
    </xf>
    <xf numFmtId="0" fontId="30" fillId="0" borderId="11" xfId="1" applyFont="1" applyBorder="1" applyAlignment="1">
      <alignment horizontal="center" vertical="center" wrapText="1"/>
    </xf>
    <xf numFmtId="0" fontId="30" fillId="0" borderId="12" xfId="1" applyFont="1" applyBorder="1" applyAlignment="1">
      <alignment horizontal="center" vertical="center" wrapText="1"/>
    </xf>
    <xf numFmtId="0" fontId="30" fillId="0" borderId="13" xfId="1" applyFont="1" applyBorder="1" applyAlignment="1">
      <alignment horizontal="center" vertical="center" wrapText="1"/>
    </xf>
    <xf numFmtId="0" fontId="31" fillId="0" borderId="51" xfId="1" applyFont="1" applyBorder="1" applyAlignment="1">
      <alignment horizontal="center" vertical="center"/>
    </xf>
    <xf numFmtId="0" fontId="32" fillId="0" borderId="52" xfId="1" applyFont="1" applyBorder="1" applyAlignment="1">
      <alignment horizontal="center" vertical="center"/>
    </xf>
    <xf numFmtId="0" fontId="32" fillId="0" borderId="53" xfId="1" applyFont="1" applyBorder="1" applyAlignment="1">
      <alignment horizontal="center" vertical="center"/>
    </xf>
    <xf numFmtId="0" fontId="32" fillId="0" borderId="55" xfId="1" applyFont="1" applyBorder="1" applyAlignment="1">
      <alignment horizontal="center" vertical="center"/>
    </xf>
    <xf numFmtId="0" fontId="32" fillId="0" borderId="42" xfId="1" applyFont="1" applyBorder="1" applyAlignment="1">
      <alignment horizontal="center" vertical="center"/>
    </xf>
    <xf numFmtId="0" fontId="32" fillId="0" borderId="56" xfId="1" applyFont="1" applyBorder="1" applyAlignment="1">
      <alignment horizontal="center" vertical="center"/>
    </xf>
    <xf numFmtId="0" fontId="32" fillId="0" borderId="54" xfId="1" applyFont="1" applyBorder="1" applyAlignment="1">
      <alignment horizontal="center" vertical="center" wrapText="1"/>
    </xf>
    <xf numFmtId="0" fontId="32" fillId="0" borderId="52" xfId="1" applyFont="1" applyBorder="1" applyAlignment="1">
      <alignment horizontal="center" vertical="center" wrapText="1"/>
    </xf>
    <xf numFmtId="0" fontId="32" fillId="0" borderId="53" xfId="1" applyFont="1" applyBorder="1" applyAlignment="1">
      <alignment horizontal="center" vertical="center" wrapText="1"/>
    </xf>
    <xf numFmtId="0" fontId="32" fillId="0" borderId="57" xfId="1" applyFont="1" applyBorder="1" applyAlignment="1">
      <alignment horizontal="center" vertical="center" wrapText="1"/>
    </xf>
    <xf numFmtId="0" fontId="32" fillId="0" borderId="42" xfId="1" applyFont="1" applyBorder="1" applyAlignment="1">
      <alignment horizontal="center" vertical="center" wrapText="1"/>
    </xf>
    <xf numFmtId="0" fontId="32" fillId="0" borderId="56" xfId="1" applyFont="1" applyBorder="1" applyAlignment="1">
      <alignment horizontal="center" vertical="center" wrapText="1"/>
    </xf>
    <xf numFmtId="0" fontId="33" fillId="0" borderId="15" xfId="1" applyFont="1" applyBorder="1" applyAlignment="1">
      <alignment horizontal="left" vertical="center" wrapText="1" indent="2"/>
    </xf>
    <xf numFmtId="0" fontId="33" fillId="0" borderId="16" xfId="1" applyFont="1" applyBorder="1" applyAlignment="1">
      <alignment horizontal="left" vertical="center" wrapText="1" indent="2"/>
    </xf>
    <xf numFmtId="0" fontId="33" fillId="0" borderId="17" xfId="1" applyFont="1" applyBorder="1" applyAlignment="1">
      <alignment horizontal="left" vertical="center" wrapText="1" indent="2"/>
    </xf>
    <xf numFmtId="0" fontId="34" fillId="0" borderId="54" xfId="1" applyFont="1" applyBorder="1" applyAlignment="1">
      <alignment vertical="center" wrapText="1"/>
    </xf>
    <xf numFmtId="0" fontId="35" fillId="0" borderId="52" xfId="1" applyFont="1" applyBorder="1" applyAlignment="1">
      <alignment vertical="center" wrapText="1"/>
    </xf>
    <xf numFmtId="0" fontId="35" fillId="0" borderId="53" xfId="1" applyFont="1" applyBorder="1" applyAlignment="1">
      <alignment vertical="center" wrapText="1"/>
    </xf>
    <xf numFmtId="0" fontId="35" fillId="0" borderId="58" xfId="1" applyFont="1" applyBorder="1" applyAlignment="1">
      <alignment vertical="center" wrapText="1"/>
    </xf>
    <xf numFmtId="0" fontId="35" fillId="0" borderId="41" xfId="1" applyFont="1" applyBorder="1" applyAlignment="1">
      <alignment vertical="center" wrapText="1"/>
    </xf>
    <xf numFmtId="0" fontId="35" fillId="0" borderId="59" xfId="1" applyFont="1" applyBorder="1" applyAlignment="1">
      <alignment vertical="center" wrapText="1"/>
    </xf>
    <xf numFmtId="0" fontId="35" fillId="0" borderId="60" xfId="1" applyFont="1" applyBorder="1" applyAlignment="1">
      <alignment vertical="center" wrapText="1"/>
    </xf>
    <xf numFmtId="0" fontId="35" fillId="0" borderId="61" xfId="1" applyFont="1" applyBorder="1" applyAlignment="1">
      <alignment vertical="center" wrapText="1"/>
    </xf>
    <xf numFmtId="0" fontId="35" fillId="0" borderId="62" xfId="1" applyFont="1" applyBorder="1" applyAlignment="1">
      <alignment vertical="center" wrapText="1"/>
    </xf>
    <xf numFmtId="0" fontId="33" fillId="0" borderId="18" xfId="1" applyFont="1" applyBorder="1" applyAlignment="1">
      <alignment vertical="center" wrapText="1"/>
    </xf>
    <xf numFmtId="0" fontId="33" fillId="0" borderId="0" xfId="1" applyFont="1" applyBorder="1" applyAlignment="1">
      <alignment vertical="center" wrapText="1"/>
    </xf>
    <xf numFmtId="0" fontId="33" fillId="0" borderId="19" xfId="1" applyFont="1" applyBorder="1" applyAlignment="1">
      <alignment vertical="center" wrapText="1"/>
    </xf>
    <xf numFmtId="0" fontId="33" fillId="0" borderId="0" xfId="1" applyFont="1" applyBorder="1" applyAlignment="1">
      <alignment vertical="center"/>
    </xf>
    <xf numFmtId="0" fontId="33" fillId="0" borderId="19" xfId="1" applyFont="1" applyBorder="1" applyAlignment="1">
      <alignment vertical="center"/>
    </xf>
    <xf numFmtId="0" fontId="33" fillId="0" borderId="18" xfId="1" applyFont="1" applyBorder="1" applyAlignment="1">
      <alignment vertical="center"/>
    </xf>
    <xf numFmtId="0" fontId="33" fillId="0" borderId="28" xfId="1" applyFont="1" applyBorder="1" applyAlignment="1">
      <alignment vertical="center"/>
    </xf>
    <xf numFmtId="0" fontId="33" fillId="0" borderId="29" xfId="1" applyFont="1" applyBorder="1" applyAlignment="1">
      <alignment vertical="center"/>
    </xf>
    <xf numFmtId="0" fontId="33" fillId="0" borderId="30" xfId="1" applyFont="1" applyBorder="1" applyAlignment="1">
      <alignment vertical="center"/>
    </xf>
  </cellXfs>
  <cellStyles count="11">
    <cellStyle name="백분율" xfId="6" builtinId="5"/>
    <cellStyle name="표준" xfId="0" builtinId="0"/>
    <cellStyle name="표준 2" xfId="1"/>
    <cellStyle name="표준 2 10" xfId="4"/>
    <cellStyle name="표준 2 10 17" xfId="9"/>
    <cellStyle name="표준 2 10 18" xfId="8"/>
    <cellStyle name="표준 2 10 20" xfId="7"/>
    <cellStyle name="표준 2 2" xfId="2"/>
    <cellStyle name="표준 2 3" xfId="3"/>
    <cellStyle name="표준 2 3 6" xfId="5"/>
    <cellStyle name="표준 2 3 6 20" xfId="10"/>
  </cellStyles>
  <dxfs count="3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78"/>
  <sheetViews>
    <sheetView topLeftCell="A2" zoomScale="85" zoomScaleNormal="85" zoomScalePageLayoutView="80" workbookViewId="0">
      <selection activeCell="U9" sqref="U9:Z18"/>
    </sheetView>
  </sheetViews>
  <sheetFormatPr defaultRowHeight="16.5" x14ac:dyDescent="0.15"/>
  <cols>
    <col min="1" max="1" width="4.33203125" style="217" customWidth="1"/>
    <col min="2" max="2" width="13.33203125" style="320" customWidth="1"/>
    <col min="3" max="4" width="15.83203125" style="320" customWidth="1"/>
    <col min="5" max="11" width="15.83203125" style="217" customWidth="1"/>
    <col min="12" max="12" width="3.5" style="329" customWidth="1"/>
    <col min="13" max="17" width="15.83203125" style="217" customWidth="1"/>
    <col min="18" max="18" width="15.83203125" style="368" customWidth="1"/>
    <col min="19" max="19" width="15.83203125" style="217" customWidth="1"/>
    <col min="20" max="20" width="2.1640625" style="217" customWidth="1"/>
    <col min="21" max="26" width="10.83203125" style="218" customWidth="1"/>
    <col min="27" max="27" width="10" style="219" bestFit="1" customWidth="1"/>
    <col min="28" max="16384" width="9.33203125" style="217"/>
  </cols>
  <sheetData>
    <row r="1" spans="1:27" ht="16.5" hidden="1" customHeight="1" x14ac:dyDescent="0.15">
      <c r="A1" s="606" t="s">
        <v>74</v>
      </c>
      <c r="B1" s="607"/>
      <c r="C1" s="607"/>
      <c r="D1" s="607"/>
      <c r="E1" s="607"/>
      <c r="F1" s="607"/>
      <c r="G1" s="607"/>
      <c r="H1" s="607"/>
      <c r="I1" s="607"/>
      <c r="J1" s="607"/>
      <c r="K1" s="607"/>
      <c r="L1" s="607"/>
      <c r="M1" s="607"/>
      <c r="N1" s="607"/>
      <c r="O1" s="607"/>
      <c r="P1" s="607"/>
      <c r="Q1" s="608"/>
      <c r="R1" s="216"/>
    </row>
    <row r="2" spans="1:27" ht="18" customHeight="1" x14ac:dyDescent="0.15">
      <c r="A2" s="609" t="s">
        <v>964</v>
      </c>
      <c r="B2" s="610"/>
      <c r="C2" s="610"/>
      <c r="D2" s="610"/>
      <c r="E2" s="610"/>
      <c r="F2" s="610"/>
      <c r="G2" s="610"/>
      <c r="H2" s="610"/>
      <c r="I2" s="610"/>
      <c r="J2" s="610"/>
      <c r="K2" s="610"/>
      <c r="L2" s="610"/>
      <c r="M2" s="610"/>
      <c r="N2" s="610"/>
      <c r="O2" s="610"/>
      <c r="P2" s="610"/>
      <c r="Q2" s="610"/>
      <c r="R2" s="220"/>
      <c r="U2" s="540"/>
      <c r="V2" s="540"/>
      <c r="W2" s="540"/>
      <c r="X2" s="540"/>
      <c r="Y2" s="540"/>
      <c r="Z2" s="540"/>
    </row>
    <row r="3" spans="1:27" ht="21" customHeight="1" thickBot="1" x14ac:dyDescent="0.2">
      <c r="A3" s="221"/>
      <c r="B3" s="222" t="s">
        <v>75</v>
      </c>
      <c r="C3" s="223" t="s">
        <v>76</v>
      </c>
      <c r="D3" s="223" t="s">
        <v>77</v>
      </c>
      <c r="E3" s="224" t="s">
        <v>0</v>
      </c>
      <c r="F3" s="224" t="s">
        <v>1</v>
      </c>
      <c r="G3" s="223" t="s">
        <v>2</v>
      </c>
      <c r="H3" s="223" t="s">
        <v>377</v>
      </c>
      <c r="I3" s="224" t="s">
        <v>4</v>
      </c>
      <c r="J3" s="223" t="s">
        <v>5</v>
      </c>
      <c r="K3" s="223" t="s">
        <v>78</v>
      </c>
      <c r="L3" s="225" t="s">
        <v>7</v>
      </c>
      <c r="M3" s="224" t="s">
        <v>8</v>
      </c>
      <c r="N3" s="223" t="s">
        <v>9</v>
      </c>
      <c r="O3" s="223" t="s">
        <v>10</v>
      </c>
      <c r="P3" s="223" t="s">
        <v>11</v>
      </c>
      <c r="Q3" s="223" t="s">
        <v>12</v>
      </c>
      <c r="R3" s="226">
        <f>AVERAGE(R4:R32)</f>
        <v>0.94871794871794879</v>
      </c>
      <c r="U3" s="611"/>
      <c r="V3" s="611"/>
      <c r="W3" s="611"/>
      <c r="X3" s="611"/>
      <c r="Y3" s="611"/>
      <c r="Z3" s="611"/>
    </row>
    <row r="4" spans="1:27" s="237" customFormat="1" ht="27.95" customHeight="1" thickBot="1" x14ac:dyDescent="0.2">
      <c r="A4" s="227">
        <v>1</v>
      </c>
      <c r="B4" s="228" t="s">
        <v>378</v>
      </c>
      <c r="C4" s="604"/>
      <c r="D4" s="605"/>
      <c r="E4" s="229" t="s">
        <v>379</v>
      </c>
      <c r="F4" s="229" t="s">
        <v>380</v>
      </c>
      <c r="G4" s="230" t="s">
        <v>381</v>
      </c>
      <c r="H4" s="231" t="s">
        <v>382</v>
      </c>
      <c r="I4" s="229" t="s">
        <v>724</v>
      </c>
      <c r="J4" s="232" t="s">
        <v>384</v>
      </c>
      <c r="K4" s="229" t="s">
        <v>385</v>
      </c>
      <c r="L4" s="233"/>
      <c r="M4" s="234" t="s">
        <v>386</v>
      </c>
      <c r="N4" s="231" t="s">
        <v>387</v>
      </c>
      <c r="O4" s="241" t="s">
        <v>706</v>
      </c>
      <c r="P4" s="231" t="s">
        <v>389</v>
      </c>
      <c r="Q4" s="231" t="s">
        <v>88</v>
      </c>
      <c r="R4" s="235">
        <f>(COUNTA(C4:Q4))/12</f>
        <v>1</v>
      </c>
      <c r="S4" s="236"/>
      <c r="U4" s="612" t="s">
        <v>313</v>
      </c>
      <c r="V4" s="613"/>
      <c r="W4" s="613"/>
      <c r="X4" s="613"/>
      <c r="Y4" s="613"/>
      <c r="Z4" s="614"/>
      <c r="AA4" s="238"/>
    </row>
    <row r="5" spans="1:27" s="237" customFormat="1" ht="27.95" customHeight="1" x14ac:dyDescent="0.15">
      <c r="A5" s="239">
        <v>2</v>
      </c>
      <c r="B5" s="240" t="s">
        <v>390</v>
      </c>
      <c r="C5" s="598"/>
      <c r="D5" s="599"/>
      <c r="E5" s="229"/>
      <c r="F5" s="229" t="s">
        <v>90</v>
      </c>
      <c r="G5" s="229" t="s">
        <v>386</v>
      </c>
      <c r="H5" s="231" t="s">
        <v>106</v>
      </c>
      <c r="I5" s="241" t="s">
        <v>392</v>
      </c>
      <c r="J5" s="229" t="s">
        <v>393</v>
      </c>
      <c r="K5" s="229" t="s">
        <v>388</v>
      </c>
      <c r="L5" s="231"/>
      <c r="M5" s="229" t="s">
        <v>756</v>
      </c>
      <c r="N5" s="229"/>
      <c r="O5" s="234" t="s">
        <v>396</v>
      </c>
      <c r="P5" s="411" t="s">
        <v>1020</v>
      </c>
      <c r="Q5" s="5" t="s">
        <v>711</v>
      </c>
      <c r="R5" s="235">
        <f>(COUNTA(C5:Q5))/12</f>
        <v>0.83333333333333337</v>
      </c>
      <c r="S5" s="236"/>
      <c r="U5" s="615"/>
      <c r="V5" s="616"/>
      <c r="W5" s="616"/>
      <c r="X5" s="616"/>
      <c r="Y5" s="616"/>
      <c r="Z5" s="617"/>
      <c r="AA5" s="238"/>
    </row>
    <row r="6" spans="1:27" s="237" customFormat="1" ht="27.95" customHeight="1" x14ac:dyDescent="0.15">
      <c r="A6" s="239">
        <v>3</v>
      </c>
      <c r="B6" s="242" t="s">
        <v>398</v>
      </c>
      <c r="C6" s="598"/>
      <c r="D6" s="599"/>
      <c r="E6" s="229" t="s">
        <v>399</v>
      </c>
      <c r="F6" s="243" t="s">
        <v>128</v>
      </c>
      <c r="G6" s="229" t="s">
        <v>392</v>
      </c>
      <c r="H6" s="229" t="s">
        <v>400</v>
      </c>
      <c r="I6" s="229" t="s">
        <v>401</v>
      </c>
      <c r="J6" s="229" t="s">
        <v>402</v>
      </c>
      <c r="K6" s="411" t="s">
        <v>1027</v>
      </c>
      <c r="L6" s="229"/>
      <c r="M6" s="229" t="s">
        <v>404</v>
      </c>
      <c r="N6" s="241" t="s">
        <v>405</v>
      </c>
      <c r="O6" s="241" t="s">
        <v>406</v>
      </c>
      <c r="P6" s="244" t="s">
        <v>407</v>
      </c>
      <c r="Q6" s="229" t="s">
        <v>717</v>
      </c>
      <c r="R6" s="235">
        <f>(COUNTA(C6:Q6))/12</f>
        <v>1</v>
      </c>
      <c r="S6" s="236"/>
      <c r="U6" s="618"/>
      <c r="V6" s="619"/>
      <c r="W6" s="619"/>
      <c r="X6" s="619"/>
      <c r="Y6" s="619"/>
      <c r="Z6" s="620"/>
      <c r="AA6" s="238"/>
    </row>
    <row r="7" spans="1:27" s="237" customFormat="1" ht="27.75" customHeight="1" thickBot="1" x14ac:dyDescent="0.2">
      <c r="A7" s="239">
        <v>4</v>
      </c>
      <c r="B7" s="245" t="s">
        <v>409</v>
      </c>
      <c r="C7" s="598"/>
      <c r="D7" s="599"/>
      <c r="E7" s="229" t="s">
        <v>408</v>
      </c>
      <c r="F7" s="231" t="s">
        <v>389</v>
      </c>
      <c r="G7" s="243" t="s">
        <v>393</v>
      </c>
      <c r="H7" s="229" t="s">
        <v>410</v>
      </c>
      <c r="I7" s="229" t="s">
        <v>403</v>
      </c>
      <c r="J7" s="229" t="s">
        <v>280</v>
      </c>
      <c r="K7" s="229" t="s">
        <v>411</v>
      </c>
      <c r="L7" s="229"/>
      <c r="M7" s="5" t="s">
        <v>711</v>
      </c>
      <c r="N7" s="5" t="s">
        <v>412</v>
      </c>
      <c r="O7" s="229" t="s">
        <v>413</v>
      </c>
      <c r="P7" s="229" t="s">
        <v>414</v>
      </c>
      <c r="Q7" s="246" t="s">
        <v>415</v>
      </c>
      <c r="R7" s="235">
        <f>(COUNTA(C7:Q7))/12</f>
        <v>1</v>
      </c>
      <c r="S7" s="236"/>
      <c r="U7" s="621"/>
      <c r="V7" s="622"/>
      <c r="W7" s="622"/>
      <c r="X7" s="622"/>
      <c r="Y7" s="622"/>
      <c r="Z7" s="623"/>
      <c r="AA7" s="238"/>
    </row>
    <row r="8" spans="1:27" s="237" customFormat="1" ht="27.95" customHeight="1" thickBot="1" x14ac:dyDescent="0.2">
      <c r="A8" s="239">
        <v>5</v>
      </c>
      <c r="B8" s="6" t="s">
        <v>416</v>
      </c>
      <c r="C8" s="598"/>
      <c r="D8" s="599"/>
      <c r="E8" s="229" t="s">
        <v>756</v>
      </c>
      <c r="F8" s="230" t="s">
        <v>104</v>
      </c>
      <c r="G8" s="170" t="s">
        <v>418</v>
      </c>
      <c r="H8" s="247" t="s">
        <v>279</v>
      </c>
      <c r="I8" s="247" t="s">
        <v>419</v>
      </c>
      <c r="J8" s="247" t="s">
        <v>106</v>
      </c>
      <c r="K8" s="230" t="s">
        <v>420</v>
      </c>
      <c r="L8" s="171"/>
      <c r="M8" s="230" t="s">
        <v>391</v>
      </c>
      <c r="N8" s="248" t="s">
        <v>272</v>
      </c>
      <c r="O8" s="249" t="s">
        <v>403</v>
      </c>
      <c r="P8" s="411" t="s">
        <v>1013</v>
      </c>
      <c r="Q8" s="230" t="s">
        <v>716</v>
      </c>
      <c r="R8" s="235">
        <f>(COUNTA(C8:Q8))/12</f>
        <v>1</v>
      </c>
      <c r="S8" s="236"/>
      <c r="U8" s="612" t="s">
        <v>422</v>
      </c>
      <c r="V8" s="613"/>
      <c r="W8" s="613"/>
      <c r="X8" s="613"/>
      <c r="Y8" s="613"/>
      <c r="Z8" s="614"/>
      <c r="AA8" s="238"/>
    </row>
    <row r="9" spans="1:27" s="237" customFormat="1" ht="27.95" customHeight="1" x14ac:dyDescent="0.15">
      <c r="A9" s="250">
        <v>6</v>
      </c>
      <c r="B9" s="251" t="s">
        <v>423</v>
      </c>
      <c r="C9" s="252" t="s">
        <v>1003</v>
      </c>
      <c r="D9" s="252" t="s">
        <v>1036</v>
      </c>
      <c r="E9" s="253" t="s">
        <v>425</v>
      </c>
      <c r="F9" s="253" t="s">
        <v>411</v>
      </c>
      <c r="G9" s="253" t="s">
        <v>396</v>
      </c>
      <c r="H9" s="233" t="s">
        <v>407</v>
      </c>
      <c r="I9" s="232" t="s">
        <v>950</v>
      </c>
      <c r="J9" s="244" t="s">
        <v>427</v>
      </c>
      <c r="K9" s="160" t="s">
        <v>393</v>
      </c>
      <c r="L9" s="253"/>
      <c r="M9" s="253" t="s">
        <v>428</v>
      </c>
      <c r="N9" s="254" t="s">
        <v>429</v>
      </c>
      <c r="O9" s="231" t="s">
        <v>387</v>
      </c>
      <c r="P9" s="541"/>
      <c r="Q9" s="542"/>
      <c r="R9" s="235">
        <f t="shared" ref="R9:R19" si="0">(COUNTA(C9:Q9))/12</f>
        <v>1</v>
      </c>
      <c r="S9" s="236"/>
      <c r="U9" s="592" t="s">
        <v>1087</v>
      </c>
      <c r="V9" s="593"/>
      <c r="W9" s="593"/>
      <c r="X9" s="593"/>
      <c r="Y9" s="593"/>
      <c r="Z9" s="594"/>
      <c r="AA9" s="238"/>
    </row>
    <row r="10" spans="1:27" s="237" customFormat="1" ht="27.95" customHeight="1" x14ac:dyDescent="0.15">
      <c r="A10" s="239">
        <v>7</v>
      </c>
      <c r="B10" s="240" t="s">
        <v>430</v>
      </c>
      <c r="C10" s="255" t="s">
        <v>1029</v>
      </c>
      <c r="D10" s="255" t="s">
        <v>1029</v>
      </c>
      <c r="E10" s="241" t="s">
        <v>706</v>
      </c>
      <c r="F10" s="232" t="s">
        <v>13</v>
      </c>
      <c r="G10" s="229" t="s">
        <v>432</v>
      </c>
      <c r="H10" s="241" t="s">
        <v>433</v>
      </c>
      <c r="I10" s="234" t="s">
        <v>417</v>
      </c>
      <c r="J10" s="229" t="s">
        <v>434</v>
      </c>
      <c r="K10" s="229" t="s">
        <v>435</v>
      </c>
      <c r="L10" s="233"/>
      <c r="M10" s="231" t="s">
        <v>724</v>
      </c>
      <c r="N10" s="232" t="s">
        <v>436</v>
      </c>
      <c r="O10" s="231" t="s">
        <v>437</v>
      </c>
      <c r="P10" s="543"/>
      <c r="Q10" s="544"/>
      <c r="R10" s="235">
        <f t="shared" si="0"/>
        <v>1</v>
      </c>
      <c r="S10" s="236"/>
      <c r="U10" s="592"/>
      <c r="V10" s="593"/>
      <c r="W10" s="593"/>
      <c r="X10" s="593"/>
      <c r="Y10" s="593"/>
      <c r="Z10" s="594"/>
      <c r="AA10" s="238"/>
    </row>
    <row r="11" spans="1:27" s="237" customFormat="1" ht="27.95" customHeight="1" x14ac:dyDescent="0.15">
      <c r="A11" s="239">
        <v>8</v>
      </c>
      <c r="B11" s="245" t="s">
        <v>438</v>
      </c>
      <c r="C11" s="255" t="s">
        <v>1032</v>
      </c>
      <c r="D11" s="255" t="s">
        <v>1032</v>
      </c>
      <c r="E11" s="229" t="s">
        <v>439</v>
      </c>
      <c r="F11" s="241" t="s">
        <v>396</v>
      </c>
      <c r="G11" s="256" t="s">
        <v>440</v>
      </c>
      <c r="H11" s="229" t="s">
        <v>441</v>
      </c>
      <c r="I11" s="508" t="s">
        <v>442</v>
      </c>
      <c r="J11" s="229" t="s">
        <v>443</v>
      </c>
      <c r="K11" s="243" t="s">
        <v>444</v>
      </c>
      <c r="L11" s="230"/>
      <c r="M11" s="230" t="s">
        <v>445</v>
      </c>
      <c r="N11" s="229" t="s">
        <v>446</v>
      </c>
      <c r="O11" s="229" t="s">
        <v>447</v>
      </c>
      <c r="P11" s="543"/>
      <c r="Q11" s="544"/>
      <c r="R11" s="235">
        <f t="shared" si="0"/>
        <v>1</v>
      </c>
      <c r="S11" s="236"/>
      <c r="U11" s="592"/>
      <c r="V11" s="593"/>
      <c r="W11" s="593"/>
      <c r="X11" s="593"/>
      <c r="Y11" s="593"/>
      <c r="Z11" s="594"/>
      <c r="AA11" s="238"/>
    </row>
    <row r="12" spans="1:27" s="237" customFormat="1" ht="27.95" customHeight="1" x14ac:dyDescent="0.15">
      <c r="A12" s="239">
        <v>9</v>
      </c>
      <c r="B12" s="257" t="s">
        <v>965</v>
      </c>
      <c r="C12" s="255" t="s">
        <v>896</v>
      </c>
      <c r="D12" s="255" t="s">
        <v>896</v>
      </c>
      <c r="E12" s="229" t="s">
        <v>451</v>
      </c>
      <c r="F12" s="241" t="s">
        <v>983</v>
      </c>
      <c r="G12" s="248" t="s">
        <v>452</v>
      </c>
      <c r="H12" s="243" t="s">
        <v>951</v>
      </c>
      <c r="I12" s="233" t="s">
        <v>1068</v>
      </c>
      <c r="J12" s="229" t="s">
        <v>455</v>
      </c>
      <c r="K12" s="241" t="s">
        <v>419</v>
      </c>
      <c r="L12" s="229"/>
      <c r="M12" s="241" t="s">
        <v>279</v>
      </c>
      <c r="N12" s="231" t="s">
        <v>456</v>
      </c>
      <c r="O12" s="241" t="s">
        <v>272</v>
      </c>
      <c r="P12" s="543"/>
      <c r="Q12" s="544"/>
      <c r="R12" s="235">
        <f t="shared" si="0"/>
        <v>1</v>
      </c>
      <c r="S12" s="236"/>
      <c r="U12" s="592"/>
      <c r="V12" s="593"/>
      <c r="W12" s="593"/>
      <c r="X12" s="593"/>
      <c r="Y12" s="593"/>
      <c r="Z12" s="594"/>
      <c r="AA12" s="238"/>
    </row>
    <row r="13" spans="1:27" s="237" customFormat="1" ht="27.75" customHeight="1" x14ac:dyDescent="0.15">
      <c r="A13" s="270">
        <v>10</v>
      </c>
      <c r="B13" s="527" t="s">
        <v>457</v>
      </c>
      <c r="C13" s="268" t="s">
        <v>1040</v>
      </c>
      <c r="D13" s="268" t="s">
        <v>1037</v>
      </c>
      <c r="E13" s="234" t="s">
        <v>421</v>
      </c>
      <c r="F13" s="170" t="s">
        <v>460</v>
      </c>
      <c r="G13" s="230" t="s">
        <v>387</v>
      </c>
      <c r="H13" s="230" t="s">
        <v>724</v>
      </c>
      <c r="I13" s="230" t="s">
        <v>461</v>
      </c>
      <c r="J13" s="305" t="s">
        <v>412</v>
      </c>
      <c r="K13" s="230" t="s">
        <v>462</v>
      </c>
      <c r="L13" s="171"/>
      <c r="M13" s="531" t="s">
        <v>82</v>
      </c>
      <c r="N13" s="229" t="s">
        <v>782</v>
      </c>
      <c r="O13" s="230" t="s">
        <v>435</v>
      </c>
      <c r="P13" s="545"/>
      <c r="Q13" s="546"/>
      <c r="R13" s="235">
        <f t="shared" si="0"/>
        <v>1</v>
      </c>
      <c r="S13" s="236"/>
      <c r="U13" s="592"/>
      <c r="V13" s="593"/>
      <c r="W13" s="593"/>
      <c r="X13" s="593"/>
      <c r="Y13" s="593"/>
      <c r="Z13" s="594"/>
      <c r="AA13" s="238"/>
    </row>
    <row r="14" spans="1:27" s="237" customFormat="1" ht="27.75" customHeight="1" x14ac:dyDescent="0.15">
      <c r="A14" s="263">
        <v>11</v>
      </c>
      <c r="B14" s="528" t="s">
        <v>1057</v>
      </c>
      <c r="C14" s="604"/>
      <c r="D14" s="605"/>
      <c r="E14" s="529"/>
      <c r="F14" s="5"/>
      <c r="G14" s="229"/>
      <c r="H14" s="229"/>
      <c r="I14" s="230"/>
      <c r="J14" s="243"/>
      <c r="K14" s="230"/>
      <c r="L14" s="530"/>
      <c r="M14" s="532"/>
      <c r="N14" s="279"/>
      <c r="O14" s="229"/>
      <c r="P14" s="533"/>
      <c r="Q14" s="234"/>
      <c r="R14" s="235">
        <f t="shared" si="0"/>
        <v>0</v>
      </c>
      <c r="S14" s="524"/>
      <c r="U14" s="592"/>
      <c r="V14" s="593"/>
      <c r="W14" s="593"/>
      <c r="X14" s="593"/>
      <c r="Y14" s="593"/>
      <c r="Z14" s="594"/>
      <c r="AA14" s="238"/>
    </row>
    <row r="15" spans="1:27" ht="27.95" customHeight="1" x14ac:dyDescent="0.15">
      <c r="A15" s="263">
        <v>12</v>
      </c>
      <c r="B15" s="264" t="s">
        <v>464</v>
      </c>
      <c r="C15" s="598"/>
      <c r="D15" s="599"/>
      <c r="E15" s="229" t="s">
        <v>417</v>
      </c>
      <c r="F15" s="404" t="s">
        <v>1013</v>
      </c>
      <c r="G15" s="241" t="s">
        <v>279</v>
      </c>
      <c r="H15" s="233" t="s">
        <v>272</v>
      </c>
      <c r="I15" s="234" t="s">
        <v>785</v>
      </c>
      <c r="J15" s="230" t="s">
        <v>421</v>
      </c>
      <c r="K15" s="229" t="s">
        <v>724</v>
      </c>
      <c r="L15" s="241"/>
      <c r="M15" s="233" t="s">
        <v>393</v>
      </c>
      <c r="N15" s="241" t="s">
        <v>392</v>
      </c>
      <c r="O15" s="243" t="s">
        <v>314</v>
      </c>
      <c r="P15" s="231" t="s">
        <v>411</v>
      </c>
      <c r="Q15" s="231" t="s">
        <v>467</v>
      </c>
      <c r="R15" s="235">
        <f t="shared" si="0"/>
        <v>1</v>
      </c>
      <c r="S15" s="236"/>
      <c r="T15" s="237"/>
      <c r="U15" s="592"/>
      <c r="V15" s="593"/>
      <c r="W15" s="593"/>
      <c r="X15" s="593"/>
      <c r="Y15" s="593"/>
      <c r="Z15" s="594"/>
    </row>
    <row r="16" spans="1:27" ht="27.95" customHeight="1" thickBot="1" x14ac:dyDescent="0.2">
      <c r="A16" s="258">
        <v>13</v>
      </c>
      <c r="B16" s="265" t="s">
        <v>966</v>
      </c>
      <c r="C16" s="600"/>
      <c r="D16" s="601"/>
      <c r="E16" s="249" t="s">
        <v>705</v>
      </c>
      <c r="F16" s="261" t="s">
        <v>694</v>
      </c>
      <c r="G16" s="241" t="s">
        <v>706</v>
      </c>
      <c r="H16" s="249"/>
      <c r="I16" s="9" t="s">
        <v>962</v>
      </c>
      <c r="J16" s="249" t="s">
        <v>724</v>
      </c>
      <c r="K16" s="249" t="s">
        <v>756</v>
      </c>
      <c r="L16" s="249"/>
      <c r="M16" s="249"/>
      <c r="N16" s="266" t="s">
        <v>471</v>
      </c>
      <c r="O16" s="249" t="s">
        <v>906</v>
      </c>
      <c r="P16" s="249" t="s">
        <v>415</v>
      </c>
      <c r="Q16" s="9" t="s">
        <v>905</v>
      </c>
      <c r="R16" s="235">
        <f t="shared" si="0"/>
        <v>0.83333333333333337</v>
      </c>
      <c r="S16" s="236"/>
      <c r="U16" s="592"/>
      <c r="V16" s="593"/>
      <c r="W16" s="593"/>
      <c r="X16" s="593"/>
      <c r="Y16" s="593"/>
      <c r="Z16" s="594"/>
    </row>
    <row r="17" spans="1:28" ht="27" customHeight="1" x14ac:dyDescent="0.15">
      <c r="A17" s="227">
        <v>14</v>
      </c>
      <c r="B17" s="267" t="s">
        <v>21</v>
      </c>
      <c r="C17" s="598"/>
      <c r="D17" s="599"/>
      <c r="E17" s="5" t="s">
        <v>712</v>
      </c>
      <c r="F17" s="177" t="s">
        <v>472</v>
      </c>
      <c r="G17" s="253" t="s">
        <v>473</v>
      </c>
      <c r="H17" s="253" t="s">
        <v>23</v>
      </c>
      <c r="I17" s="522" t="s">
        <v>1052</v>
      </c>
      <c r="J17" s="160" t="s">
        <v>475</v>
      </c>
      <c r="K17" s="231" t="s">
        <v>476</v>
      </c>
      <c r="L17" s="233"/>
      <c r="M17" s="241" t="s">
        <v>477</v>
      </c>
      <c r="N17" s="229" t="s">
        <v>478</v>
      </c>
      <c r="O17" s="522" t="s">
        <v>1024</v>
      </c>
      <c r="P17" s="376" t="s">
        <v>708</v>
      </c>
      <c r="Q17" s="376" t="s">
        <v>953</v>
      </c>
      <c r="R17" s="235">
        <f t="shared" si="0"/>
        <v>1</v>
      </c>
      <c r="S17" s="236"/>
      <c r="U17" s="592"/>
      <c r="V17" s="593"/>
      <c r="W17" s="593"/>
      <c r="X17" s="593"/>
      <c r="Y17" s="593"/>
      <c r="Z17" s="594"/>
    </row>
    <row r="18" spans="1:28" ht="27.95" customHeight="1" thickBot="1" x14ac:dyDescent="0.2">
      <c r="A18" s="227">
        <v>15</v>
      </c>
      <c r="B18" s="267" t="s">
        <v>480</v>
      </c>
      <c r="C18" s="598"/>
      <c r="D18" s="599"/>
      <c r="E18" s="229" t="s">
        <v>481</v>
      </c>
      <c r="F18" s="232" t="s">
        <v>482</v>
      </c>
      <c r="G18" s="229" t="s">
        <v>483</v>
      </c>
      <c r="H18" s="411" t="s">
        <v>1051</v>
      </c>
      <c r="I18" s="241" t="s">
        <v>889</v>
      </c>
      <c r="J18" s="229" t="s">
        <v>486</v>
      </c>
      <c r="K18" s="241" t="s">
        <v>487</v>
      </c>
      <c r="L18" s="229"/>
      <c r="M18" s="17" t="s">
        <v>488</v>
      </c>
      <c r="N18" s="5" t="s">
        <v>489</v>
      </c>
      <c r="O18" s="18" t="s">
        <v>162</v>
      </c>
      <c r="P18" s="229" t="s">
        <v>490</v>
      </c>
      <c r="Q18" s="269" t="s">
        <v>491</v>
      </c>
      <c r="R18" s="235">
        <f t="shared" si="0"/>
        <v>1</v>
      </c>
      <c r="S18" s="236"/>
      <c r="U18" s="595"/>
      <c r="V18" s="596"/>
      <c r="W18" s="596"/>
      <c r="X18" s="596"/>
      <c r="Y18" s="596"/>
      <c r="Z18" s="597"/>
    </row>
    <row r="19" spans="1:28" ht="27.95" customHeight="1" thickBot="1" x14ac:dyDescent="0.2">
      <c r="A19" s="270">
        <v>16</v>
      </c>
      <c r="B19" s="245" t="s">
        <v>492</v>
      </c>
      <c r="C19" s="598"/>
      <c r="D19" s="599"/>
      <c r="E19" s="243" t="s">
        <v>493</v>
      </c>
      <c r="F19" s="5" t="s">
        <v>494</v>
      </c>
      <c r="G19" s="243" t="s">
        <v>1055</v>
      </c>
      <c r="H19" s="246" t="s">
        <v>496</v>
      </c>
      <c r="I19" s="243" t="s">
        <v>497</v>
      </c>
      <c r="J19" s="229" t="s">
        <v>952</v>
      </c>
      <c r="K19" s="229" t="s">
        <v>499</v>
      </c>
      <c r="L19" s="229"/>
      <c r="M19" s="241" t="s">
        <v>25</v>
      </c>
      <c r="N19" s="229" t="s">
        <v>500</v>
      </c>
      <c r="O19" s="229" t="s">
        <v>908</v>
      </c>
      <c r="P19" s="243" t="s">
        <v>502</v>
      </c>
      <c r="Q19" s="246" t="s">
        <v>907</v>
      </c>
      <c r="R19" s="371">
        <f t="shared" si="0"/>
        <v>1</v>
      </c>
      <c r="S19" s="236"/>
      <c r="U19" s="547" t="s">
        <v>503</v>
      </c>
      <c r="V19" s="548"/>
      <c r="W19" s="548"/>
      <c r="X19" s="548"/>
      <c r="Y19" s="548"/>
      <c r="Z19" s="549"/>
    </row>
    <row r="20" spans="1:28" s="237" customFormat="1" ht="27.75" customHeight="1" x14ac:dyDescent="0.15">
      <c r="A20" s="239"/>
      <c r="B20" s="242" t="s">
        <v>509</v>
      </c>
      <c r="C20" s="598"/>
      <c r="D20" s="599"/>
      <c r="E20" s="602" t="s">
        <v>20</v>
      </c>
      <c r="F20" s="603"/>
      <c r="G20" s="404" t="s">
        <v>1054</v>
      </c>
      <c r="H20" s="229" t="s">
        <v>511</v>
      </c>
      <c r="I20" s="273" t="s">
        <v>512</v>
      </c>
      <c r="J20" s="229" t="s">
        <v>496</v>
      </c>
      <c r="K20" s="243" t="s">
        <v>781</v>
      </c>
      <c r="L20" s="229"/>
      <c r="M20" s="273" t="s">
        <v>514</v>
      </c>
      <c r="N20" s="5" t="s">
        <v>515</v>
      </c>
      <c r="O20" s="246" t="s">
        <v>516</v>
      </c>
      <c r="P20" s="229" t="s">
        <v>517</v>
      </c>
      <c r="Q20" s="231" t="s">
        <v>484</v>
      </c>
      <c r="R20" s="235">
        <f>(COUNTA(G20:Q20))/10</f>
        <v>1</v>
      </c>
      <c r="S20" s="236"/>
      <c r="U20" s="556"/>
      <c r="V20" s="557"/>
      <c r="W20" s="557"/>
      <c r="X20" s="557"/>
      <c r="Y20" s="557"/>
      <c r="Z20" s="558"/>
      <c r="AA20" s="238"/>
    </row>
    <row r="21" spans="1:28" ht="27.95" customHeight="1" thickBot="1" x14ac:dyDescent="0.2">
      <c r="A21" s="258"/>
      <c r="B21" s="274" t="s">
        <v>518</v>
      </c>
      <c r="C21" s="600"/>
      <c r="D21" s="601"/>
      <c r="E21" s="471" t="s">
        <v>519</v>
      </c>
      <c r="F21" s="261"/>
      <c r="G21" s="230" t="s">
        <v>520</v>
      </c>
      <c r="H21" s="230" t="s">
        <v>521</v>
      </c>
      <c r="I21" s="249" t="s">
        <v>181</v>
      </c>
      <c r="J21" s="403" t="s">
        <v>1021</v>
      </c>
      <c r="K21" s="249" t="s">
        <v>524</v>
      </c>
      <c r="L21" s="247"/>
      <c r="M21" s="249" t="s">
        <v>525</v>
      </c>
      <c r="N21" s="247" t="s">
        <v>526</v>
      </c>
      <c r="O21" s="249" t="s">
        <v>527</v>
      </c>
      <c r="P21" s="372" t="s">
        <v>528</v>
      </c>
      <c r="Q21" s="276" t="s">
        <v>529</v>
      </c>
      <c r="R21" s="235">
        <f>(COUNTA(F21:P21))/9</f>
        <v>1</v>
      </c>
      <c r="S21" s="236"/>
      <c r="U21" s="559"/>
      <c r="V21" s="560"/>
      <c r="W21" s="560"/>
      <c r="X21" s="560"/>
      <c r="Y21" s="560"/>
      <c r="Z21" s="561"/>
    </row>
    <row r="22" spans="1:28" s="237" customFormat="1" ht="27.95" customHeight="1" x14ac:dyDescent="0.15">
      <c r="A22" s="227">
        <v>17</v>
      </c>
      <c r="B22" s="245" t="s">
        <v>530</v>
      </c>
      <c r="C22" s="255" t="s">
        <v>1042</v>
      </c>
      <c r="D22" s="255" t="s">
        <v>1044</v>
      </c>
      <c r="E22" s="231" t="s">
        <v>780</v>
      </c>
      <c r="F22" s="253" t="s">
        <v>532</v>
      </c>
      <c r="G22" s="277" t="s">
        <v>533</v>
      </c>
      <c r="H22" s="278" t="s">
        <v>534</v>
      </c>
      <c r="I22" s="160" t="s">
        <v>535</v>
      </c>
      <c r="J22" s="253" t="s">
        <v>536</v>
      </c>
      <c r="K22" s="253" t="s">
        <v>18</v>
      </c>
      <c r="L22" s="277"/>
      <c r="M22" s="253" t="s">
        <v>19</v>
      </c>
      <c r="N22" s="279" t="s">
        <v>517</v>
      </c>
      <c r="O22" s="160" t="s">
        <v>816</v>
      </c>
      <c r="P22" s="541"/>
      <c r="Q22" s="542"/>
      <c r="R22" s="235">
        <f>(COUNTA(C22:Q22))/12</f>
        <v>1</v>
      </c>
      <c r="S22" s="236"/>
      <c r="U22" s="559"/>
      <c r="V22" s="560"/>
      <c r="W22" s="560"/>
      <c r="X22" s="560"/>
      <c r="Y22" s="560"/>
      <c r="Z22" s="561"/>
      <c r="AA22" s="238"/>
    </row>
    <row r="23" spans="1:28" ht="27.95" customHeight="1" thickBot="1" x14ac:dyDescent="0.2">
      <c r="A23" s="270">
        <v>18</v>
      </c>
      <c r="B23" s="245" t="s">
        <v>538</v>
      </c>
      <c r="C23" s="268" t="s">
        <v>1045</v>
      </c>
      <c r="D23" s="268" t="s">
        <v>1047</v>
      </c>
      <c r="E23" s="273" t="s">
        <v>540</v>
      </c>
      <c r="F23" s="229" t="s">
        <v>541</v>
      </c>
      <c r="G23" s="5" t="s">
        <v>542</v>
      </c>
      <c r="H23" s="241" t="s">
        <v>543</v>
      </c>
      <c r="I23" s="229" t="s">
        <v>757</v>
      </c>
      <c r="J23" s="229" t="s">
        <v>544</v>
      </c>
      <c r="K23" s="23" t="s">
        <v>545</v>
      </c>
      <c r="L23" s="229"/>
      <c r="M23" s="243" t="s">
        <v>546</v>
      </c>
      <c r="N23" s="411" t="s">
        <v>1017</v>
      </c>
      <c r="O23" s="269" t="s">
        <v>548</v>
      </c>
      <c r="P23" s="543"/>
      <c r="Q23" s="544"/>
      <c r="R23" s="235">
        <f t="shared" ref="R23:R25" si="1">(COUNTA(C23:Q23))/12</f>
        <v>1</v>
      </c>
      <c r="S23" s="236"/>
      <c r="U23" s="562"/>
      <c r="V23" s="563"/>
      <c r="W23" s="563"/>
      <c r="X23" s="563"/>
      <c r="Y23" s="563"/>
      <c r="Z23" s="564"/>
    </row>
    <row r="24" spans="1:28" ht="27.95" customHeight="1" thickBot="1" x14ac:dyDescent="0.2">
      <c r="A24" s="270">
        <v>19</v>
      </c>
      <c r="B24" s="280" t="s">
        <v>27</v>
      </c>
      <c r="C24" s="255" t="s">
        <v>1048</v>
      </c>
      <c r="D24" s="255" t="s">
        <v>1048</v>
      </c>
      <c r="E24" s="406" t="s">
        <v>1059</v>
      </c>
      <c r="F24" s="229" t="s">
        <v>981</v>
      </c>
      <c r="G24" s="229" t="s">
        <v>1056</v>
      </c>
      <c r="H24" s="16" t="s">
        <v>553</v>
      </c>
      <c r="I24" s="241" t="s">
        <v>707</v>
      </c>
      <c r="J24" s="241" t="s">
        <v>696</v>
      </c>
      <c r="K24" s="411" t="s">
        <v>1053</v>
      </c>
      <c r="L24" s="243"/>
      <c r="M24" s="229" t="s">
        <v>352</v>
      </c>
      <c r="N24" s="243" t="s">
        <v>554</v>
      </c>
      <c r="O24" s="234" t="s">
        <v>952</v>
      </c>
      <c r="P24" s="545"/>
      <c r="Q24" s="546"/>
      <c r="R24" s="235">
        <f t="shared" si="1"/>
        <v>1</v>
      </c>
      <c r="S24" s="236"/>
      <c r="U24" s="547" t="s">
        <v>1064</v>
      </c>
      <c r="V24" s="548"/>
      <c r="W24" s="548"/>
      <c r="X24" s="548"/>
      <c r="Y24" s="548"/>
      <c r="Z24" s="549"/>
      <c r="AA24" s="283"/>
    </row>
    <row r="25" spans="1:28" ht="27.95" customHeight="1" thickBot="1" x14ac:dyDescent="0.2">
      <c r="A25" s="239">
        <v>20</v>
      </c>
      <c r="B25" s="284" t="s">
        <v>555</v>
      </c>
      <c r="C25" s="550"/>
      <c r="D25" s="551"/>
      <c r="E25" s="230" t="s">
        <v>556</v>
      </c>
      <c r="F25" s="279" t="s">
        <v>1026</v>
      </c>
      <c r="G25" s="229" t="s">
        <v>557</v>
      </c>
      <c r="H25" s="249" t="s">
        <v>558</v>
      </c>
      <c r="I25" s="249" t="s">
        <v>697</v>
      </c>
      <c r="J25" s="261" t="s">
        <v>559</v>
      </c>
      <c r="K25" s="406" t="s">
        <v>1025</v>
      </c>
      <c r="L25" s="248"/>
      <c r="M25" s="246" t="s">
        <v>952</v>
      </c>
      <c r="N25" s="230" t="s">
        <v>560</v>
      </c>
      <c r="O25" s="260" t="s">
        <v>714</v>
      </c>
      <c r="P25" s="243" t="s">
        <v>561</v>
      </c>
      <c r="Q25" s="261" t="s">
        <v>984</v>
      </c>
      <c r="R25" s="235">
        <f t="shared" si="1"/>
        <v>1</v>
      </c>
      <c r="S25" s="236"/>
      <c r="U25" s="565"/>
      <c r="V25" s="566"/>
      <c r="W25" s="566"/>
      <c r="X25" s="566"/>
      <c r="Y25" s="566"/>
      <c r="Z25" s="567"/>
    </row>
    <row r="26" spans="1:28" s="237" customFormat="1" ht="27.75" customHeight="1" x14ac:dyDescent="0.15">
      <c r="A26" s="285" t="s">
        <v>562</v>
      </c>
      <c r="B26" s="286" t="s">
        <v>29</v>
      </c>
      <c r="C26" s="552"/>
      <c r="D26" s="553"/>
      <c r="E26" s="278"/>
      <c r="F26" s="278" t="s">
        <v>563</v>
      </c>
      <c r="G26" s="278" t="s">
        <v>564</v>
      </c>
      <c r="H26" s="229"/>
      <c r="I26" s="254" t="s">
        <v>502</v>
      </c>
      <c r="J26" s="246" t="s">
        <v>30</v>
      </c>
      <c r="K26" s="287"/>
      <c r="L26" s="254"/>
      <c r="M26" s="287"/>
      <c r="N26" s="278" t="s">
        <v>565</v>
      </c>
      <c r="O26" s="278" t="s">
        <v>73</v>
      </c>
      <c r="P26" s="160"/>
      <c r="Q26" s="278" t="s">
        <v>757</v>
      </c>
      <c r="R26" s="235">
        <f>(COUNTA(C26:Q26))/7</f>
        <v>1</v>
      </c>
      <c r="U26" s="568"/>
      <c r="V26" s="569"/>
      <c r="W26" s="569"/>
      <c r="X26" s="569"/>
      <c r="Y26" s="569"/>
      <c r="Z26" s="570"/>
      <c r="AA26" s="238"/>
      <c r="AB26" s="237">
        <v>9</v>
      </c>
    </row>
    <row r="27" spans="1:28" s="291" customFormat="1" ht="27.95" customHeight="1" thickBot="1" x14ac:dyDescent="0.2">
      <c r="A27" s="288"/>
      <c r="B27" s="289" t="s">
        <v>566</v>
      </c>
      <c r="C27" s="554"/>
      <c r="D27" s="555"/>
      <c r="E27" s="403" t="s">
        <v>1062</v>
      </c>
      <c r="F27" s="247" t="s">
        <v>31</v>
      </c>
      <c r="G27" s="403" t="s">
        <v>1058</v>
      </c>
      <c r="H27" s="403" t="s">
        <v>1060</v>
      </c>
      <c r="I27" s="174" t="s">
        <v>1067</v>
      </c>
      <c r="J27" s="523" t="s">
        <v>1061</v>
      </c>
      <c r="K27" s="229" t="s">
        <v>567</v>
      </c>
      <c r="L27" s="248"/>
      <c r="M27" s="261" t="s">
        <v>568</v>
      </c>
      <c r="N27" s="30" t="s">
        <v>569</v>
      </c>
      <c r="O27" s="290" t="s">
        <v>569</v>
      </c>
      <c r="P27" s="247" t="s">
        <v>570</v>
      </c>
      <c r="Q27" s="249" t="s">
        <v>385</v>
      </c>
      <c r="R27" s="235">
        <f>(COUNTA(C27:Q27))/12</f>
        <v>1</v>
      </c>
      <c r="S27" s="236"/>
      <c r="U27" s="568"/>
      <c r="V27" s="569"/>
      <c r="W27" s="569"/>
      <c r="X27" s="569"/>
      <c r="Y27" s="569"/>
      <c r="Z27" s="570"/>
      <c r="AA27" s="292"/>
    </row>
    <row r="28" spans="1:28" s="291" customFormat="1" ht="9.9499999999999993" customHeight="1" thickBot="1" x14ac:dyDescent="0.2">
      <c r="A28" s="293"/>
      <c r="B28" s="294"/>
      <c r="C28" s="295"/>
      <c r="D28" s="296"/>
      <c r="E28" s="297"/>
      <c r="F28" s="298"/>
      <c r="G28" s="297"/>
      <c r="H28" s="297"/>
      <c r="I28" s="297"/>
      <c r="J28" s="80"/>
      <c r="K28" s="297"/>
      <c r="L28" s="298"/>
      <c r="M28" s="299"/>
      <c r="N28" s="82"/>
      <c r="O28" s="300"/>
      <c r="P28" s="244"/>
      <c r="Q28" s="279"/>
      <c r="R28" s="235"/>
      <c r="S28" s="236"/>
      <c r="U28" s="568"/>
      <c r="V28" s="569"/>
      <c r="W28" s="569"/>
      <c r="X28" s="569"/>
      <c r="Y28" s="569"/>
      <c r="Z28" s="570"/>
      <c r="AA28" s="292"/>
    </row>
    <row r="29" spans="1:28" ht="120" customHeight="1" thickBot="1" x14ac:dyDescent="0.2">
      <c r="A29" s="574"/>
      <c r="B29" s="576" t="s">
        <v>571</v>
      </c>
      <c r="C29" s="578"/>
      <c r="D29" s="579"/>
      <c r="E29" s="233" t="s">
        <v>986</v>
      </c>
      <c r="F29" s="231" t="s">
        <v>573</v>
      </c>
      <c r="G29" s="233" t="s">
        <v>574</v>
      </c>
      <c r="H29" s="301" t="s">
        <v>575</v>
      </c>
      <c r="I29" s="231" t="s">
        <v>576</v>
      </c>
      <c r="J29" s="522" t="s">
        <v>1014</v>
      </c>
      <c r="K29" s="253" t="s">
        <v>988</v>
      </c>
      <c r="L29" s="254"/>
      <c r="M29" s="513" t="s">
        <v>1063</v>
      </c>
      <c r="N29" s="253" t="s">
        <v>1065</v>
      </c>
      <c r="O29" s="302" t="s">
        <v>581</v>
      </c>
      <c r="P29" s="278" t="s">
        <v>582</v>
      </c>
      <c r="Q29" s="432" t="s">
        <v>1016</v>
      </c>
      <c r="R29" s="235">
        <f>(COUNTA(C29:Q29))/12</f>
        <v>1</v>
      </c>
      <c r="S29" s="237"/>
      <c r="T29" s="237"/>
      <c r="U29" s="571"/>
      <c r="V29" s="572"/>
      <c r="W29" s="572"/>
      <c r="X29" s="572"/>
      <c r="Y29" s="572"/>
      <c r="Z29" s="573"/>
    </row>
    <row r="30" spans="1:28" ht="120" customHeight="1" x14ac:dyDescent="0.15">
      <c r="A30" s="575"/>
      <c r="B30" s="577"/>
      <c r="C30" s="580"/>
      <c r="D30" s="581"/>
      <c r="E30" s="170" t="s">
        <v>1035</v>
      </c>
      <c r="F30" s="170" t="s">
        <v>1083</v>
      </c>
      <c r="G30" s="170" t="s">
        <v>1028</v>
      </c>
      <c r="H30" s="170" t="s">
        <v>1008</v>
      </c>
      <c r="I30" s="170" t="s">
        <v>1030</v>
      </c>
      <c r="J30" s="170" t="s">
        <v>1033</v>
      </c>
      <c r="K30" s="170" t="s">
        <v>1031</v>
      </c>
      <c r="L30" s="171"/>
      <c r="M30" s="170" t="s">
        <v>1022</v>
      </c>
      <c r="N30" s="170" t="s">
        <v>1034</v>
      </c>
      <c r="O30" s="170" t="s">
        <v>963</v>
      </c>
      <c r="P30" s="170" t="s">
        <v>1009</v>
      </c>
      <c r="Q30" s="170" t="s">
        <v>1015</v>
      </c>
      <c r="R30" s="235"/>
      <c r="S30" s="237"/>
      <c r="T30" s="237"/>
      <c r="U30" s="584" t="s">
        <v>1023</v>
      </c>
      <c r="V30" s="585"/>
      <c r="W30" s="585"/>
      <c r="X30" s="585"/>
      <c r="Y30" s="585"/>
      <c r="Z30" s="586"/>
    </row>
    <row r="31" spans="1:28" ht="120" customHeight="1" thickBot="1" x14ac:dyDescent="0.2">
      <c r="A31" s="303"/>
      <c r="B31" s="304" t="s">
        <v>589</v>
      </c>
      <c r="C31" s="582"/>
      <c r="D31" s="583"/>
      <c r="E31" s="590" t="s">
        <v>590</v>
      </c>
      <c r="F31" s="591"/>
      <c r="G31" s="248" t="s">
        <v>987</v>
      </c>
      <c r="H31" s="249" t="s">
        <v>592</v>
      </c>
      <c r="I31" s="412" t="s">
        <v>1019</v>
      </c>
      <c r="J31" s="230" t="s">
        <v>594</v>
      </c>
      <c r="K31" s="249" t="s">
        <v>595</v>
      </c>
      <c r="L31" s="305"/>
      <c r="M31" s="248" t="s">
        <v>596</v>
      </c>
      <c r="N31" s="412" t="s">
        <v>1066</v>
      </c>
      <c r="O31" s="523" t="s">
        <v>1018</v>
      </c>
      <c r="P31" s="230" t="s">
        <v>599</v>
      </c>
      <c r="Q31" s="249"/>
      <c r="R31" s="235">
        <f>(COUNTA(G31:Q31))/9</f>
        <v>1</v>
      </c>
      <c r="S31" s="237"/>
      <c r="T31" s="237"/>
      <c r="U31" s="587"/>
      <c r="V31" s="588"/>
      <c r="W31" s="588"/>
      <c r="X31" s="588"/>
      <c r="Y31" s="588"/>
      <c r="Z31" s="589"/>
    </row>
    <row r="32" spans="1:28" s="237" customFormat="1" ht="9.9499999999999993" customHeight="1" x14ac:dyDescent="0.15">
      <c r="A32" s="306"/>
      <c r="B32" s="307"/>
      <c r="C32" s="308"/>
      <c r="D32" s="430"/>
      <c r="E32" s="430"/>
      <c r="F32" s="430"/>
      <c r="G32" s="430"/>
      <c r="H32" s="430"/>
      <c r="I32" s="430"/>
      <c r="J32" s="430"/>
      <c r="K32" s="430"/>
      <c r="L32" s="430"/>
      <c r="M32" s="430"/>
      <c r="N32" s="430"/>
      <c r="O32" s="430"/>
      <c r="P32" s="430"/>
      <c r="Q32" s="430"/>
      <c r="R32" s="235"/>
      <c r="U32" s="309"/>
      <c r="V32" s="309"/>
      <c r="W32" s="309"/>
      <c r="X32" s="309"/>
      <c r="Y32" s="309"/>
      <c r="Z32" s="310"/>
      <c r="AA32" s="238"/>
    </row>
    <row r="33" spans="1:27" s="237" customFormat="1" ht="21" customHeight="1" x14ac:dyDescent="0.15">
      <c r="A33" s="311"/>
      <c r="B33" s="312"/>
      <c r="C33" s="313"/>
      <c r="D33" s="314" t="s">
        <v>600</v>
      </c>
      <c r="E33" s="315" t="s">
        <v>35</v>
      </c>
      <c r="F33" s="316" t="s">
        <v>1</v>
      </c>
      <c r="G33" s="316" t="s">
        <v>2</v>
      </c>
      <c r="H33" s="316" t="s">
        <v>36</v>
      </c>
      <c r="I33" s="316" t="s">
        <v>4</v>
      </c>
      <c r="J33" s="316" t="s">
        <v>37</v>
      </c>
      <c r="K33" s="316" t="s">
        <v>38</v>
      </c>
      <c r="L33" s="317" t="s">
        <v>39</v>
      </c>
      <c r="M33" s="316" t="s">
        <v>40</v>
      </c>
      <c r="N33" s="316" t="s">
        <v>9</v>
      </c>
      <c r="O33" s="316" t="s">
        <v>10</v>
      </c>
      <c r="P33" s="316" t="s">
        <v>11</v>
      </c>
      <c r="Q33" s="318" t="s">
        <v>12</v>
      </c>
      <c r="R33" s="319"/>
      <c r="U33" s="309"/>
      <c r="V33" s="309"/>
      <c r="W33" s="309"/>
      <c r="X33" s="309"/>
      <c r="Y33" s="309"/>
      <c r="Z33" s="310"/>
      <c r="AA33" s="238"/>
    </row>
    <row r="34" spans="1:27" s="237" customFormat="1" ht="45.75" customHeight="1" x14ac:dyDescent="0.15">
      <c r="A34" s="217"/>
      <c r="B34" s="320"/>
      <c r="C34" s="320"/>
      <c r="D34" s="537" t="s">
        <v>601</v>
      </c>
      <c r="E34" s="321" t="s">
        <v>1038</v>
      </c>
      <c r="F34" s="321" t="s">
        <v>603</v>
      </c>
      <c r="G34" s="321" t="s">
        <v>226</v>
      </c>
      <c r="H34" s="321" t="s">
        <v>884</v>
      </c>
      <c r="I34" s="321" t="s">
        <v>957</v>
      </c>
      <c r="J34" s="321" t="s">
        <v>989</v>
      </c>
      <c r="K34" s="321" t="s">
        <v>1010</v>
      </c>
      <c r="L34" s="322"/>
      <c r="M34" s="321" t="s">
        <v>1039</v>
      </c>
      <c r="N34" s="321" t="s">
        <v>610</v>
      </c>
      <c r="O34" s="321" t="s">
        <v>817</v>
      </c>
      <c r="P34" s="321" t="s">
        <v>990</v>
      </c>
      <c r="Q34" s="321" t="s">
        <v>613</v>
      </c>
      <c r="R34" s="319"/>
      <c r="S34" s="323">
        <v>23</v>
      </c>
      <c r="V34" s="309"/>
      <c r="W34" s="309"/>
      <c r="X34" s="309"/>
      <c r="Y34" s="309"/>
      <c r="Z34" s="310"/>
      <c r="AA34" s="238"/>
    </row>
    <row r="35" spans="1:27" s="237" customFormat="1" ht="45.75" customHeight="1" x14ac:dyDescent="0.15">
      <c r="A35" s="217"/>
      <c r="B35" s="320"/>
      <c r="C35" s="320"/>
      <c r="D35" s="538"/>
      <c r="E35" s="322"/>
      <c r="F35" s="321"/>
      <c r="G35" s="322"/>
      <c r="H35" s="321"/>
      <c r="I35" s="322"/>
      <c r="J35" s="321" t="s">
        <v>615</v>
      </c>
      <c r="K35" s="321"/>
      <c r="L35" s="322"/>
      <c r="M35" s="321" t="s">
        <v>227</v>
      </c>
      <c r="N35" s="322" t="s">
        <v>616</v>
      </c>
      <c r="O35" s="321" t="s">
        <v>617</v>
      </c>
      <c r="P35" s="321"/>
      <c r="Q35" s="321"/>
      <c r="R35" s="325"/>
      <c r="S35" s="326"/>
      <c r="V35" s="309"/>
      <c r="W35" s="309"/>
      <c r="X35" s="309"/>
      <c r="Y35" s="309"/>
      <c r="Z35" s="218"/>
      <c r="AA35" s="238"/>
    </row>
    <row r="36" spans="1:27" ht="27.95" customHeight="1" x14ac:dyDescent="0.15">
      <c r="D36" s="327" t="s">
        <v>229</v>
      </c>
      <c r="E36" s="322" t="s">
        <v>618</v>
      </c>
      <c r="F36" s="322"/>
      <c r="G36" s="322" t="s">
        <v>619</v>
      </c>
      <c r="H36" s="329"/>
      <c r="I36" s="322" t="s">
        <v>230</v>
      </c>
      <c r="J36" s="322"/>
      <c r="K36" s="322"/>
      <c r="L36" s="322"/>
      <c r="M36" s="322"/>
      <c r="N36" s="329"/>
      <c r="O36" s="322"/>
      <c r="P36" s="322"/>
      <c r="Q36" s="322" t="s">
        <v>620</v>
      </c>
      <c r="R36" s="330"/>
      <c r="S36" s="326">
        <v>4</v>
      </c>
      <c r="U36" s="217"/>
      <c r="V36" s="309"/>
      <c r="W36" s="309"/>
      <c r="X36" s="309"/>
      <c r="Y36" s="309"/>
      <c r="Z36" s="310"/>
    </row>
    <row r="37" spans="1:27" s="291" customFormat="1" ht="42" customHeight="1" x14ac:dyDescent="0.15">
      <c r="A37" s="217"/>
      <c r="B37" s="320"/>
      <c r="C37" s="320"/>
      <c r="D37" s="327" t="s">
        <v>621</v>
      </c>
      <c r="E37" s="321" t="s">
        <v>622</v>
      </c>
      <c r="F37" s="321" t="s">
        <v>819</v>
      </c>
      <c r="G37" s="321" t="s">
        <v>623</v>
      </c>
      <c r="H37" s="321" t="s">
        <v>1011</v>
      </c>
      <c r="I37" s="321" t="s">
        <v>625</v>
      </c>
      <c r="J37" s="321" t="s">
        <v>626</v>
      </c>
      <c r="K37" s="321" t="s">
        <v>1012</v>
      </c>
      <c r="L37" s="322"/>
      <c r="M37" s="321" t="s">
        <v>628</v>
      </c>
      <c r="N37" s="321" t="s">
        <v>629</v>
      </c>
      <c r="O37" s="321" t="s">
        <v>630</v>
      </c>
      <c r="P37" s="331" t="s">
        <v>631</v>
      </c>
      <c r="Q37" s="321" t="s">
        <v>632</v>
      </c>
      <c r="R37" s="330"/>
      <c r="S37" s="332">
        <v>20</v>
      </c>
      <c r="V37" s="309"/>
      <c r="W37" s="309"/>
      <c r="X37" s="309"/>
      <c r="Y37" s="309"/>
      <c r="Z37" s="218"/>
      <c r="AA37" s="292"/>
    </row>
    <row r="38" spans="1:27" ht="42" customHeight="1" x14ac:dyDescent="0.15">
      <c r="D38" s="333" t="s">
        <v>233</v>
      </c>
      <c r="E38" s="324" t="s">
        <v>1049</v>
      </c>
      <c r="F38" s="321" t="s">
        <v>634</v>
      </c>
      <c r="G38" s="321" t="s">
        <v>234</v>
      </c>
      <c r="H38" s="321" t="s">
        <v>1043</v>
      </c>
      <c r="I38" s="321" t="s">
        <v>692</v>
      </c>
      <c r="J38" s="321" t="s">
        <v>638</v>
      </c>
      <c r="K38" s="321" t="s">
        <v>882</v>
      </c>
      <c r="L38" s="334"/>
      <c r="M38" s="321" t="s">
        <v>640</v>
      </c>
      <c r="N38" s="321" t="s">
        <v>1041</v>
      </c>
      <c r="O38" s="321" t="s">
        <v>991</v>
      </c>
      <c r="P38" s="321" t="s">
        <v>1046</v>
      </c>
      <c r="Q38" s="321" t="s">
        <v>1050</v>
      </c>
      <c r="R38" s="335"/>
      <c r="S38" s="332">
        <v>22</v>
      </c>
      <c r="U38" s="217"/>
      <c r="V38" s="309"/>
      <c r="W38" s="309"/>
      <c r="X38" s="309"/>
      <c r="Y38" s="309"/>
      <c r="Z38" s="336"/>
    </row>
    <row r="39" spans="1:27" ht="9.9499999999999993" customHeight="1" x14ac:dyDescent="0.15">
      <c r="D39" s="539"/>
      <c r="E39" s="539"/>
      <c r="F39" s="539"/>
      <c r="G39" s="539"/>
      <c r="H39" s="539"/>
      <c r="I39" s="539"/>
      <c r="J39" s="539"/>
      <c r="K39" s="539"/>
      <c r="L39" s="539"/>
      <c r="M39" s="539"/>
      <c r="N39" s="539"/>
      <c r="O39" s="539"/>
      <c r="P39" s="539"/>
      <c r="Q39" s="539"/>
      <c r="R39" s="539"/>
      <c r="S39" s="332">
        <f>S34+S36+S37+S38</f>
        <v>69</v>
      </c>
      <c r="U39" s="217"/>
      <c r="V39" s="309"/>
      <c r="W39" s="309"/>
      <c r="X39" s="309"/>
      <c r="Y39" s="309"/>
    </row>
    <row r="40" spans="1:27" ht="21" customHeight="1" x14ac:dyDescent="0.15">
      <c r="D40" s="337"/>
      <c r="E40" s="338" t="s">
        <v>0</v>
      </c>
      <c r="F40" s="339" t="s">
        <v>1</v>
      </c>
      <c r="G40" s="339" t="s">
        <v>2</v>
      </c>
      <c r="H40" s="340" t="s">
        <v>377</v>
      </c>
      <c r="I40" s="341" t="s">
        <v>645</v>
      </c>
      <c r="J40" s="339" t="s">
        <v>5</v>
      </c>
      <c r="K40" s="339" t="s">
        <v>78</v>
      </c>
      <c r="L40" s="317"/>
      <c r="M40" s="339" t="s">
        <v>8</v>
      </c>
      <c r="N40" s="339" t="s">
        <v>9</v>
      </c>
      <c r="O40" s="341" t="s">
        <v>10</v>
      </c>
      <c r="P40" s="339" t="s">
        <v>11</v>
      </c>
      <c r="Q40" s="339" t="s">
        <v>12</v>
      </c>
      <c r="R40" s="342" t="s">
        <v>48</v>
      </c>
      <c r="S40" s="343" t="s">
        <v>263</v>
      </c>
    </row>
    <row r="41" spans="1:27" ht="39.950000000000003" customHeight="1" x14ac:dyDescent="0.15">
      <c r="D41" s="344" t="s">
        <v>49</v>
      </c>
      <c r="E41" s="345"/>
      <c r="F41" s="346"/>
      <c r="G41" s="346"/>
      <c r="H41" s="347"/>
      <c r="I41" s="348" t="s">
        <v>262</v>
      </c>
      <c r="J41" s="346"/>
      <c r="K41" s="348"/>
      <c r="L41" s="349"/>
      <c r="M41" s="346"/>
      <c r="N41" s="346"/>
      <c r="O41" s="350"/>
      <c r="P41" s="346"/>
      <c r="Q41" s="346"/>
      <c r="R41" s="351"/>
      <c r="S41" s="352"/>
      <c r="U41" s="540" t="s">
        <v>236</v>
      </c>
      <c r="V41" s="540"/>
      <c r="W41" s="540"/>
      <c r="X41" s="236"/>
      <c r="Y41" s="236"/>
      <c r="Z41" s="236"/>
    </row>
    <row r="42" spans="1:27" ht="39.950000000000003" customHeight="1" x14ac:dyDescent="0.15">
      <c r="D42" s="353" t="s">
        <v>50</v>
      </c>
      <c r="E42" s="354"/>
      <c r="F42" s="282"/>
      <c r="G42" s="282"/>
      <c r="H42" s="234"/>
      <c r="I42" s="355" t="s">
        <v>877</v>
      </c>
      <c r="J42" s="234"/>
      <c r="K42" s="282"/>
      <c r="L42" s="322"/>
      <c r="M42" s="355" t="s">
        <v>876</v>
      </c>
      <c r="N42" s="234"/>
      <c r="O42" s="282" t="s">
        <v>647</v>
      </c>
      <c r="P42" s="282"/>
      <c r="Q42" s="234"/>
      <c r="R42" s="356"/>
      <c r="S42" s="357"/>
      <c r="U42" s="236"/>
      <c r="V42" s="236"/>
      <c r="W42" s="236"/>
      <c r="X42" s="236"/>
      <c r="Y42" s="236"/>
      <c r="Z42" s="236"/>
      <c r="AA42" s="358"/>
    </row>
    <row r="43" spans="1:27" ht="39.950000000000003" customHeight="1" x14ac:dyDescent="0.15">
      <c r="D43" s="344" t="s">
        <v>648</v>
      </c>
      <c r="E43" s="354"/>
      <c r="F43" s="234"/>
      <c r="G43" s="282" t="s">
        <v>266</v>
      </c>
      <c r="H43" s="355"/>
      <c r="I43" s="355" t="s">
        <v>650</v>
      </c>
      <c r="J43" s="355" t="s">
        <v>282</v>
      </c>
      <c r="K43" s="355" t="s">
        <v>846</v>
      </c>
      <c r="L43" s="243"/>
      <c r="M43" s="355" t="s">
        <v>883</v>
      </c>
      <c r="N43" s="234" t="s">
        <v>58</v>
      </c>
      <c r="O43" s="282"/>
      <c r="P43" s="234"/>
      <c r="Q43" s="359" t="s">
        <v>652</v>
      </c>
      <c r="R43" s="360"/>
      <c r="S43" s="361"/>
      <c r="U43" s="236"/>
      <c r="V43" s="236"/>
      <c r="W43" s="236"/>
      <c r="X43" s="236"/>
      <c r="Y43" s="236"/>
      <c r="Z43" s="236"/>
      <c r="AA43" s="358"/>
    </row>
    <row r="44" spans="1:27" ht="39.950000000000003" customHeight="1" x14ac:dyDescent="0.15">
      <c r="D44" s="353" t="s">
        <v>52</v>
      </c>
      <c r="E44" s="354"/>
      <c r="F44" s="282"/>
      <c r="G44" s="282"/>
      <c r="H44" s="234"/>
      <c r="I44" s="234"/>
      <c r="J44" s="234"/>
      <c r="K44" s="282"/>
      <c r="L44" s="322"/>
      <c r="M44" s="282" t="s">
        <v>54</v>
      </c>
      <c r="N44" s="282"/>
      <c r="O44" s="282"/>
      <c r="P44" s="282"/>
      <c r="Q44" s="282" t="s">
        <v>264</v>
      </c>
      <c r="R44" s="356"/>
      <c r="S44" s="357"/>
      <c r="U44" s="236"/>
      <c r="V44" s="236"/>
      <c r="W44" s="236"/>
      <c r="X44" s="236"/>
      <c r="Y44" s="236"/>
      <c r="Z44" s="236"/>
      <c r="AA44" s="358"/>
    </row>
    <row r="45" spans="1:27" ht="39.950000000000003" customHeight="1" x14ac:dyDescent="0.15">
      <c r="D45" s="362" t="s">
        <v>653</v>
      </c>
      <c r="E45" s="363"/>
      <c r="F45" s="364"/>
      <c r="G45" s="365"/>
      <c r="H45" s="364"/>
      <c r="I45" s="364"/>
      <c r="J45" s="364"/>
      <c r="K45" s="364"/>
      <c r="L45" s="334"/>
      <c r="M45" s="364"/>
      <c r="N45" s="364"/>
      <c r="O45" s="364"/>
      <c r="P45" s="365"/>
      <c r="Q45" s="364"/>
      <c r="R45" s="366"/>
      <c r="S45" s="367"/>
      <c r="U45" s="236"/>
      <c r="V45" s="236"/>
      <c r="W45" s="236"/>
      <c r="X45" s="236"/>
      <c r="Y45" s="236"/>
      <c r="Z45" s="236"/>
      <c r="AA45" s="358"/>
    </row>
    <row r="46" spans="1:27" ht="27.95" customHeight="1" x14ac:dyDescent="0.15">
      <c r="C46" s="217"/>
      <c r="D46" s="362" t="s">
        <v>874</v>
      </c>
      <c r="E46" s="363"/>
      <c r="F46" s="364"/>
      <c r="G46" s="365" t="s">
        <v>875</v>
      </c>
      <c r="H46" s="364"/>
      <c r="I46" s="364"/>
      <c r="J46" s="364"/>
      <c r="K46" s="364"/>
      <c r="L46" s="334"/>
      <c r="M46" s="364"/>
      <c r="N46" s="364"/>
      <c r="O46" s="364"/>
      <c r="P46" s="365"/>
      <c r="Q46" s="364"/>
      <c r="R46" s="366"/>
      <c r="S46" s="367"/>
      <c r="U46" s="236"/>
      <c r="V46" s="236"/>
      <c r="W46" s="236"/>
      <c r="X46" s="236"/>
      <c r="Y46" s="236"/>
      <c r="Z46" s="236"/>
      <c r="AA46" s="358"/>
    </row>
    <row r="47" spans="1:27" ht="27.95" customHeight="1" x14ac:dyDescent="0.15">
      <c r="R47" s="369"/>
      <c r="S47" s="320"/>
      <c r="AA47" s="358"/>
    </row>
    <row r="48" spans="1:27" ht="16.5" customHeight="1" x14ac:dyDescent="0.15">
      <c r="R48" s="369"/>
    </row>
    <row r="49" spans="1:27" s="329" customFormat="1" ht="16.5" customHeight="1" x14ac:dyDescent="0.15">
      <c r="A49" s="217"/>
      <c r="B49" s="370"/>
      <c r="C49" s="320"/>
      <c r="D49" s="320"/>
      <c r="E49" s="320"/>
      <c r="F49" s="320"/>
      <c r="G49" s="320"/>
      <c r="H49" s="320"/>
      <c r="I49" s="320"/>
      <c r="J49" s="320"/>
      <c r="K49" s="320"/>
      <c r="M49" s="217"/>
      <c r="N49" s="217"/>
      <c r="O49" s="217"/>
      <c r="P49" s="217"/>
      <c r="Q49" s="217"/>
      <c r="R49" s="368"/>
      <c r="S49" s="217"/>
      <c r="T49" s="217"/>
      <c r="U49" s="218"/>
      <c r="V49" s="218"/>
      <c r="W49" s="218"/>
      <c r="X49" s="218"/>
      <c r="Y49" s="218"/>
      <c r="Z49" s="218"/>
      <c r="AA49" s="219"/>
    </row>
    <row r="50" spans="1:27" s="329" customFormat="1" ht="16.5" customHeight="1" x14ac:dyDescent="0.15">
      <c r="A50" s="217"/>
      <c r="B50" s="320"/>
      <c r="C50" s="320"/>
      <c r="D50" s="320"/>
      <c r="E50" s="320"/>
      <c r="F50" s="320"/>
      <c r="G50" s="320"/>
      <c r="H50" s="320"/>
      <c r="I50" s="320"/>
      <c r="J50" s="320"/>
      <c r="K50" s="320"/>
      <c r="M50" s="217"/>
      <c r="N50" s="217"/>
      <c r="O50" s="217"/>
      <c r="P50" s="217"/>
      <c r="Q50" s="217"/>
      <c r="R50" s="368"/>
      <c r="S50" s="217"/>
      <c r="T50" s="217"/>
      <c r="U50" s="218"/>
      <c r="V50" s="218"/>
      <c r="W50" s="218"/>
      <c r="X50" s="218"/>
      <c r="Y50" s="218"/>
      <c r="Z50" s="218"/>
      <c r="AA50" s="219"/>
    </row>
    <row r="51" spans="1:27" s="329" customFormat="1" ht="17.25" customHeight="1" x14ac:dyDescent="0.15">
      <c r="A51" s="217"/>
      <c r="B51" s="320"/>
      <c r="C51" s="320"/>
      <c r="D51" s="320"/>
      <c r="E51" s="320"/>
      <c r="F51" s="320"/>
      <c r="G51" s="320"/>
      <c r="H51" s="320"/>
      <c r="I51" s="320"/>
      <c r="J51" s="320"/>
      <c r="K51" s="320"/>
      <c r="M51" s="217"/>
      <c r="N51" s="217"/>
      <c r="O51" s="217"/>
      <c r="P51" s="217"/>
      <c r="Q51" s="217"/>
      <c r="R51" s="368"/>
      <c r="S51" s="217"/>
      <c r="T51" s="217"/>
      <c r="U51" s="218"/>
      <c r="V51" s="218"/>
      <c r="W51" s="218"/>
      <c r="X51" s="218"/>
      <c r="Y51" s="218"/>
      <c r="Z51" s="218"/>
      <c r="AA51" s="219"/>
    </row>
    <row r="52" spans="1:27" s="329" customFormat="1" x14ac:dyDescent="0.15">
      <c r="A52" s="217"/>
      <c r="B52" s="320"/>
      <c r="C52" s="320"/>
      <c r="D52" s="320"/>
      <c r="E52" s="320"/>
      <c r="F52" s="320"/>
      <c r="G52" s="320"/>
      <c r="H52" s="320"/>
      <c r="I52" s="320"/>
      <c r="J52" s="320"/>
      <c r="K52" s="320"/>
      <c r="M52" s="217"/>
      <c r="N52" s="217"/>
      <c r="O52" s="217"/>
      <c r="P52" s="217"/>
      <c r="Q52" s="217"/>
      <c r="R52" s="368"/>
      <c r="S52" s="217"/>
      <c r="T52" s="217"/>
      <c r="U52" s="218"/>
      <c r="V52" s="218"/>
      <c r="W52" s="218"/>
      <c r="X52" s="218"/>
      <c r="Y52" s="218"/>
      <c r="Z52" s="218"/>
      <c r="AA52" s="219"/>
    </row>
    <row r="53" spans="1:27" s="329" customFormat="1" ht="16.5" customHeight="1" x14ac:dyDescent="0.15">
      <c r="A53" s="217"/>
      <c r="B53" s="320"/>
      <c r="C53" s="320"/>
      <c r="D53" s="320"/>
      <c r="E53" s="320"/>
      <c r="F53" s="320"/>
      <c r="G53" s="320"/>
      <c r="H53" s="320"/>
      <c r="I53" s="320"/>
      <c r="J53" s="320"/>
      <c r="K53" s="320"/>
      <c r="M53" s="217"/>
      <c r="N53" s="217"/>
      <c r="O53" s="217"/>
      <c r="P53" s="217"/>
      <c r="Q53" s="217"/>
      <c r="R53" s="368"/>
      <c r="S53" s="217"/>
      <c r="T53" s="217"/>
      <c r="U53" s="218"/>
      <c r="V53" s="218"/>
      <c r="W53" s="218"/>
      <c r="X53" s="218"/>
      <c r="Y53" s="218"/>
      <c r="Z53" s="218"/>
      <c r="AA53" s="219"/>
    </row>
    <row r="54" spans="1:27" s="329" customFormat="1" x14ac:dyDescent="0.15">
      <c r="A54" s="217"/>
      <c r="B54" s="320"/>
      <c r="C54" s="320"/>
      <c r="D54" s="320"/>
      <c r="E54" s="320"/>
      <c r="F54" s="320"/>
      <c r="G54" s="320"/>
      <c r="H54" s="320"/>
      <c r="I54" s="320"/>
      <c r="J54" s="320"/>
      <c r="K54" s="320"/>
      <c r="M54" s="217"/>
      <c r="N54" s="217"/>
      <c r="O54" s="217"/>
      <c r="P54" s="217"/>
      <c r="Q54" s="217"/>
      <c r="R54" s="368"/>
      <c r="S54" s="217"/>
      <c r="T54" s="217"/>
      <c r="U54" s="218"/>
      <c r="V54" s="218"/>
      <c r="W54" s="218"/>
      <c r="X54" s="218"/>
      <c r="Y54" s="218"/>
      <c r="Z54" s="218"/>
      <c r="AA54" s="219"/>
    </row>
    <row r="55" spans="1:27" s="329" customFormat="1" x14ac:dyDescent="0.15">
      <c r="A55" s="217"/>
      <c r="B55" s="320"/>
      <c r="C55" s="320"/>
      <c r="D55" s="320"/>
      <c r="E55" s="320"/>
      <c r="F55" s="320"/>
      <c r="G55" s="320"/>
      <c r="H55" s="320"/>
      <c r="I55" s="320"/>
      <c r="J55" s="320"/>
      <c r="K55" s="320"/>
      <c r="M55" s="217"/>
      <c r="N55" s="217"/>
      <c r="O55" s="217"/>
      <c r="P55" s="217"/>
      <c r="Q55" s="217"/>
      <c r="R55" s="368"/>
      <c r="S55" s="217"/>
      <c r="T55" s="217"/>
      <c r="U55" s="218"/>
      <c r="V55" s="218"/>
      <c r="W55" s="218"/>
      <c r="X55" s="218"/>
      <c r="Y55" s="218"/>
      <c r="Z55" s="218"/>
      <c r="AA55" s="219"/>
    </row>
    <row r="56" spans="1:27" s="329" customFormat="1" x14ac:dyDescent="0.15">
      <c r="A56" s="217"/>
      <c r="B56" s="320"/>
      <c r="C56" s="320"/>
      <c r="D56" s="320"/>
      <c r="E56" s="320"/>
      <c r="F56" s="320"/>
      <c r="G56" s="320"/>
      <c r="H56" s="320"/>
      <c r="I56" s="320"/>
      <c r="J56" s="320"/>
      <c r="K56" s="320"/>
      <c r="M56" s="217"/>
      <c r="N56" s="217"/>
      <c r="O56" s="217"/>
      <c r="P56" s="217"/>
      <c r="Q56" s="217"/>
      <c r="R56" s="368"/>
      <c r="S56" s="217"/>
      <c r="T56" s="217"/>
      <c r="U56" s="218"/>
      <c r="V56" s="218"/>
      <c r="W56" s="218"/>
      <c r="X56" s="218"/>
      <c r="Y56" s="218"/>
      <c r="Z56" s="218"/>
      <c r="AA56" s="219"/>
    </row>
    <row r="57" spans="1:27" s="329" customFormat="1" ht="16.5" customHeight="1" x14ac:dyDescent="0.15">
      <c r="A57" s="217"/>
      <c r="B57" s="320"/>
      <c r="C57" s="320"/>
      <c r="D57" s="320"/>
      <c r="E57" s="320"/>
      <c r="F57" s="320"/>
      <c r="G57" s="320"/>
      <c r="H57" s="320"/>
      <c r="I57" s="320"/>
      <c r="J57" s="320"/>
      <c r="K57" s="320"/>
      <c r="M57" s="217"/>
      <c r="N57" s="217"/>
      <c r="O57" s="217"/>
      <c r="P57" s="217"/>
      <c r="Q57" s="217"/>
      <c r="R57" s="368"/>
      <c r="S57" s="217"/>
      <c r="T57" s="217"/>
      <c r="U57" s="218"/>
      <c r="V57" s="218"/>
      <c r="W57" s="218"/>
      <c r="X57" s="218"/>
      <c r="Y57" s="218"/>
      <c r="Z57" s="218"/>
      <c r="AA57" s="219"/>
    </row>
    <row r="58" spans="1:27" s="329" customFormat="1" x14ac:dyDescent="0.15">
      <c r="A58" s="217"/>
      <c r="B58" s="320"/>
      <c r="C58" s="320"/>
      <c r="D58" s="320"/>
      <c r="E58" s="320"/>
      <c r="F58" s="320"/>
      <c r="G58" s="320"/>
      <c r="H58" s="320"/>
      <c r="I58" s="320"/>
      <c r="J58" s="320"/>
      <c r="K58" s="320"/>
      <c r="M58" s="217"/>
      <c r="N58" s="217"/>
      <c r="O58" s="217"/>
      <c r="P58" s="217"/>
      <c r="Q58" s="217"/>
      <c r="R58" s="368"/>
      <c r="S58" s="217"/>
      <c r="T58" s="217"/>
      <c r="U58" s="218"/>
      <c r="V58" s="218"/>
      <c r="W58" s="218"/>
      <c r="X58" s="218"/>
      <c r="Y58" s="218"/>
      <c r="Z58" s="218"/>
      <c r="AA58" s="219"/>
    </row>
    <row r="59" spans="1:27" s="329" customFormat="1" x14ac:dyDescent="0.15">
      <c r="A59" s="217"/>
      <c r="B59" s="320"/>
      <c r="C59" s="320"/>
      <c r="D59" s="320"/>
      <c r="E59" s="320"/>
      <c r="F59" s="320"/>
      <c r="G59" s="320"/>
      <c r="H59" s="320"/>
      <c r="I59" s="320"/>
      <c r="J59" s="320"/>
      <c r="K59" s="320"/>
      <c r="M59" s="217"/>
      <c r="N59" s="217"/>
      <c r="O59" s="217"/>
      <c r="P59" s="217"/>
      <c r="Q59" s="217"/>
      <c r="R59" s="368"/>
      <c r="S59" s="217"/>
      <c r="T59" s="217"/>
      <c r="U59" s="218"/>
      <c r="V59" s="218"/>
      <c r="W59" s="218"/>
      <c r="X59" s="218"/>
      <c r="Y59" s="218"/>
      <c r="Z59" s="218"/>
      <c r="AA59" s="219"/>
    </row>
    <row r="60" spans="1:27" s="329" customFormat="1" x14ac:dyDescent="0.15">
      <c r="A60" s="217"/>
      <c r="B60" s="320"/>
      <c r="C60" s="320"/>
      <c r="D60" s="320"/>
      <c r="E60" s="217"/>
      <c r="F60" s="217"/>
      <c r="G60" s="217"/>
      <c r="H60" s="217"/>
      <c r="I60" s="217"/>
      <c r="J60" s="217"/>
      <c r="K60" s="217"/>
      <c r="M60" s="217"/>
      <c r="N60" s="217"/>
      <c r="O60" s="217"/>
      <c r="P60" s="217"/>
      <c r="Q60" s="217"/>
      <c r="R60" s="368"/>
      <c r="S60" s="217"/>
      <c r="T60" s="217"/>
      <c r="U60" s="218"/>
      <c r="V60" s="218"/>
      <c r="W60" s="218"/>
      <c r="X60" s="218"/>
      <c r="Y60" s="218"/>
      <c r="Z60" s="218"/>
      <c r="AA60" s="219"/>
    </row>
    <row r="72" ht="16.5" customHeight="1" x14ac:dyDescent="0.15"/>
    <row r="74" ht="16.5" customHeight="1" x14ac:dyDescent="0.15"/>
    <row r="76" ht="16.5" customHeight="1" x14ac:dyDescent="0.15"/>
    <row r="78" ht="16.5" customHeight="1" x14ac:dyDescent="0.15"/>
  </sheetData>
  <mergeCells count="27">
    <mergeCell ref="A1:Q1"/>
    <mergeCell ref="A2:Q2"/>
    <mergeCell ref="U2:Z3"/>
    <mergeCell ref="C4:D8"/>
    <mergeCell ref="U4:Z4"/>
    <mergeCell ref="U5:Z7"/>
    <mergeCell ref="U8:Z8"/>
    <mergeCell ref="U9:Z18"/>
    <mergeCell ref="C17:D21"/>
    <mergeCell ref="U19:Z19"/>
    <mergeCell ref="E20:F20"/>
    <mergeCell ref="P9:Q13"/>
    <mergeCell ref="C14:D16"/>
    <mergeCell ref="A29:A30"/>
    <mergeCell ref="B29:B30"/>
    <mergeCell ref="C29:D31"/>
    <mergeCell ref="U30:Z31"/>
    <mergeCell ref="E31:F31"/>
    <mergeCell ref="D34:D35"/>
    <mergeCell ref="D39:R39"/>
    <mergeCell ref="U41:W41"/>
    <mergeCell ref="P22:Q24"/>
    <mergeCell ref="U24:Z24"/>
    <mergeCell ref="C25:D25"/>
    <mergeCell ref="C26:D27"/>
    <mergeCell ref="U20:Z23"/>
    <mergeCell ref="U25:Z29"/>
  </mergeCells>
  <phoneticPr fontId="3" type="noConversion"/>
  <conditionalFormatting sqref="O91:O92">
    <cfRule type="uniqueValues" dxfId="35" priority="3"/>
  </conditionalFormatting>
  <conditionalFormatting sqref="M85:M86">
    <cfRule type="uniqueValues" dxfId="34" priority="2"/>
  </conditionalFormatting>
  <conditionalFormatting sqref="N91:N92">
    <cfRule type="uniqueValues" dxfId="33" priority="1"/>
  </conditionalFormatting>
  <printOptions horizontalCentered="1"/>
  <pageMargins left="0" right="0" top="0" bottom="0" header="0" footer="0"/>
  <pageSetup paperSize="9" scale="29" orientation="portrait" horizontalDpi="4294967293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79"/>
  <sheetViews>
    <sheetView topLeftCell="A17" zoomScale="85" zoomScaleNormal="85" zoomScalePageLayoutView="80" workbookViewId="0">
      <selection activeCell="U24" sqref="U24:Z30"/>
    </sheetView>
  </sheetViews>
  <sheetFormatPr defaultRowHeight="16.5" x14ac:dyDescent="0.15"/>
  <cols>
    <col min="1" max="1" width="4.33203125" style="32" customWidth="1"/>
    <col min="2" max="2" width="13.33203125" style="99" customWidth="1"/>
    <col min="3" max="4" width="15.83203125" style="99" customWidth="1"/>
    <col min="5" max="11" width="15.83203125" style="32" customWidth="1"/>
    <col min="12" max="12" width="3.5" style="137" customWidth="1"/>
    <col min="13" max="17" width="15.83203125" style="32" customWidth="1"/>
    <col min="18" max="18" width="15.83203125" style="47" customWidth="1"/>
    <col min="19" max="19" width="15.83203125" style="32" customWidth="1"/>
    <col min="20" max="20" width="2.1640625" style="32" customWidth="1"/>
    <col min="21" max="26" width="10.83203125" style="33" customWidth="1"/>
    <col min="27" max="27" width="10" style="34" bestFit="1" customWidth="1"/>
    <col min="28" max="16384" width="9.33203125" style="32"/>
  </cols>
  <sheetData>
    <row r="1" spans="1:27" ht="16.5" hidden="1" customHeight="1" x14ac:dyDescent="0.15">
      <c r="A1" s="624" t="s">
        <v>74</v>
      </c>
      <c r="B1" s="625"/>
      <c r="C1" s="625"/>
      <c r="D1" s="625"/>
      <c r="E1" s="625"/>
      <c r="F1" s="625"/>
      <c r="G1" s="625"/>
      <c r="H1" s="625"/>
      <c r="I1" s="625"/>
      <c r="J1" s="625"/>
      <c r="K1" s="625"/>
      <c r="L1" s="625"/>
      <c r="M1" s="625"/>
      <c r="N1" s="625"/>
      <c r="O1" s="625"/>
      <c r="P1" s="625"/>
      <c r="Q1" s="626"/>
      <c r="R1" s="31"/>
    </row>
    <row r="2" spans="1:27" ht="18" customHeight="1" x14ac:dyDescent="0.15">
      <c r="A2" s="627" t="s">
        <v>351</v>
      </c>
      <c r="B2" s="628"/>
      <c r="C2" s="628"/>
      <c r="D2" s="628"/>
      <c r="E2" s="628"/>
      <c r="F2" s="628"/>
      <c r="G2" s="628"/>
      <c r="H2" s="628"/>
      <c r="I2" s="628"/>
      <c r="J2" s="628"/>
      <c r="K2" s="628"/>
      <c r="L2" s="628"/>
      <c r="M2" s="628"/>
      <c r="N2" s="628"/>
      <c r="O2" s="628"/>
      <c r="P2" s="628"/>
      <c r="Q2" s="628"/>
      <c r="R2" s="35"/>
      <c r="U2" s="629"/>
      <c r="V2" s="629"/>
      <c r="W2" s="629"/>
      <c r="X2" s="629"/>
      <c r="Y2" s="629"/>
      <c r="Z2" s="629"/>
    </row>
    <row r="3" spans="1:27" ht="21" customHeight="1" thickBot="1" x14ac:dyDescent="0.2">
      <c r="A3" s="36"/>
      <c r="B3" s="37" t="s">
        <v>75</v>
      </c>
      <c r="C3" s="38" t="s">
        <v>76</v>
      </c>
      <c r="D3" s="38" t="s">
        <v>77</v>
      </c>
      <c r="E3" s="39" t="s">
        <v>0</v>
      </c>
      <c r="F3" s="39" t="s">
        <v>1</v>
      </c>
      <c r="G3" s="38" t="s">
        <v>2</v>
      </c>
      <c r="H3" s="38" t="s">
        <v>3</v>
      </c>
      <c r="I3" s="39" t="s">
        <v>4</v>
      </c>
      <c r="J3" s="38" t="s">
        <v>5</v>
      </c>
      <c r="K3" s="38" t="s">
        <v>6</v>
      </c>
      <c r="L3" s="40" t="s">
        <v>7</v>
      </c>
      <c r="M3" s="39" t="s">
        <v>8</v>
      </c>
      <c r="N3" s="38" t="s">
        <v>9</v>
      </c>
      <c r="O3" s="38" t="s">
        <v>10</v>
      </c>
      <c r="P3" s="38" t="s">
        <v>11</v>
      </c>
      <c r="Q3" s="38" t="s">
        <v>12</v>
      </c>
      <c r="R3" s="41"/>
      <c r="U3" s="630"/>
      <c r="V3" s="630"/>
      <c r="W3" s="630"/>
      <c r="X3" s="630"/>
      <c r="Y3" s="630"/>
      <c r="Z3" s="630"/>
    </row>
    <row r="4" spans="1:27" s="47" customFormat="1" ht="27.95" customHeight="1" thickBot="1" x14ac:dyDescent="0.2">
      <c r="A4" s="59">
        <v>1</v>
      </c>
      <c r="B4" s="53" t="s">
        <v>122</v>
      </c>
      <c r="C4" s="631"/>
      <c r="D4" s="632"/>
      <c r="E4" s="149" t="s">
        <v>252</v>
      </c>
      <c r="F4" s="149" t="s">
        <v>253</v>
      </c>
      <c r="G4" s="148" t="s">
        <v>287</v>
      </c>
      <c r="H4" s="4" t="s">
        <v>124</v>
      </c>
      <c r="I4" s="167" t="s">
        <v>315</v>
      </c>
      <c r="J4" s="152" t="s">
        <v>125</v>
      </c>
      <c r="K4" s="149" t="s">
        <v>126</v>
      </c>
      <c r="L4" s="153"/>
      <c r="M4" s="27" t="s">
        <v>91</v>
      </c>
      <c r="N4" s="4" t="s">
        <v>109</v>
      </c>
      <c r="O4" s="4" t="s">
        <v>93</v>
      </c>
      <c r="P4" s="168" t="s">
        <v>87</v>
      </c>
      <c r="Q4" s="168" t="s">
        <v>88</v>
      </c>
      <c r="R4" s="182"/>
      <c r="S4" s="182"/>
      <c r="U4" s="635" t="s">
        <v>313</v>
      </c>
      <c r="V4" s="636"/>
      <c r="W4" s="636"/>
      <c r="X4" s="636"/>
      <c r="Y4" s="636"/>
      <c r="Z4" s="637"/>
      <c r="AA4" s="48"/>
    </row>
    <row r="5" spans="1:27" s="47" customFormat="1" ht="27.95" customHeight="1" x14ac:dyDescent="0.15">
      <c r="A5" s="42">
        <v>2</v>
      </c>
      <c r="B5" s="49" t="s">
        <v>89</v>
      </c>
      <c r="C5" s="633"/>
      <c r="D5" s="634"/>
      <c r="E5" s="149" t="s">
        <v>271</v>
      </c>
      <c r="F5" s="149" t="s">
        <v>281</v>
      </c>
      <c r="G5" s="149" t="s">
        <v>91</v>
      </c>
      <c r="H5" s="168" t="s">
        <v>106</v>
      </c>
      <c r="I5" s="150" t="s">
        <v>240</v>
      </c>
      <c r="J5" s="149" t="s">
        <v>92</v>
      </c>
      <c r="K5" s="149" t="s">
        <v>93</v>
      </c>
      <c r="L5" s="4"/>
      <c r="M5" s="167" t="s">
        <v>273</v>
      </c>
      <c r="N5" s="149" t="s">
        <v>94</v>
      </c>
      <c r="O5" s="27" t="s">
        <v>82</v>
      </c>
      <c r="P5" s="149" t="s">
        <v>95</v>
      </c>
      <c r="Q5" s="150" t="s">
        <v>279</v>
      </c>
      <c r="R5" s="50"/>
      <c r="S5" s="182">
        <f>COUNTBLANK(E5:P5)-1</f>
        <v>0</v>
      </c>
      <c r="U5" s="638" t="s">
        <v>350</v>
      </c>
      <c r="V5" s="639"/>
      <c r="W5" s="639"/>
      <c r="X5" s="639"/>
      <c r="Y5" s="639"/>
      <c r="Z5" s="640"/>
      <c r="AA5" s="48"/>
    </row>
    <row r="6" spans="1:27" s="47" customFormat="1" ht="27.95" customHeight="1" x14ac:dyDescent="0.15">
      <c r="A6" s="42">
        <v>3</v>
      </c>
      <c r="B6" s="49" t="s">
        <v>96</v>
      </c>
      <c r="C6" s="633"/>
      <c r="D6" s="634"/>
      <c r="E6" s="150" t="s">
        <v>97</v>
      </c>
      <c r="F6" s="152" t="s">
        <v>13</v>
      </c>
      <c r="G6" s="149" t="s">
        <v>98</v>
      </c>
      <c r="H6" s="150" t="s">
        <v>93</v>
      </c>
      <c r="I6" s="27" t="s">
        <v>104</v>
      </c>
      <c r="J6" s="149" t="s">
        <v>99</v>
      </c>
      <c r="K6" s="149" t="s">
        <v>100</v>
      </c>
      <c r="L6" s="153"/>
      <c r="M6" s="168" t="s">
        <v>315</v>
      </c>
      <c r="N6" s="152" t="s">
        <v>101</v>
      </c>
      <c r="O6" s="4" t="s">
        <v>102</v>
      </c>
      <c r="P6" s="3" t="s">
        <v>83</v>
      </c>
      <c r="Q6" s="149" t="s">
        <v>103</v>
      </c>
      <c r="R6" s="50"/>
      <c r="S6" s="182">
        <f t="shared" ref="S6:S20" si="0">COUNTBLANK(E6:Q6)-1</f>
        <v>0</v>
      </c>
      <c r="U6" s="641"/>
      <c r="V6" s="642"/>
      <c r="W6" s="642"/>
      <c r="X6" s="642"/>
      <c r="Y6" s="642"/>
      <c r="Z6" s="643"/>
      <c r="AA6" s="48"/>
    </row>
    <row r="7" spans="1:27" s="47" customFormat="1" ht="27.95" customHeight="1" x14ac:dyDescent="0.15">
      <c r="A7" s="42">
        <v>4</v>
      </c>
      <c r="B7" s="54" t="s">
        <v>127</v>
      </c>
      <c r="C7" s="633"/>
      <c r="D7" s="634"/>
      <c r="E7" s="149" t="s">
        <v>290</v>
      </c>
      <c r="F7" s="151" t="s">
        <v>128</v>
      </c>
      <c r="G7" s="149" t="s">
        <v>243</v>
      </c>
      <c r="H7" s="149" t="s">
        <v>257</v>
      </c>
      <c r="I7" s="167" t="s">
        <v>310</v>
      </c>
      <c r="J7" s="149" t="s">
        <v>129</v>
      </c>
      <c r="K7" s="199" t="s">
        <v>376</v>
      </c>
      <c r="L7" s="149"/>
      <c r="M7" s="149" t="s">
        <v>112</v>
      </c>
      <c r="N7" s="150" t="s">
        <v>130</v>
      </c>
      <c r="O7" s="150" t="s">
        <v>131</v>
      </c>
      <c r="P7" s="3" t="s">
        <v>83</v>
      </c>
      <c r="Q7" s="149" t="s">
        <v>103</v>
      </c>
      <c r="R7" s="50"/>
      <c r="S7" s="182"/>
      <c r="U7" s="641"/>
      <c r="V7" s="642"/>
      <c r="W7" s="642"/>
      <c r="X7" s="642"/>
      <c r="Y7" s="642"/>
      <c r="Z7" s="643"/>
      <c r="AA7" s="48"/>
    </row>
    <row r="8" spans="1:27" s="47" customFormat="1" ht="27.75" customHeight="1" thickBot="1" x14ac:dyDescent="0.2">
      <c r="A8" s="42">
        <v>5</v>
      </c>
      <c r="B8" s="51" t="s">
        <v>111</v>
      </c>
      <c r="C8" s="633"/>
      <c r="D8" s="634"/>
      <c r="E8" s="149" t="s">
        <v>103</v>
      </c>
      <c r="F8" s="4" t="s">
        <v>87</v>
      </c>
      <c r="G8" s="151" t="s">
        <v>92</v>
      </c>
      <c r="H8" s="149" t="s">
        <v>278</v>
      </c>
      <c r="I8" s="167" t="s">
        <v>107</v>
      </c>
      <c r="J8" s="149" t="s">
        <v>280</v>
      </c>
      <c r="K8" s="149" t="s">
        <v>81</v>
      </c>
      <c r="L8" s="149"/>
      <c r="M8" s="5" t="s">
        <v>114</v>
      </c>
      <c r="N8" s="5" t="s">
        <v>115</v>
      </c>
      <c r="O8" s="149" t="s">
        <v>116</v>
      </c>
      <c r="P8" s="149" t="s">
        <v>117</v>
      </c>
      <c r="Q8" s="180" t="s">
        <v>347</v>
      </c>
      <c r="R8" s="50"/>
      <c r="S8" s="182">
        <f t="shared" si="0"/>
        <v>0</v>
      </c>
      <c r="U8" s="644"/>
      <c r="V8" s="645"/>
      <c r="W8" s="645"/>
      <c r="X8" s="645"/>
      <c r="Y8" s="645"/>
      <c r="Z8" s="646"/>
      <c r="AA8" s="48"/>
    </row>
    <row r="9" spans="1:27" s="47" customFormat="1" ht="27.95" customHeight="1" thickBot="1" x14ac:dyDescent="0.2">
      <c r="A9" s="42">
        <v>6</v>
      </c>
      <c r="B9" s="184" t="s">
        <v>357</v>
      </c>
      <c r="C9" s="633"/>
      <c r="D9" s="634"/>
      <c r="E9" s="209"/>
      <c r="F9" s="209" t="s">
        <v>104</v>
      </c>
      <c r="G9" s="210" t="s">
        <v>110</v>
      </c>
      <c r="H9" s="211" t="s">
        <v>279</v>
      </c>
      <c r="I9" s="211"/>
      <c r="J9" s="211"/>
      <c r="K9" s="209"/>
      <c r="L9" s="212"/>
      <c r="M9" s="197"/>
      <c r="N9" s="213" t="s">
        <v>272</v>
      </c>
      <c r="O9" s="214"/>
      <c r="P9" s="215" t="s">
        <v>359</v>
      </c>
      <c r="Q9" s="197"/>
      <c r="R9" s="50"/>
      <c r="S9" s="182">
        <f t="shared" si="0"/>
        <v>7</v>
      </c>
      <c r="U9" s="647" t="s">
        <v>15</v>
      </c>
      <c r="V9" s="648"/>
      <c r="W9" s="648"/>
      <c r="X9" s="648"/>
      <c r="Y9" s="648"/>
      <c r="Z9" s="649"/>
      <c r="AA9" s="48"/>
    </row>
    <row r="10" spans="1:27" s="47" customFormat="1" ht="27.95" customHeight="1" x14ac:dyDescent="0.15">
      <c r="A10" s="143">
        <v>7</v>
      </c>
      <c r="B10" s="147" t="s">
        <v>79</v>
      </c>
      <c r="C10" s="146" t="s">
        <v>325</v>
      </c>
      <c r="D10" s="146" t="s">
        <v>326</v>
      </c>
      <c r="E10" s="157" t="s">
        <v>80</v>
      </c>
      <c r="F10" s="157" t="s">
        <v>81</v>
      </c>
      <c r="G10" s="157" t="s">
        <v>82</v>
      </c>
      <c r="H10" s="153" t="s">
        <v>83</v>
      </c>
      <c r="I10" s="152" t="s">
        <v>84</v>
      </c>
      <c r="J10" s="198" t="s">
        <v>115</v>
      </c>
      <c r="K10" s="160" t="s">
        <v>92</v>
      </c>
      <c r="L10" s="157"/>
      <c r="M10" s="157" t="s">
        <v>85</v>
      </c>
      <c r="N10" s="161" t="s">
        <v>86</v>
      </c>
      <c r="O10" s="168" t="s">
        <v>109</v>
      </c>
      <c r="P10" s="676"/>
      <c r="Q10" s="677"/>
      <c r="R10" s="182"/>
      <c r="S10" s="182">
        <f>COUNTBLANK(E10:Q10)-1</f>
        <v>2</v>
      </c>
      <c r="U10" s="592" t="s">
        <v>355</v>
      </c>
      <c r="V10" s="593"/>
      <c r="W10" s="593"/>
      <c r="X10" s="593"/>
      <c r="Y10" s="593"/>
      <c r="Z10" s="594"/>
      <c r="AA10" s="48"/>
    </row>
    <row r="11" spans="1:27" s="47" customFormat="1" ht="27.95" customHeight="1" x14ac:dyDescent="0.15">
      <c r="A11" s="42">
        <v>8</v>
      </c>
      <c r="B11" s="49" t="s">
        <v>96</v>
      </c>
      <c r="C11" s="156" t="s">
        <v>328</v>
      </c>
      <c r="D11" s="156" t="s">
        <v>329</v>
      </c>
      <c r="E11" s="150" t="s">
        <v>97</v>
      </c>
      <c r="F11" s="152" t="s">
        <v>13</v>
      </c>
      <c r="G11" s="149" t="s">
        <v>98</v>
      </c>
      <c r="H11" s="150" t="s">
        <v>93</v>
      </c>
      <c r="I11" s="27" t="s">
        <v>104</v>
      </c>
      <c r="J11" s="4" t="s">
        <v>14</v>
      </c>
      <c r="K11" s="149" t="s">
        <v>100</v>
      </c>
      <c r="L11" s="153"/>
      <c r="M11" s="199" t="s">
        <v>82</v>
      </c>
      <c r="N11" s="152" t="s">
        <v>101</v>
      </c>
      <c r="O11" s="4" t="s">
        <v>102</v>
      </c>
      <c r="P11" s="678"/>
      <c r="Q11" s="679"/>
      <c r="R11" s="50"/>
      <c r="S11" s="182">
        <f t="shared" ref="S11" si="1">COUNTBLANK(E11:Q11)-1</f>
        <v>2</v>
      </c>
      <c r="U11" s="592"/>
      <c r="V11" s="593"/>
      <c r="W11" s="593"/>
      <c r="X11" s="593"/>
      <c r="Y11" s="593"/>
      <c r="Z11" s="594"/>
      <c r="AA11" s="48"/>
    </row>
    <row r="12" spans="1:27" s="47" customFormat="1" ht="27.95" customHeight="1" x14ac:dyDescent="0.15">
      <c r="A12" s="42">
        <v>9</v>
      </c>
      <c r="B12" s="51" t="s">
        <v>132</v>
      </c>
      <c r="C12" s="156" t="s">
        <v>334</v>
      </c>
      <c r="D12" s="156" t="s">
        <v>330</v>
      </c>
      <c r="E12" s="149" t="s">
        <v>133</v>
      </c>
      <c r="F12" s="150" t="s">
        <v>238</v>
      </c>
      <c r="G12" s="176" t="s">
        <v>134</v>
      </c>
      <c r="H12" s="149" t="s">
        <v>135</v>
      </c>
      <c r="I12" s="183" t="s">
        <v>106</v>
      </c>
      <c r="J12" s="149" t="s">
        <v>107</v>
      </c>
      <c r="K12" s="166" t="s">
        <v>108</v>
      </c>
      <c r="L12" s="148"/>
      <c r="M12" s="2" t="s">
        <v>113</v>
      </c>
      <c r="N12" s="149" t="s">
        <v>136</v>
      </c>
      <c r="O12" s="149" t="s">
        <v>123</v>
      </c>
      <c r="P12" s="678"/>
      <c r="Q12" s="679"/>
      <c r="R12" s="50"/>
      <c r="S12" s="182">
        <f>COUNTBLANK(E12:Q12)-3</f>
        <v>0</v>
      </c>
      <c r="U12" s="592"/>
      <c r="V12" s="593"/>
      <c r="W12" s="593"/>
      <c r="X12" s="593"/>
      <c r="Y12" s="593"/>
      <c r="Z12" s="594"/>
      <c r="AA12" s="48"/>
    </row>
    <row r="13" spans="1:27" s="47" customFormat="1" ht="27.95" customHeight="1" x14ac:dyDescent="0.15">
      <c r="A13" s="42">
        <v>10</v>
      </c>
      <c r="B13" s="55" t="s">
        <v>137</v>
      </c>
      <c r="C13" s="156" t="s">
        <v>341</v>
      </c>
      <c r="D13" s="156" t="s">
        <v>343</v>
      </c>
      <c r="E13" s="149" t="s">
        <v>138</v>
      </c>
      <c r="F13" s="148" t="s">
        <v>288</v>
      </c>
      <c r="G13" s="155" t="s">
        <v>139</v>
      </c>
      <c r="H13" s="151" t="s">
        <v>140</v>
      </c>
      <c r="I13" s="153" t="s">
        <v>141</v>
      </c>
      <c r="J13" s="149" t="s">
        <v>142</v>
      </c>
      <c r="K13" s="150" t="s">
        <v>118</v>
      </c>
      <c r="L13" s="149"/>
      <c r="M13" s="150" t="s">
        <v>279</v>
      </c>
      <c r="N13" s="4" t="s">
        <v>143</v>
      </c>
      <c r="O13" s="150" t="s">
        <v>272</v>
      </c>
      <c r="P13" s="678"/>
      <c r="Q13" s="679"/>
      <c r="R13" s="52"/>
      <c r="S13" s="182">
        <f>COUNTBLANK(E13:Q13)-3</f>
        <v>0</v>
      </c>
      <c r="U13" s="592"/>
      <c r="V13" s="593"/>
      <c r="W13" s="593"/>
      <c r="X13" s="593"/>
      <c r="Y13" s="593"/>
      <c r="Z13" s="594"/>
      <c r="AA13" s="48"/>
    </row>
    <row r="14" spans="1:27" s="47" customFormat="1" ht="120" customHeight="1" thickBot="1" x14ac:dyDescent="0.2">
      <c r="A14" s="57">
        <v>11</v>
      </c>
      <c r="B14" s="7" t="s">
        <v>119</v>
      </c>
      <c r="C14" s="674"/>
      <c r="D14" s="675"/>
      <c r="E14" s="8" t="s">
        <v>288</v>
      </c>
      <c r="F14" s="9" t="s">
        <v>102</v>
      </c>
      <c r="G14" s="159" t="s">
        <v>258</v>
      </c>
      <c r="H14" s="175" t="s">
        <v>307</v>
      </c>
      <c r="I14" s="148" t="s">
        <v>296</v>
      </c>
      <c r="J14" s="148" t="s">
        <v>299</v>
      </c>
      <c r="K14" s="154" t="s">
        <v>33</v>
      </c>
      <c r="L14" s="188"/>
      <c r="M14" s="155" t="s">
        <v>221</v>
      </c>
      <c r="N14" s="154" t="s">
        <v>222</v>
      </c>
      <c r="O14" s="159" t="s">
        <v>223</v>
      </c>
      <c r="P14" s="154" t="s">
        <v>34</v>
      </c>
      <c r="Q14" s="190" t="s">
        <v>354</v>
      </c>
      <c r="R14" s="52"/>
      <c r="S14" s="182">
        <f>COUNTBLANK(E14:Q14)-1</f>
        <v>0</v>
      </c>
      <c r="U14" s="592"/>
      <c r="V14" s="593"/>
      <c r="W14" s="593"/>
      <c r="X14" s="593"/>
      <c r="Y14" s="593"/>
      <c r="Z14" s="594"/>
      <c r="AA14" s="48"/>
    </row>
    <row r="15" spans="1:27" ht="27.95" customHeight="1" x14ac:dyDescent="0.15">
      <c r="A15" s="144">
        <v>12</v>
      </c>
      <c r="B15" s="43" t="s">
        <v>144</v>
      </c>
      <c r="C15" s="700"/>
      <c r="D15" s="701"/>
      <c r="E15" s="167" t="s">
        <v>104</v>
      </c>
      <c r="F15" s="150" t="s">
        <v>94</v>
      </c>
      <c r="G15" s="192" t="s">
        <v>279</v>
      </c>
      <c r="H15" s="153" t="s">
        <v>272</v>
      </c>
      <c r="I15" s="200" t="s">
        <v>358</v>
      </c>
      <c r="J15" s="157" t="s">
        <v>288</v>
      </c>
      <c r="K15" s="168" t="s">
        <v>315</v>
      </c>
      <c r="L15" s="150"/>
      <c r="M15" s="15" t="s">
        <v>286</v>
      </c>
      <c r="N15" s="192" t="s">
        <v>240</v>
      </c>
      <c r="O15" s="191" t="s">
        <v>314</v>
      </c>
      <c r="P15" s="4" t="s">
        <v>81</v>
      </c>
      <c r="Q15" s="4" t="s">
        <v>284</v>
      </c>
      <c r="R15" s="56"/>
      <c r="S15" s="182">
        <f>COUNTBLANK(E15:Q15)-1</f>
        <v>0</v>
      </c>
      <c r="T15" s="47"/>
      <c r="U15" s="592"/>
      <c r="V15" s="593"/>
      <c r="W15" s="593"/>
      <c r="X15" s="593"/>
      <c r="Y15" s="593"/>
      <c r="Z15" s="594"/>
    </row>
    <row r="16" spans="1:27" ht="27.95" customHeight="1" thickBot="1" x14ac:dyDescent="0.2">
      <c r="A16" s="57">
        <v>13</v>
      </c>
      <c r="B16" s="58" t="s">
        <v>145</v>
      </c>
      <c r="C16" s="702"/>
      <c r="D16" s="703"/>
      <c r="E16" s="186" t="s">
        <v>373</v>
      </c>
      <c r="F16" s="169" t="s">
        <v>105</v>
      </c>
      <c r="G16" s="186" t="s">
        <v>109</v>
      </c>
      <c r="H16" s="187" t="s">
        <v>315</v>
      </c>
      <c r="I16" s="186" t="s">
        <v>120</v>
      </c>
      <c r="J16" s="175" t="s">
        <v>315</v>
      </c>
      <c r="K16" s="186" t="s">
        <v>121</v>
      </c>
      <c r="L16" s="154"/>
      <c r="M16" s="189" t="s">
        <v>90</v>
      </c>
      <c r="N16" s="13" t="s">
        <v>146</v>
      </c>
      <c r="O16" s="186" t="s">
        <v>100</v>
      </c>
      <c r="P16" s="175" t="s">
        <v>346</v>
      </c>
      <c r="Q16" s="142" t="s">
        <v>110</v>
      </c>
      <c r="R16" s="56">
        <v>11</v>
      </c>
      <c r="S16" s="182">
        <f>COUNTBLANK(E16:Q16)-1</f>
        <v>0</v>
      </c>
      <c r="U16" s="592"/>
      <c r="V16" s="593"/>
      <c r="W16" s="593"/>
      <c r="X16" s="593"/>
      <c r="Y16" s="593"/>
      <c r="Z16" s="594"/>
    </row>
    <row r="17" spans="1:27" ht="27" customHeight="1" x14ac:dyDescent="0.15">
      <c r="A17" s="59">
        <v>14</v>
      </c>
      <c r="B17" s="61" t="s">
        <v>21</v>
      </c>
      <c r="C17" s="704"/>
      <c r="D17" s="705"/>
      <c r="E17" s="161"/>
      <c r="F17" s="177" t="s">
        <v>186</v>
      </c>
      <c r="G17" s="157" t="s">
        <v>22</v>
      </c>
      <c r="H17" s="157" t="s">
        <v>23</v>
      </c>
      <c r="I17" s="149" t="s">
        <v>187</v>
      </c>
      <c r="J17" s="160" t="s">
        <v>188</v>
      </c>
      <c r="K17" s="4" t="s">
        <v>189</v>
      </c>
      <c r="L17" s="153"/>
      <c r="M17" s="15" t="s">
        <v>190</v>
      </c>
      <c r="N17" s="149" t="s">
        <v>191</v>
      </c>
      <c r="O17" s="4" t="s">
        <v>192</v>
      </c>
      <c r="P17" s="201" t="s">
        <v>361</v>
      </c>
      <c r="Q17" s="189" t="s">
        <v>288</v>
      </c>
      <c r="R17" s="67"/>
      <c r="S17" s="182">
        <f>COUNTBLANK(E17:Q17)-3</f>
        <v>-1</v>
      </c>
      <c r="U17" s="592"/>
      <c r="V17" s="593"/>
      <c r="W17" s="593"/>
      <c r="X17" s="593"/>
      <c r="Y17" s="593"/>
      <c r="Z17" s="594"/>
    </row>
    <row r="18" spans="1:27" ht="27.95" customHeight="1" thickBot="1" x14ac:dyDescent="0.2">
      <c r="A18" s="59">
        <v>15</v>
      </c>
      <c r="B18" s="61" t="s">
        <v>155</v>
      </c>
      <c r="C18" s="704"/>
      <c r="D18" s="705"/>
      <c r="E18" s="149" t="s">
        <v>156</v>
      </c>
      <c r="F18" s="152" t="s">
        <v>157</v>
      </c>
      <c r="G18" s="149" t="s">
        <v>158</v>
      </c>
      <c r="H18" s="149" t="s">
        <v>154</v>
      </c>
      <c r="I18" s="150" t="s">
        <v>283</v>
      </c>
      <c r="J18" s="149" t="s">
        <v>159</v>
      </c>
      <c r="K18" s="150" t="s">
        <v>241</v>
      </c>
      <c r="L18" s="149"/>
      <c r="M18" s="17" t="s">
        <v>160</v>
      </c>
      <c r="N18" s="5" t="s">
        <v>161</v>
      </c>
      <c r="O18" s="18" t="s">
        <v>162</v>
      </c>
      <c r="P18" s="149" t="s">
        <v>163</v>
      </c>
      <c r="Q18" s="19" t="s">
        <v>164</v>
      </c>
      <c r="R18" s="60"/>
      <c r="S18" s="182">
        <f t="shared" si="0"/>
        <v>0</v>
      </c>
      <c r="U18" s="595"/>
      <c r="V18" s="596"/>
      <c r="W18" s="596"/>
      <c r="X18" s="596"/>
      <c r="Y18" s="596"/>
      <c r="Z18" s="597"/>
    </row>
    <row r="19" spans="1:27" ht="27.95" customHeight="1" thickBot="1" x14ac:dyDescent="0.2">
      <c r="A19" s="62">
        <v>16</v>
      </c>
      <c r="B19" s="51" t="s">
        <v>193</v>
      </c>
      <c r="C19" s="704"/>
      <c r="D19" s="705"/>
      <c r="E19" s="151" t="s">
        <v>194</v>
      </c>
      <c r="F19" s="5" t="s">
        <v>195</v>
      </c>
      <c r="G19" s="151" t="s">
        <v>24</v>
      </c>
      <c r="H19" s="21" t="s">
        <v>173</v>
      </c>
      <c r="I19" s="151" t="s">
        <v>237</v>
      </c>
      <c r="J19" s="149" t="s">
        <v>196</v>
      </c>
      <c r="K19" s="149" t="s">
        <v>197</v>
      </c>
      <c r="L19" s="149"/>
      <c r="M19" s="150" t="s">
        <v>25</v>
      </c>
      <c r="N19" s="149" t="s">
        <v>244</v>
      </c>
      <c r="O19" s="149" t="s">
        <v>198</v>
      </c>
      <c r="P19" s="166" t="s">
        <v>317</v>
      </c>
      <c r="Q19" s="178" t="s">
        <v>316</v>
      </c>
      <c r="R19" s="67"/>
      <c r="S19" s="182">
        <f>COUNTBLANK(E19:P19)-3</f>
        <v>-2</v>
      </c>
      <c r="U19" s="682" t="s">
        <v>311</v>
      </c>
      <c r="V19" s="683"/>
      <c r="W19" s="683"/>
      <c r="X19" s="683"/>
      <c r="Y19" s="683"/>
      <c r="Z19" s="684"/>
    </row>
    <row r="20" spans="1:27" ht="27.95" customHeight="1" x14ac:dyDescent="0.15">
      <c r="A20" s="62">
        <v>17</v>
      </c>
      <c r="B20" s="51" t="s">
        <v>165</v>
      </c>
      <c r="C20" s="704"/>
      <c r="D20" s="705"/>
      <c r="E20" s="708"/>
      <c r="F20" s="709"/>
      <c r="G20" s="16" t="s">
        <v>69</v>
      </c>
      <c r="H20" s="5" t="s">
        <v>166</v>
      </c>
      <c r="I20" s="149" t="s">
        <v>167</v>
      </c>
      <c r="J20" s="151" t="s">
        <v>68</v>
      </c>
      <c r="K20" s="12" t="s">
        <v>168</v>
      </c>
      <c r="L20" s="149"/>
      <c r="M20" s="708" t="s">
        <v>169</v>
      </c>
      <c r="N20" s="710"/>
      <c r="O20" s="710"/>
      <c r="P20" s="710"/>
      <c r="Q20" s="709"/>
      <c r="R20" s="56"/>
      <c r="S20" s="182">
        <f t="shared" si="0"/>
        <v>6</v>
      </c>
      <c r="U20" s="650"/>
      <c r="V20" s="651"/>
      <c r="W20" s="651"/>
      <c r="X20" s="651"/>
      <c r="Y20" s="651"/>
      <c r="Z20" s="652"/>
    </row>
    <row r="21" spans="1:27" s="47" customFormat="1" ht="27.75" customHeight="1" x14ac:dyDescent="0.15">
      <c r="A21" s="42"/>
      <c r="B21" s="54" t="s">
        <v>170</v>
      </c>
      <c r="C21" s="704"/>
      <c r="D21" s="705"/>
      <c r="E21" s="659" t="s">
        <v>20</v>
      </c>
      <c r="F21" s="660"/>
      <c r="G21" s="150" t="s">
        <v>285</v>
      </c>
      <c r="H21" s="149" t="s">
        <v>171</v>
      </c>
      <c r="I21" s="20" t="s">
        <v>172</v>
      </c>
      <c r="J21" s="149" t="s">
        <v>173</v>
      </c>
      <c r="K21" s="151" t="s">
        <v>275</v>
      </c>
      <c r="L21" s="149"/>
      <c r="M21" s="20" t="s">
        <v>174</v>
      </c>
      <c r="N21" s="5" t="s">
        <v>175</v>
      </c>
      <c r="O21" s="21" t="s">
        <v>176</v>
      </c>
      <c r="P21" s="167" t="s">
        <v>308</v>
      </c>
      <c r="Q21" s="168" t="s">
        <v>154</v>
      </c>
      <c r="S21" s="182">
        <f>COUNTBLANK(E21:Q21)-1</f>
        <v>1</v>
      </c>
      <c r="U21" s="653"/>
      <c r="V21" s="654"/>
      <c r="W21" s="654"/>
      <c r="X21" s="654"/>
      <c r="Y21" s="654"/>
      <c r="Z21" s="655"/>
      <c r="AA21" s="48"/>
    </row>
    <row r="22" spans="1:27" ht="27.95" customHeight="1" thickBot="1" x14ac:dyDescent="0.2">
      <c r="A22" s="57"/>
      <c r="B22" s="63" t="s">
        <v>177</v>
      </c>
      <c r="C22" s="706"/>
      <c r="D22" s="707"/>
      <c r="E22" s="22" t="s">
        <v>178</v>
      </c>
      <c r="F22" s="10"/>
      <c r="G22" s="148" t="s">
        <v>179</v>
      </c>
      <c r="H22" s="148" t="s">
        <v>180</v>
      </c>
      <c r="I22" s="154" t="s">
        <v>181</v>
      </c>
      <c r="J22" s="175" t="s">
        <v>309</v>
      </c>
      <c r="K22" s="154" t="s">
        <v>182</v>
      </c>
      <c r="L22" s="159"/>
      <c r="M22" s="154" t="s">
        <v>183</v>
      </c>
      <c r="N22" s="159" t="s">
        <v>184</v>
      </c>
      <c r="O22" s="154" t="s">
        <v>185</v>
      </c>
      <c r="P22" s="145" t="s">
        <v>153</v>
      </c>
      <c r="Q22" s="181" t="s">
        <v>178</v>
      </c>
      <c r="R22" s="56"/>
      <c r="S22" s="182">
        <f>COUNTBLANK(E22:Q22)-1</f>
        <v>1</v>
      </c>
      <c r="U22" s="656"/>
      <c r="V22" s="657"/>
      <c r="W22" s="657"/>
      <c r="X22" s="657"/>
      <c r="Y22" s="657"/>
      <c r="Z22" s="658"/>
    </row>
    <row r="23" spans="1:27" s="47" customFormat="1" ht="27.95" customHeight="1" thickBot="1" x14ac:dyDescent="0.2">
      <c r="A23" s="59">
        <v>18</v>
      </c>
      <c r="B23" s="51" t="s">
        <v>147</v>
      </c>
      <c r="C23" s="156" t="s">
        <v>337</v>
      </c>
      <c r="D23" s="156" t="s">
        <v>340</v>
      </c>
      <c r="E23" s="149" t="s">
        <v>17</v>
      </c>
      <c r="F23" s="157" t="s">
        <v>254</v>
      </c>
      <c r="G23" s="14" t="s">
        <v>148</v>
      </c>
      <c r="H23" s="15" t="s">
        <v>149</v>
      </c>
      <c r="I23" s="160" t="s">
        <v>150</v>
      </c>
      <c r="J23" s="157" t="s">
        <v>151</v>
      </c>
      <c r="K23" s="157" t="s">
        <v>18</v>
      </c>
      <c r="L23" s="14"/>
      <c r="M23" s="157" t="s">
        <v>19</v>
      </c>
      <c r="N23" s="2" t="s">
        <v>152</v>
      </c>
      <c r="O23" s="202" t="s">
        <v>364</v>
      </c>
      <c r="P23" s="676"/>
      <c r="Q23" s="677"/>
      <c r="R23" s="60"/>
      <c r="S23" s="182">
        <f t="shared" ref="S23" si="2">COUNTBLANK(E23:Q23)-1</f>
        <v>2</v>
      </c>
      <c r="U23" s="682" t="s">
        <v>312</v>
      </c>
      <c r="V23" s="683"/>
      <c r="W23" s="683"/>
      <c r="X23" s="683"/>
      <c r="Y23" s="683"/>
      <c r="Z23" s="684"/>
      <c r="AA23" s="48"/>
    </row>
    <row r="24" spans="1:27" ht="27.95" customHeight="1" x14ac:dyDescent="0.15">
      <c r="A24" s="62">
        <v>19</v>
      </c>
      <c r="B24" s="51" t="s">
        <v>199</v>
      </c>
      <c r="C24" s="158" t="s">
        <v>333</v>
      </c>
      <c r="D24" s="158" t="s">
        <v>333</v>
      </c>
      <c r="E24" s="20" t="s">
        <v>200</v>
      </c>
      <c r="F24" s="149" t="s">
        <v>201</v>
      </c>
      <c r="G24" s="18" t="s">
        <v>26</v>
      </c>
      <c r="H24" s="150" t="s">
        <v>242</v>
      </c>
      <c r="J24" s="149" t="s">
        <v>202</v>
      </c>
      <c r="K24" s="23" t="s">
        <v>203</v>
      </c>
      <c r="L24" s="149"/>
      <c r="M24" s="151" t="s">
        <v>204</v>
      </c>
      <c r="N24" s="149" t="s">
        <v>269</v>
      </c>
      <c r="O24" s="19" t="s">
        <v>205</v>
      </c>
      <c r="P24" s="678"/>
      <c r="Q24" s="679"/>
      <c r="R24" s="67"/>
      <c r="S24" s="182">
        <f>COUNTBLANK(E24:Q24)-3</f>
        <v>1</v>
      </c>
      <c r="U24" s="685" t="s">
        <v>371</v>
      </c>
      <c r="V24" s="686"/>
      <c r="W24" s="686"/>
      <c r="X24" s="686"/>
      <c r="Y24" s="686"/>
      <c r="Z24" s="687"/>
    </row>
    <row r="25" spans="1:27" ht="27.95" customHeight="1" x14ac:dyDescent="0.15">
      <c r="A25" s="62">
        <v>20</v>
      </c>
      <c r="B25" s="64" t="s">
        <v>27</v>
      </c>
      <c r="C25" s="156" t="s">
        <v>331</v>
      </c>
      <c r="D25" s="156" t="s">
        <v>230</v>
      </c>
      <c r="E25" s="24"/>
      <c r="F25" s="149" t="s">
        <v>274</v>
      </c>
      <c r="G25" s="149" t="s">
        <v>291</v>
      </c>
      <c r="H25" s="16" t="s">
        <v>289</v>
      </c>
      <c r="I25" s="141"/>
      <c r="J25" s="205" t="s">
        <v>374</v>
      </c>
      <c r="K25" s="149"/>
      <c r="L25" s="151"/>
      <c r="M25" s="149" t="s">
        <v>352</v>
      </c>
      <c r="N25" s="166" t="s">
        <v>267</v>
      </c>
      <c r="O25" s="204" t="s">
        <v>372</v>
      </c>
      <c r="P25" s="680"/>
      <c r="Q25" s="681"/>
      <c r="R25" s="67"/>
      <c r="S25" s="182">
        <f>COUNTBLANK(E25:Q25)-3</f>
        <v>3</v>
      </c>
      <c r="U25" s="688"/>
      <c r="V25" s="689"/>
      <c r="W25" s="689"/>
      <c r="X25" s="689"/>
      <c r="Y25" s="689"/>
      <c r="Z25" s="690"/>
      <c r="AA25" s="65"/>
    </row>
    <row r="26" spans="1:27" ht="27.95" customHeight="1" thickBot="1" x14ac:dyDescent="0.2">
      <c r="A26" s="42">
        <v>21</v>
      </c>
      <c r="B26" s="66" t="s">
        <v>206</v>
      </c>
      <c r="C26" s="694"/>
      <c r="D26" s="695"/>
      <c r="E26" s="148" t="s">
        <v>207</v>
      </c>
      <c r="F26" s="2" t="s">
        <v>192</v>
      </c>
      <c r="G26" s="149" t="s">
        <v>268</v>
      </c>
      <c r="H26" s="154" t="s">
        <v>190</v>
      </c>
      <c r="I26" s="148" t="s">
        <v>276</v>
      </c>
      <c r="J26" s="10" t="s">
        <v>208</v>
      </c>
      <c r="K26" s="206" t="s">
        <v>375</v>
      </c>
      <c r="L26" s="155"/>
      <c r="M26" s="203" t="s">
        <v>363</v>
      </c>
      <c r="N26" s="148" t="s">
        <v>28</v>
      </c>
      <c r="O26" s="154"/>
      <c r="P26" s="151" t="s">
        <v>209</v>
      </c>
      <c r="R26" s="67">
        <v>11</v>
      </c>
      <c r="S26" s="182">
        <f>COUNTBLANK(E26:P26)-1</f>
        <v>1</v>
      </c>
      <c r="U26" s="688"/>
      <c r="V26" s="689"/>
      <c r="W26" s="689"/>
      <c r="X26" s="689"/>
      <c r="Y26" s="689"/>
      <c r="Z26" s="690"/>
    </row>
    <row r="27" spans="1:27" s="47" customFormat="1" ht="27.75" customHeight="1" x14ac:dyDescent="0.15">
      <c r="A27" s="68" t="s">
        <v>210</v>
      </c>
      <c r="B27" s="69" t="s">
        <v>29</v>
      </c>
      <c r="C27" s="696"/>
      <c r="D27" s="697"/>
      <c r="E27" s="15"/>
      <c r="F27" s="15" t="s">
        <v>305</v>
      </c>
      <c r="G27" s="15" t="s">
        <v>251</v>
      </c>
      <c r="H27" s="149"/>
      <c r="I27" s="161" t="s">
        <v>304</v>
      </c>
      <c r="J27" s="21" t="s">
        <v>30</v>
      </c>
      <c r="K27" s="25"/>
      <c r="L27" s="161"/>
      <c r="M27" s="25"/>
      <c r="N27" s="15" t="s">
        <v>211</v>
      </c>
      <c r="O27" s="15" t="s">
        <v>73</v>
      </c>
      <c r="P27" s="160"/>
      <c r="Q27" s="208" t="s">
        <v>231</v>
      </c>
      <c r="U27" s="688"/>
      <c r="V27" s="689"/>
      <c r="W27" s="689"/>
      <c r="X27" s="689"/>
      <c r="Y27" s="689"/>
      <c r="Z27" s="690"/>
      <c r="AA27" s="48"/>
    </row>
    <row r="28" spans="1:27" s="72" customFormat="1" ht="27.95" customHeight="1" thickBot="1" x14ac:dyDescent="0.2">
      <c r="A28" s="70"/>
      <c r="B28" s="71" t="s">
        <v>212</v>
      </c>
      <c r="C28" s="698"/>
      <c r="D28" s="699"/>
      <c r="E28" s="154" t="s">
        <v>260</v>
      </c>
      <c r="F28" s="159" t="s">
        <v>31</v>
      </c>
      <c r="G28" s="154"/>
      <c r="H28" s="154"/>
      <c r="I28" s="154"/>
      <c r="J28" s="9"/>
      <c r="K28" s="149" t="s">
        <v>213</v>
      </c>
      <c r="L28" s="155"/>
      <c r="M28" s="10" t="s">
        <v>255</v>
      </c>
      <c r="N28" s="30" t="s">
        <v>367</v>
      </c>
      <c r="O28" s="26" t="s">
        <v>370</v>
      </c>
      <c r="P28" s="159" t="s">
        <v>214</v>
      </c>
      <c r="Q28" s="154" t="s">
        <v>215</v>
      </c>
      <c r="R28" s="47">
        <f>R16+R26</f>
        <v>22</v>
      </c>
      <c r="S28" s="182"/>
      <c r="U28" s="688"/>
      <c r="V28" s="689"/>
      <c r="W28" s="689"/>
      <c r="X28" s="689"/>
      <c r="Y28" s="689"/>
      <c r="Z28" s="690"/>
      <c r="AA28" s="73"/>
    </row>
    <row r="29" spans="1:27" s="72" customFormat="1" ht="9.9499999999999993" customHeight="1" thickBot="1" x14ac:dyDescent="0.2">
      <c r="A29" s="74"/>
      <c r="B29" s="75"/>
      <c r="C29" s="76"/>
      <c r="D29" s="77"/>
      <c r="E29" s="78"/>
      <c r="F29" s="79"/>
      <c r="G29" s="78"/>
      <c r="H29" s="78"/>
      <c r="I29" s="78"/>
      <c r="J29" s="80"/>
      <c r="K29" s="78"/>
      <c r="L29" s="79"/>
      <c r="M29" s="81"/>
      <c r="N29" s="82"/>
      <c r="O29" s="83"/>
      <c r="P29" s="46"/>
      <c r="Q29" s="44"/>
      <c r="R29" s="47"/>
      <c r="S29" s="182"/>
      <c r="U29" s="688"/>
      <c r="V29" s="689"/>
      <c r="W29" s="689"/>
      <c r="X29" s="689"/>
      <c r="Y29" s="689"/>
      <c r="Z29" s="690"/>
      <c r="AA29" s="73"/>
    </row>
    <row r="30" spans="1:27" ht="120" customHeight="1" thickBot="1" x14ac:dyDescent="0.2">
      <c r="A30" s="661"/>
      <c r="B30" s="576" t="s">
        <v>216</v>
      </c>
      <c r="C30" s="578"/>
      <c r="D30" s="579"/>
      <c r="E30" s="153" t="s">
        <v>297</v>
      </c>
      <c r="F30" s="4" t="s">
        <v>294</v>
      </c>
      <c r="G30" s="153" t="s">
        <v>259</v>
      </c>
      <c r="H30" s="139" t="s">
        <v>298</v>
      </c>
      <c r="I30" s="4" t="s">
        <v>256</v>
      </c>
      <c r="J30" s="4" t="s">
        <v>217</v>
      </c>
      <c r="K30" s="157" t="s">
        <v>218</v>
      </c>
      <c r="L30" s="161"/>
      <c r="M30" s="153" t="s">
        <v>219</v>
      </c>
      <c r="N30" s="157" t="s">
        <v>295</v>
      </c>
      <c r="O30" s="140" t="s">
        <v>292</v>
      </c>
      <c r="P30" s="15" t="s">
        <v>220</v>
      </c>
      <c r="Q30" s="15" t="s">
        <v>239</v>
      </c>
      <c r="S30" s="47"/>
      <c r="T30" s="47"/>
      <c r="U30" s="691"/>
      <c r="V30" s="692"/>
      <c r="W30" s="692"/>
      <c r="X30" s="692"/>
      <c r="Y30" s="692"/>
      <c r="Z30" s="693"/>
    </row>
    <row r="31" spans="1:27" ht="120" customHeight="1" x14ac:dyDescent="0.15">
      <c r="A31" s="662"/>
      <c r="B31" s="577"/>
      <c r="C31" s="580"/>
      <c r="D31" s="581"/>
      <c r="E31" s="174" t="s">
        <v>324</v>
      </c>
      <c r="F31" s="170" t="s">
        <v>327</v>
      </c>
      <c r="G31" s="170" t="s">
        <v>365</v>
      </c>
      <c r="H31" s="174" t="s">
        <v>366</v>
      </c>
      <c r="I31" s="170" t="s">
        <v>318</v>
      </c>
      <c r="J31" s="170" t="s">
        <v>348</v>
      </c>
      <c r="K31" s="170" t="s">
        <v>349</v>
      </c>
      <c r="L31" s="171"/>
      <c r="M31" s="170" t="s">
        <v>362</v>
      </c>
      <c r="N31" s="174" t="s">
        <v>368</v>
      </c>
      <c r="O31" s="170" t="s">
        <v>369</v>
      </c>
      <c r="P31" s="170" t="s">
        <v>360</v>
      </c>
      <c r="Q31" s="174" t="s">
        <v>332</v>
      </c>
      <c r="S31" s="47"/>
      <c r="T31" s="47"/>
      <c r="U31" s="663" t="s">
        <v>32</v>
      </c>
      <c r="V31" s="664"/>
      <c r="W31" s="664"/>
      <c r="X31" s="664"/>
      <c r="Y31" s="664"/>
      <c r="Z31" s="665"/>
    </row>
    <row r="32" spans="1:27" ht="27.95" customHeight="1" thickBot="1" x14ac:dyDescent="0.2">
      <c r="A32" s="84"/>
      <c r="B32" s="185" t="s">
        <v>356</v>
      </c>
      <c r="C32" s="582"/>
      <c r="D32" s="583"/>
      <c r="E32" s="669"/>
      <c r="F32" s="670"/>
      <c r="G32" s="193"/>
      <c r="H32" s="194"/>
      <c r="I32" s="195"/>
      <c r="J32" s="195"/>
      <c r="K32" s="194"/>
      <c r="L32" s="196"/>
      <c r="M32" s="197"/>
      <c r="N32" s="197"/>
      <c r="O32" s="197"/>
      <c r="P32" s="197"/>
      <c r="Q32" s="194"/>
      <c r="R32" s="88"/>
      <c r="S32" s="47"/>
      <c r="T32" s="47"/>
      <c r="U32" s="666"/>
      <c r="V32" s="667"/>
      <c r="W32" s="667"/>
      <c r="X32" s="667"/>
      <c r="Y32" s="667"/>
      <c r="Z32" s="668"/>
    </row>
    <row r="33" spans="1:27" s="47" customFormat="1" ht="9.9499999999999993" customHeight="1" x14ac:dyDescent="0.15">
      <c r="A33" s="85"/>
      <c r="B33" s="86"/>
      <c r="C33" s="87"/>
      <c r="D33" s="431"/>
      <c r="E33" s="431"/>
      <c r="F33" s="431"/>
      <c r="G33" s="431"/>
      <c r="H33" s="431"/>
      <c r="I33" s="431"/>
      <c r="J33" s="431"/>
      <c r="K33" s="431"/>
      <c r="L33" s="431"/>
      <c r="M33" s="431"/>
      <c r="N33" s="431"/>
      <c r="O33" s="431"/>
      <c r="P33" s="431"/>
      <c r="Q33" s="431"/>
      <c r="R33" s="50"/>
      <c r="U33" s="89"/>
      <c r="V33" s="89"/>
      <c r="W33" s="89"/>
      <c r="X33" s="89"/>
      <c r="Y33" s="89"/>
      <c r="Z33" s="90"/>
      <c r="AA33" s="48"/>
    </row>
    <row r="34" spans="1:27" s="47" customFormat="1" ht="21" customHeight="1" x14ac:dyDescent="0.15">
      <c r="A34" s="91"/>
      <c r="B34" s="92"/>
      <c r="C34" s="93"/>
      <c r="D34" s="94" t="s">
        <v>224</v>
      </c>
      <c r="E34" s="95" t="s">
        <v>35</v>
      </c>
      <c r="F34" s="96" t="s">
        <v>1</v>
      </c>
      <c r="G34" s="96" t="s">
        <v>2</v>
      </c>
      <c r="H34" s="96" t="s">
        <v>36</v>
      </c>
      <c r="I34" s="96" t="s">
        <v>4</v>
      </c>
      <c r="J34" s="96" t="s">
        <v>37</v>
      </c>
      <c r="K34" s="96" t="s">
        <v>38</v>
      </c>
      <c r="L34" s="97" t="s">
        <v>39</v>
      </c>
      <c r="M34" s="96" t="s">
        <v>40</v>
      </c>
      <c r="N34" s="96" t="s">
        <v>9</v>
      </c>
      <c r="O34" s="96" t="s">
        <v>10</v>
      </c>
      <c r="P34" s="96" t="s">
        <v>11</v>
      </c>
      <c r="Q34" s="98" t="s">
        <v>12</v>
      </c>
      <c r="R34" s="50"/>
      <c r="U34" s="89"/>
      <c r="V34" s="89"/>
      <c r="W34" s="89"/>
      <c r="X34" s="89"/>
      <c r="Y34" s="89"/>
      <c r="Z34" s="90"/>
      <c r="AA34" s="48"/>
    </row>
    <row r="35" spans="1:27" s="47" customFormat="1" ht="45.75" customHeight="1" x14ac:dyDescent="0.15">
      <c r="A35" s="32"/>
      <c r="B35" s="99"/>
      <c r="C35" s="99"/>
      <c r="D35" s="671" t="s">
        <v>225</v>
      </c>
      <c r="E35" s="162" t="s">
        <v>277</v>
      </c>
      <c r="F35" s="162" t="s">
        <v>319</v>
      </c>
      <c r="G35" s="162" t="s">
        <v>226</v>
      </c>
      <c r="H35" s="162" t="s">
        <v>345</v>
      </c>
      <c r="I35" s="162" t="s">
        <v>344</v>
      </c>
      <c r="J35" s="162" t="s">
        <v>16</v>
      </c>
      <c r="K35" s="162" t="s">
        <v>70</v>
      </c>
      <c r="L35" s="172"/>
      <c r="M35" s="162" t="s">
        <v>41</v>
      </c>
      <c r="N35" s="162" t="s">
        <v>71</v>
      </c>
      <c r="O35" s="162" t="s">
        <v>342</v>
      </c>
      <c r="P35" s="162" t="s">
        <v>353</v>
      </c>
      <c r="Q35" s="162" t="s">
        <v>300</v>
      </c>
      <c r="R35" s="100"/>
      <c r="S35" s="101">
        <f>2*13</f>
        <v>26</v>
      </c>
      <c r="V35" s="89"/>
      <c r="W35" s="89"/>
      <c r="X35" s="89"/>
      <c r="Y35" s="89"/>
      <c r="Z35" s="90"/>
      <c r="AA35" s="48"/>
    </row>
    <row r="36" spans="1:27" s="47" customFormat="1" ht="45.75" customHeight="1" x14ac:dyDescent="0.15">
      <c r="A36" s="32"/>
      <c r="B36" s="99"/>
      <c r="C36" s="99"/>
      <c r="D36" s="672"/>
      <c r="E36" s="163"/>
      <c r="F36" s="162" t="s">
        <v>338</v>
      </c>
      <c r="G36" s="163"/>
      <c r="H36" s="162"/>
      <c r="I36" s="163"/>
      <c r="J36" s="162" t="s">
        <v>42</v>
      </c>
      <c r="K36" s="162"/>
      <c r="L36" s="172"/>
      <c r="M36" s="162" t="s">
        <v>227</v>
      </c>
      <c r="N36" s="163" t="s">
        <v>335</v>
      </c>
      <c r="O36" s="162" t="s">
        <v>228</v>
      </c>
      <c r="P36" s="162"/>
      <c r="Q36" s="162"/>
      <c r="R36" s="102"/>
      <c r="S36" s="103"/>
      <c r="U36" s="47">
        <v>6</v>
      </c>
      <c r="V36" s="89"/>
      <c r="W36" s="89"/>
      <c r="X36" s="89"/>
      <c r="Y36" s="89"/>
      <c r="Z36" s="33"/>
      <c r="AA36" s="48"/>
    </row>
    <row r="37" spans="1:27" ht="27.95" customHeight="1" x14ac:dyDescent="0.15">
      <c r="D37" s="104" t="s">
        <v>229</v>
      </c>
      <c r="E37" s="179" t="s">
        <v>339</v>
      </c>
      <c r="F37" s="163"/>
      <c r="G37" s="163" t="s">
        <v>66</v>
      </c>
      <c r="H37" s="164"/>
      <c r="I37" s="179" t="s">
        <v>230</v>
      </c>
      <c r="J37" s="163"/>
      <c r="K37" s="163"/>
      <c r="L37" s="172"/>
      <c r="M37" s="163"/>
      <c r="N37" s="164"/>
      <c r="O37" s="163"/>
      <c r="P37" s="163"/>
      <c r="Q37" s="207" t="s">
        <v>231</v>
      </c>
      <c r="R37" s="102"/>
      <c r="S37" s="103">
        <v>4</v>
      </c>
      <c r="U37" s="32">
        <v>17</v>
      </c>
      <c r="V37" s="89"/>
      <c r="W37" s="89"/>
      <c r="X37" s="89"/>
      <c r="Y37" s="89"/>
      <c r="Z37" s="90"/>
    </row>
    <row r="38" spans="1:27" s="72" customFormat="1" ht="42" customHeight="1" x14ac:dyDescent="0.15">
      <c r="A38" s="32"/>
      <c r="B38" s="99"/>
      <c r="C38" s="99"/>
      <c r="D38" s="104" t="s">
        <v>232</v>
      </c>
      <c r="E38" s="162" t="s">
        <v>320</v>
      </c>
      <c r="F38" s="162" t="s">
        <v>336</v>
      </c>
      <c r="G38" s="162" t="s">
        <v>301</v>
      </c>
      <c r="H38" s="162" t="s">
        <v>321</v>
      </c>
      <c r="I38" s="162" t="s">
        <v>249</v>
      </c>
      <c r="J38" s="162" t="s">
        <v>43</v>
      </c>
      <c r="K38" s="162" t="s">
        <v>246</v>
      </c>
      <c r="L38" s="172"/>
      <c r="M38" s="162" t="s">
        <v>322</v>
      </c>
      <c r="N38" s="162" t="s">
        <v>323</v>
      </c>
      <c r="O38" s="162" t="s">
        <v>72</v>
      </c>
      <c r="P38" s="165" t="s">
        <v>303</v>
      </c>
      <c r="Q38" s="162" t="s">
        <v>44</v>
      </c>
      <c r="R38" s="105"/>
      <c r="S38" s="106">
        <v>22</v>
      </c>
      <c r="V38" s="89"/>
      <c r="W38" s="89"/>
      <c r="X38" s="89"/>
      <c r="Y38" s="89"/>
      <c r="Z38" s="33"/>
      <c r="AA38" s="73"/>
    </row>
    <row r="39" spans="1:27" ht="42" customHeight="1" x14ac:dyDescent="0.15">
      <c r="D39" s="107" t="s">
        <v>233</v>
      </c>
      <c r="E39" s="162" t="s">
        <v>250</v>
      </c>
      <c r="F39" s="162" t="s">
        <v>245</v>
      </c>
      <c r="G39" s="162" t="s">
        <v>234</v>
      </c>
      <c r="H39" s="162" t="s">
        <v>60</v>
      </c>
      <c r="I39" s="162" t="s">
        <v>67</v>
      </c>
      <c r="J39" s="162" t="s">
        <v>235</v>
      </c>
      <c r="K39" s="162" t="s">
        <v>45</v>
      </c>
      <c r="L39" s="173"/>
      <c r="M39" s="162" t="s">
        <v>247</v>
      </c>
      <c r="N39" s="162" t="s">
        <v>270</v>
      </c>
      <c r="O39" s="162" t="s">
        <v>302</v>
      </c>
      <c r="P39" s="162" t="s">
        <v>248</v>
      </c>
      <c r="Q39" s="162" t="s">
        <v>46</v>
      </c>
      <c r="R39" s="105"/>
      <c r="S39" s="106">
        <f>2*12+1</f>
        <v>25</v>
      </c>
      <c r="U39" s="32"/>
      <c r="V39" s="89"/>
      <c r="W39" s="89"/>
      <c r="X39" s="89"/>
      <c r="Y39" s="89"/>
      <c r="Z39" s="108"/>
    </row>
    <row r="40" spans="1:27" ht="9.9499999999999993" customHeight="1" x14ac:dyDescent="0.15">
      <c r="D40" s="673"/>
      <c r="E40" s="673"/>
      <c r="F40" s="673"/>
      <c r="G40" s="673"/>
      <c r="H40" s="673"/>
      <c r="I40" s="673"/>
      <c r="J40" s="673"/>
      <c r="K40" s="673"/>
      <c r="L40" s="673"/>
      <c r="M40" s="673"/>
      <c r="N40" s="673"/>
      <c r="O40" s="673"/>
      <c r="P40" s="673"/>
      <c r="Q40" s="673"/>
      <c r="R40" s="673"/>
      <c r="S40" s="106">
        <f>S35+S37+S38+S39</f>
        <v>77</v>
      </c>
      <c r="U40" s="32"/>
      <c r="V40" s="89"/>
      <c r="W40" s="89"/>
      <c r="X40" s="89"/>
      <c r="Y40" s="89"/>
    </row>
    <row r="41" spans="1:27" ht="21" customHeight="1" x14ac:dyDescent="0.15">
      <c r="D41" s="109"/>
      <c r="E41" s="110" t="s">
        <v>0</v>
      </c>
      <c r="F41" s="111" t="s">
        <v>1</v>
      </c>
      <c r="G41" s="111" t="s">
        <v>2</v>
      </c>
      <c r="H41" s="112" t="s">
        <v>3</v>
      </c>
      <c r="I41" s="113" t="s">
        <v>47</v>
      </c>
      <c r="J41" s="111" t="s">
        <v>5</v>
      </c>
      <c r="K41" s="111" t="s">
        <v>6</v>
      </c>
      <c r="L41" s="97"/>
      <c r="M41" s="111" t="s">
        <v>8</v>
      </c>
      <c r="N41" s="111" t="s">
        <v>9</v>
      </c>
      <c r="O41" s="113" t="s">
        <v>10</v>
      </c>
      <c r="P41" s="111" t="s">
        <v>11</v>
      </c>
      <c r="Q41" s="111" t="s">
        <v>12</v>
      </c>
      <c r="R41" s="114" t="s">
        <v>48</v>
      </c>
      <c r="S41" s="114" t="s">
        <v>263</v>
      </c>
    </row>
    <row r="42" spans="1:27" ht="39.950000000000003" customHeight="1" x14ac:dyDescent="0.15">
      <c r="D42" s="115" t="s">
        <v>49</v>
      </c>
      <c r="E42" s="116"/>
      <c r="F42" s="117"/>
      <c r="G42" s="117"/>
      <c r="H42" s="118"/>
      <c r="I42" s="119" t="s">
        <v>262</v>
      </c>
      <c r="J42" s="117"/>
      <c r="K42" s="119" t="s">
        <v>55</v>
      </c>
      <c r="L42" s="120"/>
      <c r="M42" s="117"/>
      <c r="N42" s="117"/>
      <c r="O42" s="121"/>
      <c r="P42" s="117"/>
      <c r="Q42" s="117"/>
      <c r="R42" s="122"/>
      <c r="S42" s="122"/>
      <c r="U42" s="629" t="s">
        <v>236</v>
      </c>
      <c r="V42" s="629"/>
      <c r="W42" s="629"/>
      <c r="X42" s="182"/>
      <c r="Y42" s="182"/>
      <c r="Z42" s="182"/>
    </row>
    <row r="43" spans="1:27" ht="39.950000000000003" customHeight="1" x14ac:dyDescent="0.15">
      <c r="D43" s="123" t="s">
        <v>50</v>
      </c>
      <c r="E43" s="124"/>
      <c r="F43" s="125"/>
      <c r="G43" s="125"/>
      <c r="H43" s="126"/>
      <c r="I43" s="127" t="s">
        <v>55</v>
      </c>
      <c r="J43" s="126"/>
      <c r="K43" s="125" t="s">
        <v>56</v>
      </c>
      <c r="L43" s="172"/>
      <c r="M43" s="127" t="s">
        <v>265</v>
      </c>
      <c r="N43" s="126"/>
      <c r="O43" s="125" t="s">
        <v>261</v>
      </c>
      <c r="P43" s="125"/>
      <c r="Q43" s="126"/>
      <c r="R43" s="128"/>
      <c r="S43" s="128"/>
      <c r="U43" s="182"/>
      <c r="V43" s="182"/>
      <c r="W43" s="182"/>
      <c r="X43" s="182"/>
      <c r="Y43" s="182"/>
      <c r="Z43" s="182"/>
      <c r="AA43" s="129"/>
    </row>
    <row r="44" spans="1:27" ht="39.950000000000003" customHeight="1" x14ac:dyDescent="0.15">
      <c r="D44" s="115" t="s">
        <v>51</v>
      </c>
      <c r="E44" s="124"/>
      <c r="F44" s="126" t="s">
        <v>293</v>
      </c>
      <c r="G44" s="125" t="s">
        <v>266</v>
      </c>
      <c r="H44" s="127"/>
      <c r="I44" s="127" t="s">
        <v>306</v>
      </c>
      <c r="J44" s="127" t="s">
        <v>282</v>
      </c>
      <c r="K44" s="127"/>
      <c r="L44" s="45"/>
      <c r="M44" s="127" t="s">
        <v>59</v>
      </c>
      <c r="N44" s="126" t="s">
        <v>58</v>
      </c>
      <c r="O44" s="125"/>
      <c r="P44" s="126"/>
      <c r="Q44" s="130" t="s">
        <v>57</v>
      </c>
      <c r="R44" s="131"/>
      <c r="S44" s="131"/>
      <c r="U44" s="182"/>
      <c r="V44" s="182"/>
      <c r="W44" s="182"/>
      <c r="X44" s="182"/>
      <c r="Y44" s="182"/>
      <c r="Z44" s="182"/>
      <c r="AA44" s="129"/>
    </row>
    <row r="45" spans="1:27" ht="39.950000000000003" customHeight="1" x14ac:dyDescent="0.15">
      <c r="D45" s="123" t="s">
        <v>52</v>
      </c>
      <c r="E45" s="124"/>
      <c r="F45" s="125"/>
      <c r="G45" s="125"/>
      <c r="H45" s="126"/>
      <c r="I45" s="126"/>
      <c r="J45" s="126"/>
      <c r="K45" s="125"/>
      <c r="L45" s="172"/>
      <c r="M45" s="125" t="s">
        <v>54</v>
      </c>
      <c r="N45" s="125"/>
      <c r="O45" s="125"/>
      <c r="P45" s="125"/>
      <c r="Q45" s="125" t="s">
        <v>264</v>
      </c>
      <c r="R45" s="128"/>
      <c r="S45" s="128"/>
      <c r="U45" s="182"/>
      <c r="V45" s="182"/>
      <c r="W45" s="182"/>
      <c r="X45" s="182"/>
      <c r="Y45" s="182"/>
      <c r="Z45" s="182"/>
      <c r="AA45" s="129"/>
    </row>
    <row r="46" spans="1:27" ht="39.950000000000003" customHeight="1" x14ac:dyDescent="0.15">
      <c r="D46" s="132" t="s">
        <v>53</v>
      </c>
      <c r="E46" s="133"/>
      <c r="F46" s="134"/>
      <c r="G46" s="135"/>
      <c r="H46" s="134"/>
      <c r="I46" s="134"/>
      <c r="J46" s="134"/>
      <c r="K46" s="134"/>
      <c r="L46" s="173"/>
      <c r="M46" s="134"/>
      <c r="N46" s="134"/>
      <c r="O46" s="134"/>
      <c r="P46" s="135"/>
      <c r="Q46" s="134"/>
      <c r="R46" s="136"/>
      <c r="S46" s="136"/>
      <c r="U46" s="182"/>
      <c r="V46" s="182"/>
      <c r="W46" s="182"/>
      <c r="X46" s="182"/>
      <c r="Y46" s="182"/>
      <c r="Z46" s="182"/>
      <c r="AA46" s="129"/>
    </row>
    <row r="47" spans="1:27" ht="27.95" customHeight="1" x14ac:dyDescent="0.15">
      <c r="C47" s="32"/>
      <c r="D47" s="32"/>
      <c r="K47" s="99"/>
      <c r="L47" s="99"/>
      <c r="M47" s="99"/>
      <c r="N47" s="99"/>
      <c r="O47" s="99"/>
      <c r="P47" s="99"/>
      <c r="Q47" s="99"/>
      <c r="R47" s="99"/>
      <c r="S47" s="99"/>
      <c r="U47" s="182"/>
      <c r="V47" s="182"/>
      <c r="W47" s="182"/>
      <c r="X47" s="182"/>
      <c r="Y47" s="182"/>
      <c r="Z47" s="182"/>
      <c r="AA47" s="129"/>
    </row>
    <row r="48" spans="1:27" ht="27.95" customHeight="1" x14ac:dyDescent="0.15">
      <c r="R48" s="99"/>
      <c r="S48" s="99"/>
      <c r="AA48" s="129"/>
    </row>
    <row r="49" spans="1:27" ht="16.5" customHeight="1" x14ac:dyDescent="0.15"/>
    <row r="50" spans="1:27" s="137" customFormat="1" ht="16.5" customHeight="1" x14ac:dyDescent="0.15">
      <c r="A50" s="32"/>
      <c r="B50" s="138"/>
      <c r="C50" s="99"/>
      <c r="D50" s="99"/>
      <c r="E50" s="99"/>
      <c r="F50" s="99"/>
      <c r="G50" s="99"/>
      <c r="H50" s="99"/>
      <c r="I50" s="99"/>
      <c r="J50" s="99"/>
      <c r="K50" s="99"/>
      <c r="M50" s="32"/>
      <c r="N50" s="32"/>
      <c r="O50" s="32"/>
      <c r="P50" s="32"/>
      <c r="Q50" s="32"/>
      <c r="R50" s="47"/>
      <c r="S50" s="32"/>
      <c r="T50" s="32"/>
      <c r="U50" s="33"/>
      <c r="V50" s="33"/>
      <c r="W50" s="33"/>
      <c r="X50" s="33"/>
      <c r="Y50" s="33"/>
      <c r="Z50" s="33"/>
      <c r="AA50" s="34"/>
    </row>
    <row r="51" spans="1:27" s="137" customFormat="1" ht="16.5" customHeight="1" x14ac:dyDescent="0.15">
      <c r="A51" s="32"/>
      <c r="B51" s="99"/>
      <c r="C51" s="99"/>
      <c r="D51" s="99"/>
      <c r="E51" s="99"/>
      <c r="F51" s="99"/>
      <c r="G51" s="99"/>
      <c r="H51" s="99"/>
      <c r="I51" s="99"/>
      <c r="J51" s="99"/>
      <c r="K51" s="99"/>
      <c r="M51" s="32"/>
      <c r="N51" s="32"/>
      <c r="O51" s="32"/>
      <c r="P51" s="32"/>
      <c r="Q51" s="32"/>
      <c r="R51" s="47"/>
      <c r="S51" s="32"/>
      <c r="T51" s="32"/>
      <c r="U51" s="33"/>
      <c r="V51" s="33"/>
      <c r="W51" s="33"/>
      <c r="X51" s="33"/>
      <c r="Y51" s="33"/>
      <c r="Z51" s="33"/>
      <c r="AA51" s="34"/>
    </row>
    <row r="52" spans="1:27" s="137" customFormat="1" ht="17.25" customHeight="1" x14ac:dyDescent="0.15">
      <c r="A52" s="32"/>
      <c r="B52" s="99"/>
      <c r="C52" s="99"/>
      <c r="D52" s="99"/>
      <c r="E52" s="99"/>
      <c r="F52" s="99"/>
      <c r="G52" s="99"/>
      <c r="H52" s="99"/>
      <c r="I52" s="99"/>
      <c r="J52" s="99"/>
      <c r="K52" s="99"/>
      <c r="M52" s="32"/>
      <c r="N52" s="32"/>
      <c r="O52" s="32"/>
      <c r="P52" s="32"/>
      <c r="Q52" s="32"/>
      <c r="R52" s="47"/>
      <c r="S52" s="32"/>
      <c r="T52" s="32"/>
      <c r="U52" s="33"/>
      <c r="V52" s="33"/>
      <c r="W52" s="33"/>
      <c r="X52" s="33"/>
      <c r="Y52" s="33"/>
      <c r="Z52" s="33"/>
      <c r="AA52" s="34"/>
    </row>
    <row r="53" spans="1:27" s="137" customFormat="1" x14ac:dyDescent="0.15">
      <c r="A53" s="32"/>
      <c r="B53" s="99"/>
      <c r="C53" s="99"/>
      <c r="D53" s="99"/>
      <c r="E53" s="99"/>
      <c r="F53" s="99"/>
      <c r="G53" s="99"/>
      <c r="H53" s="99"/>
      <c r="I53" s="99"/>
      <c r="J53" s="99"/>
      <c r="K53" s="99"/>
      <c r="M53" s="32"/>
      <c r="N53" s="32"/>
      <c r="O53" s="32"/>
      <c r="P53" s="32"/>
      <c r="Q53" s="32"/>
      <c r="R53" s="47"/>
      <c r="S53" s="32"/>
      <c r="T53" s="32"/>
      <c r="U53" s="33"/>
      <c r="V53" s="33"/>
      <c r="W53" s="33"/>
      <c r="X53" s="33"/>
      <c r="Y53" s="33"/>
      <c r="Z53" s="33"/>
      <c r="AA53" s="34"/>
    </row>
    <row r="54" spans="1:27" s="137" customFormat="1" ht="16.5" customHeight="1" x14ac:dyDescent="0.15">
      <c r="A54" s="32"/>
      <c r="B54" s="99"/>
      <c r="C54" s="99"/>
      <c r="D54" s="99"/>
      <c r="E54" s="99"/>
      <c r="F54" s="99"/>
      <c r="G54" s="99"/>
      <c r="H54" s="99"/>
      <c r="I54" s="99"/>
      <c r="J54" s="99"/>
      <c r="K54" s="99"/>
      <c r="M54" s="32"/>
      <c r="N54" s="32"/>
      <c r="O54" s="32"/>
      <c r="P54" s="32"/>
      <c r="Q54" s="32"/>
      <c r="R54" s="47"/>
      <c r="S54" s="32"/>
      <c r="T54" s="32"/>
      <c r="U54" s="33"/>
      <c r="V54" s="33"/>
      <c r="W54" s="33"/>
      <c r="X54" s="33"/>
      <c r="Y54" s="33"/>
      <c r="Z54" s="33"/>
      <c r="AA54" s="34"/>
    </row>
    <row r="55" spans="1:27" s="137" customFormat="1" x14ac:dyDescent="0.15">
      <c r="A55" s="32"/>
      <c r="B55" s="99"/>
      <c r="C55" s="99"/>
      <c r="D55" s="99"/>
      <c r="E55" s="99"/>
      <c r="F55" s="99"/>
      <c r="G55" s="99"/>
      <c r="H55" s="99"/>
      <c r="I55" s="99"/>
      <c r="J55" s="99"/>
      <c r="K55" s="99"/>
      <c r="M55" s="32"/>
      <c r="N55" s="32"/>
      <c r="O55" s="32"/>
      <c r="P55" s="32"/>
      <c r="Q55" s="32"/>
      <c r="R55" s="47"/>
      <c r="S55" s="32"/>
      <c r="T55" s="32"/>
      <c r="U55" s="33"/>
      <c r="V55" s="33"/>
      <c r="W55" s="33"/>
      <c r="X55" s="33"/>
      <c r="Y55" s="33"/>
      <c r="Z55" s="33"/>
      <c r="AA55" s="34"/>
    </row>
    <row r="56" spans="1:27" s="137" customFormat="1" x14ac:dyDescent="0.15">
      <c r="A56" s="32"/>
      <c r="B56" s="99"/>
      <c r="C56" s="99"/>
      <c r="D56" s="99"/>
      <c r="E56" s="99"/>
      <c r="F56" s="99"/>
      <c r="G56" s="99"/>
      <c r="H56" s="99"/>
      <c r="I56" s="99"/>
      <c r="J56" s="99"/>
      <c r="K56" s="99"/>
      <c r="M56" s="32"/>
      <c r="N56" s="32"/>
      <c r="O56" s="32"/>
      <c r="P56" s="32"/>
      <c r="Q56" s="32"/>
      <c r="R56" s="47"/>
      <c r="S56" s="32"/>
      <c r="T56" s="32"/>
      <c r="U56" s="33"/>
      <c r="V56" s="33"/>
      <c r="W56" s="33"/>
      <c r="X56" s="33"/>
      <c r="Y56" s="33"/>
      <c r="Z56" s="33"/>
      <c r="AA56" s="34"/>
    </row>
    <row r="57" spans="1:27" s="137" customFormat="1" x14ac:dyDescent="0.15">
      <c r="A57" s="32"/>
      <c r="B57" s="99"/>
      <c r="C57" s="99"/>
      <c r="D57" s="99"/>
      <c r="E57" s="99"/>
      <c r="F57" s="99"/>
      <c r="G57" s="99"/>
      <c r="H57" s="99"/>
      <c r="I57" s="99"/>
      <c r="J57" s="99"/>
      <c r="K57" s="99"/>
      <c r="M57" s="32"/>
      <c r="N57" s="32"/>
      <c r="O57" s="32"/>
      <c r="P57" s="32"/>
      <c r="Q57" s="32"/>
      <c r="R57" s="47"/>
      <c r="S57" s="32"/>
      <c r="T57" s="32"/>
      <c r="U57" s="33"/>
      <c r="V57" s="33"/>
      <c r="W57" s="33"/>
      <c r="X57" s="33"/>
      <c r="Y57" s="33"/>
      <c r="Z57" s="33"/>
      <c r="AA57" s="34"/>
    </row>
    <row r="58" spans="1:27" s="137" customFormat="1" ht="16.5" customHeight="1" x14ac:dyDescent="0.15">
      <c r="A58" s="32"/>
      <c r="B58" s="99"/>
      <c r="C58" s="99"/>
      <c r="D58" s="99"/>
      <c r="E58" s="99"/>
      <c r="F58" s="99"/>
      <c r="G58" s="99"/>
      <c r="H58" s="99"/>
      <c r="I58" s="99"/>
      <c r="J58" s="99"/>
      <c r="K58" s="99"/>
      <c r="M58" s="32"/>
      <c r="N58" s="32"/>
      <c r="O58" s="32"/>
      <c r="P58" s="32"/>
      <c r="Q58" s="32"/>
      <c r="R58" s="47"/>
      <c r="S58" s="32"/>
      <c r="T58" s="32"/>
      <c r="U58" s="33"/>
      <c r="V58" s="33"/>
      <c r="W58" s="33"/>
      <c r="X58" s="33"/>
      <c r="Y58" s="33"/>
      <c r="Z58" s="33"/>
      <c r="AA58" s="34"/>
    </row>
    <row r="59" spans="1:27" s="137" customFormat="1" x14ac:dyDescent="0.15">
      <c r="A59" s="32"/>
      <c r="B59" s="99"/>
      <c r="C59" s="99"/>
      <c r="D59" s="99"/>
      <c r="E59" s="99"/>
      <c r="F59" s="99"/>
      <c r="G59" s="99"/>
      <c r="H59" s="99"/>
      <c r="I59" s="99"/>
      <c r="J59" s="99"/>
      <c r="K59" s="99"/>
      <c r="M59" s="32"/>
      <c r="N59" s="32"/>
      <c r="O59" s="32"/>
      <c r="P59" s="32"/>
      <c r="Q59" s="32"/>
      <c r="R59" s="47"/>
      <c r="S59" s="32"/>
      <c r="T59" s="32"/>
      <c r="U59" s="33"/>
      <c r="V59" s="33"/>
      <c r="W59" s="33"/>
      <c r="X59" s="33"/>
      <c r="Y59" s="33"/>
      <c r="Z59" s="33"/>
      <c r="AA59" s="34"/>
    </row>
    <row r="60" spans="1:27" s="137" customFormat="1" x14ac:dyDescent="0.15">
      <c r="A60" s="32"/>
      <c r="B60" s="99"/>
      <c r="C60" s="99"/>
      <c r="D60" s="99"/>
      <c r="E60" s="99"/>
      <c r="F60" s="99"/>
      <c r="G60" s="99"/>
      <c r="H60" s="99"/>
      <c r="I60" s="99"/>
      <c r="J60" s="99"/>
      <c r="K60" s="99"/>
      <c r="M60" s="32"/>
      <c r="N60" s="32"/>
      <c r="O60" s="32"/>
      <c r="P60" s="32"/>
      <c r="Q60" s="32"/>
      <c r="R60" s="47"/>
      <c r="S60" s="32"/>
      <c r="T60" s="32"/>
      <c r="U60" s="33"/>
      <c r="V60" s="33"/>
      <c r="W60" s="33"/>
      <c r="X60" s="33"/>
      <c r="Y60" s="33"/>
      <c r="Z60" s="33"/>
      <c r="AA60" s="34"/>
    </row>
    <row r="61" spans="1:27" s="137" customFormat="1" x14ac:dyDescent="0.15">
      <c r="A61" s="32"/>
      <c r="B61" s="99"/>
      <c r="C61" s="99"/>
      <c r="D61" s="99"/>
      <c r="E61" s="32"/>
      <c r="F61" s="32"/>
      <c r="G61" s="32"/>
      <c r="H61" s="32"/>
      <c r="I61" s="32"/>
      <c r="J61" s="32"/>
      <c r="K61" s="32"/>
      <c r="M61" s="32"/>
      <c r="N61" s="32"/>
      <c r="O61" s="32"/>
      <c r="P61" s="32"/>
      <c r="Q61" s="32"/>
      <c r="R61" s="47"/>
      <c r="S61" s="32"/>
      <c r="T61" s="32"/>
      <c r="U61" s="33"/>
      <c r="V61" s="33"/>
      <c r="W61" s="33"/>
      <c r="X61" s="33"/>
      <c r="Y61" s="33"/>
      <c r="Z61" s="33"/>
      <c r="AA61" s="34"/>
    </row>
    <row r="73" ht="16.5" customHeight="1" x14ac:dyDescent="0.15"/>
    <row r="75" ht="16.5" customHeight="1" x14ac:dyDescent="0.15"/>
    <row r="77" ht="16.5" customHeight="1" x14ac:dyDescent="0.15"/>
    <row r="79" ht="16.5" customHeight="1" x14ac:dyDescent="0.15"/>
  </sheetData>
  <mergeCells count="30">
    <mergeCell ref="D35:D36"/>
    <mergeCell ref="D40:R40"/>
    <mergeCell ref="U42:W42"/>
    <mergeCell ref="C14:D14"/>
    <mergeCell ref="P10:Q13"/>
    <mergeCell ref="P23:Q25"/>
    <mergeCell ref="U23:Z23"/>
    <mergeCell ref="U24:Z30"/>
    <mergeCell ref="C26:D26"/>
    <mergeCell ref="C27:D28"/>
    <mergeCell ref="U10:Z18"/>
    <mergeCell ref="C15:D16"/>
    <mergeCell ref="C17:D22"/>
    <mergeCell ref="U19:Z19"/>
    <mergeCell ref="E20:F20"/>
    <mergeCell ref="M20:Q20"/>
    <mergeCell ref="U20:Z22"/>
    <mergeCell ref="E21:F21"/>
    <mergeCell ref="A30:A31"/>
    <mergeCell ref="B30:B31"/>
    <mergeCell ref="C30:D32"/>
    <mergeCell ref="U31:Z32"/>
    <mergeCell ref="E32:F32"/>
    <mergeCell ref="A1:Q1"/>
    <mergeCell ref="A2:Q2"/>
    <mergeCell ref="U2:Z3"/>
    <mergeCell ref="C4:D9"/>
    <mergeCell ref="U4:Z4"/>
    <mergeCell ref="U5:Z8"/>
    <mergeCell ref="U9:Z9"/>
  </mergeCells>
  <phoneticPr fontId="3" type="noConversion"/>
  <conditionalFormatting sqref="O92:O93">
    <cfRule type="uniqueValues" dxfId="32" priority="3"/>
  </conditionalFormatting>
  <conditionalFormatting sqref="M86:M87">
    <cfRule type="uniqueValues" dxfId="31" priority="2"/>
  </conditionalFormatting>
  <conditionalFormatting sqref="N92:N93">
    <cfRule type="uniqueValues" dxfId="30" priority="1"/>
  </conditionalFormatting>
  <printOptions horizontalCentered="1"/>
  <pageMargins left="0" right="0" top="0" bottom="0" header="0" footer="0"/>
  <pageSetup paperSize="9" scale="29" orientation="portrait" horizontalDpi="4294967293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78"/>
  <sheetViews>
    <sheetView topLeftCell="A2" zoomScale="85" zoomScaleNormal="85" zoomScalePageLayoutView="80" workbookViewId="0">
      <selection activeCell="M13" sqref="M13"/>
    </sheetView>
  </sheetViews>
  <sheetFormatPr defaultRowHeight="16.5" x14ac:dyDescent="0.15"/>
  <cols>
    <col min="1" max="1" width="4.33203125" style="217" customWidth="1"/>
    <col min="2" max="2" width="13.33203125" style="320" customWidth="1"/>
    <col min="3" max="4" width="15.83203125" style="320" customWidth="1"/>
    <col min="5" max="11" width="15.83203125" style="217" customWidth="1"/>
    <col min="12" max="12" width="3.5" style="329" customWidth="1"/>
    <col min="13" max="17" width="15.83203125" style="217" customWidth="1"/>
    <col min="18" max="18" width="15.83203125" style="368" customWidth="1"/>
    <col min="19" max="19" width="15.83203125" style="217" customWidth="1"/>
    <col min="20" max="20" width="2.1640625" style="217" customWidth="1"/>
    <col min="21" max="26" width="10.83203125" style="218" customWidth="1"/>
    <col min="27" max="27" width="10" style="219" bestFit="1" customWidth="1"/>
    <col min="28" max="16384" width="9.33203125" style="217"/>
  </cols>
  <sheetData>
    <row r="1" spans="1:27" ht="16.5" hidden="1" customHeight="1" x14ac:dyDescent="0.15">
      <c r="A1" s="606" t="s">
        <v>74</v>
      </c>
      <c r="B1" s="607"/>
      <c r="C1" s="607"/>
      <c r="D1" s="607"/>
      <c r="E1" s="607"/>
      <c r="F1" s="607"/>
      <c r="G1" s="607"/>
      <c r="H1" s="607"/>
      <c r="I1" s="607"/>
      <c r="J1" s="607"/>
      <c r="K1" s="607"/>
      <c r="L1" s="607"/>
      <c r="M1" s="607"/>
      <c r="N1" s="607"/>
      <c r="O1" s="607"/>
      <c r="P1" s="607"/>
      <c r="Q1" s="608"/>
      <c r="R1" s="216"/>
    </row>
    <row r="2" spans="1:27" ht="18" customHeight="1" x14ac:dyDescent="0.15">
      <c r="A2" s="609" t="s">
        <v>655</v>
      </c>
      <c r="B2" s="610"/>
      <c r="C2" s="610"/>
      <c r="D2" s="610"/>
      <c r="E2" s="610"/>
      <c r="F2" s="610"/>
      <c r="G2" s="610"/>
      <c r="H2" s="610"/>
      <c r="I2" s="610"/>
      <c r="J2" s="610"/>
      <c r="K2" s="610"/>
      <c r="L2" s="610"/>
      <c r="M2" s="610"/>
      <c r="N2" s="610"/>
      <c r="O2" s="610"/>
      <c r="P2" s="610"/>
      <c r="Q2" s="610"/>
      <c r="R2" s="220"/>
      <c r="U2" s="540"/>
      <c r="V2" s="540"/>
      <c r="W2" s="540"/>
      <c r="X2" s="540"/>
      <c r="Y2" s="540"/>
      <c r="Z2" s="540"/>
    </row>
    <row r="3" spans="1:27" ht="21" customHeight="1" thickBot="1" x14ac:dyDescent="0.2">
      <c r="A3" s="221"/>
      <c r="B3" s="222" t="s">
        <v>75</v>
      </c>
      <c r="C3" s="223" t="s">
        <v>76</v>
      </c>
      <c r="D3" s="223" t="s">
        <v>77</v>
      </c>
      <c r="E3" s="224" t="s">
        <v>0</v>
      </c>
      <c r="F3" s="224" t="s">
        <v>1</v>
      </c>
      <c r="G3" s="223" t="s">
        <v>2</v>
      </c>
      <c r="H3" s="223" t="s">
        <v>377</v>
      </c>
      <c r="I3" s="224" t="s">
        <v>4</v>
      </c>
      <c r="J3" s="223" t="s">
        <v>5</v>
      </c>
      <c r="K3" s="223" t="s">
        <v>6</v>
      </c>
      <c r="L3" s="225" t="s">
        <v>7</v>
      </c>
      <c r="M3" s="224" t="s">
        <v>8</v>
      </c>
      <c r="N3" s="223" t="s">
        <v>9</v>
      </c>
      <c r="O3" s="223" t="s">
        <v>10</v>
      </c>
      <c r="P3" s="223" t="s">
        <v>11</v>
      </c>
      <c r="Q3" s="223" t="s">
        <v>12</v>
      </c>
      <c r="R3" s="226">
        <f>AVERAGE(R4:R32)</f>
        <v>0.94423076923076943</v>
      </c>
      <c r="U3" s="611"/>
      <c r="V3" s="611"/>
      <c r="W3" s="611"/>
      <c r="X3" s="611"/>
      <c r="Y3" s="611"/>
      <c r="Z3" s="611"/>
    </row>
    <row r="4" spans="1:27" s="237" customFormat="1" ht="27.95" customHeight="1" thickBot="1" x14ac:dyDescent="0.2">
      <c r="A4" s="227">
        <v>1</v>
      </c>
      <c r="B4" s="228" t="s">
        <v>378</v>
      </c>
      <c r="C4" s="604"/>
      <c r="D4" s="605"/>
      <c r="E4" s="229" t="s">
        <v>379</v>
      </c>
      <c r="F4" s="229" t="s">
        <v>380</v>
      </c>
      <c r="G4" s="383" t="s">
        <v>687</v>
      </c>
      <c r="H4" s="231" t="s">
        <v>124</v>
      </c>
      <c r="I4" s="229" t="s">
        <v>383</v>
      </c>
      <c r="J4" s="232" t="s">
        <v>384</v>
      </c>
      <c r="K4" s="229" t="s">
        <v>385</v>
      </c>
      <c r="L4" s="233"/>
      <c r="M4" s="234" t="s">
        <v>386</v>
      </c>
      <c r="N4" s="231" t="s">
        <v>387</v>
      </c>
      <c r="O4" s="231" t="s">
        <v>388</v>
      </c>
      <c r="P4" s="231" t="s">
        <v>389</v>
      </c>
      <c r="Q4" s="231" t="s">
        <v>88</v>
      </c>
      <c r="R4" s="235">
        <f>(COUNTA(C4:Q4))/12</f>
        <v>1</v>
      </c>
      <c r="S4" s="373"/>
      <c r="U4" s="612" t="s">
        <v>313</v>
      </c>
      <c r="V4" s="613"/>
      <c r="W4" s="613"/>
      <c r="X4" s="613"/>
      <c r="Y4" s="613"/>
      <c r="Z4" s="614"/>
      <c r="AA4" s="238"/>
    </row>
    <row r="5" spans="1:27" s="237" customFormat="1" ht="27.95" customHeight="1" x14ac:dyDescent="0.15">
      <c r="A5" s="239">
        <v>2</v>
      </c>
      <c r="B5" s="240" t="s">
        <v>390</v>
      </c>
      <c r="C5" s="598"/>
      <c r="D5" s="599"/>
      <c r="E5" s="229" t="s">
        <v>271</v>
      </c>
      <c r="F5" s="229" t="s">
        <v>391</v>
      </c>
      <c r="G5" s="229" t="s">
        <v>386</v>
      </c>
      <c r="H5" s="231" t="s">
        <v>106</v>
      </c>
      <c r="I5" s="241" t="s">
        <v>392</v>
      </c>
      <c r="J5" s="229" t="s">
        <v>393</v>
      </c>
      <c r="K5" s="229" t="s">
        <v>388</v>
      </c>
      <c r="L5" s="231"/>
      <c r="M5" s="229" t="s">
        <v>394</v>
      </c>
      <c r="N5" s="229" t="s">
        <v>395</v>
      </c>
      <c r="O5" s="234" t="s">
        <v>396</v>
      </c>
      <c r="P5" s="229" t="s">
        <v>397</v>
      </c>
      <c r="Q5" s="241"/>
      <c r="R5" s="235">
        <f>(COUNTA(C5:Q5))/12</f>
        <v>0.91666666666666663</v>
      </c>
      <c r="S5" s="373"/>
      <c r="U5" s="615"/>
      <c r="V5" s="616"/>
      <c r="W5" s="616"/>
      <c r="X5" s="616"/>
      <c r="Y5" s="616"/>
      <c r="Z5" s="617"/>
      <c r="AA5" s="238"/>
    </row>
    <row r="6" spans="1:27" s="237" customFormat="1" ht="27.95" customHeight="1" x14ac:dyDescent="0.15">
      <c r="A6" s="239">
        <v>3</v>
      </c>
      <c r="B6" s="242" t="s">
        <v>398</v>
      </c>
      <c r="C6" s="598"/>
      <c r="D6" s="599"/>
      <c r="E6" s="229" t="s">
        <v>399</v>
      </c>
      <c r="F6" s="243" t="s">
        <v>128</v>
      </c>
      <c r="G6" s="229" t="s">
        <v>392</v>
      </c>
      <c r="H6" s="229" t="s">
        <v>400</v>
      </c>
      <c r="I6" s="229" t="s">
        <v>401</v>
      </c>
      <c r="J6" s="229" t="s">
        <v>402</v>
      </c>
      <c r="K6" s="229" t="s">
        <v>403</v>
      </c>
      <c r="L6" s="229"/>
      <c r="M6" s="229" t="s">
        <v>404</v>
      </c>
      <c r="N6" s="241" t="s">
        <v>405</v>
      </c>
      <c r="O6" s="241" t="s">
        <v>406</v>
      </c>
      <c r="P6" s="244" t="s">
        <v>407</v>
      </c>
      <c r="Q6" s="229" t="s">
        <v>408</v>
      </c>
      <c r="R6" s="235">
        <f>(COUNTA(C6:Q6))/12</f>
        <v>1</v>
      </c>
      <c r="S6" s="373"/>
      <c r="U6" s="618"/>
      <c r="V6" s="619"/>
      <c r="W6" s="619"/>
      <c r="X6" s="619"/>
      <c r="Y6" s="619"/>
      <c r="Z6" s="620"/>
      <c r="AA6" s="238"/>
    </row>
    <row r="7" spans="1:27" s="237" customFormat="1" ht="27.75" customHeight="1" thickBot="1" x14ac:dyDescent="0.2">
      <c r="A7" s="239">
        <v>4</v>
      </c>
      <c r="B7" s="377" t="s">
        <v>656</v>
      </c>
      <c r="C7" s="598"/>
      <c r="D7" s="599"/>
      <c r="E7" s="386"/>
      <c r="F7" s="387"/>
      <c r="G7" s="388"/>
      <c r="H7" s="385" t="s">
        <v>698</v>
      </c>
      <c r="I7" s="380"/>
      <c r="J7" s="386" t="s">
        <v>280</v>
      </c>
      <c r="K7" s="385" t="s">
        <v>671</v>
      </c>
      <c r="L7" s="386"/>
      <c r="M7" s="381"/>
      <c r="N7" s="381" t="s">
        <v>702</v>
      </c>
      <c r="O7" s="380"/>
      <c r="P7" s="385"/>
      <c r="Q7" s="380"/>
      <c r="R7" s="235">
        <f>(COUNTA(C7:Q7))/12</f>
        <v>0.33333333333333331</v>
      </c>
      <c r="S7" s="373"/>
      <c r="U7" s="621"/>
      <c r="V7" s="622"/>
      <c r="W7" s="622"/>
      <c r="X7" s="622"/>
      <c r="Y7" s="622"/>
      <c r="Z7" s="623"/>
      <c r="AA7" s="238"/>
    </row>
    <row r="8" spans="1:27" s="237" customFormat="1" ht="27.95" customHeight="1" thickBot="1" x14ac:dyDescent="0.2">
      <c r="A8" s="239">
        <v>5</v>
      </c>
      <c r="B8" s="6" t="s">
        <v>416</v>
      </c>
      <c r="C8" s="598"/>
      <c r="D8" s="599"/>
      <c r="E8" s="230" t="s">
        <v>394</v>
      </c>
      <c r="F8" s="230" t="s">
        <v>417</v>
      </c>
      <c r="G8" s="170" t="s">
        <v>418</v>
      </c>
      <c r="H8" s="247" t="s">
        <v>279</v>
      </c>
      <c r="I8" s="247" t="s">
        <v>419</v>
      </c>
      <c r="J8" s="247" t="s">
        <v>106</v>
      </c>
      <c r="K8" s="230" t="s">
        <v>420</v>
      </c>
      <c r="L8" s="171"/>
      <c r="M8" s="230" t="s">
        <v>391</v>
      </c>
      <c r="N8" s="405" t="s">
        <v>704</v>
      </c>
      <c r="O8" s="249" t="s">
        <v>403</v>
      </c>
      <c r="P8" s="229" t="s">
        <v>94</v>
      </c>
      <c r="Q8" s="230" t="s">
        <v>421</v>
      </c>
      <c r="R8" s="235">
        <f>(COUNTA(C8:Q8))/12</f>
        <v>1</v>
      </c>
      <c r="S8" s="373"/>
      <c r="U8" s="612" t="s">
        <v>422</v>
      </c>
      <c r="V8" s="613"/>
      <c r="W8" s="613"/>
      <c r="X8" s="613"/>
      <c r="Y8" s="613"/>
      <c r="Z8" s="614"/>
      <c r="AA8" s="238"/>
    </row>
    <row r="9" spans="1:27" s="237" customFormat="1" ht="27.95" customHeight="1" x14ac:dyDescent="0.15">
      <c r="A9" s="250">
        <v>6</v>
      </c>
      <c r="B9" s="251" t="s">
        <v>423</v>
      </c>
      <c r="C9" s="252" t="s">
        <v>424</v>
      </c>
      <c r="D9" s="252" t="s">
        <v>424</v>
      </c>
      <c r="E9" s="253" t="s">
        <v>425</v>
      </c>
      <c r="F9" s="253" t="s">
        <v>411</v>
      </c>
      <c r="G9" s="253" t="s">
        <v>396</v>
      </c>
      <c r="H9" s="233" t="s">
        <v>407</v>
      </c>
      <c r="I9" s="232" t="s">
        <v>426</v>
      </c>
      <c r="J9" s="244" t="s">
        <v>427</v>
      </c>
      <c r="K9" s="160" t="s">
        <v>393</v>
      </c>
      <c r="L9" s="253"/>
      <c r="M9" s="253" t="s">
        <v>428</v>
      </c>
      <c r="N9" s="254" t="s">
        <v>429</v>
      </c>
      <c r="O9" s="231" t="s">
        <v>387</v>
      </c>
      <c r="P9" s="541"/>
      <c r="Q9" s="542"/>
      <c r="R9" s="235">
        <f t="shared" ref="R9:R18" si="0">(COUNTA(C9:Q9))/12</f>
        <v>1</v>
      </c>
      <c r="S9" s="373"/>
      <c r="U9" s="592" t="s">
        <v>701</v>
      </c>
      <c r="V9" s="593"/>
      <c r="W9" s="593"/>
      <c r="X9" s="593"/>
      <c r="Y9" s="593"/>
      <c r="Z9" s="594"/>
      <c r="AA9" s="238"/>
    </row>
    <row r="10" spans="1:27" s="237" customFormat="1" ht="27.95" customHeight="1" x14ac:dyDescent="0.15">
      <c r="A10" s="239">
        <v>7</v>
      </c>
      <c r="B10" s="240" t="s">
        <v>430</v>
      </c>
      <c r="C10" s="255" t="s">
        <v>431</v>
      </c>
      <c r="D10" s="255" t="s">
        <v>431</v>
      </c>
      <c r="E10" s="241" t="s">
        <v>677</v>
      </c>
      <c r="F10" s="232" t="s">
        <v>13</v>
      </c>
      <c r="G10" s="229" t="s">
        <v>432</v>
      </c>
      <c r="H10" s="241" t="s">
        <v>433</v>
      </c>
      <c r="I10" s="234" t="s">
        <v>417</v>
      </c>
      <c r="J10" s="229" t="s">
        <v>434</v>
      </c>
      <c r="K10" s="229" t="s">
        <v>435</v>
      </c>
      <c r="L10" s="233"/>
      <c r="M10" s="231" t="s">
        <v>383</v>
      </c>
      <c r="N10" s="232" t="s">
        <v>436</v>
      </c>
      <c r="O10" s="231" t="s">
        <v>437</v>
      </c>
      <c r="P10" s="543"/>
      <c r="Q10" s="544"/>
      <c r="R10" s="235">
        <f t="shared" si="0"/>
        <v>1</v>
      </c>
      <c r="S10" s="373"/>
      <c r="U10" s="592"/>
      <c r="V10" s="593"/>
      <c r="W10" s="593"/>
      <c r="X10" s="593"/>
      <c r="Y10" s="593"/>
      <c r="Z10" s="594"/>
      <c r="AA10" s="238"/>
    </row>
    <row r="11" spans="1:27" s="237" customFormat="1" ht="27.95" customHeight="1" x14ac:dyDescent="0.15">
      <c r="A11" s="239">
        <v>8</v>
      </c>
      <c r="B11" s="245" t="s">
        <v>438</v>
      </c>
      <c r="C11" s="255" t="s">
        <v>334</v>
      </c>
      <c r="D11" s="255" t="s">
        <v>330</v>
      </c>
      <c r="E11" s="229" t="s">
        <v>439</v>
      </c>
      <c r="F11" s="241" t="s">
        <v>396</v>
      </c>
      <c r="G11" s="256" t="s">
        <v>440</v>
      </c>
      <c r="H11" s="229" t="s">
        <v>441</v>
      </c>
      <c r="I11" s="375" t="s">
        <v>442</v>
      </c>
      <c r="J11" s="229" t="s">
        <v>443</v>
      </c>
      <c r="K11" s="243" t="s">
        <v>444</v>
      </c>
      <c r="L11" s="230"/>
      <c r="M11" s="230" t="s">
        <v>445</v>
      </c>
      <c r="N11" s="229" t="s">
        <v>446</v>
      </c>
      <c r="O11" s="229" t="s">
        <v>447</v>
      </c>
      <c r="P11" s="543"/>
      <c r="Q11" s="544"/>
      <c r="R11" s="235">
        <f t="shared" si="0"/>
        <v>1</v>
      </c>
      <c r="S11" s="373"/>
      <c r="U11" s="592"/>
      <c r="V11" s="593"/>
      <c r="W11" s="593"/>
      <c r="X11" s="593"/>
      <c r="Y11" s="593"/>
      <c r="Z11" s="594"/>
      <c r="AA11" s="238"/>
    </row>
    <row r="12" spans="1:27" s="237" customFormat="1" ht="27.95" customHeight="1" x14ac:dyDescent="0.15">
      <c r="A12" s="239">
        <v>9</v>
      </c>
      <c r="B12" s="257" t="s">
        <v>448</v>
      </c>
      <c r="C12" s="255" t="s">
        <v>449</v>
      </c>
      <c r="D12" s="255" t="s">
        <v>450</v>
      </c>
      <c r="E12" s="229" t="s">
        <v>138</v>
      </c>
      <c r="F12" s="383" t="s">
        <v>686</v>
      </c>
      <c r="G12" s="248" t="s">
        <v>452</v>
      </c>
      <c r="H12" s="243" t="s">
        <v>453</v>
      </c>
      <c r="I12" s="233" t="s">
        <v>454</v>
      </c>
      <c r="J12" s="229" t="s">
        <v>455</v>
      </c>
      <c r="K12" s="241" t="s">
        <v>419</v>
      </c>
      <c r="L12" s="229"/>
      <c r="M12" s="241" t="s">
        <v>279</v>
      </c>
      <c r="N12" s="231" t="s">
        <v>456</v>
      </c>
      <c r="O12" s="241" t="s">
        <v>272</v>
      </c>
      <c r="P12" s="543"/>
      <c r="Q12" s="544"/>
      <c r="R12" s="235">
        <f t="shared" si="0"/>
        <v>1</v>
      </c>
      <c r="S12" s="373"/>
      <c r="U12" s="592"/>
      <c r="V12" s="593"/>
      <c r="W12" s="593"/>
      <c r="X12" s="593"/>
      <c r="Y12" s="593"/>
      <c r="Z12" s="594"/>
      <c r="AA12" s="238"/>
    </row>
    <row r="13" spans="1:27" s="237" customFormat="1" ht="27.95" customHeight="1" thickBot="1" x14ac:dyDescent="0.2">
      <c r="A13" s="258">
        <v>10</v>
      </c>
      <c r="B13" s="7" t="s">
        <v>457</v>
      </c>
      <c r="C13" s="259" t="s">
        <v>458</v>
      </c>
      <c r="D13" s="259" t="s">
        <v>459</v>
      </c>
      <c r="E13" s="260"/>
      <c r="F13" s="9" t="s">
        <v>460</v>
      </c>
      <c r="G13" s="249" t="s">
        <v>387</v>
      </c>
      <c r="H13" s="249" t="s">
        <v>383</v>
      </c>
      <c r="I13" s="249" t="s">
        <v>461</v>
      </c>
      <c r="J13" s="261" t="s">
        <v>412</v>
      </c>
      <c r="K13" s="249" t="s">
        <v>462</v>
      </c>
      <c r="L13" s="11"/>
      <c r="M13" s="262" t="s">
        <v>396</v>
      </c>
      <c r="N13" s="261" t="s">
        <v>463</v>
      </c>
      <c r="O13" s="249" t="s">
        <v>435</v>
      </c>
      <c r="P13" s="720"/>
      <c r="Q13" s="721"/>
      <c r="R13" s="235">
        <f t="shared" si="0"/>
        <v>0.91666666666666663</v>
      </c>
      <c r="S13" s="373"/>
      <c r="U13" s="592"/>
      <c r="V13" s="593"/>
      <c r="W13" s="593"/>
      <c r="X13" s="593"/>
      <c r="Y13" s="593"/>
      <c r="Z13" s="594"/>
      <c r="AA13" s="238"/>
    </row>
    <row r="14" spans="1:27" ht="27.95" customHeight="1" x14ac:dyDescent="0.15">
      <c r="A14" s="263">
        <v>11</v>
      </c>
      <c r="B14" s="264" t="s">
        <v>464</v>
      </c>
      <c r="C14" s="722"/>
      <c r="D14" s="723"/>
      <c r="E14" s="229" t="s">
        <v>417</v>
      </c>
      <c r="F14" s="241" t="s">
        <v>465</v>
      </c>
      <c r="G14" s="241" t="s">
        <v>279</v>
      </c>
      <c r="H14" s="233" t="s">
        <v>272</v>
      </c>
      <c r="I14" s="271" t="s">
        <v>670</v>
      </c>
      <c r="J14" s="230" t="s">
        <v>421</v>
      </c>
      <c r="K14" s="272" t="s">
        <v>672</v>
      </c>
      <c r="L14" s="241"/>
      <c r="M14" s="233" t="s">
        <v>393</v>
      </c>
      <c r="N14" s="241" t="s">
        <v>392</v>
      </c>
      <c r="O14" s="243" t="s">
        <v>466</v>
      </c>
      <c r="P14" s="398" t="s">
        <v>685</v>
      </c>
      <c r="Q14" s="231" t="s">
        <v>467</v>
      </c>
      <c r="R14" s="235">
        <f t="shared" si="0"/>
        <v>1</v>
      </c>
      <c r="S14" s="373"/>
      <c r="T14" s="237"/>
      <c r="U14" s="592"/>
      <c r="V14" s="593"/>
      <c r="W14" s="593"/>
      <c r="X14" s="593"/>
      <c r="Y14" s="593"/>
      <c r="Z14" s="594"/>
    </row>
    <row r="15" spans="1:27" ht="27.95" customHeight="1" thickBot="1" x14ac:dyDescent="0.2">
      <c r="A15" s="258">
        <v>12</v>
      </c>
      <c r="B15" s="265" t="s">
        <v>468</v>
      </c>
      <c r="C15" s="724"/>
      <c r="D15" s="725"/>
      <c r="E15" s="378" t="s">
        <v>408</v>
      </c>
      <c r="F15" s="261" t="s">
        <v>469</v>
      </c>
      <c r="G15" s="391" t="s">
        <v>662</v>
      </c>
      <c r="H15" s="403" t="s">
        <v>695</v>
      </c>
      <c r="I15" s="383" t="s">
        <v>403</v>
      </c>
      <c r="J15" s="249" t="s">
        <v>470</v>
      </c>
      <c r="K15" s="383" t="s">
        <v>675</v>
      </c>
      <c r="L15" s="249"/>
      <c r="M15" s="392" t="s">
        <v>674</v>
      </c>
      <c r="N15" s="266" t="s">
        <v>146</v>
      </c>
      <c r="O15" s="384"/>
      <c r="P15" s="249" t="s">
        <v>415</v>
      </c>
      <c r="Q15" s="9" t="s">
        <v>418</v>
      </c>
      <c r="R15" s="235">
        <f t="shared" si="0"/>
        <v>0.91666666666666663</v>
      </c>
      <c r="S15" s="373"/>
      <c r="U15" s="592"/>
      <c r="V15" s="593"/>
      <c r="W15" s="593"/>
      <c r="X15" s="593"/>
      <c r="Y15" s="593"/>
      <c r="Z15" s="594"/>
    </row>
    <row r="16" spans="1:27" ht="27" customHeight="1" x14ac:dyDescent="0.15">
      <c r="A16" s="227">
        <v>13</v>
      </c>
      <c r="B16" s="267" t="s">
        <v>21</v>
      </c>
      <c r="C16" s="598"/>
      <c r="D16" s="599"/>
      <c r="E16" s="254"/>
      <c r="F16" s="177" t="s">
        <v>472</v>
      </c>
      <c r="G16" s="253" t="s">
        <v>473</v>
      </c>
      <c r="H16" s="253" t="s">
        <v>23</v>
      </c>
      <c r="I16" s="253" t="s">
        <v>474</v>
      </c>
      <c r="J16" s="160" t="s">
        <v>475</v>
      </c>
      <c r="K16" s="253" t="s">
        <v>476</v>
      </c>
      <c r="L16" s="233"/>
      <c r="M16" s="399" t="s">
        <v>673</v>
      </c>
      <c r="N16" s="229" t="s">
        <v>478</v>
      </c>
      <c r="O16" s="231" t="s">
        <v>479</v>
      </c>
      <c r="P16" s="390"/>
      <c r="Q16" s="379" t="s">
        <v>415</v>
      </c>
      <c r="R16" s="235">
        <f>(COUNTA(C16:Q16))/12</f>
        <v>0.83333333333333337</v>
      </c>
      <c r="S16" s="373"/>
      <c r="U16" s="592"/>
      <c r="V16" s="593"/>
      <c r="W16" s="593"/>
      <c r="X16" s="593"/>
      <c r="Y16" s="593"/>
      <c r="Z16" s="594"/>
    </row>
    <row r="17" spans="1:27" ht="27.95" customHeight="1" thickBot="1" x14ac:dyDescent="0.2">
      <c r="A17" s="227">
        <v>14</v>
      </c>
      <c r="B17" s="267" t="s">
        <v>480</v>
      </c>
      <c r="C17" s="598"/>
      <c r="D17" s="599"/>
      <c r="E17" s="229" t="s">
        <v>481</v>
      </c>
      <c r="F17" s="232" t="s">
        <v>482</v>
      </c>
      <c r="G17" s="229" t="s">
        <v>483</v>
      </c>
      <c r="H17" s="229" t="s">
        <v>484</v>
      </c>
      <c r="I17" s="241" t="s">
        <v>485</v>
      </c>
      <c r="J17" s="229" t="s">
        <v>486</v>
      </c>
      <c r="K17" s="241" t="s">
        <v>487</v>
      </c>
      <c r="L17" s="229"/>
      <c r="M17" s="17" t="s">
        <v>488</v>
      </c>
      <c r="N17" s="397" t="s">
        <v>684</v>
      </c>
      <c r="O17" s="18" t="s">
        <v>162</v>
      </c>
      <c r="P17" s="229" t="s">
        <v>490</v>
      </c>
      <c r="Q17" s="269" t="s">
        <v>491</v>
      </c>
      <c r="R17" s="235">
        <f t="shared" si="0"/>
        <v>1</v>
      </c>
      <c r="S17" s="373"/>
      <c r="U17" s="595"/>
      <c r="V17" s="596"/>
      <c r="W17" s="596"/>
      <c r="X17" s="596"/>
      <c r="Y17" s="596"/>
      <c r="Z17" s="597"/>
    </row>
    <row r="18" spans="1:27" ht="27.95" customHeight="1" thickBot="1" x14ac:dyDescent="0.2">
      <c r="A18" s="270">
        <v>15</v>
      </c>
      <c r="B18" s="245" t="s">
        <v>492</v>
      </c>
      <c r="C18" s="598"/>
      <c r="D18" s="599"/>
      <c r="E18" s="243" t="s">
        <v>493</v>
      </c>
      <c r="F18" s="5" t="s">
        <v>494</v>
      </c>
      <c r="G18" s="243" t="s">
        <v>495</v>
      </c>
      <c r="H18" s="246" t="s">
        <v>496</v>
      </c>
      <c r="I18" s="243" t="s">
        <v>497</v>
      </c>
      <c r="J18" s="229" t="s">
        <v>498</v>
      </c>
      <c r="K18" s="229" t="s">
        <v>499</v>
      </c>
      <c r="L18" s="229"/>
      <c r="M18" s="241" t="s">
        <v>25</v>
      </c>
      <c r="N18" s="229" t="s">
        <v>500</v>
      </c>
      <c r="O18" s="229" t="s">
        <v>501</v>
      </c>
      <c r="P18" s="243" t="s">
        <v>502</v>
      </c>
      <c r="Q18" s="271" t="s">
        <v>654</v>
      </c>
      <c r="R18" s="371">
        <f t="shared" si="0"/>
        <v>1</v>
      </c>
      <c r="S18" s="373"/>
      <c r="U18" s="547" t="s">
        <v>503</v>
      </c>
      <c r="V18" s="548"/>
      <c r="W18" s="548"/>
      <c r="X18" s="548"/>
      <c r="Y18" s="548"/>
      <c r="Z18" s="549"/>
    </row>
    <row r="19" spans="1:27" ht="27.95" customHeight="1" x14ac:dyDescent="0.15">
      <c r="A19" s="270">
        <v>16</v>
      </c>
      <c r="B19" s="377" t="s">
        <v>657</v>
      </c>
      <c r="C19" s="598"/>
      <c r="D19" s="599"/>
      <c r="E19" s="726"/>
      <c r="F19" s="727"/>
      <c r="G19" s="385" t="s">
        <v>658</v>
      </c>
      <c r="H19" s="381" t="s">
        <v>505</v>
      </c>
      <c r="I19" s="380"/>
      <c r="J19" s="385" t="s">
        <v>700</v>
      </c>
      <c r="K19" s="385" t="s">
        <v>676</v>
      </c>
      <c r="L19" s="382"/>
      <c r="M19" s="728" t="s">
        <v>508</v>
      </c>
      <c r="N19" s="729"/>
      <c r="O19" s="729"/>
      <c r="P19" s="729"/>
      <c r="Q19" s="730"/>
      <c r="R19" s="235">
        <f>(COUNTA(E19:K19))/5</f>
        <v>0.8</v>
      </c>
      <c r="S19" s="373"/>
      <c r="U19" s="731" t="s">
        <v>681</v>
      </c>
      <c r="V19" s="732"/>
      <c r="W19" s="732"/>
      <c r="X19" s="732"/>
      <c r="Y19" s="732"/>
      <c r="Z19" s="733"/>
    </row>
    <row r="20" spans="1:27" s="237" customFormat="1" ht="27.75" customHeight="1" x14ac:dyDescent="0.15">
      <c r="A20" s="239"/>
      <c r="B20" s="242" t="s">
        <v>509</v>
      </c>
      <c r="C20" s="598"/>
      <c r="D20" s="599"/>
      <c r="E20" s="602" t="s">
        <v>20</v>
      </c>
      <c r="F20" s="603"/>
      <c r="G20" s="241" t="s">
        <v>510</v>
      </c>
      <c r="H20" s="229" t="s">
        <v>171</v>
      </c>
      <c r="I20" s="273" t="s">
        <v>512</v>
      </c>
      <c r="J20" s="229" t="s">
        <v>496</v>
      </c>
      <c r="K20" s="243" t="s">
        <v>513</v>
      </c>
      <c r="L20" s="229"/>
      <c r="M20" s="273" t="s">
        <v>514</v>
      </c>
      <c r="N20" s="5" t="s">
        <v>515</v>
      </c>
      <c r="O20" s="246" t="s">
        <v>516</v>
      </c>
      <c r="P20" s="229" t="s">
        <v>517</v>
      </c>
      <c r="Q20" s="231" t="s">
        <v>484</v>
      </c>
      <c r="R20" s="235">
        <f>(COUNTA(G20:Q20))/10</f>
        <v>1</v>
      </c>
      <c r="S20" s="373"/>
      <c r="U20" s="734"/>
      <c r="V20" s="735"/>
      <c r="W20" s="735"/>
      <c r="X20" s="735"/>
      <c r="Y20" s="735"/>
      <c r="Z20" s="736"/>
      <c r="AA20" s="238"/>
    </row>
    <row r="21" spans="1:27" ht="27.95" customHeight="1" thickBot="1" x14ac:dyDescent="0.2">
      <c r="A21" s="258"/>
      <c r="B21" s="274" t="s">
        <v>518</v>
      </c>
      <c r="C21" s="600"/>
      <c r="D21" s="601"/>
      <c r="E21" s="275" t="s">
        <v>519</v>
      </c>
      <c r="F21" s="261"/>
      <c r="G21" s="230" t="s">
        <v>520</v>
      </c>
      <c r="H21" s="230" t="s">
        <v>521</v>
      </c>
      <c r="I21" s="249" t="s">
        <v>522</v>
      </c>
      <c r="J21" s="249" t="s">
        <v>523</v>
      </c>
      <c r="K21" s="249" t="s">
        <v>524</v>
      </c>
      <c r="L21" s="247"/>
      <c r="M21" s="249" t="s">
        <v>525</v>
      </c>
      <c r="N21" s="247" t="s">
        <v>526</v>
      </c>
      <c r="O21" s="249" t="s">
        <v>527</v>
      </c>
      <c r="P21" s="372" t="s">
        <v>528</v>
      </c>
      <c r="Q21" s="374" t="s">
        <v>529</v>
      </c>
      <c r="R21" s="235">
        <f>(COUNTA(F21:P21))/9</f>
        <v>1</v>
      </c>
      <c r="S21" s="373"/>
      <c r="U21" s="737"/>
      <c r="V21" s="738"/>
      <c r="W21" s="738"/>
      <c r="X21" s="738"/>
      <c r="Y21" s="738"/>
      <c r="Z21" s="739"/>
    </row>
    <row r="22" spans="1:27" s="237" customFormat="1" ht="27.95" customHeight="1" thickBot="1" x14ac:dyDescent="0.2">
      <c r="A22" s="227">
        <v>17</v>
      </c>
      <c r="B22" s="245" t="s">
        <v>530</v>
      </c>
      <c r="C22" s="255" t="s">
        <v>531</v>
      </c>
      <c r="D22" s="255" t="s">
        <v>340</v>
      </c>
      <c r="E22" s="229" t="s">
        <v>17</v>
      </c>
      <c r="F22" s="253" t="s">
        <v>532</v>
      </c>
      <c r="G22" s="277" t="s">
        <v>533</v>
      </c>
      <c r="H22" s="278" t="s">
        <v>534</v>
      </c>
      <c r="I22" s="160" t="s">
        <v>535</v>
      </c>
      <c r="J22" s="253" t="s">
        <v>536</v>
      </c>
      <c r="K22" s="253" t="s">
        <v>18</v>
      </c>
      <c r="L22" s="277"/>
      <c r="M22" s="253" t="s">
        <v>19</v>
      </c>
      <c r="N22" s="279" t="s">
        <v>517</v>
      </c>
      <c r="O22" s="160" t="s">
        <v>660</v>
      </c>
      <c r="P22" s="541"/>
      <c r="Q22" s="542"/>
      <c r="R22" s="235">
        <f>(COUNTA(C22:Q22))/12</f>
        <v>1</v>
      </c>
      <c r="S22" s="373"/>
      <c r="U22" s="547" t="s">
        <v>537</v>
      </c>
      <c r="V22" s="548"/>
      <c r="W22" s="548"/>
      <c r="X22" s="548"/>
      <c r="Y22" s="548"/>
      <c r="Z22" s="549"/>
      <c r="AA22" s="238"/>
    </row>
    <row r="23" spans="1:27" ht="27.95" customHeight="1" x14ac:dyDescent="0.15">
      <c r="A23" s="270">
        <v>18</v>
      </c>
      <c r="B23" s="245" t="s">
        <v>538</v>
      </c>
      <c r="C23" s="268" t="s">
        <v>539</v>
      </c>
      <c r="D23" s="268" t="s">
        <v>539</v>
      </c>
      <c r="E23" s="273" t="s">
        <v>540</v>
      </c>
      <c r="F23" s="229" t="s">
        <v>541</v>
      </c>
      <c r="G23" s="18" t="s">
        <v>542</v>
      </c>
      <c r="H23" s="241" t="s">
        <v>543</v>
      </c>
      <c r="I23" s="271" t="s">
        <v>699</v>
      </c>
      <c r="J23" s="229" t="s">
        <v>544</v>
      </c>
      <c r="K23" s="23" t="s">
        <v>203</v>
      </c>
      <c r="L23" s="229"/>
      <c r="M23" s="243" t="s">
        <v>546</v>
      </c>
      <c r="N23" s="229" t="s">
        <v>547</v>
      </c>
      <c r="O23" s="269" t="s">
        <v>548</v>
      </c>
      <c r="P23" s="543"/>
      <c r="Q23" s="544"/>
      <c r="R23" s="235">
        <f t="shared" ref="R23:R25" si="1">(COUNTA(C23:Q23))/12</f>
        <v>1</v>
      </c>
      <c r="S23" s="373"/>
      <c r="U23" s="711" t="s">
        <v>680</v>
      </c>
      <c r="V23" s="712"/>
      <c r="W23" s="712"/>
      <c r="X23" s="712"/>
      <c r="Y23" s="712"/>
      <c r="Z23" s="713"/>
    </row>
    <row r="24" spans="1:27" ht="27.95" customHeight="1" x14ac:dyDescent="0.15">
      <c r="A24" s="270">
        <v>19</v>
      </c>
      <c r="B24" s="280" t="s">
        <v>27</v>
      </c>
      <c r="C24" s="255" t="s">
        <v>549</v>
      </c>
      <c r="D24" s="255" t="s">
        <v>550</v>
      </c>
      <c r="E24" s="281"/>
      <c r="F24" s="229" t="s">
        <v>513</v>
      </c>
      <c r="G24" s="229" t="s">
        <v>552</v>
      </c>
      <c r="H24" s="16" t="s">
        <v>553</v>
      </c>
      <c r="I24" s="378" t="s">
        <v>506</v>
      </c>
      <c r="J24" s="404" t="s">
        <v>696</v>
      </c>
      <c r="K24" s="272" t="s">
        <v>672</v>
      </c>
      <c r="L24" s="243"/>
      <c r="M24" s="229" t="s">
        <v>661</v>
      </c>
      <c r="N24" s="243" t="s">
        <v>554</v>
      </c>
      <c r="O24" s="396" t="s">
        <v>682</v>
      </c>
      <c r="P24" s="545"/>
      <c r="Q24" s="546"/>
      <c r="R24" s="235">
        <f t="shared" si="1"/>
        <v>0.91666666666666663</v>
      </c>
      <c r="S24" s="373"/>
      <c r="U24" s="714"/>
      <c r="V24" s="715"/>
      <c r="W24" s="715"/>
      <c r="X24" s="715"/>
      <c r="Y24" s="715"/>
      <c r="Z24" s="716"/>
      <c r="AA24" s="283"/>
    </row>
    <row r="25" spans="1:27" ht="27.95" customHeight="1" thickBot="1" x14ac:dyDescent="0.2">
      <c r="A25" s="239">
        <v>20</v>
      </c>
      <c r="B25" s="284" t="s">
        <v>555</v>
      </c>
      <c r="C25" s="550"/>
      <c r="D25" s="551"/>
      <c r="E25" s="230" t="s">
        <v>556</v>
      </c>
      <c r="F25" s="279" t="s">
        <v>479</v>
      </c>
      <c r="G25" s="229" t="s">
        <v>557</v>
      </c>
      <c r="H25" s="249" t="s">
        <v>558</v>
      </c>
      <c r="I25" s="403" t="s">
        <v>697</v>
      </c>
      <c r="J25" s="261" t="s">
        <v>559</v>
      </c>
      <c r="K25" s="393" t="s">
        <v>678</v>
      </c>
      <c r="L25" s="248"/>
      <c r="M25" s="389" t="s">
        <v>659</v>
      </c>
      <c r="N25" s="230" t="s">
        <v>560</v>
      </c>
      <c r="O25" s="395"/>
      <c r="P25" s="243" t="s">
        <v>561</v>
      </c>
      <c r="Q25" s="402" t="s">
        <v>664</v>
      </c>
      <c r="R25" s="235">
        <f t="shared" si="1"/>
        <v>0.91666666666666663</v>
      </c>
      <c r="S25" s="373"/>
      <c r="U25" s="714"/>
      <c r="V25" s="715"/>
      <c r="W25" s="715"/>
      <c r="X25" s="715"/>
      <c r="Y25" s="715"/>
      <c r="Z25" s="716"/>
    </row>
    <row r="26" spans="1:27" s="237" customFormat="1" ht="27.75" customHeight="1" x14ac:dyDescent="0.15">
      <c r="A26" s="285" t="s">
        <v>562</v>
      </c>
      <c r="B26" s="286" t="s">
        <v>29</v>
      </c>
      <c r="C26" s="552"/>
      <c r="D26" s="553"/>
      <c r="E26" s="278"/>
      <c r="F26" s="278" t="s">
        <v>563</v>
      </c>
      <c r="G26" s="278" t="s">
        <v>564</v>
      </c>
      <c r="H26" s="229"/>
      <c r="I26" s="254" t="s">
        <v>502</v>
      </c>
      <c r="J26" s="246" t="s">
        <v>30</v>
      </c>
      <c r="K26" s="287"/>
      <c r="L26" s="254"/>
      <c r="M26" s="287"/>
      <c r="N26" s="278" t="s">
        <v>565</v>
      </c>
      <c r="O26" s="278" t="s">
        <v>73</v>
      </c>
      <c r="P26" s="160"/>
      <c r="Q26" s="401" t="s">
        <v>620</v>
      </c>
      <c r="R26" s="235">
        <f>(COUNTA(C26:Q26))/7</f>
        <v>1</v>
      </c>
      <c r="U26" s="714"/>
      <c r="V26" s="715"/>
      <c r="W26" s="715"/>
      <c r="X26" s="715"/>
      <c r="Y26" s="715"/>
      <c r="Z26" s="716"/>
      <c r="AA26" s="238"/>
    </row>
    <row r="27" spans="1:27" s="291" customFormat="1" ht="27.95" customHeight="1" thickBot="1" x14ac:dyDescent="0.2">
      <c r="A27" s="288"/>
      <c r="B27" s="289" t="s">
        <v>566</v>
      </c>
      <c r="C27" s="554"/>
      <c r="D27" s="555"/>
      <c r="E27" s="249" t="s">
        <v>260</v>
      </c>
      <c r="F27" s="247" t="s">
        <v>31</v>
      </c>
      <c r="G27" s="249"/>
      <c r="H27" s="249"/>
      <c r="I27" s="249"/>
      <c r="J27" s="9"/>
      <c r="K27" s="229" t="s">
        <v>567</v>
      </c>
      <c r="L27" s="248"/>
      <c r="M27" s="261" t="s">
        <v>568</v>
      </c>
      <c r="N27" s="30" t="s">
        <v>689</v>
      </c>
      <c r="O27" s="290" t="s">
        <v>370</v>
      </c>
      <c r="P27" s="247" t="s">
        <v>570</v>
      </c>
      <c r="Q27" s="249" t="s">
        <v>385</v>
      </c>
      <c r="R27" s="235">
        <f>(COUNTA(C27:Q27))/8</f>
        <v>1</v>
      </c>
      <c r="S27" s="373"/>
      <c r="U27" s="714"/>
      <c r="V27" s="715"/>
      <c r="W27" s="715"/>
      <c r="X27" s="715"/>
      <c r="Y27" s="715"/>
      <c r="Z27" s="716"/>
      <c r="AA27" s="292"/>
    </row>
    <row r="28" spans="1:27" s="291" customFormat="1" ht="9.9499999999999993" customHeight="1" thickBot="1" x14ac:dyDescent="0.2">
      <c r="A28" s="293"/>
      <c r="B28" s="294"/>
      <c r="C28" s="295"/>
      <c r="D28" s="296"/>
      <c r="E28" s="297"/>
      <c r="F28" s="298"/>
      <c r="G28" s="297"/>
      <c r="H28" s="297"/>
      <c r="I28" s="297"/>
      <c r="J28" s="80"/>
      <c r="K28" s="297"/>
      <c r="L28" s="298"/>
      <c r="M28" s="299"/>
      <c r="N28" s="82"/>
      <c r="O28" s="300"/>
      <c r="P28" s="244"/>
      <c r="Q28" s="279"/>
      <c r="R28" s="235"/>
      <c r="S28" s="373"/>
      <c r="U28" s="714"/>
      <c r="V28" s="715"/>
      <c r="W28" s="715"/>
      <c r="X28" s="715"/>
      <c r="Y28" s="715"/>
      <c r="Z28" s="716"/>
      <c r="AA28" s="292"/>
    </row>
    <row r="29" spans="1:27" ht="120" customHeight="1" thickBot="1" x14ac:dyDescent="0.2">
      <c r="A29" s="574"/>
      <c r="B29" s="576" t="s">
        <v>571</v>
      </c>
      <c r="C29" s="578"/>
      <c r="D29" s="579"/>
      <c r="E29" s="233" t="s">
        <v>572</v>
      </c>
      <c r="F29" s="231" t="s">
        <v>573</v>
      </c>
      <c r="G29" s="233" t="s">
        <v>574</v>
      </c>
      <c r="H29" s="301" t="s">
        <v>575</v>
      </c>
      <c r="I29" s="231" t="s">
        <v>576</v>
      </c>
      <c r="J29" s="231" t="s">
        <v>577</v>
      </c>
      <c r="K29" s="253" t="s">
        <v>578</v>
      </c>
      <c r="L29" s="254"/>
      <c r="M29" s="233" t="s">
        <v>579</v>
      </c>
      <c r="N29" s="253" t="s">
        <v>580</v>
      </c>
      <c r="O29" s="302" t="s">
        <v>581</v>
      </c>
      <c r="P29" s="278" t="s">
        <v>582</v>
      </c>
      <c r="Q29" s="278" t="s">
        <v>583</v>
      </c>
      <c r="R29" s="235">
        <f>(COUNTA(C29:Q29))/12</f>
        <v>1</v>
      </c>
      <c r="S29" s="237"/>
      <c r="T29" s="237"/>
      <c r="U29" s="717"/>
      <c r="V29" s="718"/>
      <c r="W29" s="718"/>
      <c r="X29" s="718"/>
      <c r="Y29" s="718"/>
      <c r="Z29" s="719"/>
    </row>
    <row r="30" spans="1:27" ht="120" customHeight="1" x14ac:dyDescent="0.15">
      <c r="A30" s="575"/>
      <c r="B30" s="577"/>
      <c r="C30" s="580"/>
      <c r="D30" s="581"/>
      <c r="E30" s="170" t="s">
        <v>584</v>
      </c>
      <c r="F30" s="174" t="s">
        <v>679</v>
      </c>
      <c r="G30" s="170" t="s">
        <v>667</v>
      </c>
      <c r="H30" s="170" t="s">
        <v>585</v>
      </c>
      <c r="I30" s="170" t="s">
        <v>668</v>
      </c>
      <c r="J30" s="170" t="s">
        <v>586</v>
      </c>
      <c r="K30" s="170" t="s">
        <v>587</v>
      </c>
      <c r="L30" s="171"/>
      <c r="M30" s="170" t="s">
        <v>669</v>
      </c>
      <c r="N30" s="170" t="s">
        <v>703</v>
      </c>
      <c r="O30" s="394" t="s">
        <v>688</v>
      </c>
      <c r="P30" s="174" t="s">
        <v>683</v>
      </c>
      <c r="Q30" s="170" t="s">
        <v>663</v>
      </c>
      <c r="R30" s="235"/>
      <c r="S30" s="237"/>
      <c r="T30" s="237"/>
      <c r="U30" s="584" t="s">
        <v>32</v>
      </c>
      <c r="V30" s="585"/>
      <c r="W30" s="585"/>
      <c r="X30" s="585"/>
      <c r="Y30" s="585"/>
      <c r="Z30" s="586"/>
    </row>
    <row r="31" spans="1:27" ht="120" customHeight="1" thickBot="1" x14ac:dyDescent="0.2">
      <c r="A31" s="303"/>
      <c r="B31" s="304" t="s">
        <v>589</v>
      </c>
      <c r="C31" s="582"/>
      <c r="D31" s="583"/>
      <c r="E31" s="590" t="s">
        <v>590</v>
      </c>
      <c r="F31" s="591"/>
      <c r="G31" s="248" t="s">
        <v>591</v>
      </c>
      <c r="H31" s="249" t="s">
        <v>592</v>
      </c>
      <c r="I31" s="230" t="s">
        <v>593</v>
      </c>
      <c r="J31" s="230" t="s">
        <v>594</v>
      </c>
      <c r="K31" s="249" t="s">
        <v>595</v>
      </c>
      <c r="L31" s="305"/>
      <c r="M31" s="248" t="s">
        <v>596</v>
      </c>
      <c r="N31" s="230" t="s">
        <v>597</v>
      </c>
      <c r="O31" s="247" t="s">
        <v>598</v>
      </c>
      <c r="P31" s="230" t="s">
        <v>599</v>
      </c>
      <c r="Q31" s="249"/>
      <c r="R31" s="235">
        <f>(COUNTA(G31:Q31))/9</f>
        <v>1</v>
      </c>
      <c r="S31" s="237"/>
      <c r="T31" s="237"/>
      <c r="U31" s="587"/>
      <c r="V31" s="588"/>
      <c r="W31" s="588"/>
      <c r="X31" s="588"/>
      <c r="Y31" s="588"/>
      <c r="Z31" s="589"/>
    </row>
    <row r="32" spans="1:27" s="237" customFormat="1" ht="9.9499999999999993" customHeight="1" x14ac:dyDescent="0.15">
      <c r="A32" s="306"/>
      <c r="B32" s="307"/>
      <c r="C32" s="308"/>
      <c r="D32" s="430"/>
      <c r="E32" s="430"/>
      <c r="F32" s="430"/>
      <c r="G32" s="430"/>
      <c r="H32" s="430"/>
      <c r="I32" s="430"/>
      <c r="J32" s="430"/>
      <c r="K32" s="430"/>
      <c r="L32" s="430"/>
      <c r="M32" s="430"/>
      <c r="N32" s="430"/>
      <c r="O32" s="430"/>
      <c r="P32" s="430"/>
      <c r="Q32" s="430"/>
      <c r="R32" s="235"/>
      <c r="U32" s="309"/>
      <c r="V32" s="309"/>
      <c r="W32" s="309"/>
      <c r="X32" s="309"/>
      <c r="Y32" s="309"/>
      <c r="Z32" s="310"/>
      <c r="AA32" s="238"/>
    </row>
    <row r="33" spans="1:27" s="237" customFormat="1" ht="21" customHeight="1" x14ac:dyDescent="0.15">
      <c r="A33" s="311"/>
      <c r="B33" s="312"/>
      <c r="C33" s="313"/>
      <c r="D33" s="314" t="s">
        <v>600</v>
      </c>
      <c r="E33" s="315" t="s">
        <v>35</v>
      </c>
      <c r="F33" s="316" t="s">
        <v>1</v>
      </c>
      <c r="G33" s="316" t="s">
        <v>2</v>
      </c>
      <c r="H33" s="316" t="s">
        <v>36</v>
      </c>
      <c r="I33" s="316" t="s">
        <v>4</v>
      </c>
      <c r="J33" s="316" t="s">
        <v>37</v>
      </c>
      <c r="K33" s="316" t="s">
        <v>38</v>
      </c>
      <c r="L33" s="317" t="s">
        <v>39</v>
      </c>
      <c r="M33" s="316" t="s">
        <v>40</v>
      </c>
      <c r="N33" s="316" t="s">
        <v>9</v>
      </c>
      <c r="O33" s="316" t="s">
        <v>10</v>
      </c>
      <c r="P33" s="316" t="s">
        <v>11</v>
      </c>
      <c r="Q33" s="318" t="s">
        <v>12</v>
      </c>
      <c r="R33" s="319"/>
      <c r="U33" s="309"/>
      <c r="V33" s="309"/>
      <c r="W33" s="309"/>
      <c r="X33" s="309"/>
      <c r="Y33" s="309"/>
      <c r="Z33" s="310"/>
      <c r="AA33" s="238"/>
    </row>
    <row r="34" spans="1:27" s="237" customFormat="1" ht="45.75" customHeight="1" x14ac:dyDescent="0.15">
      <c r="A34" s="217"/>
      <c r="B34" s="320"/>
      <c r="C34" s="320"/>
      <c r="D34" s="537" t="s">
        <v>601</v>
      </c>
      <c r="E34" s="321" t="s">
        <v>602</v>
      </c>
      <c r="F34" s="321" t="s">
        <v>603</v>
      </c>
      <c r="G34" s="321" t="s">
        <v>604</v>
      </c>
      <c r="H34" s="321" t="s">
        <v>605</v>
      </c>
      <c r="I34" s="321" t="s">
        <v>606</v>
      </c>
      <c r="J34" s="321" t="s">
        <v>607</v>
      </c>
      <c r="K34" s="321" t="s">
        <v>608</v>
      </c>
      <c r="L34" s="322"/>
      <c r="M34" s="321" t="s">
        <v>609</v>
      </c>
      <c r="N34" s="321" t="s">
        <v>610</v>
      </c>
      <c r="O34" s="321" t="s">
        <v>611</v>
      </c>
      <c r="P34" s="321" t="s">
        <v>612</v>
      </c>
      <c r="Q34" s="321" t="s">
        <v>613</v>
      </c>
      <c r="R34" s="319"/>
      <c r="S34" s="323">
        <f>2*12</f>
        <v>24</v>
      </c>
      <c r="V34" s="309"/>
      <c r="W34" s="309"/>
      <c r="X34" s="309"/>
      <c r="Y34" s="309"/>
      <c r="Z34" s="310"/>
      <c r="AA34" s="238"/>
    </row>
    <row r="35" spans="1:27" s="237" customFormat="1" ht="45.75" customHeight="1" x14ac:dyDescent="0.15">
      <c r="A35" s="217"/>
      <c r="B35" s="320"/>
      <c r="C35" s="320"/>
      <c r="D35" s="538"/>
      <c r="E35" s="322"/>
      <c r="F35" s="324" t="s">
        <v>614</v>
      </c>
      <c r="G35" s="322"/>
      <c r="H35" s="321"/>
      <c r="I35" s="322"/>
      <c r="J35" s="321" t="s">
        <v>615</v>
      </c>
      <c r="K35" s="321"/>
      <c r="L35" s="322"/>
      <c r="M35" s="321" t="s">
        <v>227</v>
      </c>
      <c r="N35" s="322" t="s">
        <v>616</v>
      </c>
      <c r="O35" s="321" t="s">
        <v>617</v>
      </c>
      <c r="P35" s="321"/>
      <c r="Q35" s="321"/>
      <c r="R35" s="325"/>
      <c r="S35" s="326"/>
      <c r="V35" s="309"/>
      <c r="W35" s="309"/>
      <c r="X35" s="309"/>
      <c r="Y35" s="309"/>
      <c r="Z35" s="218"/>
      <c r="AA35" s="238"/>
    </row>
    <row r="36" spans="1:27" ht="27.95" customHeight="1" x14ac:dyDescent="0.15">
      <c r="D36" s="327" t="s">
        <v>229</v>
      </c>
      <c r="E36" s="328" t="s">
        <v>618</v>
      </c>
      <c r="F36" s="322"/>
      <c r="G36" s="322" t="s">
        <v>619</v>
      </c>
      <c r="H36" s="329"/>
      <c r="I36" s="328" t="s">
        <v>230</v>
      </c>
      <c r="J36" s="322"/>
      <c r="K36" s="322"/>
      <c r="L36" s="322"/>
      <c r="M36" s="322"/>
      <c r="N36" s="329"/>
      <c r="O36" s="322"/>
      <c r="P36" s="322"/>
      <c r="Q36" s="400" t="s">
        <v>620</v>
      </c>
      <c r="R36" s="330"/>
      <c r="S36" s="326">
        <v>4</v>
      </c>
      <c r="U36" s="217"/>
      <c r="V36" s="309"/>
      <c r="W36" s="309"/>
      <c r="X36" s="309"/>
      <c r="Y36" s="309"/>
      <c r="Z36" s="310"/>
    </row>
    <row r="37" spans="1:27" s="291" customFormat="1" ht="42" customHeight="1" x14ac:dyDescent="0.15">
      <c r="A37" s="217"/>
      <c r="B37" s="320"/>
      <c r="C37" s="320"/>
      <c r="D37" s="327" t="s">
        <v>621</v>
      </c>
      <c r="E37" s="321" t="s">
        <v>622</v>
      </c>
      <c r="F37" s="321" t="s">
        <v>691</v>
      </c>
      <c r="G37" s="321"/>
      <c r="H37" s="321" t="s">
        <v>624</v>
      </c>
      <c r="I37" s="321" t="s">
        <v>625</v>
      </c>
      <c r="J37" s="321" t="s">
        <v>626</v>
      </c>
      <c r="K37" s="321" t="s">
        <v>627</v>
      </c>
      <c r="L37" s="322"/>
      <c r="M37" s="321" t="s">
        <v>628</v>
      </c>
      <c r="N37" s="321" t="s">
        <v>629</v>
      </c>
      <c r="O37" s="321" t="s">
        <v>630</v>
      </c>
      <c r="P37" s="331" t="s">
        <v>631</v>
      </c>
      <c r="Q37" s="321" t="s">
        <v>632</v>
      </c>
      <c r="R37" s="330"/>
      <c r="S37" s="332">
        <v>20</v>
      </c>
      <c r="V37" s="309"/>
      <c r="W37" s="309"/>
      <c r="X37" s="309"/>
      <c r="Y37" s="309"/>
      <c r="Z37" s="218"/>
      <c r="AA37" s="292"/>
    </row>
    <row r="38" spans="1:27" ht="42" customHeight="1" x14ac:dyDescent="0.15">
      <c r="D38" s="333" t="s">
        <v>233</v>
      </c>
      <c r="E38" s="321" t="s">
        <v>690</v>
      </c>
      <c r="F38" s="321"/>
      <c r="G38" s="321" t="s">
        <v>635</v>
      </c>
      <c r="H38" s="321" t="s">
        <v>693</v>
      </c>
      <c r="I38" s="321" t="s">
        <v>692</v>
      </c>
      <c r="J38" s="321" t="s">
        <v>638</v>
      </c>
      <c r="K38" s="321" t="s">
        <v>639</v>
      </c>
      <c r="L38" s="334"/>
      <c r="M38" s="321" t="s">
        <v>640</v>
      </c>
      <c r="N38" s="321" t="s">
        <v>641</v>
      </c>
      <c r="O38" s="321" t="s">
        <v>642</v>
      </c>
      <c r="P38" s="321" t="s">
        <v>643</v>
      </c>
      <c r="Q38" s="321" t="s">
        <v>644</v>
      </c>
      <c r="R38" s="335"/>
      <c r="S38" s="332">
        <v>23</v>
      </c>
      <c r="U38" s="217"/>
      <c r="V38" s="309"/>
      <c r="W38" s="309"/>
      <c r="X38" s="309"/>
      <c r="Y38" s="309"/>
      <c r="Z38" s="336"/>
    </row>
    <row r="39" spans="1:27" ht="9.9499999999999993" customHeight="1" x14ac:dyDescent="0.15">
      <c r="D39" s="539"/>
      <c r="E39" s="539"/>
      <c r="F39" s="539"/>
      <c r="G39" s="539"/>
      <c r="H39" s="539"/>
      <c r="I39" s="539"/>
      <c r="J39" s="539"/>
      <c r="K39" s="539"/>
      <c r="L39" s="539"/>
      <c r="M39" s="539"/>
      <c r="N39" s="539"/>
      <c r="O39" s="539"/>
      <c r="P39" s="539"/>
      <c r="Q39" s="539"/>
      <c r="R39" s="539"/>
      <c r="S39" s="332">
        <f>S34+S36+S37+S38</f>
        <v>71</v>
      </c>
      <c r="U39" s="217"/>
      <c r="V39" s="309"/>
      <c r="W39" s="309"/>
      <c r="X39" s="309"/>
      <c r="Y39" s="309"/>
    </row>
    <row r="40" spans="1:27" ht="21" customHeight="1" x14ac:dyDescent="0.15">
      <c r="D40" s="337"/>
      <c r="E40" s="338" t="s">
        <v>0</v>
      </c>
      <c r="F40" s="339" t="s">
        <v>1</v>
      </c>
      <c r="G40" s="339" t="s">
        <v>2</v>
      </c>
      <c r="H40" s="340" t="s">
        <v>377</v>
      </c>
      <c r="I40" s="341" t="s">
        <v>645</v>
      </c>
      <c r="J40" s="339" t="s">
        <v>5</v>
      </c>
      <c r="K40" s="339" t="s">
        <v>6</v>
      </c>
      <c r="L40" s="317"/>
      <c r="M40" s="339" t="s">
        <v>8</v>
      </c>
      <c r="N40" s="339" t="s">
        <v>9</v>
      </c>
      <c r="O40" s="341" t="s">
        <v>10</v>
      </c>
      <c r="P40" s="339" t="s">
        <v>11</v>
      </c>
      <c r="Q40" s="339" t="s">
        <v>12</v>
      </c>
      <c r="R40" s="342" t="s">
        <v>48</v>
      </c>
      <c r="S40" s="343" t="s">
        <v>263</v>
      </c>
    </row>
    <row r="41" spans="1:27" ht="39.950000000000003" customHeight="1" x14ac:dyDescent="0.15">
      <c r="D41" s="344" t="s">
        <v>49</v>
      </c>
      <c r="E41" s="345"/>
      <c r="F41" s="346"/>
      <c r="G41" s="346"/>
      <c r="H41" s="347"/>
      <c r="I41" s="348" t="s">
        <v>262</v>
      </c>
      <c r="J41" s="346"/>
      <c r="K41" s="348" t="s">
        <v>646</v>
      </c>
      <c r="L41" s="349"/>
      <c r="M41" s="346"/>
      <c r="N41" s="346"/>
      <c r="O41" s="350"/>
      <c r="P41" s="346"/>
      <c r="Q41" s="346"/>
      <c r="R41" s="351"/>
      <c r="S41" s="352"/>
      <c r="U41" s="540" t="s">
        <v>236</v>
      </c>
      <c r="V41" s="540"/>
      <c r="W41" s="540"/>
      <c r="X41" s="373"/>
      <c r="Y41" s="373"/>
      <c r="Z41" s="373"/>
    </row>
    <row r="42" spans="1:27" ht="39.950000000000003" customHeight="1" x14ac:dyDescent="0.15">
      <c r="D42" s="353" t="s">
        <v>50</v>
      </c>
      <c r="E42" s="354"/>
      <c r="F42" s="282"/>
      <c r="G42" s="282"/>
      <c r="H42" s="234"/>
      <c r="I42" s="355" t="s">
        <v>646</v>
      </c>
      <c r="J42" s="234"/>
      <c r="K42" s="282" t="s">
        <v>56</v>
      </c>
      <c r="L42" s="322"/>
      <c r="M42" s="355" t="s">
        <v>265</v>
      </c>
      <c r="N42" s="234"/>
      <c r="O42" s="282" t="s">
        <v>647</v>
      </c>
      <c r="P42" s="282"/>
      <c r="Q42" s="234"/>
      <c r="R42" s="356"/>
      <c r="S42" s="357"/>
      <c r="U42" s="373"/>
      <c r="V42" s="373"/>
      <c r="W42" s="373"/>
      <c r="X42" s="373"/>
      <c r="Y42" s="373"/>
      <c r="Z42" s="373"/>
      <c r="AA42" s="358"/>
    </row>
    <row r="43" spans="1:27" ht="39.950000000000003" customHeight="1" x14ac:dyDescent="0.15">
      <c r="D43" s="344" t="s">
        <v>648</v>
      </c>
      <c r="E43" s="354"/>
      <c r="F43" s="234" t="s">
        <v>649</v>
      </c>
      <c r="G43" s="282" t="s">
        <v>266</v>
      </c>
      <c r="H43" s="355"/>
      <c r="I43" s="355" t="s">
        <v>650</v>
      </c>
      <c r="J43" s="355" t="s">
        <v>282</v>
      </c>
      <c r="K43" s="355"/>
      <c r="L43" s="243"/>
      <c r="M43" s="355" t="s">
        <v>651</v>
      </c>
      <c r="N43" s="234" t="s">
        <v>58</v>
      </c>
      <c r="O43" s="282"/>
      <c r="P43" s="234"/>
      <c r="Q43" s="359" t="s">
        <v>652</v>
      </c>
      <c r="R43" s="360"/>
      <c r="S43" s="361"/>
      <c r="U43" s="373"/>
      <c r="V43" s="373"/>
      <c r="W43" s="373"/>
      <c r="X43" s="373"/>
      <c r="Y43" s="373"/>
      <c r="Z43" s="373"/>
      <c r="AA43" s="358"/>
    </row>
    <row r="44" spans="1:27" ht="39.950000000000003" customHeight="1" x14ac:dyDescent="0.15">
      <c r="D44" s="353" t="s">
        <v>52</v>
      </c>
      <c r="E44" s="354"/>
      <c r="F44" s="282"/>
      <c r="G44" s="282"/>
      <c r="H44" s="234"/>
      <c r="I44" s="234"/>
      <c r="J44" s="234"/>
      <c r="K44" s="282"/>
      <c r="L44" s="322"/>
      <c r="M44" s="282" t="s">
        <v>54</v>
      </c>
      <c r="N44" s="282"/>
      <c r="O44" s="282"/>
      <c r="P44" s="282"/>
      <c r="Q44" s="282" t="s">
        <v>264</v>
      </c>
      <c r="R44" s="356"/>
      <c r="S44" s="357"/>
      <c r="U44" s="373"/>
      <c r="V44" s="373"/>
      <c r="W44" s="373"/>
      <c r="X44" s="373"/>
      <c r="Y44" s="373"/>
      <c r="Z44" s="373"/>
      <c r="AA44" s="358"/>
    </row>
    <row r="45" spans="1:27" ht="39.950000000000003" customHeight="1" x14ac:dyDescent="0.15">
      <c r="D45" s="362" t="s">
        <v>653</v>
      </c>
      <c r="E45" s="363"/>
      <c r="F45" s="364"/>
      <c r="G45" s="365"/>
      <c r="H45" s="364"/>
      <c r="I45" s="364"/>
      <c r="J45" s="364"/>
      <c r="K45" s="364"/>
      <c r="L45" s="334"/>
      <c r="M45" s="364"/>
      <c r="N45" s="364"/>
      <c r="O45" s="364"/>
      <c r="P45" s="365"/>
      <c r="Q45" s="364"/>
      <c r="R45" s="366"/>
      <c r="S45" s="367"/>
      <c r="U45" s="373"/>
      <c r="V45" s="373"/>
      <c r="W45" s="373"/>
      <c r="X45" s="373"/>
      <c r="Y45" s="373"/>
      <c r="Z45" s="373"/>
      <c r="AA45" s="358"/>
    </row>
    <row r="46" spans="1:27" ht="27.95" customHeight="1" x14ac:dyDescent="0.15">
      <c r="C46" s="217"/>
      <c r="D46" s="217"/>
      <c r="K46" s="320"/>
      <c r="L46" s="320"/>
      <c r="M46" s="320"/>
      <c r="N46" s="320"/>
      <c r="O46" s="320"/>
      <c r="P46" s="320"/>
      <c r="Q46" s="320"/>
      <c r="S46" s="320"/>
      <c r="U46" s="373"/>
      <c r="V46" s="373"/>
      <c r="W46" s="373"/>
      <c r="X46" s="373"/>
      <c r="Y46" s="373"/>
      <c r="Z46" s="373"/>
      <c r="AA46" s="358"/>
    </row>
    <row r="47" spans="1:27" ht="27.95" customHeight="1" x14ac:dyDescent="0.15">
      <c r="R47" s="369"/>
      <c r="S47" s="320"/>
      <c r="AA47" s="358"/>
    </row>
    <row r="48" spans="1:27" ht="16.5" customHeight="1" x14ac:dyDescent="0.15">
      <c r="R48" s="369"/>
    </row>
    <row r="49" spans="1:27" s="329" customFormat="1" ht="16.5" customHeight="1" x14ac:dyDescent="0.15">
      <c r="A49" s="217"/>
      <c r="B49" s="370"/>
      <c r="C49" s="320"/>
      <c r="D49" s="320"/>
      <c r="E49" s="320"/>
      <c r="F49" s="320"/>
      <c r="G49" s="320"/>
      <c r="H49" s="320"/>
      <c r="I49" s="320"/>
      <c r="J49" s="320"/>
      <c r="K49" s="320"/>
      <c r="M49" s="217"/>
      <c r="N49" s="217"/>
      <c r="O49" s="217"/>
      <c r="P49" s="217"/>
      <c r="Q49" s="217"/>
      <c r="R49" s="368"/>
      <c r="S49" s="217"/>
      <c r="T49" s="217"/>
      <c r="U49" s="218"/>
      <c r="V49" s="218"/>
      <c r="W49" s="218"/>
      <c r="X49" s="218"/>
      <c r="Y49" s="218"/>
      <c r="Z49" s="218"/>
      <c r="AA49" s="219"/>
    </row>
    <row r="50" spans="1:27" s="329" customFormat="1" ht="16.5" customHeight="1" x14ac:dyDescent="0.15">
      <c r="A50" s="217"/>
      <c r="B50" s="320"/>
      <c r="C50" s="320"/>
      <c r="D50" s="320"/>
      <c r="E50" s="320"/>
      <c r="F50" s="320"/>
      <c r="G50" s="320"/>
      <c r="H50" s="320"/>
      <c r="I50" s="320"/>
      <c r="J50" s="320"/>
      <c r="K50" s="320"/>
      <c r="M50" s="217"/>
      <c r="N50" s="217"/>
      <c r="O50" s="217"/>
      <c r="P50" s="217"/>
      <c r="Q50" s="217"/>
      <c r="R50" s="368"/>
      <c r="S50" s="217"/>
      <c r="T50" s="217"/>
      <c r="U50" s="218"/>
      <c r="V50" s="218"/>
      <c r="W50" s="218"/>
      <c r="X50" s="218"/>
      <c r="Y50" s="218"/>
      <c r="Z50" s="218"/>
      <c r="AA50" s="219"/>
    </row>
    <row r="51" spans="1:27" s="329" customFormat="1" ht="17.25" customHeight="1" x14ac:dyDescent="0.15">
      <c r="A51" s="217"/>
      <c r="B51" s="320"/>
      <c r="C51" s="320"/>
      <c r="D51" s="320"/>
      <c r="E51" s="320"/>
      <c r="F51" s="320"/>
      <c r="G51" s="320"/>
      <c r="H51" s="320"/>
      <c r="I51" s="320"/>
      <c r="J51" s="320"/>
      <c r="K51" s="320"/>
      <c r="M51" s="217"/>
      <c r="N51" s="217"/>
      <c r="O51" s="217"/>
      <c r="P51" s="217"/>
      <c r="Q51" s="217"/>
      <c r="R51" s="368"/>
      <c r="S51" s="217"/>
      <c r="T51" s="217"/>
      <c r="U51" s="218"/>
      <c r="V51" s="218"/>
      <c r="W51" s="218"/>
      <c r="X51" s="218"/>
      <c r="Y51" s="218"/>
      <c r="Z51" s="218"/>
      <c r="AA51" s="219"/>
    </row>
    <row r="52" spans="1:27" s="329" customFormat="1" x14ac:dyDescent="0.15">
      <c r="A52" s="217"/>
      <c r="B52" s="320"/>
      <c r="C52" s="320"/>
      <c r="D52" s="320"/>
      <c r="E52" s="320"/>
      <c r="F52" s="320"/>
      <c r="G52" s="320"/>
      <c r="H52" s="320"/>
      <c r="I52" s="320"/>
      <c r="J52" s="320"/>
      <c r="K52" s="320"/>
      <c r="M52" s="217"/>
      <c r="N52" s="217"/>
      <c r="O52" s="217"/>
      <c r="P52" s="217"/>
      <c r="Q52" s="217"/>
      <c r="R52" s="368"/>
      <c r="S52" s="217"/>
      <c r="T52" s="217"/>
      <c r="U52" s="218"/>
      <c r="V52" s="218"/>
      <c r="W52" s="218"/>
      <c r="X52" s="218"/>
      <c r="Y52" s="218"/>
      <c r="Z52" s="218"/>
      <c r="AA52" s="219"/>
    </row>
    <row r="53" spans="1:27" s="329" customFormat="1" ht="16.5" customHeight="1" x14ac:dyDescent="0.15">
      <c r="A53" s="217"/>
      <c r="B53" s="320"/>
      <c r="C53" s="320"/>
      <c r="D53" s="320"/>
      <c r="E53" s="320"/>
      <c r="F53" s="320"/>
      <c r="G53" s="320"/>
      <c r="H53" s="320"/>
      <c r="I53" s="320"/>
      <c r="J53" s="320"/>
      <c r="K53" s="320"/>
      <c r="M53" s="217"/>
      <c r="N53" s="217"/>
      <c r="O53" s="217"/>
      <c r="P53" s="217"/>
      <c r="Q53" s="217"/>
      <c r="R53" s="368"/>
      <c r="S53" s="217"/>
      <c r="T53" s="217"/>
      <c r="U53" s="218"/>
      <c r="V53" s="218"/>
      <c r="W53" s="218"/>
      <c r="X53" s="218"/>
      <c r="Y53" s="218"/>
      <c r="Z53" s="218"/>
      <c r="AA53" s="219"/>
    </row>
    <row r="54" spans="1:27" s="329" customFormat="1" x14ac:dyDescent="0.15">
      <c r="A54" s="217"/>
      <c r="B54" s="320"/>
      <c r="C54" s="320"/>
      <c r="D54" s="320"/>
      <c r="E54" s="320"/>
      <c r="F54" s="320"/>
      <c r="G54" s="320"/>
      <c r="H54" s="320"/>
      <c r="I54" s="320"/>
      <c r="J54" s="320"/>
      <c r="K54" s="320"/>
      <c r="M54" s="217"/>
      <c r="N54" s="217"/>
      <c r="O54" s="217"/>
      <c r="P54" s="217"/>
      <c r="Q54" s="217"/>
      <c r="R54" s="368"/>
      <c r="S54" s="217"/>
      <c r="T54" s="217"/>
      <c r="U54" s="218"/>
      <c r="V54" s="218"/>
      <c r="W54" s="218"/>
      <c r="X54" s="218"/>
      <c r="Y54" s="218"/>
      <c r="Z54" s="218"/>
      <c r="AA54" s="219"/>
    </row>
    <row r="55" spans="1:27" s="329" customFormat="1" x14ac:dyDescent="0.15">
      <c r="A55" s="217"/>
      <c r="B55" s="320"/>
      <c r="C55" s="320"/>
      <c r="D55" s="320"/>
      <c r="E55" s="320"/>
      <c r="F55" s="320"/>
      <c r="G55" s="320"/>
      <c r="H55" s="320"/>
      <c r="I55" s="320"/>
      <c r="J55" s="320"/>
      <c r="K55" s="320"/>
      <c r="M55" s="217"/>
      <c r="N55" s="217"/>
      <c r="O55" s="217"/>
      <c r="P55" s="217"/>
      <c r="Q55" s="217"/>
      <c r="R55" s="368"/>
      <c r="S55" s="217"/>
      <c r="T55" s="217"/>
      <c r="U55" s="218"/>
      <c r="V55" s="218"/>
      <c r="W55" s="218"/>
      <c r="X55" s="218"/>
      <c r="Y55" s="218"/>
      <c r="Z55" s="218"/>
      <c r="AA55" s="219"/>
    </row>
    <row r="56" spans="1:27" s="329" customFormat="1" x14ac:dyDescent="0.15">
      <c r="A56" s="217"/>
      <c r="B56" s="320"/>
      <c r="C56" s="320"/>
      <c r="D56" s="320"/>
      <c r="E56" s="320"/>
      <c r="F56" s="320"/>
      <c r="G56" s="320"/>
      <c r="H56" s="320"/>
      <c r="I56" s="320"/>
      <c r="J56" s="320"/>
      <c r="K56" s="320"/>
      <c r="M56" s="217"/>
      <c r="N56" s="217"/>
      <c r="O56" s="217"/>
      <c r="P56" s="217"/>
      <c r="Q56" s="217"/>
      <c r="R56" s="368"/>
      <c r="S56" s="217"/>
      <c r="T56" s="217"/>
      <c r="U56" s="218"/>
      <c r="V56" s="218"/>
      <c r="W56" s="218"/>
      <c r="X56" s="218"/>
      <c r="Y56" s="218"/>
      <c r="Z56" s="218"/>
      <c r="AA56" s="219"/>
    </row>
    <row r="57" spans="1:27" s="329" customFormat="1" ht="16.5" customHeight="1" x14ac:dyDescent="0.15">
      <c r="A57" s="217"/>
      <c r="B57" s="320"/>
      <c r="C57" s="320"/>
      <c r="D57" s="320"/>
      <c r="E57" s="320"/>
      <c r="F57" s="320"/>
      <c r="G57" s="320"/>
      <c r="H57" s="320"/>
      <c r="I57" s="320"/>
      <c r="J57" s="320"/>
      <c r="K57" s="320"/>
      <c r="M57" s="217"/>
      <c r="N57" s="217"/>
      <c r="O57" s="217"/>
      <c r="P57" s="217"/>
      <c r="Q57" s="217"/>
      <c r="R57" s="368"/>
      <c r="S57" s="217"/>
      <c r="T57" s="217"/>
      <c r="U57" s="218"/>
      <c r="V57" s="218"/>
      <c r="W57" s="218"/>
      <c r="X57" s="218"/>
      <c r="Y57" s="218"/>
      <c r="Z57" s="218"/>
      <c r="AA57" s="219"/>
    </row>
    <row r="58" spans="1:27" s="329" customFormat="1" x14ac:dyDescent="0.15">
      <c r="A58" s="217"/>
      <c r="B58" s="320"/>
      <c r="C58" s="320"/>
      <c r="D58" s="320"/>
      <c r="E58" s="320"/>
      <c r="F58" s="320"/>
      <c r="G58" s="320"/>
      <c r="H58" s="320"/>
      <c r="I58" s="320"/>
      <c r="J58" s="320"/>
      <c r="K58" s="320"/>
      <c r="M58" s="217"/>
      <c r="N58" s="217"/>
      <c r="O58" s="217"/>
      <c r="P58" s="217"/>
      <c r="Q58" s="217"/>
      <c r="R58" s="368"/>
      <c r="S58" s="217"/>
      <c r="T58" s="217"/>
      <c r="U58" s="218"/>
      <c r="V58" s="218"/>
      <c r="W58" s="218"/>
      <c r="X58" s="218"/>
      <c r="Y58" s="218"/>
      <c r="Z58" s="218"/>
      <c r="AA58" s="219"/>
    </row>
    <row r="59" spans="1:27" s="329" customFormat="1" x14ac:dyDescent="0.15">
      <c r="A59" s="217"/>
      <c r="B59" s="320"/>
      <c r="C59" s="320"/>
      <c r="D59" s="320"/>
      <c r="E59" s="320"/>
      <c r="F59" s="320"/>
      <c r="G59" s="320"/>
      <c r="H59" s="320"/>
      <c r="I59" s="320"/>
      <c r="J59" s="320"/>
      <c r="K59" s="320"/>
      <c r="M59" s="217"/>
      <c r="N59" s="217"/>
      <c r="O59" s="217"/>
      <c r="P59" s="217"/>
      <c r="Q59" s="217"/>
      <c r="R59" s="368"/>
      <c r="S59" s="217"/>
      <c r="T59" s="217"/>
      <c r="U59" s="218"/>
      <c r="V59" s="218"/>
      <c r="W59" s="218"/>
      <c r="X59" s="218"/>
      <c r="Y59" s="218"/>
      <c r="Z59" s="218"/>
      <c r="AA59" s="219"/>
    </row>
    <row r="60" spans="1:27" s="329" customFormat="1" x14ac:dyDescent="0.15">
      <c r="A60" s="217"/>
      <c r="B60" s="320"/>
      <c r="C60" s="320"/>
      <c r="D60" s="320"/>
      <c r="E60" s="217"/>
      <c r="F60" s="217"/>
      <c r="G60" s="217"/>
      <c r="H60" s="217"/>
      <c r="I60" s="217"/>
      <c r="J60" s="217"/>
      <c r="K60" s="217"/>
      <c r="M60" s="217"/>
      <c r="N60" s="217"/>
      <c r="O60" s="217"/>
      <c r="P60" s="217"/>
      <c r="Q60" s="217"/>
      <c r="R60" s="368"/>
      <c r="S60" s="217"/>
      <c r="T60" s="217"/>
      <c r="U60" s="218"/>
      <c r="V60" s="218"/>
      <c r="W60" s="218"/>
      <c r="X60" s="218"/>
      <c r="Y60" s="218"/>
      <c r="Z60" s="218"/>
      <c r="AA60" s="219"/>
    </row>
    <row r="72" ht="16.5" customHeight="1" x14ac:dyDescent="0.15"/>
    <row r="74" ht="16.5" customHeight="1" x14ac:dyDescent="0.15"/>
    <row r="76" ht="16.5" customHeight="1" x14ac:dyDescent="0.15"/>
    <row r="78" ht="16.5" customHeight="1" x14ac:dyDescent="0.15"/>
  </sheetData>
  <mergeCells count="29">
    <mergeCell ref="A1:Q1"/>
    <mergeCell ref="A2:Q2"/>
    <mergeCell ref="U2:Z3"/>
    <mergeCell ref="C4:D8"/>
    <mergeCell ref="U4:Z4"/>
    <mergeCell ref="U5:Z7"/>
    <mergeCell ref="U8:Z8"/>
    <mergeCell ref="P9:Q13"/>
    <mergeCell ref="U9:Z17"/>
    <mergeCell ref="C14:D15"/>
    <mergeCell ref="C16:D21"/>
    <mergeCell ref="U18:Z18"/>
    <mergeCell ref="E19:F19"/>
    <mergeCell ref="M19:Q19"/>
    <mergeCell ref="U19:Z21"/>
    <mergeCell ref="E20:F20"/>
    <mergeCell ref="A29:A30"/>
    <mergeCell ref="B29:B30"/>
    <mergeCell ref="C29:D31"/>
    <mergeCell ref="U30:Z31"/>
    <mergeCell ref="E31:F31"/>
    <mergeCell ref="D34:D35"/>
    <mergeCell ref="D39:R39"/>
    <mergeCell ref="U41:W41"/>
    <mergeCell ref="P22:Q24"/>
    <mergeCell ref="U22:Z22"/>
    <mergeCell ref="U23:Z29"/>
    <mergeCell ref="C25:D25"/>
    <mergeCell ref="C26:D27"/>
  </mergeCells>
  <phoneticPr fontId="3" type="noConversion"/>
  <conditionalFormatting sqref="O91:O92">
    <cfRule type="uniqueValues" dxfId="29" priority="3"/>
  </conditionalFormatting>
  <conditionalFormatting sqref="M85:M86">
    <cfRule type="uniqueValues" dxfId="28" priority="2"/>
  </conditionalFormatting>
  <conditionalFormatting sqref="N91:N92">
    <cfRule type="uniqueValues" dxfId="27" priority="1"/>
  </conditionalFormatting>
  <printOptions horizontalCentered="1"/>
  <pageMargins left="0" right="0" top="0" bottom="0" header="0" footer="0"/>
  <pageSetup paperSize="9" scale="29" orientation="portrait" horizontalDpi="4294967293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78"/>
  <sheetViews>
    <sheetView topLeftCell="A20" zoomScale="85" zoomScaleNormal="85" zoomScalePageLayoutView="80" workbookViewId="0">
      <selection activeCell="K18" sqref="K18"/>
    </sheetView>
  </sheetViews>
  <sheetFormatPr defaultRowHeight="16.5" x14ac:dyDescent="0.15"/>
  <cols>
    <col min="1" max="1" width="4.33203125" style="217" customWidth="1"/>
    <col min="2" max="2" width="13.33203125" style="320" customWidth="1"/>
    <col min="3" max="4" width="15.83203125" style="320" customWidth="1"/>
    <col min="5" max="11" width="15.83203125" style="217" customWidth="1"/>
    <col min="12" max="12" width="3.5" style="329" customWidth="1"/>
    <col min="13" max="17" width="15.83203125" style="217" customWidth="1"/>
    <col min="18" max="18" width="15.83203125" style="368" customWidth="1"/>
    <col min="19" max="19" width="15.83203125" style="217" customWidth="1"/>
    <col min="20" max="20" width="2.1640625" style="217" customWidth="1"/>
    <col min="21" max="26" width="10.83203125" style="218" customWidth="1"/>
    <col min="27" max="27" width="10" style="219" bestFit="1" customWidth="1"/>
    <col min="28" max="16384" width="9.33203125" style="217"/>
  </cols>
  <sheetData>
    <row r="1" spans="1:27" ht="16.5" hidden="1" customHeight="1" x14ac:dyDescent="0.15">
      <c r="A1" s="606" t="s">
        <v>74</v>
      </c>
      <c r="B1" s="607"/>
      <c r="C1" s="607"/>
      <c r="D1" s="607"/>
      <c r="E1" s="607"/>
      <c r="F1" s="607"/>
      <c r="G1" s="607"/>
      <c r="H1" s="607"/>
      <c r="I1" s="607"/>
      <c r="J1" s="607"/>
      <c r="K1" s="607"/>
      <c r="L1" s="607"/>
      <c r="M1" s="607"/>
      <c r="N1" s="607"/>
      <c r="O1" s="607"/>
      <c r="P1" s="607"/>
      <c r="Q1" s="608"/>
      <c r="R1" s="216"/>
    </row>
    <row r="2" spans="1:27" ht="18" customHeight="1" x14ac:dyDescent="0.15">
      <c r="A2" s="609" t="s">
        <v>721</v>
      </c>
      <c r="B2" s="610"/>
      <c r="C2" s="610"/>
      <c r="D2" s="610"/>
      <c r="E2" s="610"/>
      <c r="F2" s="610"/>
      <c r="G2" s="610"/>
      <c r="H2" s="610"/>
      <c r="I2" s="610"/>
      <c r="J2" s="610"/>
      <c r="K2" s="610"/>
      <c r="L2" s="610"/>
      <c r="M2" s="610"/>
      <c r="N2" s="610"/>
      <c r="O2" s="610"/>
      <c r="P2" s="610"/>
      <c r="Q2" s="610"/>
      <c r="R2" s="220"/>
      <c r="U2" s="540"/>
      <c r="V2" s="540"/>
      <c r="W2" s="540"/>
      <c r="X2" s="540"/>
      <c r="Y2" s="540"/>
      <c r="Z2" s="540"/>
    </row>
    <row r="3" spans="1:27" ht="21" customHeight="1" thickBot="1" x14ac:dyDescent="0.2">
      <c r="A3" s="221"/>
      <c r="B3" s="222" t="s">
        <v>75</v>
      </c>
      <c r="C3" s="223" t="s">
        <v>76</v>
      </c>
      <c r="D3" s="223" t="s">
        <v>77</v>
      </c>
      <c r="E3" s="224" t="s">
        <v>0</v>
      </c>
      <c r="F3" s="224" t="s">
        <v>1</v>
      </c>
      <c r="G3" s="223" t="s">
        <v>2</v>
      </c>
      <c r="H3" s="223" t="s">
        <v>3</v>
      </c>
      <c r="I3" s="224" t="s">
        <v>4</v>
      </c>
      <c r="J3" s="223" t="s">
        <v>5</v>
      </c>
      <c r="K3" s="223" t="s">
        <v>6</v>
      </c>
      <c r="L3" s="225" t="s">
        <v>7</v>
      </c>
      <c r="M3" s="224" t="s">
        <v>8</v>
      </c>
      <c r="N3" s="223" t="s">
        <v>9</v>
      </c>
      <c r="O3" s="223" t="s">
        <v>10</v>
      </c>
      <c r="P3" s="223" t="s">
        <v>11</v>
      </c>
      <c r="Q3" s="223" t="s">
        <v>12</v>
      </c>
      <c r="R3" s="226">
        <f>AVERAGE(R4:R32)</f>
        <v>0.92970085470085473</v>
      </c>
      <c r="U3" s="611"/>
      <c r="V3" s="611"/>
      <c r="W3" s="611"/>
      <c r="X3" s="611"/>
      <c r="Y3" s="611"/>
      <c r="Z3" s="611"/>
    </row>
    <row r="4" spans="1:27" s="237" customFormat="1" ht="27.95" customHeight="1" thickBot="1" x14ac:dyDescent="0.2">
      <c r="A4" s="227">
        <v>1</v>
      </c>
      <c r="B4" s="228" t="s">
        <v>122</v>
      </c>
      <c r="C4" s="604"/>
      <c r="D4" s="605"/>
      <c r="E4" s="229" t="s">
        <v>252</v>
      </c>
      <c r="F4" s="229" t="s">
        <v>253</v>
      </c>
      <c r="G4" s="230" t="s">
        <v>287</v>
      </c>
      <c r="H4" s="231" t="s">
        <v>124</v>
      </c>
      <c r="I4" s="229" t="s">
        <v>724</v>
      </c>
      <c r="J4" s="232" t="s">
        <v>125</v>
      </c>
      <c r="K4" s="229" t="s">
        <v>126</v>
      </c>
      <c r="L4" s="233"/>
      <c r="M4" s="234" t="s">
        <v>91</v>
      </c>
      <c r="N4" s="231" t="s">
        <v>109</v>
      </c>
      <c r="O4" s="404" t="s">
        <v>706</v>
      </c>
      <c r="P4" s="231" t="s">
        <v>87</v>
      </c>
      <c r="Q4" s="231" t="s">
        <v>88</v>
      </c>
      <c r="R4" s="235">
        <f>(COUNTA(C4:Q4))/12</f>
        <v>1</v>
      </c>
      <c r="S4" s="408"/>
      <c r="U4" s="612" t="s">
        <v>313</v>
      </c>
      <c r="V4" s="613"/>
      <c r="W4" s="613"/>
      <c r="X4" s="613"/>
      <c r="Y4" s="613"/>
      <c r="Z4" s="614"/>
      <c r="AA4" s="238"/>
    </row>
    <row r="5" spans="1:27" s="237" customFormat="1" ht="27.95" customHeight="1" x14ac:dyDescent="0.15">
      <c r="A5" s="239">
        <v>2</v>
      </c>
      <c r="B5" s="240" t="s">
        <v>89</v>
      </c>
      <c r="C5" s="598"/>
      <c r="D5" s="599"/>
      <c r="E5" s="229" t="s">
        <v>271</v>
      </c>
      <c r="F5" s="229" t="s">
        <v>90</v>
      </c>
      <c r="G5" s="229" t="s">
        <v>91</v>
      </c>
      <c r="H5" s="231" t="s">
        <v>106</v>
      </c>
      <c r="I5" s="241" t="s">
        <v>240</v>
      </c>
      <c r="J5" s="229" t="s">
        <v>92</v>
      </c>
      <c r="K5" s="229" t="s">
        <v>93</v>
      </c>
      <c r="L5" s="231"/>
      <c r="M5" s="418" t="s">
        <v>731</v>
      </c>
      <c r="N5" s="229" t="s">
        <v>94</v>
      </c>
      <c r="O5" s="234" t="s">
        <v>82</v>
      </c>
      <c r="P5" s="229" t="s">
        <v>95</v>
      </c>
      <c r="Q5" s="414" t="s">
        <v>711</v>
      </c>
      <c r="R5" s="235">
        <f>(COUNTA(C5:Q5))/12</f>
        <v>1</v>
      </c>
      <c r="S5" s="408"/>
      <c r="U5" s="615" t="s">
        <v>715</v>
      </c>
      <c r="V5" s="616"/>
      <c r="W5" s="616"/>
      <c r="X5" s="616"/>
      <c r="Y5" s="616"/>
      <c r="Z5" s="617"/>
      <c r="AA5" s="238"/>
    </row>
    <row r="6" spans="1:27" s="237" customFormat="1" ht="27.95" customHeight="1" x14ac:dyDescent="0.15">
      <c r="A6" s="239">
        <v>3</v>
      </c>
      <c r="B6" s="242" t="s">
        <v>127</v>
      </c>
      <c r="C6" s="598"/>
      <c r="D6" s="599"/>
      <c r="E6" s="229" t="s">
        <v>290</v>
      </c>
      <c r="F6" s="243" t="s">
        <v>128</v>
      </c>
      <c r="G6" s="229" t="s">
        <v>240</v>
      </c>
      <c r="H6" s="229" t="s">
        <v>257</v>
      </c>
      <c r="I6" s="229" t="s">
        <v>310</v>
      </c>
      <c r="J6" s="229" t="s">
        <v>129</v>
      </c>
      <c r="K6" s="229" t="s">
        <v>107</v>
      </c>
      <c r="L6" s="229"/>
      <c r="M6" s="229" t="s">
        <v>112</v>
      </c>
      <c r="N6" s="241" t="s">
        <v>16</v>
      </c>
      <c r="O6" s="241" t="s">
        <v>131</v>
      </c>
      <c r="P6" s="244" t="s">
        <v>83</v>
      </c>
      <c r="Q6" s="411" t="s">
        <v>288</v>
      </c>
      <c r="R6" s="235">
        <f>(COUNTA(C6:Q6))/12</f>
        <v>1</v>
      </c>
      <c r="S6" s="408"/>
      <c r="U6" s="618"/>
      <c r="V6" s="619"/>
      <c r="W6" s="619"/>
      <c r="X6" s="619"/>
      <c r="Y6" s="619"/>
      <c r="Z6" s="620"/>
      <c r="AA6" s="238"/>
    </row>
    <row r="7" spans="1:27" s="237" customFormat="1" ht="27.75" customHeight="1" thickBot="1" x14ac:dyDescent="0.2">
      <c r="A7" s="239">
        <v>4</v>
      </c>
      <c r="B7" s="245" t="s">
        <v>111</v>
      </c>
      <c r="C7" s="598"/>
      <c r="D7" s="599"/>
      <c r="E7" s="229" t="s">
        <v>103</v>
      </c>
      <c r="F7" s="231" t="s">
        <v>87</v>
      </c>
      <c r="G7" s="243" t="s">
        <v>92</v>
      </c>
      <c r="H7" s="229" t="s">
        <v>278</v>
      </c>
      <c r="I7" s="229" t="s">
        <v>107</v>
      </c>
      <c r="J7" s="229" t="s">
        <v>280</v>
      </c>
      <c r="K7" s="229" t="s">
        <v>81</v>
      </c>
      <c r="L7" s="229"/>
      <c r="M7" s="414" t="s">
        <v>711</v>
      </c>
      <c r="N7" s="5" t="s">
        <v>115</v>
      </c>
      <c r="O7" s="229" t="s">
        <v>116</v>
      </c>
      <c r="P7" s="229" t="s">
        <v>117</v>
      </c>
      <c r="Q7" s="246" t="s">
        <v>346</v>
      </c>
      <c r="R7" s="235">
        <f>(COUNTA(C7:Q7))/12</f>
        <v>1</v>
      </c>
      <c r="S7" s="408"/>
      <c r="U7" s="621"/>
      <c r="V7" s="622"/>
      <c r="W7" s="622"/>
      <c r="X7" s="622"/>
      <c r="Y7" s="622"/>
      <c r="Z7" s="623"/>
      <c r="AA7" s="238"/>
    </row>
    <row r="8" spans="1:27" s="237" customFormat="1" ht="27.95" customHeight="1" thickBot="1" x14ac:dyDescent="0.2">
      <c r="A8" s="239">
        <v>5</v>
      </c>
      <c r="B8" s="6" t="s">
        <v>416</v>
      </c>
      <c r="C8" s="598"/>
      <c r="D8" s="599"/>
      <c r="E8" s="426" t="s">
        <v>742</v>
      </c>
      <c r="F8" s="230" t="s">
        <v>104</v>
      </c>
      <c r="G8" s="170" t="s">
        <v>110</v>
      </c>
      <c r="H8" s="247" t="s">
        <v>279</v>
      </c>
      <c r="I8" s="247"/>
      <c r="J8" s="247" t="s">
        <v>106</v>
      </c>
      <c r="K8" s="230" t="s">
        <v>420</v>
      </c>
      <c r="L8" s="171"/>
      <c r="M8" s="230" t="s">
        <v>90</v>
      </c>
      <c r="N8" s="248" t="s">
        <v>272</v>
      </c>
      <c r="O8" s="249" t="s">
        <v>107</v>
      </c>
      <c r="P8" s="231" t="s">
        <v>94</v>
      </c>
      <c r="Q8" s="412" t="s">
        <v>103</v>
      </c>
      <c r="R8" s="235">
        <f>(COUNTA(C8:Q8))/12</f>
        <v>0.91666666666666663</v>
      </c>
      <c r="S8" s="408"/>
      <c r="U8" s="612" t="s">
        <v>15</v>
      </c>
      <c r="V8" s="613"/>
      <c r="W8" s="613"/>
      <c r="X8" s="613"/>
      <c r="Y8" s="613"/>
      <c r="Z8" s="614"/>
      <c r="AA8" s="238"/>
    </row>
    <row r="9" spans="1:27" s="237" customFormat="1" ht="27.95" customHeight="1" x14ac:dyDescent="0.15">
      <c r="A9" s="250">
        <v>6</v>
      </c>
      <c r="B9" s="251" t="s">
        <v>79</v>
      </c>
      <c r="C9" s="252" t="s">
        <v>325</v>
      </c>
      <c r="D9" s="252" t="s">
        <v>325</v>
      </c>
      <c r="E9" s="253" t="s">
        <v>80</v>
      </c>
      <c r="F9" s="253" t="s">
        <v>81</v>
      </c>
      <c r="G9" s="253" t="s">
        <v>82</v>
      </c>
      <c r="H9" s="233" t="s">
        <v>83</v>
      </c>
      <c r="I9" s="232" t="s">
        <v>84</v>
      </c>
      <c r="J9" s="424" t="s">
        <v>740</v>
      </c>
      <c r="K9" s="160" t="s">
        <v>92</v>
      </c>
      <c r="L9" s="253"/>
      <c r="M9" s="253" t="s">
        <v>85</v>
      </c>
      <c r="N9" s="254" t="s">
        <v>86</v>
      </c>
      <c r="O9" s="231" t="s">
        <v>109</v>
      </c>
      <c r="P9" s="541"/>
      <c r="Q9" s="542"/>
      <c r="R9" s="235">
        <f t="shared" ref="R9:R18" si="0">(COUNTA(C9:Q9))/12</f>
        <v>1</v>
      </c>
      <c r="S9" s="408"/>
      <c r="U9" s="592" t="s">
        <v>718</v>
      </c>
      <c r="V9" s="593"/>
      <c r="W9" s="593"/>
      <c r="X9" s="593"/>
      <c r="Y9" s="593"/>
      <c r="Z9" s="594"/>
      <c r="AA9" s="238"/>
    </row>
    <row r="10" spans="1:27" s="237" customFormat="1" ht="27.95" customHeight="1" x14ac:dyDescent="0.15">
      <c r="A10" s="239">
        <v>7</v>
      </c>
      <c r="B10" s="240" t="s">
        <v>96</v>
      </c>
      <c r="C10" s="255" t="s">
        <v>328</v>
      </c>
      <c r="D10" s="255" t="s">
        <v>328</v>
      </c>
      <c r="E10" s="404" t="s">
        <v>706</v>
      </c>
      <c r="F10" s="232" t="s">
        <v>13</v>
      </c>
      <c r="G10" s="229" t="s">
        <v>98</v>
      </c>
      <c r="H10" s="241" t="s">
        <v>93</v>
      </c>
      <c r="I10" s="234" t="s">
        <v>104</v>
      </c>
      <c r="J10" s="229" t="s">
        <v>14</v>
      </c>
      <c r="K10" s="229" t="s">
        <v>100</v>
      </c>
      <c r="L10" s="233"/>
      <c r="M10" s="231" t="s">
        <v>724</v>
      </c>
      <c r="N10" s="232" t="s">
        <v>101</v>
      </c>
      <c r="O10" s="231" t="s">
        <v>102</v>
      </c>
      <c r="P10" s="543"/>
      <c r="Q10" s="544"/>
      <c r="R10" s="235">
        <f t="shared" si="0"/>
        <v>1</v>
      </c>
      <c r="S10" s="408"/>
      <c r="U10" s="592"/>
      <c r="V10" s="593"/>
      <c r="W10" s="593"/>
      <c r="X10" s="593"/>
      <c r="Y10" s="593"/>
      <c r="Z10" s="594"/>
      <c r="AA10" s="238"/>
    </row>
    <row r="11" spans="1:27" s="237" customFormat="1" ht="27.95" customHeight="1" x14ac:dyDescent="0.15">
      <c r="A11" s="239">
        <v>8</v>
      </c>
      <c r="B11" s="245" t="s">
        <v>132</v>
      </c>
      <c r="C11" s="255" t="s">
        <v>334</v>
      </c>
      <c r="D11" s="255" t="s">
        <v>330</v>
      </c>
      <c r="E11" s="229" t="s">
        <v>133</v>
      </c>
      <c r="F11" s="241" t="s">
        <v>82</v>
      </c>
      <c r="G11" s="256" t="s">
        <v>134</v>
      </c>
      <c r="H11" s="229" t="s">
        <v>135</v>
      </c>
      <c r="I11" s="409" t="s">
        <v>106</v>
      </c>
      <c r="J11" s="229" t="s">
        <v>107</v>
      </c>
      <c r="K11" s="243" t="s">
        <v>108</v>
      </c>
      <c r="L11" s="230"/>
      <c r="M11" s="230" t="s">
        <v>113</v>
      </c>
      <c r="N11" s="229" t="s">
        <v>136</v>
      </c>
      <c r="O11" s="229" t="s">
        <v>123</v>
      </c>
      <c r="P11" s="543"/>
      <c r="Q11" s="544"/>
      <c r="R11" s="235">
        <f t="shared" si="0"/>
        <v>1</v>
      </c>
      <c r="S11" s="408"/>
      <c r="U11" s="592"/>
      <c r="V11" s="593"/>
      <c r="W11" s="593"/>
      <c r="X11" s="593"/>
      <c r="Y11" s="593"/>
      <c r="Z11" s="594"/>
      <c r="AA11" s="238"/>
    </row>
    <row r="12" spans="1:27" s="237" customFormat="1" ht="27.95" customHeight="1" x14ac:dyDescent="0.15">
      <c r="A12" s="239">
        <v>9</v>
      </c>
      <c r="B12" s="257" t="s">
        <v>137</v>
      </c>
      <c r="C12" s="255" t="s">
        <v>133</v>
      </c>
      <c r="D12" s="255" t="s">
        <v>121</v>
      </c>
      <c r="E12" s="229" t="s">
        <v>138</v>
      </c>
      <c r="F12" s="404" t="s">
        <v>706</v>
      </c>
      <c r="G12" s="248" t="s">
        <v>139</v>
      </c>
      <c r="H12" s="243" t="s">
        <v>140</v>
      </c>
      <c r="I12" s="233" t="s">
        <v>141</v>
      </c>
      <c r="J12" s="229" t="s">
        <v>142</v>
      </c>
      <c r="K12" s="241"/>
      <c r="L12" s="229"/>
      <c r="M12" s="241" t="s">
        <v>279</v>
      </c>
      <c r="N12" s="231" t="s">
        <v>143</v>
      </c>
      <c r="O12" s="241" t="s">
        <v>272</v>
      </c>
      <c r="P12" s="543"/>
      <c r="Q12" s="544"/>
      <c r="R12" s="235">
        <f t="shared" si="0"/>
        <v>0.91666666666666663</v>
      </c>
      <c r="S12" s="408"/>
      <c r="U12" s="592"/>
      <c r="V12" s="593"/>
      <c r="W12" s="593"/>
      <c r="X12" s="593"/>
      <c r="Y12" s="593"/>
      <c r="Z12" s="594"/>
      <c r="AA12" s="238"/>
    </row>
    <row r="13" spans="1:27" s="237" customFormat="1" ht="27.95" customHeight="1" thickBot="1" x14ac:dyDescent="0.2">
      <c r="A13" s="258">
        <v>10</v>
      </c>
      <c r="B13" s="7" t="s">
        <v>119</v>
      </c>
      <c r="C13" s="259" t="s">
        <v>117</v>
      </c>
      <c r="D13" s="259" t="s">
        <v>128</v>
      </c>
      <c r="E13" s="260" t="s">
        <v>288</v>
      </c>
      <c r="F13" s="9" t="s">
        <v>102</v>
      </c>
      <c r="G13" s="249" t="s">
        <v>109</v>
      </c>
      <c r="H13" s="249" t="s">
        <v>724</v>
      </c>
      <c r="I13" s="249" t="s">
        <v>120</v>
      </c>
      <c r="J13" s="261" t="s">
        <v>115</v>
      </c>
      <c r="K13" s="249" t="s">
        <v>121</v>
      </c>
      <c r="L13" s="11"/>
      <c r="M13" s="262" t="s">
        <v>82</v>
      </c>
      <c r="N13" s="413" t="s">
        <v>722</v>
      </c>
      <c r="O13" s="249" t="s">
        <v>100</v>
      </c>
      <c r="P13" s="720"/>
      <c r="Q13" s="721"/>
      <c r="R13" s="235">
        <f t="shared" si="0"/>
        <v>1</v>
      </c>
      <c r="S13" s="408"/>
      <c r="U13" s="592"/>
      <c r="V13" s="593"/>
      <c r="W13" s="593"/>
      <c r="X13" s="593"/>
      <c r="Y13" s="593"/>
      <c r="Z13" s="594"/>
      <c r="AA13" s="238"/>
    </row>
    <row r="14" spans="1:27" ht="27.95" customHeight="1" x14ac:dyDescent="0.15">
      <c r="A14" s="263">
        <v>11</v>
      </c>
      <c r="B14" s="416" t="s">
        <v>727</v>
      </c>
      <c r="C14" s="722"/>
      <c r="D14" s="723"/>
      <c r="E14" s="229" t="s">
        <v>104</v>
      </c>
      <c r="F14" s="241" t="s">
        <v>94</v>
      </c>
      <c r="G14" s="241" t="s">
        <v>279</v>
      </c>
      <c r="H14" s="233" t="s">
        <v>272</v>
      </c>
      <c r="I14" s="246" t="s">
        <v>288</v>
      </c>
      <c r="J14" s="230" t="s">
        <v>288</v>
      </c>
      <c r="K14" s="231" t="s">
        <v>724</v>
      </c>
      <c r="L14" s="241"/>
      <c r="M14" s="420"/>
      <c r="N14" s="421" t="s">
        <v>240</v>
      </c>
      <c r="O14" s="388"/>
      <c r="P14" s="387" t="s">
        <v>81</v>
      </c>
      <c r="Q14" s="387"/>
      <c r="R14" s="235">
        <f t="shared" si="0"/>
        <v>0.75</v>
      </c>
      <c r="S14" s="408"/>
      <c r="T14" s="237"/>
      <c r="U14" s="592"/>
      <c r="V14" s="593"/>
      <c r="W14" s="593"/>
      <c r="X14" s="593"/>
      <c r="Y14" s="593"/>
      <c r="Z14" s="594"/>
    </row>
    <row r="15" spans="1:27" ht="27.95" customHeight="1" thickBot="1" x14ac:dyDescent="0.2">
      <c r="A15" s="258">
        <v>12</v>
      </c>
      <c r="B15" s="265" t="s">
        <v>145</v>
      </c>
      <c r="C15" s="724"/>
      <c r="D15" s="725"/>
      <c r="E15" s="403" t="s">
        <v>97</v>
      </c>
      <c r="F15" s="261" t="s">
        <v>105</v>
      </c>
      <c r="G15" s="404" t="s">
        <v>706</v>
      </c>
      <c r="H15" s="249" t="s">
        <v>695</v>
      </c>
      <c r="I15" s="142" t="s">
        <v>711</v>
      </c>
      <c r="J15" s="249" t="s">
        <v>724</v>
      </c>
      <c r="K15" s="249"/>
      <c r="L15" s="249"/>
      <c r="M15" s="403" t="s">
        <v>673</v>
      </c>
      <c r="N15" s="266" t="s">
        <v>146</v>
      </c>
      <c r="O15" s="403" t="s">
        <v>93</v>
      </c>
      <c r="P15" s="249" t="s">
        <v>346</v>
      </c>
      <c r="Q15" s="9" t="s">
        <v>110</v>
      </c>
      <c r="R15" s="235">
        <f t="shared" si="0"/>
        <v>0.91666666666666663</v>
      </c>
      <c r="S15" s="408"/>
      <c r="U15" s="592"/>
      <c r="V15" s="593"/>
      <c r="W15" s="593"/>
      <c r="X15" s="593"/>
      <c r="Y15" s="593"/>
      <c r="Z15" s="594"/>
    </row>
    <row r="16" spans="1:27" ht="27" customHeight="1" x14ac:dyDescent="0.15">
      <c r="A16" s="227">
        <v>13</v>
      </c>
      <c r="B16" s="267" t="s">
        <v>21</v>
      </c>
      <c r="C16" s="598"/>
      <c r="D16" s="599"/>
      <c r="E16" s="414" t="s">
        <v>712</v>
      </c>
      <c r="F16" s="177" t="s">
        <v>186</v>
      </c>
      <c r="G16" s="253" t="s">
        <v>22</v>
      </c>
      <c r="H16" s="253" t="s">
        <v>23</v>
      </c>
      <c r="I16" s="231" t="s">
        <v>187</v>
      </c>
      <c r="J16" s="160" t="s">
        <v>188</v>
      </c>
      <c r="K16" s="231" t="s">
        <v>189</v>
      </c>
      <c r="L16" s="233"/>
      <c r="M16" s="241" t="s">
        <v>190</v>
      </c>
      <c r="N16" s="229" t="s">
        <v>191</v>
      </c>
      <c r="O16" s="231" t="s">
        <v>192</v>
      </c>
      <c r="P16" s="407" t="s">
        <v>707</v>
      </c>
      <c r="Q16" s="390" t="s">
        <v>735</v>
      </c>
      <c r="R16" s="235">
        <f t="shared" si="0"/>
        <v>1</v>
      </c>
      <c r="S16" s="408"/>
      <c r="U16" s="592"/>
      <c r="V16" s="593"/>
      <c r="W16" s="593"/>
      <c r="X16" s="593"/>
      <c r="Y16" s="593"/>
      <c r="Z16" s="594"/>
    </row>
    <row r="17" spans="1:27" ht="27.95" customHeight="1" thickBot="1" x14ac:dyDescent="0.2">
      <c r="A17" s="227">
        <v>14</v>
      </c>
      <c r="B17" s="267" t="s">
        <v>155</v>
      </c>
      <c r="C17" s="598"/>
      <c r="D17" s="599"/>
      <c r="E17" s="229" t="s">
        <v>156</v>
      </c>
      <c r="F17" s="232" t="s">
        <v>157</v>
      </c>
      <c r="G17" s="229" t="s">
        <v>158</v>
      </c>
      <c r="H17" s="229" t="s">
        <v>154</v>
      </c>
      <c r="I17" s="241" t="s">
        <v>283</v>
      </c>
      <c r="J17" s="229" t="s">
        <v>159</v>
      </c>
      <c r="K17" s="241" t="s">
        <v>241</v>
      </c>
      <c r="L17" s="229"/>
      <c r="M17" s="17" t="s">
        <v>160</v>
      </c>
      <c r="N17" s="5" t="s">
        <v>161</v>
      </c>
      <c r="O17" s="18" t="s">
        <v>162</v>
      </c>
      <c r="P17" s="229" t="s">
        <v>163</v>
      </c>
      <c r="Q17" s="269" t="s">
        <v>164</v>
      </c>
      <c r="R17" s="235">
        <f t="shared" si="0"/>
        <v>1</v>
      </c>
      <c r="S17" s="408"/>
      <c r="U17" s="595"/>
      <c r="V17" s="596"/>
      <c r="W17" s="596"/>
      <c r="X17" s="596"/>
      <c r="Y17" s="596"/>
      <c r="Z17" s="597"/>
    </row>
    <row r="18" spans="1:27" ht="27.95" customHeight="1" thickBot="1" x14ac:dyDescent="0.2">
      <c r="A18" s="270">
        <v>15</v>
      </c>
      <c r="B18" s="245" t="s">
        <v>193</v>
      </c>
      <c r="C18" s="598"/>
      <c r="D18" s="599"/>
      <c r="E18" s="243" t="s">
        <v>194</v>
      </c>
      <c r="F18" s="5" t="s">
        <v>195</v>
      </c>
      <c r="G18" s="243" t="s">
        <v>24</v>
      </c>
      <c r="H18" s="427" t="s">
        <v>744</v>
      </c>
      <c r="I18" s="243" t="s">
        <v>237</v>
      </c>
      <c r="J18" s="229" t="s">
        <v>196</v>
      </c>
      <c r="K18" s="229" t="s">
        <v>197</v>
      </c>
      <c r="L18" s="229"/>
      <c r="M18" s="241" t="s">
        <v>25</v>
      </c>
      <c r="N18" s="229" t="s">
        <v>244</v>
      </c>
      <c r="O18" s="229" t="s">
        <v>198</v>
      </c>
      <c r="P18" s="243" t="s">
        <v>304</v>
      </c>
      <c r="Q18" s="246" t="s">
        <v>725</v>
      </c>
      <c r="R18" s="371">
        <f t="shared" si="0"/>
        <v>1</v>
      </c>
      <c r="S18" s="408"/>
      <c r="U18" s="547" t="s">
        <v>311</v>
      </c>
      <c r="V18" s="548"/>
      <c r="W18" s="548"/>
      <c r="X18" s="548"/>
      <c r="Y18" s="548"/>
      <c r="Z18" s="549"/>
    </row>
    <row r="19" spans="1:27" ht="27.95" customHeight="1" x14ac:dyDescent="0.15">
      <c r="A19" s="270">
        <v>16</v>
      </c>
      <c r="B19" s="377" t="s">
        <v>728</v>
      </c>
      <c r="C19" s="598"/>
      <c r="D19" s="599"/>
      <c r="E19" s="726"/>
      <c r="F19" s="727"/>
      <c r="G19" s="422" t="s">
        <v>69</v>
      </c>
      <c r="H19" s="381"/>
      <c r="I19" s="380"/>
      <c r="J19" s="388"/>
      <c r="K19" s="380"/>
      <c r="L19" s="382"/>
      <c r="M19" s="728"/>
      <c r="N19" s="729"/>
      <c r="O19" s="729"/>
      <c r="P19" s="729"/>
      <c r="Q19" s="730"/>
      <c r="R19" s="235">
        <f>(COUNTA(E19:K19))/5</f>
        <v>0.2</v>
      </c>
      <c r="S19" s="408"/>
      <c r="U19" s="740" t="s">
        <v>723</v>
      </c>
      <c r="V19" s="741"/>
      <c r="W19" s="741"/>
      <c r="X19" s="741"/>
      <c r="Y19" s="741"/>
      <c r="Z19" s="742"/>
    </row>
    <row r="20" spans="1:27" s="237" customFormat="1" ht="27.75" customHeight="1" x14ac:dyDescent="0.15">
      <c r="A20" s="239"/>
      <c r="B20" s="242" t="s">
        <v>170</v>
      </c>
      <c r="C20" s="598"/>
      <c r="D20" s="599"/>
      <c r="E20" s="602" t="s">
        <v>20</v>
      </c>
      <c r="F20" s="603"/>
      <c r="G20" s="241" t="s">
        <v>285</v>
      </c>
      <c r="H20" s="378" t="s">
        <v>747</v>
      </c>
      <c r="I20" s="273" t="s">
        <v>172</v>
      </c>
      <c r="J20" s="229" t="s">
        <v>173</v>
      </c>
      <c r="K20" s="417" t="s">
        <v>736</v>
      </c>
      <c r="L20" s="229"/>
      <c r="M20" s="273" t="s">
        <v>174</v>
      </c>
      <c r="N20" s="5" t="s">
        <v>175</v>
      </c>
      <c r="O20" s="246" t="s">
        <v>176</v>
      </c>
      <c r="P20" s="229" t="s">
        <v>152</v>
      </c>
      <c r="Q20" s="231" t="s">
        <v>154</v>
      </c>
      <c r="R20" s="235">
        <f>(COUNTA(G20:Q20))/10</f>
        <v>1</v>
      </c>
      <c r="S20" s="408"/>
      <c r="U20" s="743"/>
      <c r="V20" s="744"/>
      <c r="W20" s="744"/>
      <c r="X20" s="744"/>
      <c r="Y20" s="744"/>
      <c r="Z20" s="745"/>
      <c r="AA20" s="238"/>
    </row>
    <row r="21" spans="1:27" ht="27.95" customHeight="1" thickBot="1" x14ac:dyDescent="0.2">
      <c r="A21" s="258"/>
      <c r="B21" s="274" t="s">
        <v>177</v>
      </c>
      <c r="C21" s="600"/>
      <c r="D21" s="601"/>
      <c r="E21" s="275" t="s">
        <v>178</v>
      </c>
      <c r="F21" s="261"/>
      <c r="G21" s="230" t="s">
        <v>179</v>
      </c>
      <c r="H21" s="230" t="s">
        <v>180</v>
      </c>
      <c r="I21" s="249" t="s">
        <v>181</v>
      </c>
      <c r="J21" s="249"/>
      <c r="K21" s="249" t="s">
        <v>182</v>
      </c>
      <c r="L21" s="247"/>
      <c r="M21" s="249" t="s">
        <v>183</v>
      </c>
      <c r="N21" s="247" t="s">
        <v>184</v>
      </c>
      <c r="O21" s="249" t="s">
        <v>185</v>
      </c>
      <c r="P21" s="372" t="s">
        <v>153</v>
      </c>
      <c r="Q21" s="410" t="s">
        <v>178</v>
      </c>
      <c r="R21" s="235">
        <f>(COUNTA(F21:P21))/9</f>
        <v>0.88888888888888884</v>
      </c>
      <c r="S21" s="408"/>
      <c r="U21" s="746"/>
      <c r="V21" s="747"/>
      <c r="W21" s="747"/>
      <c r="X21" s="747"/>
      <c r="Y21" s="747"/>
      <c r="Z21" s="748"/>
    </row>
    <row r="22" spans="1:27" s="237" customFormat="1" ht="27.95" customHeight="1" thickBot="1" x14ac:dyDescent="0.2">
      <c r="A22" s="227">
        <v>17</v>
      </c>
      <c r="B22" s="245" t="s">
        <v>147</v>
      </c>
      <c r="C22" s="255" t="s">
        <v>337</v>
      </c>
      <c r="D22" s="255" t="s">
        <v>340</v>
      </c>
      <c r="E22" s="229" t="s">
        <v>17</v>
      </c>
      <c r="F22" s="253" t="s">
        <v>254</v>
      </c>
      <c r="G22" s="277" t="s">
        <v>148</v>
      </c>
      <c r="H22" s="278" t="s">
        <v>149</v>
      </c>
      <c r="I22" s="160" t="s">
        <v>150</v>
      </c>
      <c r="J22" s="253" t="s">
        <v>151</v>
      </c>
      <c r="K22" s="253" t="s">
        <v>18</v>
      </c>
      <c r="L22" s="277"/>
      <c r="M22" s="253" t="s">
        <v>19</v>
      </c>
      <c r="N22" s="279" t="s">
        <v>152</v>
      </c>
      <c r="O22" s="423" t="s">
        <v>739</v>
      </c>
      <c r="P22" s="541"/>
      <c r="Q22" s="542"/>
      <c r="R22" s="235">
        <f>(COUNTA(C22:Q22))/12</f>
        <v>1</v>
      </c>
      <c r="S22" s="408"/>
      <c r="U22" s="547" t="s">
        <v>312</v>
      </c>
      <c r="V22" s="548"/>
      <c r="W22" s="548"/>
      <c r="X22" s="548"/>
      <c r="Y22" s="548"/>
      <c r="Z22" s="549"/>
      <c r="AA22" s="238"/>
    </row>
    <row r="23" spans="1:27" ht="27.95" customHeight="1" x14ac:dyDescent="0.15">
      <c r="A23" s="270">
        <v>18</v>
      </c>
      <c r="B23" s="245" t="s">
        <v>199</v>
      </c>
      <c r="C23" s="268" t="s">
        <v>333</v>
      </c>
      <c r="D23" s="268" t="s">
        <v>333</v>
      </c>
      <c r="E23" s="273" t="s">
        <v>200</v>
      </c>
      <c r="F23" s="229" t="s">
        <v>201</v>
      </c>
      <c r="G23" s="18" t="s">
        <v>26</v>
      </c>
      <c r="H23" s="241" t="s">
        <v>241</v>
      </c>
      <c r="I23" s="378" t="s">
        <v>167</v>
      </c>
      <c r="J23" s="229" t="s">
        <v>202</v>
      </c>
      <c r="K23" s="23" t="s">
        <v>203</v>
      </c>
      <c r="L23" s="229"/>
      <c r="M23" s="243" t="s">
        <v>204</v>
      </c>
      <c r="N23" s="428" t="s">
        <v>745</v>
      </c>
      <c r="O23" s="269" t="s">
        <v>205</v>
      </c>
      <c r="P23" s="543"/>
      <c r="Q23" s="544"/>
      <c r="R23" s="235">
        <f t="shared" ref="R23:R25" si="1">(COUNTA(C23:Q23))/12</f>
        <v>1</v>
      </c>
      <c r="S23" s="408"/>
      <c r="U23" s="711" t="s">
        <v>755</v>
      </c>
      <c r="V23" s="712"/>
      <c r="W23" s="712"/>
      <c r="X23" s="712"/>
      <c r="Y23" s="712"/>
      <c r="Z23" s="713"/>
    </row>
    <row r="24" spans="1:27" ht="27.95" customHeight="1" x14ac:dyDescent="0.15">
      <c r="A24" s="270">
        <v>19</v>
      </c>
      <c r="B24" s="280" t="s">
        <v>27</v>
      </c>
      <c r="C24" s="255" t="s">
        <v>331</v>
      </c>
      <c r="D24" s="255" t="s">
        <v>230</v>
      </c>
      <c r="E24" s="406" t="s">
        <v>551</v>
      </c>
      <c r="F24" s="429" t="s">
        <v>754</v>
      </c>
      <c r="G24" s="229" t="s">
        <v>291</v>
      </c>
      <c r="H24" s="16" t="s">
        <v>289</v>
      </c>
      <c r="I24" s="404" t="s">
        <v>707</v>
      </c>
      <c r="J24" s="241" t="s">
        <v>696</v>
      </c>
      <c r="K24" s="229"/>
      <c r="L24" s="243"/>
      <c r="M24" s="229" t="s">
        <v>352</v>
      </c>
      <c r="N24" s="243" t="s">
        <v>267</v>
      </c>
      <c r="O24" s="281" t="s">
        <v>733</v>
      </c>
      <c r="P24" s="545"/>
      <c r="Q24" s="546"/>
      <c r="R24" s="235">
        <f t="shared" si="1"/>
        <v>0.91666666666666663</v>
      </c>
      <c r="S24" s="408"/>
      <c r="U24" s="714"/>
      <c r="V24" s="715"/>
      <c r="W24" s="715"/>
      <c r="X24" s="715"/>
      <c r="Y24" s="715"/>
      <c r="Z24" s="716"/>
      <c r="AA24" s="283"/>
    </row>
    <row r="25" spans="1:27" ht="27.95" customHeight="1" thickBot="1" x14ac:dyDescent="0.2">
      <c r="A25" s="239">
        <v>20</v>
      </c>
      <c r="B25" s="284" t="s">
        <v>206</v>
      </c>
      <c r="C25" s="550"/>
      <c r="D25" s="551"/>
      <c r="E25" s="230" t="s">
        <v>207</v>
      </c>
      <c r="F25" s="279" t="s">
        <v>192</v>
      </c>
      <c r="G25" s="229" t="s">
        <v>267</v>
      </c>
      <c r="H25" s="249" t="s">
        <v>190</v>
      </c>
      <c r="I25" s="249" t="s">
        <v>696</v>
      </c>
      <c r="J25" s="261" t="s">
        <v>208</v>
      </c>
      <c r="K25" s="243"/>
      <c r="L25" s="248"/>
      <c r="M25" s="419" t="s">
        <v>737</v>
      </c>
      <c r="N25" s="230" t="s">
        <v>28</v>
      </c>
      <c r="O25" s="415" t="s">
        <v>712</v>
      </c>
      <c r="P25" s="243" t="s">
        <v>209</v>
      </c>
      <c r="Q25" s="425" t="s">
        <v>738</v>
      </c>
      <c r="R25" s="235">
        <f t="shared" si="1"/>
        <v>0.91666666666666663</v>
      </c>
      <c r="S25" s="408"/>
      <c r="U25" s="714"/>
      <c r="V25" s="715"/>
      <c r="W25" s="715"/>
      <c r="X25" s="715"/>
      <c r="Y25" s="715"/>
      <c r="Z25" s="716"/>
    </row>
    <row r="26" spans="1:27" s="237" customFormat="1" ht="27.75" customHeight="1" x14ac:dyDescent="0.15">
      <c r="A26" s="285" t="s">
        <v>210</v>
      </c>
      <c r="B26" s="286" t="s">
        <v>29</v>
      </c>
      <c r="C26" s="552"/>
      <c r="D26" s="553"/>
      <c r="E26" s="278"/>
      <c r="F26" s="278" t="s">
        <v>305</v>
      </c>
      <c r="G26" s="278" t="s">
        <v>251</v>
      </c>
      <c r="H26" s="229"/>
      <c r="I26" s="254" t="s">
        <v>304</v>
      </c>
      <c r="J26" s="246" t="s">
        <v>30</v>
      </c>
      <c r="K26" s="287"/>
      <c r="L26" s="254"/>
      <c r="M26" s="287"/>
      <c r="N26" s="278" t="s">
        <v>211</v>
      </c>
      <c r="O26" s="278" t="s">
        <v>73</v>
      </c>
      <c r="P26" s="160"/>
      <c r="Q26" s="401" t="s">
        <v>231</v>
      </c>
      <c r="R26" s="235">
        <f>(COUNTA(C26:Q26))/7</f>
        <v>1</v>
      </c>
      <c r="U26" s="714"/>
      <c r="V26" s="715"/>
      <c r="W26" s="715"/>
      <c r="X26" s="715"/>
      <c r="Y26" s="715"/>
      <c r="Z26" s="716"/>
      <c r="AA26" s="238"/>
    </row>
    <row r="27" spans="1:27" s="291" customFormat="1" ht="27.95" customHeight="1" thickBot="1" x14ac:dyDescent="0.2">
      <c r="A27" s="288"/>
      <c r="B27" s="289" t="s">
        <v>212</v>
      </c>
      <c r="C27" s="554"/>
      <c r="D27" s="555"/>
      <c r="E27" s="249" t="s">
        <v>260</v>
      </c>
      <c r="F27" s="247" t="s">
        <v>31</v>
      </c>
      <c r="G27" s="249"/>
      <c r="H27" s="249"/>
      <c r="I27" s="249"/>
      <c r="J27" s="9"/>
      <c r="K27" s="229" t="s">
        <v>213</v>
      </c>
      <c r="L27" s="248"/>
      <c r="M27" s="261" t="s">
        <v>255</v>
      </c>
      <c r="N27" s="30"/>
      <c r="O27" s="290"/>
      <c r="P27" s="247" t="s">
        <v>93</v>
      </c>
      <c r="Q27" s="249" t="s">
        <v>126</v>
      </c>
      <c r="R27" s="235">
        <f>(COUNTA(C27:Q27))/8</f>
        <v>0.75</v>
      </c>
      <c r="S27" s="408"/>
      <c r="U27" s="714"/>
      <c r="V27" s="715"/>
      <c r="W27" s="715"/>
      <c r="X27" s="715"/>
      <c r="Y27" s="715"/>
      <c r="Z27" s="716"/>
      <c r="AA27" s="292"/>
    </row>
    <row r="28" spans="1:27" s="291" customFormat="1" ht="9.9499999999999993" customHeight="1" thickBot="1" x14ac:dyDescent="0.2">
      <c r="A28" s="293"/>
      <c r="B28" s="294"/>
      <c r="C28" s="295"/>
      <c r="D28" s="296"/>
      <c r="E28" s="297"/>
      <c r="F28" s="298"/>
      <c r="G28" s="297"/>
      <c r="H28" s="297"/>
      <c r="I28" s="297"/>
      <c r="J28" s="80"/>
      <c r="K28" s="297"/>
      <c r="L28" s="298"/>
      <c r="M28" s="299"/>
      <c r="N28" s="82"/>
      <c r="O28" s="300"/>
      <c r="P28" s="244"/>
      <c r="Q28" s="279"/>
      <c r="R28" s="235"/>
      <c r="S28" s="408"/>
      <c r="U28" s="714"/>
      <c r="V28" s="715"/>
      <c r="W28" s="715"/>
      <c r="X28" s="715"/>
      <c r="Y28" s="715"/>
      <c r="Z28" s="716"/>
      <c r="AA28" s="292"/>
    </row>
    <row r="29" spans="1:27" ht="120" customHeight="1" thickBot="1" x14ac:dyDescent="0.2">
      <c r="A29" s="574"/>
      <c r="B29" s="576" t="s">
        <v>216</v>
      </c>
      <c r="C29" s="578"/>
      <c r="D29" s="579"/>
      <c r="E29" s="233" t="s">
        <v>297</v>
      </c>
      <c r="F29" s="231" t="s">
        <v>294</v>
      </c>
      <c r="G29" s="233" t="s">
        <v>259</v>
      </c>
      <c r="H29" s="301" t="s">
        <v>298</v>
      </c>
      <c r="I29" s="231" t="s">
        <v>256</v>
      </c>
      <c r="J29" s="231" t="s">
        <v>217</v>
      </c>
      <c r="K29" s="253" t="s">
        <v>218</v>
      </c>
      <c r="L29" s="254"/>
      <c r="M29" s="233" t="s">
        <v>219</v>
      </c>
      <c r="N29" s="253" t="s">
        <v>295</v>
      </c>
      <c r="O29" s="302" t="s">
        <v>292</v>
      </c>
      <c r="P29" s="278" t="s">
        <v>220</v>
      </c>
      <c r="Q29" s="278" t="s">
        <v>239</v>
      </c>
      <c r="R29" s="235">
        <f>(COUNTA(C29:Q29))/12</f>
        <v>1</v>
      </c>
      <c r="S29" s="237"/>
      <c r="T29" s="237"/>
      <c r="U29" s="717"/>
      <c r="V29" s="718"/>
      <c r="W29" s="718"/>
      <c r="X29" s="718"/>
      <c r="Y29" s="718"/>
      <c r="Z29" s="719"/>
    </row>
    <row r="30" spans="1:27" ht="120" customHeight="1" x14ac:dyDescent="0.15">
      <c r="A30" s="575"/>
      <c r="B30" s="577"/>
      <c r="C30" s="580"/>
      <c r="D30" s="581"/>
      <c r="E30" s="170" t="s">
        <v>726</v>
      </c>
      <c r="F30" s="170" t="s">
        <v>666</v>
      </c>
      <c r="G30" s="170" t="s">
        <v>729</v>
      </c>
      <c r="H30" s="174" t="s">
        <v>743</v>
      </c>
      <c r="I30" s="170" t="s">
        <v>665</v>
      </c>
      <c r="J30" s="174" t="s">
        <v>710</v>
      </c>
      <c r="K30" s="170" t="s">
        <v>349</v>
      </c>
      <c r="L30" s="171"/>
      <c r="M30" s="174" t="s">
        <v>730</v>
      </c>
      <c r="N30" s="174" t="s">
        <v>741</v>
      </c>
      <c r="O30" s="170" t="s">
        <v>732</v>
      </c>
      <c r="P30" s="170" t="s">
        <v>720</v>
      </c>
      <c r="Q30" s="170" t="s">
        <v>734</v>
      </c>
      <c r="R30" s="235"/>
      <c r="S30" s="237"/>
      <c r="T30" s="237"/>
      <c r="U30" s="584" t="s">
        <v>32</v>
      </c>
      <c r="V30" s="585"/>
      <c r="W30" s="585"/>
      <c r="X30" s="585"/>
      <c r="Y30" s="585"/>
      <c r="Z30" s="586"/>
    </row>
    <row r="31" spans="1:27" ht="120" customHeight="1" thickBot="1" x14ac:dyDescent="0.2">
      <c r="A31" s="303"/>
      <c r="B31" s="304" t="s">
        <v>589</v>
      </c>
      <c r="C31" s="582"/>
      <c r="D31" s="583"/>
      <c r="E31" s="590" t="s">
        <v>178</v>
      </c>
      <c r="F31" s="591"/>
      <c r="G31" s="248" t="s">
        <v>258</v>
      </c>
      <c r="H31" s="249" t="s">
        <v>307</v>
      </c>
      <c r="I31" s="230" t="s">
        <v>296</v>
      </c>
      <c r="J31" s="230" t="s">
        <v>299</v>
      </c>
      <c r="K31" s="249" t="s">
        <v>33</v>
      </c>
      <c r="L31" s="305"/>
      <c r="M31" s="248" t="s">
        <v>221</v>
      </c>
      <c r="N31" s="230" t="s">
        <v>597</v>
      </c>
      <c r="O31" s="247" t="s">
        <v>223</v>
      </c>
      <c r="P31" s="230" t="s">
        <v>34</v>
      </c>
      <c r="Q31" s="249"/>
      <c r="R31" s="235">
        <f>(COUNTA(G31:Q31))/9</f>
        <v>1</v>
      </c>
      <c r="S31" s="237"/>
      <c r="T31" s="237"/>
      <c r="U31" s="587"/>
      <c r="V31" s="588"/>
      <c r="W31" s="588"/>
      <c r="X31" s="588"/>
      <c r="Y31" s="588"/>
      <c r="Z31" s="589"/>
    </row>
    <row r="32" spans="1:27" s="237" customFormat="1" ht="9.9499999999999993" customHeight="1" x14ac:dyDescent="0.15">
      <c r="A32" s="306"/>
      <c r="B32" s="307"/>
      <c r="C32" s="308"/>
      <c r="D32" s="430"/>
      <c r="E32" s="430"/>
      <c r="F32" s="430"/>
      <c r="G32" s="430"/>
      <c r="H32" s="430"/>
      <c r="I32" s="430"/>
      <c r="J32" s="430"/>
      <c r="K32" s="430"/>
      <c r="L32" s="430"/>
      <c r="M32" s="430"/>
      <c r="N32" s="430"/>
      <c r="O32" s="430"/>
      <c r="P32" s="430"/>
      <c r="Q32" s="430"/>
      <c r="R32" s="235"/>
      <c r="U32" s="309"/>
      <c r="V32" s="309"/>
      <c r="W32" s="309"/>
      <c r="X32" s="309"/>
      <c r="Y32" s="309"/>
      <c r="Z32" s="310"/>
      <c r="AA32" s="238"/>
    </row>
    <row r="33" spans="1:27" s="237" customFormat="1" ht="21" customHeight="1" x14ac:dyDescent="0.15">
      <c r="A33" s="311"/>
      <c r="B33" s="312"/>
      <c r="C33" s="313"/>
      <c r="D33" s="314" t="s">
        <v>224</v>
      </c>
      <c r="E33" s="315" t="s">
        <v>35</v>
      </c>
      <c r="F33" s="316" t="s">
        <v>1</v>
      </c>
      <c r="G33" s="316" t="s">
        <v>2</v>
      </c>
      <c r="H33" s="316" t="s">
        <v>36</v>
      </c>
      <c r="I33" s="316" t="s">
        <v>4</v>
      </c>
      <c r="J33" s="316" t="s">
        <v>37</v>
      </c>
      <c r="K33" s="316" t="s">
        <v>38</v>
      </c>
      <c r="L33" s="317" t="s">
        <v>39</v>
      </c>
      <c r="M33" s="316" t="s">
        <v>40</v>
      </c>
      <c r="N33" s="316" t="s">
        <v>9</v>
      </c>
      <c r="O33" s="316" t="s">
        <v>10</v>
      </c>
      <c r="P33" s="316" t="s">
        <v>11</v>
      </c>
      <c r="Q33" s="318" t="s">
        <v>12</v>
      </c>
      <c r="R33" s="319"/>
      <c r="U33" s="309"/>
      <c r="V33" s="309"/>
      <c r="W33" s="309"/>
      <c r="X33" s="309"/>
      <c r="Y33" s="309"/>
      <c r="Z33" s="310"/>
      <c r="AA33" s="238"/>
    </row>
    <row r="34" spans="1:27" s="237" customFormat="1" ht="45.75" customHeight="1" x14ac:dyDescent="0.15">
      <c r="A34" s="217"/>
      <c r="B34" s="320"/>
      <c r="C34" s="320"/>
      <c r="D34" s="537" t="s">
        <v>225</v>
      </c>
      <c r="E34" s="321" t="s">
        <v>277</v>
      </c>
      <c r="F34" s="321" t="s">
        <v>319</v>
      </c>
      <c r="G34" s="321" t="s">
        <v>226</v>
      </c>
      <c r="H34" s="321" t="s">
        <v>345</v>
      </c>
      <c r="I34" s="321" t="s">
        <v>344</v>
      </c>
      <c r="J34" s="321" t="s">
        <v>16</v>
      </c>
      <c r="K34" s="321" t="s">
        <v>70</v>
      </c>
      <c r="L34" s="322"/>
      <c r="M34" s="321" t="s">
        <v>41</v>
      </c>
      <c r="N34" s="321" t="s">
        <v>71</v>
      </c>
      <c r="O34" s="321" t="s">
        <v>342</v>
      </c>
      <c r="P34" s="321" t="s">
        <v>612</v>
      </c>
      <c r="Q34" s="321" t="s">
        <v>253</v>
      </c>
      <c r="R34" s="319"/>
      <c r="S34" s="323">
        <f>2*12</f>
        <v>24</v>
      </c>
      <c r="V34" s="309"/>
      <c r="W34" s="309"/>
      <c r="X34" s="309"/>
      <c r="Y34" s="309"/>
      <c r="Z34" s="310"/>
      <c r="AA34" s="238"/>
    </row>
    <row r="35" spans="1:27" s="237" customFormat="1" ht="45.75" customHeight="1" x14ac:dyDescent="0.15">
      <c r="A35" s="217"/>
      <c r="B35" s="320"/>
      <c r="C35" s="320"/>
      <c r="D35" s="538"/>
      <c r="E35" s="322"/>
      <c r="F35" s="324" t="s">
        <v>117</v>
      </c>
      <c r="G35" s="322"/>
      <c r="H35" s="321"/>
      <c r="I35" s="322"/>
      <c r="J35" s="321" t="s">
        <v>42</v>
      </c>
      <c r="K35" s="321"/>
      <c r="L35" s="322"/>
      <c r="M35" s="321" t="s">
        <v>227</v>
      </c>
      <c r="N35" s="322" t="s">
        <v>14</v>
      </c>
      <c r="O35" s="321" t="s">
        <v>228</v>
      </c>
      <c r="P35" s="321"/>
      <c r="Q35" s="321"/>
      <c r="R35" s="325"/>
      <c r="S35" s="326"/>
      <c r="V35" s="309"/>
      <c r="W35" s="309"/>
      <c r="X35" s="309"/>
      <c r="Y35" s="309"/>
      <c r="Z35" s="218"/>
      <c r="AA35" s="238"/>
    </row>
    <row r="36" spans="1:27" ht="27.95" customHeight="1" x14ac:dyDescent="0.15">
      <c r="D36" s="327" t="s">
        <v>229</v>
      </c>
      <c r="E36" s="328" t="s">
        <v>339</v>
      </c>
      <c r="F36" s="322"/>
      <c r="G36" s="322" t="s">
        <v>66</v>
      </c>
      <c r="H36" s="329"/>
      <c r="I36" s="328" t="s">
        <v>230</v>
      </c>
      <c r="J36" s="322"/>
      <c r="K36" s="322"/>
      <c r="L36" s="322"/>
      <c r="M36" s="322"/>
      <c r="N36" s="329"/>
      <c r="O36" s="322"/>
      <c r="P36" s="322"/>
      <c r="Q36" s="400" t="s">
        <v>231</v>
      </c>
      <c r="R36" s="330"/>
      <c r="S36" s="326">
        <v>4</v>
      </c>
      <c r="U36" s="217"/>
      <c r="V36" s="309"/>
      <c r="W36" s="309"/>
      <c r="X36" s="309"/>
      <c r="Y36" s="309"/>
      <c r="Z36" s="310"/>
    </row>
    <row r="37" spans="1:27" s="291" customFormat="1" ht="42" customHeight="1" x14ac:dyDescent="0.15">
      <c r="A37" s="217"/>
      <c r="B37" s="320"/>
      <c r="C37" s="320"/>
      <c r="D37" s="327" t="s">
        <v>232</v>
      </c>
      <c r="E37" s="321" t="s">
        <v>320</v>
      </c>
      <c r="F37" s="321" t="s">
        <v>749</v>
      </c>
      <c r="G37" s="321" t="s">
        <v>301</v>
      </c>
      <c r="H37" s="321" t="s">
        <v>748</v>
      </c>
      <c r="I37" s="321" t="s">
        <v>750</v>
      </c>
      <c r="J37" s="321" t="s">
        <v>43</v>
      </c>
      <c r="K37" s="321" t="s">
        <v>246</v>
      </c>
      <c r="L37" s="322"/>
      <c r="M37" s="321" t="s">
        <v>322</v>
      </c>
      <c r="N37" s="321" t="s">
        <v>751</v>
      </c>
      <c r="O37" s="321" t="s">
        <v>72</v>
      </c>
      <c r="P37" s="331" t="s">
        <v>746</v>
      </c>
      <c r="Q37" s="321" t="s">
        <v>44</v>
      </c>
      <c r="R37" s="330"/>
      <c r="S37" s="332">
        <v>20</v>
      </c>
      <c r="V37" s="309"/>
      <c r="W37" s="309"/>
      <c r="X37" s="309"/>
      <c r="Y37" s="309"/>
      <c r="Z37" s="218"/>
      <c r="AA37" s="292"/>
    </row>
    <row r="38" spans="1:27" ht="42" customHeight="1" x14ac:dyDescent="0.15">
      <c r="D38" s="333" t="s">
        <v>233</v>
      </c>
      <c r="E38" s="321" t="s">
        <v>250</v>
      </c>
      <c r="F38" s="321" t="s">
        <v>753</v>
      </c>
      <c r="G38" s="321" t="s">
        <v>234</v>
      </c>
      <c r="H38" s="321" t="s">
        <v>60</v>
      </c>
      <c r="I38" s="321" t="s">
        <v>67</v>
      </c>
      <c r="J38" s="321" t="s">
        <v>235</v>
      </c>
      <c r="K38" s="321" t="s">
        <v>752</v>
      </c>
      <c r="L38" s="334"/>
      <c r="M38" s="321" t="s">
        <v>247</v>
      </c>
      <c r="N38" s="321" t="s">
        <v>270</v>
      </c>
      <c r="O38" s="321" t="s">
        <v>302</v>
      </c>
      <c r="P38" s="321" t="s">
        <v>248</v>
      </c>
      <c r="Q38" s="321" t="s">
        <v>46</v>
      </c>
      <c r="R38" s="335"/>
      <c r="S38" s="332">
        <v>23</v>
      </c>
      <c r="U38" s="217"/>
      <c r="V38" s="309"/>
      <c r="W38" s="309"/>
      <c r="X38" s="309"/>
      <c r="Y38" s="309"/>
      <c r="Z38" s="336"/>
    </row>
    <row r="39" spans="1:27" ht="9.9499999999999993" customHeight="1" x14ac:dyDescent="0.15">
      <c r="D39" s="539"/>
      <c r="E39" s="539"/>
      <c r="F39" s="539"/>
      <c r="G39" s="539"/>
      <c r="H39" s="539"/>
      <c r="I39" s="539"/>
      <c r="J39" s="539"/>
      <c r="K39" s="539"/>
      <c r="L39" s="539"/>
      <c r="M39" s="539"/>
      <c r="N39" s="539"/>
      <c r="O39" s="539"/>
      <c r="P39" s="539"/>
      <c r="Q39" s="539"/>
      <c r="R39" s="539"/>
      <c r="S39" s="332">
        <f>S34+S36+S37+S38</f>
        <v>71</v>
      </c>
      <c r="U39" s="217"/>
      <c r="V39" s="309"/>
      <c r="W39" s="309"/>
      <c r="X39" s="309"/>
      <c r="Y39" s="309"/>
    </row>
    <row r="40" spans="1:27" ht="21" customHeight="1" x14ac:dyDescent="0.15">
      <c r="D40" s="337"/>
      <c r="E40" s="338" t="s">
        <v>0</v>
      </c>
      <c r="F40" s="339" t="s">
        <v>1</v>
      </c>
      <c r="G40" s="339" t="s">
        <v>2</v>
      </c>
      <c r="H40" s="340" t="s">
        <v>3</v>
      </c>
      <c r="I40" s="341" t="s">
        <v>47</v>
      </c>
      <c r="J40" s="339" t="s">
        <v>5</v>
      </c>
      <c r="K40" s="339" t="s">
        <v>6</v>
      </c>
      <c r="L40" s="317"/>
      <c r="M40" s="339" t="s">
        <v>8</v>
      </c>
      <c r="N40" s="339" t="s">
        <v>9</v>
      </c>
      <c r="O40" s="341" t="s">
        <v>10</v>
      </c>
      <c r="P40" s="339" t="s">
        <v>11</v>
      </c>
      <c r="Q40" s="339" t="s">
        <v>12</v>
      </c>
      <c r="R40" s="342" t="s">
        <v>48</v>
      </c>
      <c r="S40" s="343" t="s">
        <v>263</v>
      </c>
    </row>
    <row r="41" spans="1:27" ht="39.950000000000003" customHeight="1" x14ac:dyDescent="0.15">
      <c r="D41" s="344" t="s">
        <v>49</v>
      </c>
      <c r="E41" s="345"/>
      <c r="F41" s="346"/>
      <c r="G41" s="346"/>
      <c r="H41" s="347"/>
      <c r="I41" s="348" t="s">
        <v>262</v>
      </c>
      <c r="J41" s="346"/>
      <c r="K41" s="348" t="s">
        <v>55</v>
      </c>
      <c r="L41" s="349"/>
      <c r="M41" s="346"/>
      <c r="N41" s="346"/>
      <c r="O41" s="350"/>
      <c r="P41" s="346"/>
      <c r="Q41" s="346"/>
      <c r="R41" s="351"/>
      <c r="S41" s="352"/>
      <c r="U41" s="540" t="s">
        <v>236</v>
      </c>
      <c r="V41" s="540"/>
      <c r="W41" s="540"/>
      <c r="X41" s="408"/>
      <c r="Y41" s="408"/>
      <c r="Z41" s="408"/>
    </row>
    <row r="42" spans="1:27" ht="39.950000000000003" customHeight="1" x14ac:dyDescent="0.15">
      <c r="D42" s="353" t="s">
        <v>50</v>
      </c>
      <c r="E42" s="354"/>
      <c r="F42" s="282"/>
      <c r="G42" s="282"/>
      <c r="H42" s="234"/>
      <c r="I42" s="355" t="s">
        <v>55</v>
      </c>
      <c r="J42" s="234"/>
      <c r="K42" s="282" t="s">
        <v>56</v>
      </c>
      <c r="L42" s="322"/>
      <c r="M42" s="355" t="s">
        <v>265</v>
      </c>
      <c r="N42" s="234"/>
      <c r="O42" s="282" t="s">
        <v>261</v>
      </c>
      <c r="P42" s="282"/>
      <c r="Q42" s="234"/>
      <c r="R42" s="356"/>
      <c r="S42" s="357"/>
      <c r="U42" s="408"/>
      <c r="V42" s="408"/>
      <c r="W42" s="408"/>
      <c r="X42" s="408"/>
      <c r="Y42" s="408"/>
      <c r="Z42" s="408"/>
      <c r="AA42" s="358"/>
    </row>
    <row r="43" spans="1:27" ht="39.950000000000003" customHeight="1" x14ac:dyDescent="0.15">
      <c r="D43" s="344" t="s">
        <v>51</v>
      </c>
      <c r="E43" s="354"/>
      <c r="F43" s="234" t="s">
        <v>293</v>
      </c>
      <c r="G43" s="282" t="s">
        <v>266</v>
      </c>
      <c r="H43" s="355"/>
      <c r="I43" s="355" t="s">
        <v>306</v>
      </c>
      <c r="J43" s="355" t="s">
        <v>282</v>
      </c>
      <c r="K43" s="355"/>
      <c r="L43" s="243"/>
      <c r="M43" s="355" t="s">
        <v>59</v>
      </c>
      <c r="N43" s="234" t="s">
        <v>58</v>
      </c>
      <c r="O43" s="282"/>
      <c r="P43" s="234"/>
      <c r="Q43" s="359" t="s">
        <v>57</v>
      </c>
      <c r="R43" s="360"/>
      <c r="S43" s="361"/>
      <c r="U43" s="408"/>
      <c r="V43" s="408"/>
      <c r="W43" s="408"/>
      <c r="X43" s="408"/>
      <c r="Y43" s="408"/>
      <c r="Z43" s="408"/>
      <c r="AA43" s="358"/>
    </row>
    <row r="44" spans="1:27" ht="39.950000000000003" customHeight="1" x14ac:dyDescent="0.15">
      <c r="D44" s="353" t="s">
        <v>52</v>
      </c>
      <c r="E44" s="354"/>
      <c r="F44" s="282"/>
      <c r="G44" s="282"/>
      <c r="H44" s="234"/>
      <c r="I44" s="234"/>
      <c r="J44" s="234"/>
      <c r="K44" s="282"/>
      <c r="L44" s="322"/>
      <c r="M44" s="282" t="s">
        <v>54</v>
      </c>
      <c r="N44" s="282"/>
      <c r="O44" s="282"/>
      <c r="P44" s="282"/>
      <c r="Q44" s="282" t="s">
        <v>264</v>
      </c>
      <c r="R44" s="356"/>
      <c r="S44" s="357"/>
      <c r="U44" s="408"/>
      <c r="V44" s="408"/>
      <c r="W44" s="408"/>
      <c r="X44" s="408"/>
      <c r="Y44" s="408"/>
      <c r="Z44" s="408"/>
      <c r="AA44" s="358"/>
    </row>
    <row r="45" spans="1:27" ht="39.950000000000003" customHeight="1" x14ac:dyDescent="0.15">
      <c r="D45" s="362" t="s">
        <v>53</v>
      </c>
      <c r="E45" s="363"/>
      <c r="F45" s="364"/>
      <c r="G45" s="365"/>
      <c r="H45" s="364"/>
      <c r="I45" s="364"/>
      <c r="J45" s="364"/>
      <c r="K45" s="364"/>
      <c r="L45" s="334"/>
      <c r="M45" s="364"/>
      <c r="N45" s="364"/>
      <c r="O45" s="364"/>
      <c r="P45" s="365"/>
      <c r="Q45" s="364"/>
      <c r="R45" s="366"/>
      <c r="S45" s="367"/>
      <c r="U45" s="408"/>
      <c r="V45" s="408"/>
      <c r="W45" s="408"/>
      <c r="X45" s="408"/>
      <c r="Y45" s="408"/>
      <c r="Z45" s="408"/>
      <c r="AA45" s="358"/>
    </row>
    <row r="46" spans="1:27" ht="27.95" customHeight="1" x14ac:dyDescent="0.15">
      <c r="C46" s="217"/>
      <c r="D46" s="217"/>
      <c r="K46" s="320"/>
      <c r="L46" s="320"/>
      <c r="M46" s="320"/>
      <c r="N46" s="320"/>
      <c r="O46" s="320"/>
      <c r="P46" s="320"/>
      <c r="Q46" s="320"/>
      <c r="S46" s="320"/>
      <c r="U46" s="408"/>
      <c r="V46" s="408"/>
      <c r="W46" s="408"/>
      <c r="X46" s="408"/>
      <c r="Y46" s="408"/>
      <c r="Z46" s="408"/>
      <c r="AA46" s="358"/>
    </row>
    <row r="47" spans="1:27" ht="27.95" customHeight="1" x14ac:dyDescent="0.15">
      <c r="R47" s="369"/>
      <c r="S47" s="320"/>
      <c r="AA47" s="358"/>
    </row>
    <row r="48" spans="1:27" ht="16.5" customHeight="1" x14ac:dyDescent="0.15">
      <c r="R48" s="369"/>
    </row>
    <row r="49" spans="1:27" s="329" customFormat="1" ht="16.5" customHeight="1" x14ac:dyDescent="0.15">
      <c r="A49" s="217"/>
      <c r="B49" s="370"/>
      <c r="C49" s="320"/>
      <c r="D49" s="320"/>
      <c r="E49" s="320"/>
      <c r="F49" s="320"/>
      <c r="G49" s="320"/>
      <c r="H49" s="320"/>
      <c r="I49" s="320"/>
      <c r="J49" s="320"/>
      <c r="K49" s="320"/>
      <c r="M49" s="217"/>
      <c r="N49" s="217"/>
      <c r="O49" s="217"/>
      <c r="P49" s="217"/>
      <c r="Q49" s="217"/>
      <c r="R49" s="368"/>
      <c r="S49" s="217"/>
      <c r="T49" s="217"/>
      <c r="U49" s="218"/>
      <c r="V49" s="218"/>
      <c r="W49" s="218"/>
      <c r="X49" s="218"/>
      <c r="Y49" s="218"/>
      <c r="Z49" s="218"/>
      <c r="AA49" s="219"/>
    </row>
    <row r="50" spans="1:27" s="329" customFormat="1" ht="16.5" customHeight="1" x14ac:dyDescent="0.15">
      <c r="A50" s="217"/>
      <c r="B50" s="320"/>
      <c r="C50" s="320"/>
      <c r="D50" s="320"/>
      <c r="E50" s="320"/>
      <c r="F50" s="320"/>
      <c r="G50" s="320"/>
      <c r="H50" s="320"/>
      <c r="I50" s="320"/>
      <c r="J50" s="320"/>
      <c r="K50" s="320"/>
      <c r="M50" s="217"/>
      <c r="N50" s="217"/>
      <c r="O50" s="217"/>
      <c r="P50" s="217"/>
      <c r="Q50" s="217"/>
      <c r="R50" s="368"/>
      <c r="S50" s="217"/>
      <c r="T50" s="217"/>
      <c r="U50" s="218"/>
      <c r="V50" s="218"/>
      <c r="W50" s="218"/>
      <c r="X50" s="218"/>
      <c r="Y50" s="218"/>
      <c r="Z50" s="218"/>
      <c r="AA50" s="219"/>
    </row>
    <row r="51" spans="1:27" s="329" customFormat="1" ht="17.25" customHeight="1" x14ac:dyDescent="0.15">
      <c r="A51" s="217"/>
      <c r="B51" s="320"/>
      <c r="C51" s="320"/>
      <c r="D51" s="320"/>
      <c r="E51" s="320"/>
      <c r="F51" s="320"/>
      <c r="G51" s="320"/>
      <c r="H51" s="320"/>
      <c r="I51" s="320"/>
      <c r="J51" s="320"/>
      <c r="K51" s="320"/>
      <c r="M51" s="217"/>
      <c r="N51" s="217"/>
      <c r="O51" s="217"/>
      <c r="P51" s="217"/>
      <c r="Q51" s="217"/>
      <c r="R51" s="368"/>
      <c r="S51" s="217"/>
      <c r="T51" s="217"/>
      <c r="U51" s="218"/>
      <c r="V51" s="218"/>
      <c r="W51" s="218"/>
      <c r="X51" s="218"/>
      <c r="Y51" s="218"/>
      <c r="Z51" s="218"/>
      <c r="AA51" s="219"/>
    </row>
    <row r="52" spans="1:27" s="329" customFormat="1" x14ac:dyDescent="0.15">
      <c r="A52" s="217"/>
      <c r="B52" s="320"/>
      <c r="C52" s="320"/>
      <c r="D52" s="320"/>
      <c r="E52" s="320"/>
      <c r="F52" s="320"/>
      <c r="G52" s="320"/>
      <c r="H52" s="320"/>
      <c r="I52" s="320"/>
      <c r="J52" s="320"/>
      <c r="K52" s="320"/>
      <c r="M52" s="217"/>
      <c r="N52" s="217"/>
      <c r="O52" s="217"/>
      <c r="P52" s="217"/>
      <c r="Q52" s="217"/>
      <c r="R52" s="368"/>
      <c r="S52" s="217"/>
      <c r="T52" s="217"/>
      <c r="U52" s="218"/>
      <c r="V52" s="218"/>
      <c r="W52" s="218"/>
      <c r="X52" s="218"/>
      <c r="Y52" s="218"/>
      <c r="Z52" s="218"/>
      <c r="AA52" s="219"/>
    </row>
    <row r="53" spans="1:27" s="329" customFormat="1" ht="16.5" customHeight="1" x14ac:dyDescent="0.15">
      <c r="A53" s="217"/>
      <c r="B53" s="320"/>
      <c r="C53" s="320"/>
      <c r="D53" s="320"/>
      <c r="E53" s="320"/>
      <c r="F53" s="320"/>
      <c r="G53" s="320"/>
      <c r="H53" s="320"/>
      <c r="I53" s="320"/>
      <c r="J53" s="320"/>
      <c r="K53" s="320"/>
      <c r="M53" s="217"/>
      <c r="N53" s="217"/>
      <c r="O53" s="217"/>
      <c r="P53" s="217"/>
      <c r="Q53" s="217"/>
      <c r="R53" s="368"/>
      <c r="S53" s="217"/>
      <c r="T53" s="217"/>
      <c r="U53" s="218"/>
      <c r="V53" s="218"/>
      <c r="W53" s="218"/>
      <c r="X53" s="218"/>
      <c r="Y53" s="218"/>
      <c r="Z53" s="218"/>
      <c r="AA53" s="219"/>
    </row>
    <row r="54" spans="1:27" s="329" customFormat="1" x14ac:dyDescent="0.15">
      <c r="A54" s="217"/>
      <c r="B54" s="320"/>
      <c r="C54" s="320"/>
      <c r="D54" s="320"/>
      <c r="E54" s="320"/>
      <c r="F54" s="320"/>
      <c r="G54" s="320"/>
      <c r="H54" s="320"/>
      <c r="I54" s="320"/>
      <c r="J54" s="320"/>
      <c r="K54" s="320"/>
      <c r="M54" s="217"/>
      <c r="N54" s="217"/>
      <c r="O54" s="217"/>
      <c r="P54" s="217"/>
      <c r="Q54" s="217"/>
      <c r="R54" s="368"/>
      <c r="S54" s="217"/>
      <c r="T54" s="217"/>
      <c r="U54" s="218"/>
      <c r="V54" s="218"/>
      <c r="W54" s="218"/>
      <c r="X54" s="218"/>
      <c r="Y54" s="218"/>
      <c r="Z54" s="218"/>
      <c r="AA54" s="219"/>
    </row>
    <row r="55" spans="1:27" s="329" customFormat="1" x14ac:dyDescent="0.15">
      <c r="A55" s="217"/>
      <c r="B55" s="320"/>
      <c r="C55" s="320"/>
      <c r="D55" s="320"/>
      <c r="E55" s="320"/>
      <c r="F55" s="320"/>
      <c r="G55" s="320"/>
      <c r="H55" s="320"/>
      <c r="I55" s="320"/>
      <c r="J55" s="320"/>
      <c r="K55" s="320"/>
      <c r="M55" s="217"/>
      <c r="N55" s="217"/>
      <c r="O55" s="217"/>
      <c r="P55" s="217"/>
      <c r="Q55" s="217"/>
      <c r="R55" s="368"/>
      <c r="S55" s="217"/>
      <c r="T55" s="217"/>
      <c r="U55" s="218"/>
      <c r="V55" s="218"/>
      <c r="W55" s="218"/>
      <c r="X55" s="218"/>
      <c r="Y55" s="218"/>
      <c r="Z55" s="218"/>
      <c r="AA55" s="219"/>
    </row>
    <row r="56" spans="1:27" s="329" customFormat="1" x14ac:dyDescent="0.15">
      <c r="A56" s="217"/>
      <c r="B56" s="320"/>
      <c r="C56" s="320"/>
      <c r="D56" s="320"/>
      <c r="E56" s="320"/>
      <c r="F56" s="320"/>
      <c r="G56" s="320"/>
      <c r="H56" s="320"/>
      <c r="I56" s="320"/>
      <c r="J56" s="320"/>
      <c r="K56" s="320"/>
      <c r="M56" s="217"/>
      <c r="N56" s="217"/>
      <c r="O56" s="217"/>
      <c r="P56" s="217"/>
      <c r="Q56" s="217"/>
      <c r="R56" s="368"/>
      <c r="S56" s="217"/>
      <c r="T56" s="217"/>
      <c r="U56" s="218"/>
      <c r="V56" s="218"/>
      <c r="W56" s="218"/>
      <c r="X56" s="218"/>
      <c r="Y56" s="218"/>
      <c r="Z56" s="218"/>
      <c r="AA56" s="219"/>
    </row>
    <row r="57" spans="1:27" s="329" customFormat="1" ht="16.5" customHeight="1" x14ac:dyDescent="0.15">
      <c r="A57" s="217"/>
      <c r="B57" s="320"/>
      <c r="C57" s="320"/>
      <c r="D57" s="320"/>
      <c r="E57" s="320"/>
      <c r="F57" s="320"/>
      <c r="G57" s="320"/>
      <c r="H57" s="320"/>
      <c r="I57" s="320"/>
      <c r="J57" s="320"/>
      <c r="K57" s="320"/>
      <c r="M57" s="217"/>
      <c r="N57" s="217"/>
      <c r="O57" s="217"/>
      <c r="P57" s="217"/>
      <c r="Q57" s="217"/>
      <c r="R57" s="368"/>
      <c r="S57" s="217"/>
      <c r="T57" s="217"/>
      <c r="U57" s="218"/>
      <c r="V57" s="218"/>
      <c r="W57" s="218"/>
      <c r="X57" s="218"/>
      <c r="Y57" s="218"/>
      <c r="Z57" s="218"/>
      <c r="AA57" s="219"/>
    </row>
    <row r="58" spans="1:27" s="329" customFormat="1" x14ac:dyDescent="0.15">
      <c r="A58" s="217"/>
      <c r="B58" s="320"/>
      <c r="C58" s="320"/>
      <c r="D58" s="320"/>
      <c r="E58" s="320"/>
      <c r="F58" s="320"/>
      <c r="G58" s="320"/>
      <c r="H58" s="320"/>
      <c r="I58" s="320"/>
      <c r="J58" s="320"/>
      <c r="K58" s="320"/>
      <c r="M58" s="217"/>
      <c r="N58" s="217"/>
      <c r="O58" s="217"/>
      <c r="P58" s="217"/>
      <c r="Q58" s="217"/>
      <c r="R58" s="368"/>
      <c r="S58" s="217"/>
      <c r="T58" s="217"/>
      <c r="U58" s="218"/>
      <c r="V58" s="218"/>
      <c r="W58" s="218"/>
      <c r="X58" s="218"/>
      <c r="Y58" s="218"/>
      <c r="Z58" s="218"/>
      <c r="AA58" s="219"/>
    </row>
    <row r="59" spans="1:27" s="329" customFormat="1" x14ac:dyDescent="0.15">
      <c r="A59" s="217"/>
      <c r="B59" s="320"/>
      <c r="C59" s="320"/>
      <c r="D59" s="320"/>
      <c r="E59" s="320"/>
      <c r="F59" s="320"/>
      <c r="G59" s="320"/>
      <c r="H59" s="320"/>
      <c r="I59" s="320"/>
      <c r="J59" s="320"/>
      <c r="K59" s="320"/>
      <c r="M59" s="217"/>
      <c r="N59" s="217"/>
      <c r="O59" s="217"/>
      <c r="P59" s="217"/>
      <c r="Q59" s="217"/>
      <c r="R59" s="368"/>
      <c r="S59" s="217"/>
      <c r="T59" s="217"/>
      <c r="U59" s="218"/>
      <c r="V59" s="218"/>
      <c r="W59" s="218"/>
      <c r="X59" s="218"/>
      <c r="Y59" s="218"/>
      <c r="Z59" s="218"/>
      <c r="AA59" s="219"/>
    </row>
    <row r="60" spans="1:27" s="329" customFormat="1" x14ac:dyDescent="0.15">
      <c r="A60" s="217"/>
      <c r="B60" s="320"/>
      <c r="C60" s="320"/>
      <c r="D60" s="320"/>
      <c r="E60" s="217"/>
      <c r="F60" s="217"/>
      <c r="G60" s="217"/>
      <c r="H60" s="217"/>
      <c r="I60" s="217"/>
      <c r="J60" s="217"/>
      <c r="K60" s="217"/>
      <c r="M60" s="217"/>
      <c r="N60" s="217"/>
      <c r="O60" s="217"/>
      <c r="P60" s="217"/>
      <c r="Q60" s="217"/>
      <c r="R60" s="368"/>
      <c r="S60" s="217"/>
      <c r="T60" s="217"/>
      <c r="U60" s="218"/>
      <c r="V60" s="218"/>
      <c r="W60" s="218"/>
      <c r="X60" s="218"/>
      <c r="Y60" s="218"/>
      <c r="Z60" s="218"/>
      <c r="AA60" s="219"/>
    </row>
    <row r="72" ht="16.5" customHeight="1" x14ac:dyDescent="0.15"/>
    <row r="74" ht="16.5" customHeight="1" x14ac:dyDescent="0.15"/>
    <row r="76" ht="16.5" customHeight="1" x14ac:dyDescent="0.15"/>
    <row r="78" ht="16.5" customHeight="1" x14ac:dyDescent="0.15"/>
  </sheetData>
  <mergeCells count="29">
    <mergeCell ref="D34:D35"/>
    <mergeCell ref="D39:R39"/>
    <mergeCell ref="U41:W41"/>
    <mergeCell ref="P22:Q24"/>
    <mergeCell ref="U22:Z22"/>
    <mergeCell ref="U23:Z29"/>
    <mergeCell ref="C25:D25"/>
    <mergeCell ref="C26:D27"/>
    <mergeCell ref="A29:A30"/>
    <mergeCell ref="B29:B30"/>
    <mergeCell ref="C29:D31"/>
    <mergeCell ref="U30:Z31"/>
    <mergeCell ref="E31:F31"/>
    <mergeCell ref="P9:Q13"/>
    <mergeCell ref="U9:Z17"/>
    <mergeCell ref="C14:D15"/>
    <mergeCell ref="C16:D21"/>
    <mergeCell ref="U18:Z18"/>
    <mergeCell ref="E19:F19"/>
    <mergeCell ref="M19:Q19"/>
    <mergeCell ref="U19:Z21"/>
    <mergeCell ref="E20:F20"/>
    <mergeCell ref="A1:Q1"/>
    <mergeCell ref="A2:Q2"/>
    <mergeCell ref="U2:Z3"/>
    <mergeCell ref="C4:D8"/>
    <mergeCell ref="U4:Z4"/>
    <mergeCell ref="U5:Z7"/>
    <mergeCell ref="U8:Z8"/>
  </mergeCells>
  <phoneticPr fontId="3" type="noConversion"/>
  <conditionalFormatting sqref="O91:O92">
    <cfRule type="uniqueValues" dxfId="26" priority="3"/>
  </conditionalFormatting>
  <conditionalFormatting sqref="M85:M86">
    <cfRule type="uniqueValues" dxfId="25" priority="2"/>
  </conditionalFormatting>
  <conditionalFormatting sqref="N91:N92">
    <cfRule type="uniqueValues" dxfId="24" priority="1"/>
  </conditionalFormatting>
  <printOptions horizontalCentered="1"/>
  <pageMargins left="0" right="0" top="0" bottom="0" header="0" footer="0"/>
  <pageSetup paperSize="9" scale="29" orientation="portrait" horizontalDpi="4294967293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78"/>
  <sheetViews>
    <sheetView topLeftCell="A14" zoomScale="85" zoomScaleNormal="85" zoomScalePageLayoutView="80" workbookViewId="0">
      <selection activeCell="U5" sqref="U5:Z7"/>
    </sheetView>
  </sheetViews>
  <sheetFormatPr defaultRowHeight="16.5" x14ac:dyDescent="0.15"/>
  <cols>
    <col min="1" max="1" width="4.33203125" style="217" customWidth="1"/>
    <col min="2" max="2" width="13.33203125" style="320" customWidth="1"/>
    <col min="3" max="4" width="15.83203125" style="320" customWidth="1"/>
    <col min="5" max="11" width="15.83203125" style="217" customWidth="1"/>
    <col min="12" max="12" width="3.5" style="329" customWidth="1"/>
    <col min="13" max="17" width="15.83203125" style="217" customWidth="1"/>
    <col min="18" max="18" width="15.83203125" style="368" customWidth="1"/>
    <col min="19" max="19" width="15.83203125" style="217" customWidth="1"/>
    <col min="20" max="20" width="2.1640625" style="217" customWidth="1"/>
    <col min="21" max="26" width="10.83203125" style="218" customWidth="1"/>
    <col min="27" max="27" width="10" style="219" bestFit="1" customWidth="1"/>
    <col min="28" max="16384" width="9.33203125" style="217"/>
  </cols>
  <sheetData>
    <row r="1" spans="1:27" ht="16.5" hidden="1" customHeight="1" x14ac:dyDescent="0.15">
      <c r="A1" s="606" t="s">
        <v>74</v>
      </c>
      <c r="B1" s="607"/>
      <c r="C1" s="607"/>
      <c r="D1" s="607"/>
      <c r="E1" s="607"/>
      <c r="F1" s="607"/>
      <c r="G1" s="607"/>
      <c r="H1" s="607"/>
      <c r="I1" s="607"/>
      <c r="J1" s="607"/>
      <c r="K1" s="607"/>
      <c r="L1" s="607"/>
      <c r="M1" s="607"/>
      <c r="N1" s="607"/>
      <c r="O1" s="607"/>
      <c r="P1" s="607"/>
      <c r="Q1" s="608"/>
      <c r="R1" s="216"/>
    </row>
    <row r="2" spans="1:27" ht="18" customHeight="1" x14ac:dyDescent="0.15">
      <c r="A2" s="609" t="s">
        <v>760</v>
      </c>
      <c r="B2" s="610"/>
      <c r="C2" s="610"/>
      <c r="D2" s="610"/>
      <c r="E2" s="610"/>
      <c r="F2" s="610"/>
      <c r="G2" s="610"/>
      <c r="H2" s="610"/>
      <c r="I2" s="610"/>
      <c r="J2" s="610"/>
      <c r="K2" s="610"/>
      <c r="L2" s="610"/>
      <c r="M2" s="610"/>
      <c r="N2" s="610"/>
      <c r="O2" s="610"/>
      <c r="P2" s="610"/>
      <c r="Q2" s="610"/>
      <c r="R2" s="220"/>
      <c r="U2" s="540"/>
      <c r="V2" s="540"/>
      <c r="W2" s="540"/>
      <c r="X2" s="540"/>
      <c r="Y2" s="540"/>
      <c r="Z2" s="540"/>
    </row>
    <row r="3" spans="1:27" ht="21" customHeight="1" thickBot="1" x14ac:dyDescent="0.2">
      <c r="A3" s="221"/>
      <c r="B3" s="222" t="s">
        <v>75</v>
      </c>
      <c r="C3" s="223" t="s">
        <v>76</v>
      </c>
      <c r="D3" s="223" t="s">
        <v>77</v>
      </c>
      <c r="E3" s="224" t="s">
        <v>0</v>
      </c>
      <c r="F3" s="224" t="s">
        <v>1</v>
      </c>
      <c r="G3" s="223" t="s">
        <v>2</v>
      </c>
      <c r="H3" s="223" t="s">
        <v>3</v>
      </c>
      <c r="I3" s="224" t="s">
        <v>4</v>
      </c>
      <c r="J3" s="223" t="s">
        <v>5</v>
      </c>
      <c r="K3" s="223" t="s">
        <v>6</v>
      </c>
      <c r="L3" s="225" t="s">
        <v>7</v>
      </c>
      <c r="M3" s="224" t="s">
        <v>8</v>
      </c>
      <c r="N3" s="223" t="s">
        <v>9</v>
      </c>
      <c r="O3" s="223" t="s">
        <v>10</v>
      </c>
      <c r="P3" s="223" t="s">
        <v>11</v>
      </c>
      <c r="Q3" s="223" t="s">
        <v>12</v>
      </c>
      <c r="R3" s="226">
        <f>AVERAGE(R4:R32)</f>
        <v>0.97435897435897445</v>
      </c>
      <c r="U3" s="611"/>
      <c r="V3" s="611"/>
      <c r="W3" s="611"/>
      <c r="X3" s="611"/>
      <c r="Y3" s="611"/>
      <c r="Z3" s="611"/>
    </row>
    <row r="4" spans="1:27" s="237" customFormat="1" ht="27.95" customHeight="1" thickBot="1" x14ac:dyDescent="0.2">
      <c r="A4" s="227">
        <v>1</v>
      </c>
      <c r="B4" s="436" t="s">
        <v>761</v>
      </c>
      <c r="C4" s="604"/>
      <c r="D4" s="605"/>
      <c r="E4" s="439"/>
      <c r="F4" s="439"/>
      <c r="G4" s="440" t="s">
        <v>287</v>
      </c>
      <c r="H4" s="441" t="s">
        <v>124</v>
      </c>
      <c r="I4" s="439" t="s">
        <v>724</v>
      </c>
      <c r="J4" s="442" t="s">
        <v>125</v>
      </c>
      <c r="K4" s="439" t="s">
        <v>126</v>
      </c>
      <c r="L4" s="443"/>
      <c r="M4" s="444" t="s">
        <v>91</v>
      </c>
      <c r="N4" s="441" t="s">
        <v>109</v>
      </c>
      <c r="O4" s="445"/>
      <c r="P4" s="441" t="s">
        <v>87</v>
      </c>
      <c r="Q4" s="441" t="s">
        <v>88</v>
      </c>
      <c r="R4" s="235">
        <f>(COUNTA(C4:Q4))/12</f>
        <v>0.75</v>
      </c>
      <c r="S4" s="433"/>
      <c r="U4" s="612" t="s">
        <v>313</v>
      </c>
      <c r="V4" s="613"/>
      <c r="W4" s="613"/>
      <c r="X4" s="613"/>
      <c r="Y4" s="613"/>
      <c r="Z4" s="614"/>
      <c r="AA4" s="238"/>
    </row>
    <row r="5" spans="1:27" s="237" customFormat="1" ht="27.95" customHeight="1" x14ac:dyDescent="0.15">
      <c r="A5" s="239">
        <v>2</v>
      </c>
      <c r="B5" s="240" t="s">
        <v>89</v>
      </c>
      <c r="C5" s="598"/>
      <c r="D5" s="599"/>
      <c r="E5" s="378" t="s">
        <v>123</v>
      </c>
      <c r="F5" s="229" t="s">
        <v>90</v>
      </c>
      <c r="G5" s="229" t="s">
        <v>91</v>
      </c>
      <c r="H5" s="231" t="s">
        <v>106</v>
      </c>
      <c r="I5" s="241" t="s">
        <v>240</v>
      </c>
      <c r="J5" s="229" t="s">
        <v>92</v>
      </c>
      <c r="K5" s="229" t="s">
        <v>93</v>
      </c>
      <c r="L5" s="231"/>
      <c r="M5" s="411" t="s">
        <v>756</v>
      </c>
      <c r="N5" s="229" t="s">
        <v>94</v>
      </c>
      <c r="O5" s="234" t="s">
        <v>82</v>
      </c>
      <c r="P5" s="229" t="s">
        <v>95</v>
      </c>
      <c r="Q5" s="5" t="s">
        <v>711</v>
      </c>
      <c r="R5" s="235">
        <f>(COUNTA(C5:Q5))/12</f>
        <v>1</v>
      </c>
      <c r="S5" s="433"/>
      <c r="U5" s="615" t="s">
        <v>779</v>
      </c>
      <c r="V5" s="616"/>
      <c r="W5" s="616"/>
      <c r="X5" s="616"/>
      <c r="Y5" s="616"/>
      <c r="Z5" s="617"/>
      <c r="AA5" s="238"/>
    </row>
    <row r="6" spans="1:27" s="237" customFormat="1" ht="27.95" customHeight="1" x14ac:dyDescent="0.15">
      <c r="A6" s="239">
        <v>3</v>
      </c>
      <c r="B6" s="242" t="s">
        <v>127</v>
      </c>
      <c r="C6" s="598"/>
      <c r="D6" s="599"/>
      <c r="E6" s="229" t="s">
        <v>290</v>
      </c>
      <c r="F6" s="243" t="s">
        <v>128</v>
      </c>
      <c r="G6" s="229" t="s">
        <v>240</v>
      </c>
      <c r="H6" s="229" t="s">
        <v>257</v>
      </c>
      <c r="I6" s="229" t="s">
        <v>310</v>
      </c>
      <c r="J6" s="229" t="s">
        <v>129</v>
      </c>
      <c r="K6" s="229" t="s">
        <v>107</v>
      </c>
      <c r="L6" s="229"/>
      <c r="M6" s="229" t="s">
        <v>112</v>
      </c>
      <c r="N6" s="241" t="s">
        <v>16</v>
      </c>
      <c r="O6" s="241" t="s">
        <v>131</v>
      </c>
      <c r="P6" s="244" t="s">
        <v>83</v>
      </c>
      <c r="Q6" s="229" t="s">
        <v>288</v>
      </c>
      <c r="R6" s="235">
        <f>(COUNTA(C6:Q6))/12</f>
        <v>1</v>
      </c>
      <c r="S6" s="433"/>
      <c r="U6" s="618"/>
      <c r="V6" s="619"/>
      <c r="W6" s="619"/>
      <c r="X6" s="619"/>
      <c r="Y6" s="619"/>
      <c r="Z6" s="620"/>
      <c r="AA6" s="238"/>
    </row>
    <row r="7" spans="1:27" s="237" customFormat="1" ht="27.75" customHeight="1" thickBot="1" x14ac:dyDescent="0.2">
      <c r="A7" s="239">
        <v>4</v>
      </c>
      <c r="B7" s="245" t="s">
        <v>111</v>
      </c>
      <c r="C7" s="598"/>
      <c r="D7" s="599"/>
      <c r="E7" s="229" t="s">
        <v>103</v>
      </c>
      <c r="F7" s="231" t="s">
        <v>87</v>
      </c>
      <c r="G7" s="243" t="s">
        <v>92</v>
      </c>
      <c r="H7" s="229" t="s">
        <v>278</v>
      </c>
      <c r="I7" s="229" t="s">
        <v>107</v>
      </c>
      <c r="J7" s="229" t="s">
        <v>280</v>
      </c>
      <c r="K7" s="229" t="s">
        <v>81</v>
      </c>
      <c r="L7" s="229"/>
      <c r="M7" s="5" t="s">
        <v>711</v>
      </c>
      <c r="N7" s="5" t="s">
        <v>115</v>
      </c>
      <c r="O7" s="229" t="s">
        <v>116</v>
      </c>
      <c r="P7" s="229" t="s">
        <v>117</v>
      </c>
      <c r="Q7" s="246" t="s">
        <v>346</v>
      </c>
      <c r="R7" s="235">
        <f>(COUNTA(C7:Q7))/12</f>
        <v>1</v>
      </c>
      <c r="S7" s="433"/>
      <c r="U7" s="621"/>
      <c r="V7" s="622"/>
      <c r="W7" s="622"/>
      <c r="X7" s="622"/>
      <c r="Y7" s="622"/>
      <c r="Z7" s="623"/>
      <c r="AA7" s="238"/>
    </row>
    <row r="8" spans="1:27" s="237" customFormat="1" ht="27.95" customHeight="1" thickBot="1" x14ac:dyDescent="0.2">
      <c r="A8" s="239">
        <v>5</v>
      </c>
      <c r="B8" s="6" t="s">
        <v>416</v>
      </c>
      <c r="C8" s="598"/>
      <c r="D8" s="599"/>
      <c r="E8" s="411" t="s">
        <v>756</v>
      </c>
      <c r="F8" s="230" t="s">
        <v>104</v>
      </c>
      <c r="G8" s="170" t="s">
        <v>110</v>
      </c>
      <c r="H8" s="247" t="s">
        <v>279</v>
      </c>
      <c r="I8" s="247" t="s">
        <v>118</v>
      </c>
      <c r="J8" s="247" t="s">
        <v>106</v>
      </c>
      <c r="K8" s="230" t="s">
        <v>420</v>
      </c>
      <c r="L8" s="171"/>
      <c r="M8" s="230" t="s">
        <v>90</v>
      </c>
      <c r="N8" s="248" t="s">
        <v>272</v>
      </c>
      <c r="O8" s="249" t="s">
        <v>107</v>
      </c>
      <c r="P8" s="231" t="s">
        <v>94</v>
      </c>
      <c r="Q8" s="230" t="s">
        <v>103</v>
      </c>
      <c r="R8" s="235">
        <f>(COUNTA(C8:Q8))/12</f>
        <v>1</v>
      </c>
      <c r="S8" s="433"/>
      <c r="U8" s="612" t="s">
        <v>15</v>
      </c>
      <c r="V8" s="613"/>
      <c r="W8" s="613"/>
      <c r="X8" s="613"/>
      <c r="Y8" s="613"/>
      <c r="Z8" s="614"/>
      <c r="AA8" s="238"/>
    </row>
    <row r="9" spans="1:27" s="237" customFormat="1" ht="27.95" customHeight="1" x14ac:dyDescent="0.15">
      <c r="A9" s="250">
        <v>6</v>
      </c>
      <c r="B9" s="251" t="s">
        <v>79</v>
      </c>
      <c r="C9" s="252" t="s">
        <v>325</v>
      </c>
      <c r="D9" s="252" t="s">
        <v>325</v>
      </c>
      <c r="E9" s="253" t="s">
        <v>80</v>
      </c>
      <c r="F9" s="253" t="s">
        <v>81</v>
      </c>
      <c r="G9" s="253" t="s">
        <v>82</v>
      </c>
      <c r="H9" s="233" t="s">
        <v>83</v>
      </c>
      <c r="I9" s="232" t="s">
        <v>84</v>
      </c>
      <c r="J9" s="244" t="s">
        <v>427</v>
      </c>
      <c r="K9" s="160" t="s">
        <v>92</v>
      </c>
      <c r="L9" s="253"/>
      <c r="M9" s="253" t="s">
        <v>85</v>
      </c>
      <c r="N9" s="254" t="s">
        <v>86</v>
      </c>
      <c r="O9" s="231" t="s">
        <v>109</v>
      </c>
      <c r="P9" s="541"/>
      <c r="Q9" s="542"/>
      <c r="R9" s="235">
        <f t="shared" ref="R9:R18" si="0">(COUNTA(C9:Q9))/12</f>
        <v>1</v>
      </c>
      <c r="S9" s="433"/>
      <c r="U9" s="592"/>
      <c r="V9" s="593"/>
      <c r="W9" s="593"/>
      <c r="X9" s="593"/>
      <c r="Y9" s="593"/>
      <c r="Z9" s="594"/>
      <c r="AA9" s="238"/>
    </row>
    <row r="10" spans="1:27" s="237" customFormat="1" ht="27.95" customHeight="1" x14ac:dyDescent="0.15">
      <c r="A10" s="239">
        <v>7</v>
      </c>
      <c r="B10" s="240" t="s">
        <v>96</v>
      </c>
      <c r="C10" s="255" t="s">
        <v>328</v>
      </c>
      <c r="D10" s="255" t="s">
        <v>328</v>
      </c>
      <c r="E10" s="241" t="s">
        <v>706</v>
      </c>
      <c r="F10" s="232" t="s">
        <v>13</v>
      </c>
      <c r="G10" s="229" t="s">
        <v>98</v>
      </c>
      <c r="H10" s="241" t="s">
        <v>93</v>
      </c>
      <c r="I10" s="234" t="s">
        <v>104</v>
      </c>
      <c r="J10" s="229" t="s">
        <v>14</v>
      </c>
      <c r="K10" s="229" t="s">
        <v>100</v>
      </c>
      <c r="L10" s="233"/>
      <c r="M10" s="231" t="s">
        <v>724</v>
      </c>
      <c r="N10" s="232" t="s">
        <v>101</v>
      </c>
      <c r="O10" s="231" t="s">
        <v>102</v>
      </c>
      <c r="P10" s="543"/>
      <c r="Q10" s="544"/>
      <c r="R10" s="235">
        <f t="shared" si="0"/>
        <v>1</v>
      </c>
      <c r="S10" s="433"/>
      <c r="U10" s="592"/>
      <c r="V10" s="593"/>
      <c r="W10" s="593"/>
      <c r="X10" s="593"/>
      <c r="Y10" s="593"/>
      <c r="Z10" s="594"/>
      <c r="AA10" s="238"/>
    </row>
    <row r="11" spans="1:27" s="237" customFormat="1" ht="27.95" customHeight="1" x14ac:dyDescent="0.15">
      <c r="A11" s="239">
        <v>8</v>
      </c>
      <c r="B11" s="245" t="s">
        <v>132</v>
      </c>
      <c r="C11" s="255" t="s">
        <v>334</v>
      </c>
      <c r="D11" s="255" t="s">
        <v>330</v>
      </c>
      <c r="E11" s="229" t="s">
        <v>133</v>
      </c>
      <c r="F11" s="241" t="s">
        <v>82</v>
      </c>
      <c r="G11" s="256" t="s">
        <v>134</v>
      </c>
      <c r="H11" s="229" t="s">
        <v>135</v>
      </c>
      <c r="I11" s="434" t="s">
        <v>106</v>
      </c>
      <c r="J11" s="229" t="s">
        <v>107</v>
      </c>
      <c r="K11" s="243" t="s">
        <v>108</v>
      </c>
      <c r="L11" s="230"/>
      <c r="M11" s="230" t="s">
        <v>113</v>
      </c>
      <c r="N11" s="229" t="s">
        <v>136</v>
      </c>
      <c r="O11" s="229" t="s">
        <v>123</v>
      </c>
      <c r="P11" s="543"/>
      <c r="Q11" s="544"/>
      <c r="R11" s="235">
        <f t="shared" si="0"/>
        <v>1</v>
      </c>
      <c r="S11" s="433"/>
      <c r="U11" s="592"/>
      <c r="V11" s="593"/>
      <c r="W11" s="593"/>
      <c r="X11" s="593"/>
      <c r="Y11" s="593"/>
      <c r="Z11" s="594"/>
      <c r="AA11" s="238"/>
    </row>
    <row r="12" spans="1:27" s="237" customFormat="1" ht="27.95" customHeight="1" x14ac:dyDescent="0.15">
      <c r="A12" s="239">
        <v>9</v>
      </c>
      <c r="B12" s="257" t="s">
        <v>137</v>
      </c>
      <c r="C12" s="255" t="s">
        <v>133</v>
      </c>
      <c r="D12" s="255" t="s">
        <v>121</v>
      </c>
      <c r="E12" s="229" t="s">
        <v>138</v>
      </c>
      <c r="F12" s="241" t="s">
        <v>706</v>
      </c>
      <c r="G12" s="248" t="s">
        <v>139</v>
      </c>
      <c r="H12" s="243" t="s">
        <v>140</v>
      </c>
      <c r="I12" s="233" t="s">
        <v>141</v>
      </c>
      <c r="J12" s="229" t="s">
        <v>142</v>
      </c>
      <c r="K12" s="241" t="s">
        <v>118</v>
      </c>
      <c r="L12" s="229"/>
      <c r="M12" s="241" t="s">
        <v>279</v>
      </c>
      <c r="N12" s="231" t="s">
        <v>143</v>
      </c>
      <c r="O12" s="241" t="s">
        <v>272</v>
      </c>
      <c r="P12" s="543"/>
      <c r="Q12" s="544"/>
      <c r="R12" s="235">
        <f t="shared" si="0"/>
        <v>1</v>
      </c>
      <c r="S12" s="433"/>
      <c r="U12" s="592"/>
      <c r="V12" s="593"/>
      <c r="W12" s="593"/>
      <c r="X12" s="593"/>
      <c r="Y12" s="593"/>
      <c r="Z12" s="594"/>
      <c r="AA12" s="238"/>
    </row>
    <row r="13" spans="1:27" s="237" customFormat="1" ht="27.95" customHeight="1" thickBot="1" x14ac:dyDescent="0.2">
      <c r="A13" s="258">
        <v>10</v>
      </c>
      <c r="B13" s="7" t="s">
        <v>119</v>
      </c>
      <c r="C13" s="259" t="s">
        <v>117</v>
      </c>
      <c r="D13" s="259" t="s">
        <v>128</v>
      </c>
      <c r="E13" s="260" t="s">
        <v>288</v>
      </c>
      <c r="F13" s="9" t="s">
        <v>102</v>
      </c>
      <c r="G13" s="249" t="s">
        <v>109</v>
      </c>
      <c r="H13" s="249" t="s">
        <v>724</v>
      </c>
      <c r="I13" s="249" t="s">
        <v>120</v>
      </c>
      <c r="J13" s="261" t="s">
        <v>115</v>
      </c>
      <c r="K13" s="249" t="s">
        <v>121</v>
      </c>
      <c r="L13" s="11"/>
      <c r="M13" s="262" t="s">
        <v>82</v>
      </c>
      <c r="N13" s="403" t="s">
        <v>756</v>
      </c>
      <c r="O13" s="249" t="s">
        <v>100</v>
      </c>
      <c r="P13" s="720"/>
      <c r="Q13" s="721"/>
      <c r="R13" s="235">
        <f t="shared" si="0"/>
        <v>1</v>
      </c>
      <c r="S13" s="433"/>
      <c r="U13" s="592"/>
      <c r="V13" s="593"/>
      <c r="W13" s="593"/>
      <c r="X13" s="593"/>
      <c r="Y13" s="593"/>
      <c r="Z13" s="594"/>
      <c r="AA13" s="238"/>
    </row>
    <row r="14" spans="1:27" ht="27.95" customHeight="1" x14ac:dyDescent="0.15">
      <c r="A14" s="263">
        <v>11</v>
      </c>
      <c r="B14" s="437" t="s">
        <v>762</v>
      </c>
      <c r="C14" s="722"/>
      <c r="D14" s="723"/>
      <c r="E14" s="439" t="s">
        <v>104</v>
      </c>
      <c r="F14" s="445"/>
      <c r="G14" s="445" t="s">
        <v>279</v>
      </c>
      <c r="H14" s="443" t="s">
        <v>272</v>
      </c>
      <c r="I14" s="446" t="s">
        <v>288</v>
      </c>
      <c r="J14" s="440" t="s">
        <v>288</v>
      </c>
      <c r="K14" s="441"/>
      <c r="L14" s="445"/>
      <c r="M14" s="447" t="s">
        <v>92</v>
      </c>
      <c r="N14" s="443" t="s">
        <v>240</v>
      </c>
      <c r="O14" s="444"/>
      <c r="P14" s="441"/>
      <c r="Q14" s="441"/>
      <c r="R14" s="235">
        <f t="shared" si="0"/>
        <v>0.58333333333333337</v>
      </c>
      <c r="S14" s="433"/>
      <c r="T14" s="237"/>
      <c r="U14" s="592"/>
      <c r="V14" s="593"/>
      <c r="W14" s="593"/>
      <c r="X14" s="593"/>
      <c r="Y14" s="593"/>
      <c r="Z14" s="594"/>
    </row>
    <row r="15" spans="1:27" ht="27.95" customHeight="1" thickBot="1" x14ac:dyDescent="0.2">
      <c r="A15" s="258">
        <v>12</v>
      </c>
      <c r="B15" s="265" t="s">
        <v>145</v>
      </c>
      <c r="C15" s="724"/>
      <c r="D15" s="725"/>
      <c r="E15" s="249" t="s">
        <v>97</v>
      </c>
      <c r="F15" s="261" t="s">
        <v>105</v>
      </c>
      <c r="G15" s="241" t="s">
        <v>706</v>
      </c>
      <c r="H15" s="249" t="s">
        <v>695</v>
      </c>
      <c r="I15" s="9" t="s">
        <v>711</v>
      </c>
      <c r="J15" s="249" t="s">
        <v>724</v>
      </c>
      <c r="K15" s="403" t="s">
        <v>756</v>
      </c>
      <c r="L15" s="249"/>
      <c r="M15" s="249" t="s">
        <v>673</v>
      </c>
      <c r="N15" s="266" t="s">
        <v>146</v>
      </c>
      <c r="O15" s="249" t="s">
        <v>93</v>
      </c>
      <c r="P15" s="249" t="s">
        <v>346</v>
      </c>
      <c r="Q15" s="9" t="s">
        <v>110</v>
      </c>
      <c r="R15" s="235">
        <f t="shared" si="0"/>
        <v>1</v>
      </c>
      <c r="S15" s="433"/>
      <c r="U15" s="592"/>
      <c r="V15" s="593"/>
      <c r="W15" s="593"/>
      <c r="X15" s="593"/>
      <c r="Y15" s="593"/>
      <c r="Z15" s="594"/>
    </row>
    <row r="16" spans="1:27" ht="27" customHeight="1" x14ac:dyDescent="0.15">
      <c r="A16" s="227">
        <v>13</v>
      </c>
      <c r="B16" s="267" t="s">
        <v>21</v>
      </c>
      <c r="C16" s="598"/>
      <c r="D16" s="599"/>
      <c r="E16" s="5" t="s">
        <v>712</v>
      </c>
      <c r="F16" s="177" t="s">
        <v>186</v>
      </c>
      <c r="G16" s="253" t="s">
        <v>22</v>
      </c>
      <c r="H16" s="253" t="s">
        <v>23</v>
      </c>
      <c r="I16" s="231" t="s">
        <v>187</v>
      </c>
      <c r="J16" s="160" t="s">
        <v>188</v>
      </c>
      <c r="K16" s="231" t="s">
        <v>189</v>
      </c>
      <c r="L16" s="233"/>
      <c r="M16" s="241" t="s">
        <v>190</v>
      </c>
      <c r="N16" s="229" t="s">
        <v>191</v>
      </c>
      <c r="O16" s="231" t="s">
        <v>192</v>
      </c>
      <c r="P16" s="376" t="s">
        <v>707</v>
      </c>
      <c r="Q16" s="390" t="s">
        <v>769</v>
      </c>
      <c r="R16" s="235">
        <f t="shared" si="0"/>
        <v>1</v>
      </c>
      <c r="S16" s="433"/>
      <c r="U16" s="592"/>
      <c r="V16" s="593"/>
      <c r="W16" s="593"/>
      <c r="X16" s="593"/>
      <c r="Y16" s="593"/>
      <c r="Z16" s="594"/>
    </row>
    <row r="17" spans="1:27" ht="27.95" customHeight="1" thickBot="1" x14ac:dyDescent="0.2">
      <c r="A17" s="227">
        <v>14</v>
      </c>
      <c r="B17" s="267" t="s">
        <v>155</v>
      </c>
      <c r="C17" s="598"/>
      <c r="D17" s="599"/>
      <c r="E17" s="229" t="s">
        <v>156</v>
      </c>
      <c r="F17" s="232" t="s">
        <v>157</v>
      </c>
      <c r="G17" s="229" t="s">
        <v>158</v>
      </c>
      <c r="H17" s="229" t="s">
        <v>154</v>
      </c>
      <c r="I17" s="241" t="s">
        <v>283</v>
      </c>
      <c r="J17" s="229" t="s">
        <v>159</v>
      </c>
      <c r="K17" s="241" t="s">
        <v>241</v>
      </c>
      <c r="L17" s="229"/>
      <c r="M17" s="17" t="s">
        <v>160</v>
      </c>
      <c r="N17" s="5" t="s">
        <v>161</v>
      </c>
      <c r="O17" s="18" t="s">
        <v>162</v>
      </c>
      <c r="P17" s="378" t="s">
        <v>776</v>
      </c>
      <c r="Q17" s="269" t="s">
        <v>164</v>
      </c>
      <c r="R17" s="235">
        <f t="shared" si="0"/>
        <v>1</v>
      </c>
      <c r="S17" s="433"/>
      <c r="U17" s="595"/>
      <c r="V17" s="596"/>
      <c r="W17" s="596"/>
      <c r="X17" s="596"/>
      <c r="Y17" s="596"/>
      <c r="Z17" s="597"/>
    </row>
    <row r="18" spans="1:27" ht="27.95" customHeight="1" thickBot="1" x14ac:dyDescent="0.2">
      <c r="A18" s="270">
        <v>15</v>
      </c>
      <c r="B18" s="245" t="s">
        <v>193</v>
      </c>
      <c r="C18" s="598"/>
      <c r="D18" s="599"/>
      <c r="E18" s="243" t="s">
        <v>194</v>
      </c>
      <c r="F18" s="5" t="s">
        <v>195</v>
      </c>
      <c r="G18" s="243" t="s">
        <v>24</v>
      </c>
      <c r="H18" s="246" t="s">
        <v>173</v>
      </c>
      <c r="I18" s="243" t="s">
        <v>237</v>
      </c>
      <c r="J18" s="229" t="s">
        <v>196</v>
      </c>
      <c r="K18" s="229" t="s">
        <v>197</v>
      </c>
      <c r="L18" s="229"/>
      <c r="M18" s="241" t="s">
        <v>25</v>
      </c>
      <c r="N18" s="229" t="s">
        <v>244</v>
      </c>
      <c r="O18" s="229" t="s">
        <v>198</v>
      </c>
      <c r="P18" s="243" t="s">
        <v>304</v>
      </c>
      <c r="Q18" s="246" t="s">
        <v>725</v>
      </c>
      <c r="R18" s="371">
        <f t="shared" si="0"/>
        <v>1</v>
      </c>
      <c r="S18" s="433"/>
      <c r="U18" s="547" t="s">
        <v>311</v>
      </c>
      <c r="V18" s="548"/>
      <c r="W18" s="548"/>
      <c r="X18" s="548"/>
      <c r="Y18" s="548"/>
      <c r="Z18" s="549"/>
    </row>
    <row r="19" spans="1:27" ht="27.95" customHeight="1" x14ac:dyDescent="0.15">
      <c r="A19" s="270">
        <v>16</v>
      </c>
      <c r="B19" s="245" t="s">
        <v>165</v>
      </c>
      <c r="C19" s="598"/>
      <c r="D19" s="599"/>
      <c r="E19" s="726"/>
      <c r="F19" s="727"/>
      <c r="G19" s="16" t="s">
        <v>69</v>
      </c>
      <c r="H19" s="5" t="s">
        <v>166</v>
      </c>
      <c r="I19" s="229" t="s">
        <v>759</v>
      </c>
      <c r="J19" s="243" t="s">
        <v>68</v>
      </c>
      <c r="K19" s="272" t="s">
        <v>168</v>
      </c>
      <c r="L19" s="229"/>
      <c r="M19" s="726" t="s">
        <v>169</v>
      </c>
      <c r="N19" s="749"/>
      <c r="O19" s="749"/>
      <c r="P19" s="749"/>
      <c r="Q19" s="727"/>
      <c r="R19" s="235">
        <f>(COUNTA(E19:K19))/5</f>
        <v>1</v>
      </c>
      <c r="S19" s="433"/>
      <c r="U19" s="750" t="s">
        <v>778</v>
      </c>
      <c r="V19" s="741"/>
      <c r="W19" s="741"/>
      <c r="X19" s="741"/>
      <c r="Y19" s="741"/>
      <c r="Z19" s="742"/>
    </row>
    <row r="20" spans="1:27" s="237" customFormat="1" ht="27.75" customHeight="1" x14ac:dyDescent="0.15">
      <c r="A20" s="239"/>
      <c r="B20" s="242" t="s">
        <v>170</v>
      </c>
      <c r="C20" s="598"/>
      <c r="D20" s="599"/>
      <c r="E20" s="602" t="s">
        <v>20</v>
      </c>
      <c r="F20" s="603"/>
      <c r="G20" s="241" t="s">
        <v>285</v>
      </c>
      <c r="H20" s="229" t="s">
        <v>171</v>
      </c>
      <c r="I20" s="273" t="s">
        <v>172</v>
      </c>
      <c r="J20" s="229" t="s">
        <v>173</v>
      </c>
      <c r="K20" s="393" t="s">
        <v>767</v>
      </c>
      <c r="L20" s="229"/>
      <c r="M20" s="273" t="s">
        <v>174</v>
      </c>
      <c r="N20" s="5" t="s">
        <v>175</v>
      </c>
      <c r="O20" s="246" t="s">
        <v>176</v>
      </c>
      <c r="P20" s="229" t="s">
        <v>152</v>
      </c>
      <c r="Q20" s="231" t="s">
        <v>154</v>
      </c>
      <c r="R20" s="235">
        <f>(COUNTA(G20:Q20))/10</f>
        <v>1</v>
      </c>
      <c r="S20" s="433"/>
      <c r="U20" s="743"/>
      <c r="V20" s="744"/>
      <c r="W20" s="744"/>
      <c r="X20" s="744"/>
      <c r="Y20" s="744"/>
      <c r="Z20" s="745"/>
      <c r="AA20" s="238"/>
    </row>
    <row r="21" spans="1:27" ht="27.95" customHeight="1" thickBot="1" x14ac:dyDescent="0.2">
      <c r="A21" s="258"/>
      <c r="B21" s="274" t="s">
        <v>177</v>
      </c>
      <c r="C21" s="600"/>
      <c r="D21" s="601"/>
      <c r="E21" s="275" t="s">
        <v>178</v>
      </c>
      <c r="F21" s="261"/>
      <c r="G21" s="230" t="s">
        <v>179</v>
      </c>
      <c r="H21" s="230" t="s">
        <v>180</v>
      </c>
      <c r="I21" s="249" t="s">
        <v>181</v>
      </c>
      <c r="J21" s="249" t="s">
        <v>309</v>
      </c>
      <c r="K21" s="249" t="s">
        <v>182</v>
      </c>
      <c r="L21" s="247"/>
      <c r="M21" s="249" t="s">
        <v>183</v>
      </c>
      <c r="N21" s="247" t="s">
        <v>184</v>
      </c>
      <c r="O21" s="249" t="s">
        <v>185</v>
      </c>
      <c r="P21" s="372" t="s">
        <v>153</v>
      </c>
      <c r="Q21" s="435" t="s">
        <v>178</v>
      </c>
      <c r="R21" s="235">
        <f>(COUNTA(F21:P21))/9</f>
        <v>1</v>
      </c>
      <c r="S21" s="433"/>
      <c r="U21" s="746"/>
      <c r="V21" s="747"/>
      <c r="W21" s="747"/>
      <c r="X21" s="747"/>
      <c r="Y21" s="747"/>
      <c r="Z21" s="748"/>
    </row>
    <row r="22" spans="1:27" s="237" customFormat="1" ht="27.95" customHeight="1" thickBot="1" x14ac:dyDescent="0.2">
      <c r="A22" s="227">
        <v>17</v>
      </c>
      <c r="B22" s="245" t="s">
        <v>147</v>
      </c>
      <c r="C22" s="255" t="s">
        <v>337</v>
      </c>
      <c r="D22" s="255" t="s">
        <v>340</v>
      </c>
      <c r="E22" s="229" t="s">
        <v>17</v>
      </c>
      <c r="F22" s="253" t="s">
        <v>254</v>
      </c>
      <c r="G22" s="277" t="s">
        <v>148</v>
      </c>
      <c r="H22" s="278" t="s">
        <v>149</v>
      </c>
      <c r="I22" s="160" t="s">
        <v>150</v>
      </c>
      <c r="J22" s="253" t="s">
        <v>151</v>
      </c>
      <c r="K22" s="253" t="s">
        <v>18</v>
      </c>
      <c r="L22" s="277"/>
      <c r="M22" s="253" t="s">
        <v>19</v>
      </c>
      <c r="N22" s="279" t="s">
        <v>152</v>
      </c>
      <c r="O22" s="423" t="s">
        <v>706</v>
      </c>
      <c r="P22" s="541"/>
      <c r="Q22" s="542"/>
      <c r="R22" s="235">
        <f>(COUNTA(C22:Q22))/12</f>
        <v>1</v>
      </c>
      <c r="S22" s="433"/>
      <c r="U22" s="547" t="s">
        <v>312</v>
      </c>
      <c r="V22" s="548"/>
      <c r="W22" s="548"/>
      <c r="X22" s="548"/>
      <c r="Y22" s="548"/>
      <c r="Z22" s="549"/>
      <c r="AA22" s="238"/>
    </row>
    <row r="23" spans="1:27" ht="27.95" customHeight="1" x14ac:dyDescent="0.15">
      <c r="A23" s="270">
        <v>18</v>
      </c>
      <c r="B23" s="245" t="s">
        <v>199</v>
      </c>
      <c r="C23" s="268" t="s">
        <v>333</v>
      </c>
      <c r="D23" s="268" t="s">
        <v>333</v>
      </c>
      <c r="E23" s="273" t="s">
        <v>200</v>
      </c>
      <c r="F23" s="229" t="s">
        <v>201</v>
      </c>
      <c r="G23" s="18" t="s">
        <v>26</v>
      </c>
      <c r="H23" s="241" t="s">
        <v>241</v>
      </c>
      <c r="I23" s="411" t="s">
        <v>757</v>
      </c>
      <c r="J23" s="229" t="s">
        <v>202</v>
      </c>
      <c r="K23" s="23" t="s">
        <v>203</v>
      </c>
      <c r="L23" s="229"/>
      <c r="M23" s="243" t="s">
        <v>204</v>
      </c>
      <c r="N23" s="229" t="s">
        <v>269</v>
      </c>
      <c r="O23" s="269" t="s">
        <v>205</v>
      </c>
      <c r="P23" s="543"/>
      <c r="Q23" s="544"/>
      <c r="R23" s="235">
        <f t="shared" ref="R23:R25" si="1">(COUNTA(C23:Q23))/12</f>
        <v>1</v>
      </c>
      <c r="S23" s="433"/>
      <c r="U23" s="711" t="s">
        <v>770</v>
      </c>
      <c r="V23" s="712"/>
      <c r="W23" s="712"/>
      <c r="X23" s="712"/>
      <c r="Y23" s="712"/>
      <c r="Z23" s="713"/>
    </row>
    <row r="24" spans="1:27" ht="27.95" customHeight="1" x14ac:dyDescent="0.15">
      <c r="A24" s="270">
        <v>19</v>
      </c>
      <c r="B24" s="280" t="s">
        <v>27</v>
      </c>
      <c r="C24" s="255" t="s">
        <v>331</v>
      </c>
      <c r="D24" s="255" t="s">
        <v>230</v>
      </c>
      <c r="E24" s="243" t="s">
        <v>551</v>
      </c>
      <c r="F24" s="378" t="s">
        <v>94</v>
      </c>
      <c r="G24" s="229" t="s">
        <v>291</v>
      </c>
      <c r="H24" s="16" t="s">
        <v>289</v>
      </c>
      <c r="I24" s="241" t="s">
        <v>707</v>
      </c>
      <c r="J24" s="241" t="s">
        <v>696</v>
      </c>
      <c r="K24" s="229" t="s">
        <v>712</v>
      </c>
      <c r="L24" s="243"/>
      <c r="M24" s="229" t="s">
        <v>774</v>
      </c>
      <c r="N24" s="243" t="s">
        <v>267</v>
      </c>
      <c r="O24" s="438" t="s">
        <v>260</v>
      </c>
      <c r="P24" s="545"/>
      <c r="Q24" s="546"/>
      <c r="R24" s="235">
        <f t="shared" si="1"/>
        <v>1</v>
      </c>
      <c r="S24" s="433"/>
      <c r="U24" s="714"/>
      <c r="V24" s="715"/>
      <c r="W24" s="715"/>
      <c r="X24" s="715"/>
      <c r="Y24" s="715"/>
      <c r="Z24" s="716"/>
      <c r="AA24" s="283"/>
    </row>
    <row r="25" spans="1:27" ht="27.95" customHeight="1" thickBot="1" x14ac:dyDescent="0.2">
      <c r="A25" s="239">
        <v>20</v>
      </c>
      <c r="B25" s="284" t="s">
        <v>206</v>
      </c>
      <c r="C25" s="550"/>
      <c r="D25" s="551"/>
      <c r="E25" s="230" t="s">
        <v>207</v>
      </c>
      <c r="F25" s="279" t="s">
        <v>192</v>
      </c>
      <c r="G25" s="229" t="s">
        <v>267</v>
      </c>
      <c r="H25" s="249" t="s">
        <v>190</v>
      </c>
      <c r="I25" s="249" t="s">
        <v>696</v>
      </c>
      <c r="J25" s="261" t="s">
        <v>208</v>
      </c>
      <c r="K25" s="438" t="s">
        <v>775</v>
      </c>
      <c r="L25" s="248"/>
      <c r="M25" s="427" t="s">
        <v>363</v>
      </c>
      <c r="N25" s="230" t="s">
        <v>28</v>
      </c>
      <c r="O25" s="260" t="s">
        <v>712</v>
      </c>
      <c r="P25" s="243" t="s">
        <v>209</v>
      </c>
      <c r="Q25" s="419" t="s">
        <v>777</v>
      </c>
      <c r="R25" s="235">
        <f t="shared" si="1"/>
        <v>1</v>
      </c>
      <c r="S25" s="433"/>
      <c r="U25" s="714"/>
      <c r="V25" s="715"/>
      <c r="W25" s="715"/>
      <c r="X25" s="715"/>
      <c r="Y25" s="715"/>
      <c r="Z25" s="716"/>
    </row>
    <row r="26" spans="1:27" s="237" customFormat="1" ht="27.75" customHeight="1" x14ac:dyDescent="0.15">
      <c r="A26" s="285" t="s">
        <v>210</v>
      </c>
      <c r="B26" s="286" t="s">
        <v>29</v>
      </c>
      <c r="C26" s="552"/>
      <c r="D26" s="553"/>
      <c r="E26" s="278"/>
      <c r="F26" s="278" t="s">
        <v>305</v>
      </c>
      <c r="G26" s="278" t="s">
        <v>251</v>
      </c>
      <c r="H26" s="229"/>
      <c r="I26" s="254" t="s">
        <v>304</v>
      </c>
      <c r="J26" s="246" t="s">
        <v>30</v>
      </c>
      <c r="K26" s="287"/>
      <c r="L26" s="254"/>
      <c r="M26" s="287"/>
      <c r="N26" s="278" t="s">
        <v>211</v>
      </c>
      <c r="O26" s="278" t="s">
        <v>73</v>
      </c>
      <c r="P26" s="160"/>
      <c r="Q26" s="432" t="s">
        <v>757</v>
      </c>
      <c r="R26" s="235">
        <f>(COUNTA(C26:Q26))/7</f>
        <v>1</v>
      </c>
      <c r="U26" s="714"/>
      <c r="V26" s="715"/>
      <c r="W26" s="715"/>
      <c r="X26" s="715"/>
      <c r="Y26" s="715"/>
      <c r="Z26" s="716"/>
      <c r="AA26" s="238"/>
    </row>
    <row r="27" spans="1:27" s="291" customFormat="1" ht="27.95" customHeight="1" thickBot="1" x14ac:dyDescent="0.2">
      <c r="A27" s="288"/>
      <c r="B27" s="289" t="s">
        <v>212</v>
      </c>
      <c r="C27" s="554"/>
      <c r="D27" s="555"/>
      <c r="E27" s="249" t="s">
        <v>260</v>
      </c>
      <c r="F27" s="247" t="s">
        <v>31</v>
      </c>
      <c r="G27" s="249"/>
      <c r="H27" s="249"/>
      <c r="I27" s="249"/>
      <c r="J27" s="9"/>
      <c r="K27" s="229" t="s">
        <v>213</v>
      </c>
      <c r="L27" s="248"/>
      <c r="M27" s="261" t="s">
        <v>255</v>
      </c>
      <c r="N27" s="30" t="s">
        <v>367</v>
      </c>
      <c r="O27" s="290" t="s">
        <v>773</v>
      </c>
      <c r="P27" s="247" t="s">
        <v>93</v>
      </c>
      <c r="Q27" s="249" t="s">
        <v>126</v>
      </c>
      <c r="R27" s="235">
        <f>(COUNTA(C27:Q27))/8</f>
        <v>1</v>
      </c>
      <c r="S27" s="433"/>
      <c r="U27" s="714"/>
      <c r="V27" s="715"/>
      <c r="W27" s="715"/>
      <c r="X27" s="715"/>
      <c r="Y27" s="715"/>
      <c r="Z27" s="716"/>
      <c r="AA27" s="292"/>
    </row>
    <row r="28" spans="1:27" s="291" customFormat="1" ht="9.9499999999999993" customHeight="1" thickBot="1" x14ac:dyDescent="0.2">
      <c r="A28" s="293"/>
      <c r="B28" s="294"/>
      <c r="C28" s="295"/>
      <c r="D28" s="296"/>
      <c r="E28" s="297"/>
      <c r="F28" s="298"/>
      <c r="G28" s="297"/>
      <c r="H28" s="297"/>
      <c r="I28" s="297"/>
      <c r="J28" s="80"/>
      <c r="K28" s="297"/>
      <c r="L28" s="298"/>
      <c r="M28" s="299"/>
      <c r="N28" s="82"/>
      <c r="O28" s="300"/>
      <c r="P28" s="244"/>
      <c r="Q28" s="279"/>
      <c r="R28" s="235"/>
      <c r="S28" s="433"/>
      <c r="U28" s="714"/>
      <c r="V28" s="715"/>
      <c r="W28" s="715"/>
      <c r="X28" s="715"/>
      <c r="Y28" s="715"/>
      <c r="Z28" s="716"/>
      <c r="AA28" s="292"/>
    </row>
    <row r="29" spans="1:27" ht="120" customHeight="1" thickBot="1" x14ac:dyDescent="0.2">
      <c r="A29" s="574"/>
      <c r="B29" s="576" t="s">
        <v>216</v>
      </c>
      <c r="C29" s="578"/>
      <c r="D29" s="579"/>
      <c r="E29" s="233" t="s">
        <v>297</v>
      </c>
      <c r="F29" s="231" t="s">
        <v>294</v>
      </c>
      <c r="G29" s="233" t="s">
        <v>259</v>
      </c>
      <c r="H29" s="301" t="s">
        <v>298</v>
      </c>
      <c r="I29" s="231" t="s">
        <v>256</v>
      </c>
      <c r="J29" s="231" t="s">
        <v>217</v>
      </c>
      <c r="K29" s="253" t="s">
        <v>763</v>
      </c>
      <c r="L29" s="254"/>
      <c r="M29" s="233" t="s">
        <v>764</v>
      </c>
      <c r="N29" s="253" t="s">
        <v>295</v>
      </c>
      <c r="O29" s="302" t="s">
        <v>292</v>
      </c>
      <c r="P29" s="278" t="s">
        <v>220</v>
      </c>
      <c r="Q29" s="278" t="s">
        <v>239</v>
      </c>
      <c r="R29" s="235">
        <f>(COUNTA(C29:Q29))/12</f>
        <v>1</v>
      </c>
      <c r="S29" s="237"/>
      <c r="T29" s="237"/>
      <c r="U29" s="717"/>
      <c r="V29" s="718"/>
      <c r="W29" s="718"/>
      <c r="X29" s="718"/>
      <c r="Y29" s="718"/>
      <c r="Z29" s="719"/>
    </row>
    <row r="30" spans="1:27" ht="120" customHeight="1" x14ac:dyDescent="0.15">
      <c r="A30" s="575"/>
      <c r="B30" s="577"/>
      <c r="C30" s="580"/>
      <c r="D30" s="581"/>
      <c r="E30" s="170" t="s">
        <v>726</v>
      </c>
      <c r="F30" s="174" t="s">
        <v>758</v>
      </c>
      <c r="G30" s="170" t="s">
        <v>365</v>
      </c>
      <c r="H30" s="170" t="s">
        <v>719</v>
      </c>
      <c r="I30" s="170" t="s">
        <v>665</v>
      </c>
      <c r="J30" s="170" t="s">
        <v>710</v>
      </c>
      <c r="K30" s="170" t="s">
        <v>349</v>
      </c>
      <c r="L30" s="171"/>
      <c r="M30" s="170" t="s">
        <v>768</v>
      </c>
      <c r="N30" s="170" t="s">
        <v>771</v>
      </c>
      <c r="O30" s="174" t="s">
        <v>772</v>
      </c>
      <c r="P30" s="170" t="s">
        <v>720</v>
      </c>
      <c r="Q30" s="170" t="s">
        <v>663</v>
      </c>
      <c r="R30" s="235"/>
      <c r="S30" s="237"/>
      <c r="T30" s="237"/>
      <c r="U30" s="584" t="s">
        <v>32</v>
      </c>
      <c r="V30" s="585"/>
      <c r="W30" s="585"/>
      <c r="X30" s="585"/>
      <c r="Y30" s="585"/>
      <c r="Z30" s="586"/>
    </row>
    <row r="31" spans="1:27" ht="120" customHeight="1" thickBot="1" x14ac:dyDescent="0.2">
      <c r="A31" s="303"/>
      <c r="B31" s="304" t="s">
        <v>589</v>
      </c>
      <c r="C31" s="582"/>
      <c r="D31" s="583"/>
      <c r="E31" s="590" t="s">
        <v>178</v>
      </c>
      <c r="F31" s="591"/>
      <c r="G31" s="248" t="s">
        <v>258</v>
      </c>
      <c r="H31" s="249" t="s">
        <v>307</v>
      </c>
      <c r="I31" s="230" t="s">
        <v>296</v>
      </c>
      <c r="J31" s="230" t="s">
        <v>765</v>
      </c>
      <c r="K31" s="249" t="s">
        <v>33</v>
      </c>
      <c r="L31" s="305"/>
      <c r="M31" s="248" t="s">
        <v>221</v>
      </c>
      <c r="N31" s="230" t="s">
        <v>597</v>
      </c>
      <c r="O31" s="247" t="s">
        <v>223</v>
      </c>
      <c r="P31" s="230" t="s">
        <v>34</v>
      </c>
      <c r="Q31" s="249"/>
      <c r="R31" s="235">
        <f>(COUNTA(G31:Q31))/9</f>
        <v>1</v>
      </c>
      <c r="S31" s="237"/>
      <c r="T31" s="237"/>
      <c r="U31" s="587"/>
      <c r="V31" s="588"/>
      <c r="W31" s="588"/>
      <c r="X31" s="588"/>
      <c r="Y31" s="588"/>
      <c r="Z31" s="589"/>
    </row>
    <row r="32" spans="1:27" s="237" customFormat="1" ht="9.9499999999999993" customHeight="1" x14ac:dyDescent="0.15">
      <c r="A32" s="306"/>
      <c r="B32" s="307"/>
      <c r="C32" s="308"/>
      <c r="D32" s="430"/>
      <c r="E32" s="430"/>
      <c r="F32" s="430"/>
      <c r="G32" s="430"/>
      <c r="H32" s="430"/>
      <c r="I32" s="430"/>
      <c r="J32" s="430"/>
      <c r="K32" s="430"/>
      <c r="L32" s="430"/>
      <c r="M32" s="430"/>
      <c r="N32" s="430"/>
      <c r="O32" s="430"/>
      <c r="P32" s="430"/>
      <c r="Q32" s="430"/>
      <c r="R32" s="235"/>
      <c r="U32" s="309"/>
      <c r="V32" s="309"/>
      <c r="W32" s="309"/>
      <c r="X32" s="309"/>
      <c r="Y32" s="309"/>
      <c r="Z32" s="310"/>
      <c r="AA32" s="238"/>
    </row>
    <row r="33" spans="1:27" s="237" customFormat="1" ht="21" customHeight="1" x14ac:dyDescent="0.15">
      <c r="A33" s="311"/>
      <c r="B33" s="312"/>
      <c r="C33" s="313"/>
      <c r="D33" s="314" t="s">
        <v>224</v>
      </c>
      <c r="E33" s="315" t="s">
        <v>35</v>
      </c>
      <c r="F33" s="316" t="s">
        <v>1</v>
      </c>
      <c r="G33" s="316" t="s">
        <v>2</v>
      </c>
      <c r="H33" s="316" t="s">
        <v>36</v>
      </c>
      <c r="I33" s="316" t="s">
        <v>4</v>
      </c>
      <c r="J33" s="316" t="s">
        <v>37</v>
      </c>
      <c r="K33" s="316" t="s">
        <v>38</v>
      </c>
      <c r="L33" s="317" t="s">
        <v>39</v>
      </c>
      <c r="M33" s="316" t="s">
        <v>40</v>
      </c>
      <c r="N33" s="316" t="s">
        <v>9</v>
      </c>
      <c r="O33" s="316" t="s">
        <v>10</v>
      </c>
      <c r="P33" s="316" t="s">
        <v>11</v>
      </c>
      <c r="Q33" s="318" t="s">
        <v>12</v>
      </c>
      <c r="R33" s="319"/>
      <c r="U33" s="309"/>
      <c r="V33" s="309"/>
      <c r="W33" s="309"/>
      <c r="X33" s="309"/>
      <c r="Y33" s="309"/>
      <c r="Z33" s="310"/>
      <c r="AA33" s="238"/>
    </row>
    <row r="34" spans="1:27" s="237" customFormat="1" ht="45.75" customHeight="1" x14ac:dyDescent="0.15">
      <c r="A34" s="217"/>
      <c r="B34" s="320"/>
      <c r="C34" s="320"/>
      <c r="D34" s="537" t="s">
        <v>225</v>
      </c>
      <c r="E34" s="321" t="s">
        <v>277</v>
      </c>
      <c r="F34" s="321" t="s">
        <v>319</v>
      </c>
      <c r="G34" s="321" t="s">
        <v>226</v>
      </c>
      <c r="H34" s="321" t="s">
        <v>345</v>
      </c>
      <c r="I34" s="321" t="s">
        <v>344</v>
      </c>
      <c r="J34" s="321" t="s">
        <v>16</v>
      </c>
      <c r="K34" s="321" t="s">
        <v>70</v>
      </c>
      <c r="L34" s="322"/>
      <c r="M34" s="321" t="s">
        <v>41</v>
      </c>
      <c r="N34" s="321" t="s">
        <v>71</v>
      </c>
      <c r="O34" s="321" t="s">
        <v>342</v>
      </c>
      <c r="P34" s="321" t="s">
        <v>612</v>
      </c>
      <c r="Q34" s="321"/>
      <c r="R34" s="319"/>
      <c r="S34" s="323">
        <f>2*12</f>
        <v>24</v>
      </c>
      <c r="V34" s="309"/>
      <c r="W34" s="309"/>
      <c r="X34" s="309"/>
      <c r="Y34" s="309"/>
      <c r="Z34" s="310"/>
      <c r="AA34" s="238"/>
    </row>
    <row r="35" spans="1:27" s="237" customFormat="1" ht="45.75" customHeight="1" x14ac:dyDescent="0.15">
      <c r="A35" s="217"/>
      <c r="B35" s="320"/>
      <c r="C35" s="320"/>
      <c r="D35" s="538"/>
      <c r="E35" s="322"/>
      <c r="F35" s="324" t="s">
        <v>117</v>
      </c>
      <c r="G35" s="322"/>
      <c r="H35" s="321"/>
      <c r="I35" s="322"/>
      <c r="J35" s="321" t="s">
        <v>42</v>
      </c>
      <c r="K35" s="321"/>
      <c r="L35" s="322"/>
      <c r="M35" s="321" t="s">
        <v>227</v>
      </c>
      <c r="N35" s="322" t="s">
        <v>14</v>
      </c>
      <c r="O35" s="321" t="s">
        <v>228</v>
      </c>
      <c r="P35" s="321"/>
      <c r="Q35" s="321"/>
      <c r="R35" s="325"/>
      <c r="S35" s="326"/>
      <c r="V35" s="309"/>
      <c r="W35" s="309"/>
      <c r="X35" s="309"/>
      <c r="Y35" s="309"/>
      <c r="Z35" s="218"/>
      <c r="AA35" s="238"/>
    </row>
    <row r="36" spans="1:27" ht="27.95" customHeight="1" x14ac:dyDescent="0.15">
      <c r="D36" s="327" t="s">
        <v>229</v>
      </c>
      <c r="E36" s="328" t="s">
        <v>339</v>
      </c>
      <c r="F36" s="322"/>
      <c r="G36" s="322" t="s">
        <v>66</v>
      </c>
      <c r="H36" s="329"/>
      <c r="I36" s="328" t="s">
        <v>230</v>
      </c>
      <c r="J36" s="322"/>
      <c r="K36" s="322"/>
      <c r="L36" s="322"/>
      <c r="M36" s="322"/>
      <c r="N36" s="329"/>
      <c r="O36" s="322"/>
      <c r="P36" s="322"/>
      <c r="Q36" s="322" t="s">
        <v>231</v>
      </c>
      <c r="R36" s="330"/>
      <c r="S36" s="326">
        <v>4</v>
      </c>
      <c r="U36" s="217"/>
      <c r="V36" s="309"/>
      <c r="W36" s="309"/>
      <c r="X36" s="309"/>
      <c r="Y36" s="309"/>
      <c r="Z36" s="310"/>
    </row>
    <row r="37" spans="1:27" s="291" customFormat="1" ht="42" customHeight="1" x14ac:dyDescent="0.15">
      <c r="A37" s="217"/>
      <c r="B37" s="320"/>
      <c r="C37" s="320"/>
      <c r="D37" s="327" t="s">
        <v>232</v>
      </c>
      <c r="E37" s="321" t="s">
        <v>320</v>
      </c>
      <c r="F37" s="321" t="s">
        <v>336</v>
      </c>
      <c r="G37" s="321" t="s">
        <v>301</v>
      </c>
      <c r="H37" s="321" t="s">
        <v>321</v>
      </c>
      <c r="I37" s="321" t="s">
        <v>249</v>
      </c>
      <c r="J37" s="321" t="s">
        <v>43</v>
      </c>
      <c r="K37" s="321" t="s">
        <v>246</v>
      </c>
      <c r="L37" s="322"/>
      <c r="M37" s="321" t="s">
        <v>322</v>
      </c>
      <c r="N37" s="321" t="s">
        <v>323</v>
      </c>
      <c r="O37" s="321" t="s">
        <v>72</v>
      </c>
      <c r="P37" s="331" t="s">
        <v>303</v>
      </c>
      <c r="Q37" s="321" t="s">
        <v>44</v>
      </c>
      <c r="R37" s="330"/>
      <c r="S37" s="332">
        <v>20</v>
      </c>
      <c r="V37" s="309"/>
      <c r="W37" s="309"/>
      <c r="X37" s="309"/>
      <c r="Y37" s="309"/>
      <c r="Z37" s="218"/>
      <c r="AA37" s="292"/>
    </row>
    <row r="38" spans="1:27" ht="42" customHeight="1" x14ac:dyDescent="0.15">
      <c r="D38" s="333" t="s">
        <v>233</v>
      </c>
      <c r="E38" s="321" t="s">
        <v>250</v>
      </c>
      <c r="F38" s="321" t="s">
        <v>245</v>
      </c>
      <c r="G38" s="321" t="s">
        <v>234</v>
      </c>
      <c r="H38" s="321" t="s">
        <v>766</v>
      </c>
      <c r="I38" s="321" t="s">
        <v>67</v>
      </c>
      <c r="J38" s="321" t="s">
        <v>235</v>
      </c>
      <c r="K38" s="321" t="s">
        <v>45</v>
      </c>
      <c r="L38" s="334"/>
      <c r="M38" s="321" t="s">
        <v>247</v>
      </c>
      <c r="N38" s="321" t="s">
        <v>270</v>
      </c>
      <c r="O38" s="321" t="s">
        <v>302</v>
      </c>
      <c r="P38" s="321" t="s">
        <v>248</v>
      </c>
      <c r="Q38" s="321" t="s">
        <v>46</v>
      </c>
      <c r="R38" s="335"/>
      <c r="S38" s="332">
        <v>23</v>
      </c>
      <c r="U38" s="217"/>
      <c r="V38" s="309"/>
      <c r="W38" s="309"/>
      <c r="X38" s="309"/>
      <c r="Y38" s="309"/>
      <c r="Z38" s="336"/>
    </row>
    <row r="39" spans="1:27" ht="9.9499999999999993" customHeight="1" x14ac:dyDescent="0.15">
      <c r="D39" s="539"/>
      <c r="E39" s="539"/>
      <c r="F39" s="539"/>
      <c r="G39" s="539"/>
      <c r="H39" s="539"/>
      <c r="I39" s="539"/>
      <c r="J39" s="539"/>
      <c r="K39" s="539"/>
      <c r="L39" s="539"/>
      <c r="M39" s="539"/>
      <c r="N39" s="539"/>
      <c r="O39" s="539"/>
      <c r="P39" s="539"/>
      <c r="Q39" s="539"/>
      <c r="R39" s="539"/>
      <c r="S39" s="332">
        <f>S34+S36+S37+S38</f>
        <v>71</v>
      </c>
      <c r="U39" s="217"/>
      <c r="V39" s="309"/>
      <c r="W39" s="309"/>
      <c r="X39" s="309"/>
      <c r="Y39" s="309"/>
    </row>
    <row r="40" spans="1:27" ht="21" customHeight="1" x14ac:dyDescent="0.15">
      <c r="D40" s="337"/>
      <c r="E40" s="338" t="s">
        <v>0</v>
      </c>
      <c r="F40" s="339" t="s">
        <v>1</v>
      </c>
      <c r="G40" s="339" t="s">
        <v>2</v>
      </c>
      <c r="H40" s="340" t="s">
        <v>3</v>
      </c>
      <c r="I40" s="341" t="s">
        <v>47</v>
      </c>
      <c r="J40" s="339" t="s">
        <v>5</v>
      </c>
      <c r="K40" s="339" t="s">
        <v>6</v>
      </c>
      <c r="L40" s="317"/>
      <c r="M40" s="339" t="s">
        <v>8</v>
      </c>
      <c r="N40" s="339" t="s">
        <v>9</v>
      </c>
      <c r="O40" s="341" t="s">
        <v>10</v>
      </c>
      <c r="P40" s="339" t="s">
        <v>11</v>
      </c>
      <c r="Q40" s="339" t="s">
        <v>12</v>
      </c>
      <c r="R40" s="342" t="s">
        <v>48</v>
      </c>
      <c r="S40" s="343" t="s">
        <v>263</v>
      </c>
    </row>
    <row r="41" spans="1:27" ht="39.950000000000003" customHeight="1" x14ac:dyDescent="0.15">
      <c r="D41" s="344" t="s">
        <v>49</v>
      </c>
      <c r="E41" s="345"/>
      <c r="F41" s="346"/>
      <c r="G41" s="346"/>
      <c r="H41" s="347"/>
      <c r="I41" s="348" t="s">
        <v>262</v>
      </c>
      <c r="J41" s="346"/>
      <c r="K41" s="348" t="s">
        <v>55</v>
      </c>
      <c r="L41" s="349"/>
      <c r="M41" s="346"/>
      <c r="N41" s="346"/>
      <c r="O41" s="350"/>
      <c r="P41" s="346"/>
      <c r="Q41" s="346"/>
      <c r="R41" s="351"/>
      <c r="S41" s="352"/>
      <c r="U41" s="540" t="s">
        <v>236</v>
      </c>
      <c r="V41" s="540"/>
      <c r="W41" s="540"/>
      <c r="X41" s="433"/>
      <c r="Y41" s="433"/>
      <c r="Z41" s="433"/>
    </row>
    <row r="42" spans="1:27" ht="39.950000000000003" customHeight="1" x14ac:dyDescent="0.15">
      <c r="D42" s="353" t="s">
        <v>50</v>
      </c>
      <c r="E42" s="354"/>
      <c r="F42" s="282"/>
      <c r="G42" s="282"/>
      <c r="H42" s="234"/>
      <c r="I42" s="355" t="s">
        <v>55</v>
      </c>
      <c r="J42" s="234"/>
      <c r="K42" s="282" t="s">
        <v>56</v>
      </c>
      <c r="L42" s="322"/>
      <c r="M42" s="355" t="s">
        <v>265</v>
      </c>
      <c r="N42" s="234"/>
      <c r="O42" s="282" t="s">
        <v>261</v>
      </c>
      <c r="P42" s="282"/>
      <c r="Q42" s="234"/>
      <c r="R42" s="356"/>
      <c r="S42" s="357"/>
      <c r="U42" s="433"/>
      <c r="V42" s="433"/>
      <c r="W42" s="433"/>
      <c r="X42" s="433"/>
      <c r="Y42" s="433"/>
      <c r="Z42" s="433"/>
      <c r="AA42" s="358"/>
    </row>
    <row r="43" spans="1:27" ht="39.950000000000003" customHeight="1" x14ac:dyDescent="0.15">
      <c r="D43" s="344" t="s">
        <v>51</v>
      </c>
      <c r="E43" s="354"/>
      <c r="F43" s="234" t="s">
        <v>293</v>
      </c>
      <c r="G43" s="282" t="s">
        <v>266</v>
      </c>
      <c r="H43" s="355"/>
      <c r="I43" s="355" t="s">
        <v>306</v>
      </c>
      <c r="J43" s="355" t="s">
        <v>282</v>
      </c>
      <c r="K43" s="355"/>
      <c r="L43" s="243"/>
      <c r="M43" s="355" t="s">
        <v>59</v>
      </c>
      <c r="N43" s="234" t="s">
        <v>58</v>
      </c>
      <c r="O43" s="282"/>
      <c r="P43" s="234"/>
      <c r="Q43" s="359" t="s">
        <v>57</v>
      </c>
      <c r="R43" s="360"/>
      <c r="S43" s="361"/>
      <c r="U43" s="433"/>
      <c r="V43" s="433"/>
      <c r="W43" s="433"/>
      <c r="X43" s="433"/>
      <c r="Y43" s="433"/>
      <c r="Z43" s="433"/>
      <c r="AA43" s="358"/>
    </row>
    <row r="44" spans="1:27" ht="39.950000000000003" customHeight="1" x14ac:dyDescent="0.15">
      <c r="D44" s="353" t="s">
        <v>52</v>
      </c>
      <c r="E44" s="354"/>
      <c r="F44" s="282"/>
      <c r="G44" s="282"/>
      <c r="H44" s="234"/>
      <c r="I44" s="234"/>
      <c r="J44" s="234"/>
      <c r="K44" s="282"/>
      <c r="L44" s="322"/>
      <c r="M44" s="282" t="s">
        <v>54</v>
      </c>
      <c r="N44" s="282"/>
      <c r="O44" s="282"/>
      <c r="P44" s="282"/>
      <c r="Q44" s="282" t="s">
        <v>264</v>
      </c>
      <c r="R44" s="356"/>
      <c r="S44" s="357"/>
      <c r="U44" s="433"/>
      <c r="V44" s="433"/>
      <c r="W44" s="433"/>
      <c r="X44" s="433"/>
      <c r="Y44" s="433"/>
      <c r="Z44" s="433"/>
      <c r="AA44" s="358"/>
    </row>
    <row r="45" spans="1:27" ht="39.950000000000003" customHeight="1" x14ac:dyDescent="0.15">
      <c r="D45" s="362" t="s">
        <v>53</v>
      </c>
      <c r="E45" s="363"/>
      <c r="F45" s="364"/>
      <c r="G45" s="365"/>
      <c r="H45" s="364"/>
      <c r="I45" s="364"/>
      <c r="J45" s="364"/>
      <c r="K45" s="364"/>
      <c r="L45" s="334"/>
      <c r="M45" s="364"/>
      <c r="N45" s="364"/>
      <c r="O45" s="364"/>
      <c r="P45" s="365"/>
      <c r="Q45" s="364"/>
      <c r="R45" s="366"/>
      <c r="S45" s="367"/>
      <c r="U45" s="433"/>
      <c r="V45" s="433"/>
      <c r="W45" s="433"/>
      <c r="X45" s="433"/>
      <c r="Y45" s="433"/>
      <c r="Z45" s="433"/>
      <c r="AA45" s="358"/>
    </row>
    <row r="46" spans="1:27" ht="27.95" customHeight="1" x14ac:dyDescent="0.15">
      <c r="C46" s="217"/>
      <c r="D46" s="217"/>
      <c r="K46" s="320"/>
      <c r="L46" s="320"/>
      <c r="M46" s="320"/>
      <c r="N46" s="320"/>
      <c r="O46" s="320"/>
      <c r="P46" s="320"/>
      <c r="Q46" s="320"/>
      <c r="S46" s="320"/>
      <c r="U46" s="433"/>
      <c r="V46" s="433"/>
      <c r="W46" s="433"/>
      <c r="X46" s="433"/>
      <c r="Y46" s="433"/>
      <c r="Z46" s="433"/>
      <c r="AA46" s="358"/>
    </row>
    <row r="47" spans="1:27" ht="27.95" customHeight="1" x14ac:dyDescent="0.15">
      <c r="R47" s="369"/>
      <c r="S47" s="320"/>
      <c r="AA47" s="358"/>
    </row>
    <row r="48" spans="1:27" ht="16.5" customHeight="1" x14ac:dyDescent="0.15">
      <c r="R48" s="369"/>
    </row>
    <row r="49" spans="1:27" s="329" customFormat="1" ht="16.5" customHeight="1" x14ac:dyDescent="0.15">
      <c r="A49" s="217"/>
      <c r="B49" s="370"/>
      <c r="C49" s="320"/>
      <c r="D49" s="320"/>
      <c r="E49" s="320"/>
      <c r="F49" s="320"/>
      <c r="G49" s="320"/>
      <c r="H49" s="320"/>
      <c r="I49" s="320"/>
      <c r="J49" s="320"/>
      <c r="K49" s="320"/>
      <c r="M49" s="217"/>
      <c r="N49" s="217"/>
      <c r="O49" s="217"/>
      <c r="P49" s="217"/>
      <c r="Q49" s="217"/>
      <c r="R49" s="368"/>
      <c r="S49" s="217"/>
      <c r="T49" s="217"/>
      <c r="U49" s="218"/>
      <c r="V49" s="218"/>
      <c r="W49" s="218"/>
      <c r="X49" s="218"/>
      <c r="Y49" s="218"/>
      <c r="Z49" s="218"/>
      <c r="AA49" s="219"/>
    </row>
    <row r="50" spans="1:27" s="329" customFormat="1" ht="16.5" customHeight="1" x14ac:dyDescent="0.15">
      <c r="A50" s="217"/>
      <c r="B50" s="320"/>
      <c r="C50" s="320"/>
      <c r="D50" s="320"/>
      <c r="E50" s="320"/>
      <c r="F50" s="320"/>
      <c r="G50" s="320"/>
      <c r="H50" s="320"/>
      <c r="I50" s="320"/>
      <c r="J50" s="320"/>
      <c r="K50" s="320"/>
      <c r="M50" s="217"/>
      <c r="N50" s="217"/>
      <c r="O50" s="217"/>
      <c r="P50" s="217"/>
      <c r="Q50" s="217"/>
      <c r="R50" s="368"/>
      <c r="S50" s="217"/>
      <c r="T50" s="217"/>
      <c r="U50" s="218"/>
      <c r="V50" s="218"/>
      <c r="W50" s="218"/>
      <c r="X50" s="218"/>
      <c r="Y50" s="218"/>
      <c r="Z50" s="218"/>
      <c r="AA50" s="219"/>
    </row>
    <row r="51" spans="1:27" s="329" customFormat="1" ht="17.25" customHeight="1" x14ac:dyDescent="0.15">
      <c r="A51" s="217"/>
      <c r="B51" s="320"/>
      <c r="C51" s="320"/>
      <c r="D51" s="320"/>
      <c r="E51" s="320"/>
      <c r="F51" s="320"/>
      <c r="G51" s="320"/>
      <c r="H51" s="320"/>
      <c r="I51" s="320"/>
      <c r="J51" s="320"/>
      <c r="K51" s="320"/>
      <c r="M51" s="217"/>
      <c r="N51" s="217"/>
      <c r="O51" s="217"/>
      <c r="P51" s="217"/>
      <c r="Q51" s="217"/>
      <c r="R51" s="368"/>
      <c r="S51" s="217"/>
      <c r="T51" s="217"/>
      <c r="U51" s="218"/>
      <c r="V51" s="218"/>
      <c r="W51" s="218"/>
      <c r="X51" s="218"/>
      <c r="Y51" s="218"/>
      <c r="Z51" s="218"/>
      <c r="AA51" s="219"/>
    </row>
    <row r="52" spans="1:27" s="329" customFormat="1" x14ac:dyDescent="0.15">
      <c r="A52" s="217"/>
      <c r="B52" s="320"/>
      <c r="C52" s="320"/>
      <c r="D52" s="320"/>
      <c r="E52" s="320"/>
      <c r="F52" s="320"/>
      <c r="G52" s="320"/>
      <c r="H52" s="320"/>
      <c r="I52" s="320"/>
      <c r="J52" s="320"/>
      <c r="K52" s="320"/>
      <c r="M52" s="217"/>
      <c r="N52" s="217"/>
      <c r="O52" s="217"/>
      <c r="P52" s="217"/>
      <c r="Q52" s="217"/>
      <c r="R52" s="368"/>
      <c r="S52" s="217"/>
      <c r="T52" s="217"/>
      <c r="U52" s="218"/>
      <c r="V52" s="218"/>
      <c r="W52" s="218"/>
      <c r="X52" s="218"/>
      <c r="Y52" s="218"/>
      <c r="Z52" s="218"/>
      <c r="AA52" s="219"/>
    </row>
    <row r="53" spans="1:27" s="329" customFormat="1" ht="16.5" customHeight="1" x14ac:dyDescent="0.15">
      <c r="A53" s="217"/>
      <c r="B53" s="320"/>
      <c r="C53" s="320"/>
      <c r="D53" s="320"/>
      <c r="E53" s="320"/>
      <c r="F53" s="320"/>
      <c r="G53" s="320"/>
      <c r="H53" s="320"/>
      <c r="I53" s="320"/>
      <c r="J53" s="320"/>
      <c r="K53" s="320"/>
      <c r="M53" s="217"/>
      <c r="N53" s="217"/>
      <c r="O53" s="217"/>
      <c r="P53" s="217"/>
      <c r="Q53" s="217"/>
      <c r="R53" s="368"/>
      <c r="S53" s="217"/>
      <c r="T53" s="217"/>
      <c r="U53" s="218"/>
      <c r="V53" s="218"/>
      <c r="W53" s="218"/>
      <c r="X53" s="218"/>
      <c r="Y53" s="218"/>
      <c r="Z53" s="218"/>
      <c r="AA53" s="219"/>
    </row>
    <row r="54" spans="1:27" s="329" customFormat="1" x14ac:dyDescent="0.15">
      <c r="A54" s="217"/>
      <c r="B54" s="320"/>
      <c r="C54" s="320"/>
      <c r="D54" s="320"/>
      <c r="E54" s="320"/>
      <c r="F54" s="320"/>
      <c r="G54" s="320"/>
      <c r="H54" s="320"/>
      <c r="I54" s="320"/>
      <c r="J54" s="320"/>
      <c r="K54" s="320"/>
      <c r="M54" s="217"/>
      <c r="N54" s="217"/>
      <c r="O54" s="217"/>
      <c r="P54" s="217"/>
      <c r="Q54" s="217"/>
      <c r="R54" s="368"/>
      <c r="S54" s="217"/>
      <c r="T54" s="217"/>
      <c r="U54" s="218"/>
      <c r="V54" s="218"/>
      <c r="W54" s="218"/>
      <c r="X54" s="218"/>
      <c r="Y54" s="218"/>
      <c r="Z54" s="218"/>
      <c r="AA54" s="219"/>
    </row>
    <row r="55" spans="1:27" s="329" customFormat="1" x14ac:dyDescent="0.15">
      <c r="A55" s="217"/>
      <c r="B55" s="320"/>
      <c r="C55" s="320"/>
      <c r="D55" s="320"/>
      <c r="E55" s="320"/>
      <c r="F55" s="320"/>
      <c r="G55" s="320"/>
      <c r="H55" s="320"/>
      <c r="I55" s="320"/>
      <c r="J55" s="320"/>
      <c r="K55" s="320"/>
      <c r="M55" s="217"/>
      <c r="N55" s="217"/>
      <c r="O55" s="217"/>
      <c r="P55" s="217"/>
      <c r="Q55" s="217"/>
      <c r="R55" s="368"/>
      <c r="S55" s="217"/>
      <c r="T55" s="217"/>
      <c r="U55" s="218"/>
      <c r="V55" s="218"/>
      <c r="W55" s="218"/>
      <c r="X55" s="218"/>
      <c r="Y55" s="218"/>
      <c r="Z55" s="218"/>
      <c r="AA55" s="219"/>
    </row>
    <row r="56" spans="1:27" s="329" customFormat="1" x14ac:dyDescent="0.15">
      <c r="A56" s="217"/>
      <c r="B56" s="320"/>
      <c r="C56" s="320"/>
      <c r="D56" s="320"/>
      <c r="E56" s="320"/>
      <c r="F56" s="320"/>
      <c r="G56" s="320"/>
      <c r="H56" s="320"/>
      <c r="I56" s="320"/>
      <c r="J56" s="320"/>
      <c r="K56" s="320"/>
      <c r="M56" s="217"/>
      <c r="N56" s="217"/>
      <c r="O56" s="217"/>
      <c r="P56" s="217"/>
      <c r="Q56" s="217"/>
      <c r="R56" s="368"/>
      <c r="S56" s="217"/>
      <c r="T56" s="217"/>
      <c r="U56" s="218"/>
      <c r="V56" s="218"/>
      <c r="W56" s="218"/>
      <c r="X56" s="218"/>
      <c r="Y56" s="218"/>
      <c r="Z56" s="218"/>
      <c r="AA56" s="219"/>
    </row>
    <row r="57" spans="1:27" s="329" customFormat="1" ht="16.5" customHeight="1" x14ac:dyDescent="0.15">
      <c r="A57" s="217"/>
      <c r="B57" s="320"/>
      <c r="C57" s="320"/>
      <c r="D57" s="320"/>
      <c r="E57" s="320"/>
      <c r="F57" s="320"/>
      <c r="G57" s="320"/>
      <c r="H57" s="320"/>
      <c r="I57" s="320"/>
      <c r="J57" s="320"/>
      <c r="K57" s="320"/>
      <c r="M57" s="217"/>
      <c r="N57" s="217"/>
      <c r="O57" s="217"/>
      <c r="P57" s="217"/>
      <c r="Q57" s="217"/>
      <c r="R57" s="368"/>
      <c r="S57" s="217"/>
      <c r="T57" s="217"/>
      <c r="U57" s="218"/>
      <c r="V57" s="218"/>
      <c r="W57" s="218"/>
      <c r="X57" s="218"/>
      <c r="Y57" s="218"/>
      <c r="Z57" s="218"/>
      <c r="AA57" s="219"/>
    </row>
    <row r="58" spans="1:27" s="329" customFormat="1" x14ac:dyDescent="0.15">
      <c r="A58" s="217"/>
      <c r="B58" s="320"/>
      <c r="C58" s="320"/>
      <c r="D58" s="320"/>
      <c r="E58" s="320"/>
      <c r="F58" s="320"/>
      <c r="G58" s="320"/>
      <c r="H58" s="320"/>
      <c r="I58" s="320"/>
      <c r="J58" s="320"/>
      <c r="K58" s="320"/>
      <c r="M58" s="217"/>
      <c r="N58" s="217"/>
      <c r="O58" s="217"/>
      <c r="P58" s="217"/>
      <c r="Q58" s="217"/>
      <c r="R58" s="368"/>
      <c r="S58" s="217"/>
      <c r="T58" s="217"/>
      <c r="U58" s="218"/>
      <c r="V58" s="218"/>
      <c r="W58" s="218"/>
      <c r="X58" s="218"/>
      <c r="Y58" s="218"/>
      <c r="Z58" s="218"/>
      <c r="AA58" s="219"/>
    </row>
    <row r="59" spans="1:27" s="329" customFormat="1" x14ac:dyDescent="0.15">
      <c r="A59" s="217"/>
      <c r="B59" s="320"/>
      <c r="C59" s="320"/>
      <c r="D59" s="320"/>
      <c r="E59" s="320"/>
      <c r="F59" s="320"/>
      <c r="G59" s="320"/>
      <c r="H59" s="320"/>
      <c r="I59" s="320"/>
      <c r="J59" s="320"/>
      <c r="K59" s="320"/>
      <c r="M59" s="217"/>
      <c r="N59" s="217"/>
      <c r="O59" s="217"/>
      <c r="P59" s="217"/>
      <c r="Q59" s="217"/>
      <c r="R59" s="368"/>
      <c r="S59" s="217"/>
      <c r="T59" s="217"/>
      <c r="U59" s="218"/>
      <c r="V59" s="218"/>
      <c r="W59" s="218"/>
      <c r="X59" s="218"/>
      <c r="Y59" s="218"/>
      <c r="Z59" s="218"/>
      <c r="AA59" s="219"/>
    </row>
    <row r="60" spans="1:27" s="329" customFormat="1" x14ac:dyDescent="0.15">
      <c r="A60" s="217"/>
      <c r="B60" s="320"/>
      <c r="C60" s="320"/>
      <c r="D60" s="320"/>
      <c r="E60" s="217"/>
      <c r="F60" s="217"/>
      <c r="G60" s="217"/>
      <c r="H60" s="217"/>
      <c r="I60" s="217"/>
      <c r="J60" s="217"/>
      <c r="K60" s="217"/>
      <c r="M60" s="217"/>
      <c r="N60" s="217"/>
      <c r="O60" s="217"/>
      <c r="P60" s="217"/>
      <c r="Q60" s="217"/>
      <c r="R60" s="368"/>
      <c r="S60" s="217"/>
      <c r="T60" s="217"/>
      <c r="U60" s="218"/>
      <c r="V60" s="218"/>
      <c r="W60" s="218"/>
      <c r="X60" s="218"/>
      <c r="Y60" s="218"/>
      <c r="Z60" s="218"/>
      <c r="AA60" s="219"/>
    </row>
    <row r="72" ht="16.5" customHeight="1" x14ac:dyDescent="0.15"/>
    <row r="74" ht="16.5" customHeight="1" x14ac:dyDescent="0.15"/>
    <row r="76" ht="16.5" customHeight="1" x14ac:dyDescent="0.15"/>
    <row r="78" ht="16.5" customHeight="1" x14ac:dyDescent="0.15"/>
  </sheetData>
  <mergeCells count="29">
    <mergeCell ref="D34:D35"/>
    <mergeCell ref="D39:R39"/>
    <mergeCell ref="U41:W41"/>
    <mergeCell ref="P22:Q24"/>
    <mergeCell ref="U22:Z22"/>
    <mergeCell ref="U23:Z29"/>
    <mergeCell ref="C25:D25"/>
    <mergeCell ref="C26:D27"/>
    <mergeCell ref="A29:A30"/>
    <mergeCell ref="B29:B30"/>
    <mergeCell ref="C29:D31"/>
    <mergeCell ref="U30:Z31"/>
    <mergeCell ref="E31:F31"/>
    <mergeCell ref="P9:Q13"/>
    <mergeCell ref="U9:Z17"/>
    <mergeCell ref="C14:D15"/>
    <mergeCell ref="C16:D21"/>
    <mergeCell ref="U18:Z18"/>
    <mergeCell ref="E19:F19"/>
    <mergeCell ref="M19:Q19"/>
    <mergeCell ref="U19:Z21"/>
    <mergeCell ref="E20:F20"/>
    <mergeCell ref="A1:Q1"/>
    <mergeCell ref="A2:Q2"/>
    <mergeCell ref="U2:Z3"/>
    <mergeCell ref="C4:D8"/>
    <mergeCell ref="U4:Z4"/>
    <mergeCell ref="U5:Z7"/>
    <mergeCell ref="U8:Z8"/>
  </mergeCells>
  <phoneticPr fontId="3" type="noConversion"/>
  <conditionalFormatting sqref="O91:O92">
    <cfRule type="uniqueValues" dxfId="23" priority="3"/>
  </conditionalFormatting>
  <conditionalFormatting sqref="M85:M86">
    <cfRule type="uniqueValues" dxfId="22" priority="2"/>
  </conditionalFormatting>
  <conditionalFormatting sqref="N91:N92">
    <cfRule type="uniqueValues" dxfId="21" priority="1"/>
  </conditionalFormatting>
  <printOptions horizontalCentered="1"/>
  <pageMargins left="0" right="0" top="0" bottom="0" header="0" footer="0"/>
  <pageSetup paperSize="9" scale="29" orientation="portrait" horizontalDpi="4294967293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78"/>
  <sheetViews>
    <sheetView topLeftCell="A20" zoomScale="85" zoomScaleNormal="85" zoomScalePageLayoutView="80" workbookViewId="0">
      <selection activeCell="Q30" sqref="Q30"/>
    </sheetView>
  </sheetViews>
  <sheetFormatPr defaultRowHeight="16.5" x14ac:dyDescent="0.15"/>
  <cols>
    <col min="1" max="1" width="4.33203125" style="217" customWidth="1"/>
    <col min="2" max="2" width="13.33203125" style="320" customWidth="1"/>
    <col min="3" max="4" width="15.83203125" style="320" customWidth="1"/>
    <col min="5" max="11" width="15.83203125" style="217" customWidth="1"/>
    <col min="12" max="12" width="3.5" style="329" customWidth="1"/>
    <col min="13" max="17" width="15.83203125" style="217" customWidth="1"/>
    <col min="18" max="18" width="15.83203125" style="368" customWidth="1"/>
    <col min="19" max="19" width="15.83203125" style="217" customWidth="1"/>
    <col min="20" max="20" width="2.1640625" style="217" customWidth="1"/>
    <col min="21" max="26" width="10.83203125" style="218" customWidth="1"/>
    <col min="27" max="27" width="10" style="219" bestFit="1" customWidth="1"/>
    <col min="28" max="16384" width="9.33203125" style="217"/>
  </cols>
  <sheetData>
    <row r="1" spans="1:27" ht="16.5" hidden="1" customHeight="1" x14ac:dyDescent="0.15">
      <c r="A1" s="606" t="s">
        <v>74</v>
      </c>
      <c r="B1" s="607"/>
      <c r="C1" s="607"/>
      <c r="D1" s="607"/>
      <c r="E1" s="607"/>
      <c r="F1" s="607"/>
      <c r="G1" s="607"/>
      <c r="H1" s="607"/>
      <c r="I1" s="607"/>
      <c r="J1" s="607"/>
      <c r="K1" s="607"/>
      <c r="L1" s="607"/>
      <c r="M1" s="607"/>
      <c r="N1" s="607"/>
      <c r="O1" s="607"/>
      <c r="P1" s="607"/>
      <c r="Q1" s="608"/>
      <c r="R1" s="216"/>
    </row>
    <row r="2" spans="1:27" ht="18" customHeight="1" x14ac:dyDescent="0.15">
      <c r="A2" s="609" t="s">
        <v>786</v>
      </c>
      <c r="B2" s="610"/>
      <c r="C2" s="610"/>
      <c r="D2" s="610"/>
      <c r="E2" s="610"/>
      <c r="F2" s="610"/>
      <c r="G2" s="610"/>
      <c r="H2" s="610"/>
      <c r="I2" s="610"/>
      <c r="J2" s="610"/>
      <c r="K2" s="610"/>
      <c r="L2" s="610"/>
      <c r="M2" s="610"/>
      <c r="N2" s="610"/>
      <c r="O2" s="610"/>
      <c r="P2" s="610"/>
      <c r="Q2" s="610"/>
      <c r="R2" s="220"/>
      <c r="U2" s="540"/>
      <c r="V2" s="540"/>
      <c r="W2" s="540"/>
      <c r="X2" s="540"/>
      <c r="Y2" s="540"/>
      <c r="Z2" s="540"/>
    </row>
    <row r="3" spans="1:27" ht="21" customHeight="1" thickBot="1" x14ac:dyDescent="0.2">
      <c r="A3" s="221"/>
      <c r="B3" s="222" t="s">
        <v>75</v>
      </c>
      <c r="C3" s="223" t="s">
        <v>76</v>
      </c>
      <c r="D3" s="223" t="s">
        <v>77</v>
      </c>
      <c r="E3" s="224" t="s">
        <v>0</v>
      </c>
      <c r="F3" s="224" t="s">
        <v>1</v>
      </c>
      <c r="G3" s="223" t="s">
        <v>2</v>
      </c>
      <c r="H3" s="223" t="s">
        <v>3</v>
      </c>
      <c r="I3" s="224" t="s">
        <v>4</v>
      </c>
      <c r="J3" s="223" t="s">
        <v>5</v>
      </c>
      <c r="K3" s="223" t="s">
        <v>6</v>
      </c>
      <c r="L3" s="225" t="s">
        <v>7</v>
      </c>
      <c r="M3" s="224" t="s">
        <v>8</v>
      </c>
      <c r="N3" s="223" t="s">
        <v>9</v>
      </c>
      <c r="O3" s="223" t="s">
        <v>10</v>
      </c>
      <c r="P3" s="223" t="s">
        <v>11</v>
      </c>
      <c r="Q3" s="223" t="s">
        <v>12</v>
      </c>
      <c r="R3" s="226">
        <f>AVERAGE(R4:R32)</f>
        <v>0.9324633699633702</v>
      </c>
      <c r="U3" s="611"/>
      <c r="V3" s="611"/>
      <c r="W3" s="611"/>
      <c r="X3" s="611"/>
      <c r="Y3" s="611"/>
      <c r="Z3" s="611"/>
    </row>
    <row r="4" spans="1:27" s="237" customFormat="1" ht="27.95" customHeight="1" thickBot="1" x14ac:dyDescent="0.2">
      <c r="A4" s="227">
        <v>1</v>
      </c>
      <c r="B4" s="228" t="s">
        <v>122</v>
      </c>
      <c r="C4" s="604"/>
      <c r="D4" s="605"/>
      <c r="E4" s="229" t="s">
        <v>252</v>
      </c>
      <c r="F4" s="229" t="s">
        <v>253</v>
      </c>
      <c r="G4" s="230" t="s">
        <v>287</v>
      </c>
      <c r="H4" s="231" t="s">
        <v>382</v>
      </c>
      <c r="I4" s="229" t="s">
        <v>724</v>
      </c>
      <c r="J4" s="232" t="s">
        <v>125</v>
      </c>
      <c r="K4" s="229" t="s">
        <v>126</v>
      </c>
      <c r="L4" s="233"/>
      <c r="M4" s="234" t="s">
        <v>91</v>
      </c>
      <c r="N4" s="231" t="s">
        <v>109</v>
      </c>
      <c r="O4" s="241" t="s">
        <v>706</v>
      </c>
      <c r="P4" s="231" t="s">
        <v>87</v>
      </c>
      <c r="Q4" s="231" t="s">
        <v>88</v>
      </c>
      <c r="R4" s="235">
        <f>(COUNTA(C4:Q4))/12</f>
        <v>1</v>
      </c>
      <c r="S4" s="448"/>
      <c r="U4" s="612" t="s">
        <v>313</v>
      </c>
      <c r="V4" s="613"/>
      <c r="W4" s="613"/>
      <c r="X4" s="613"/>
      <c r="Y4" s="613"/>
      <c r="Z4" s="614"/>
      <c r="AA4" s="238"/>
    </row>
    <row r="5" spans="1:27" s="237" customFormat="1" ht="27.95" customHeight="1" x14ac:dyDescent="0.15">
      <c r="A5" s="239">
        <v>2</v>
      </c>
      <c r="B5" s="240" t="s">
        <v>89</v>
      </c>
      <c r="C5" s="598"/>
      <c r="D5" s="599"/>
      <c r="E5" s="229" t="s">
        <v>271</v>
      </c>
      <c r="F5" s="229" t="s">
        <v>90</v>
      </c>
      <c r="G5" s="229" t="s">
        <v>91</v>
      </c>
      <c r="H5" s="231" t="s">
        <v>106</v>
      </c>
      <c r="I5" s="241" t="s">
        <v>240</v>
      </c>
      <c r="J5" s="229" t="s">
        <v>92</v>
      </c>
      <c r="K5" s="229" t="s">
        <v>93</v>
      </c>
      <c r="L5" s="231"/>
      <c r="M5" s="229" t="s">
        <v>756</v>
      </c>
      <c r="N5" s="229" t="s">
        <v>94</v>
      </c>
      <c r="O5" s="234" t="s">
        <v>82</v>
      </c>
      <c r="P5" s="229" t="s">
        <v>95</v>
      </c>
      <c r="Q5" s="5" t="s">
        <v>711</v>
      </c>
      <c r="R5" s="235">
        <f>(COUNTA(C5:Q5))/12</f>
        <v>1</v>
      </c>
      <c r="S5" s="448"/>
      <c r="U5" s="615"/>
      <c r="V5" s="616"/>
      <c r="W5" s="616"/>
      <c r="X5" s="616"/>
      <c r="Y5" s="616"/>
      <c r="Z5" s="617"/>
      <c r="AA5" s="238"/>
    </row>
    <row r="6" spans="1:27" s="237" customFormat="1" ht="27.95" customHeight="1" x14ac:dyDescent="0.15">
      <c r="A6" s="239">
        <v>3</v>
      </c>
      <c r="B6" s="242" t="s">
        <v>127</v>
      </c>
      <c r="C6" s="598"/>
      <c r="D6" s="599"/>
      <c r="E6" s="229" t="s">
        <v>290</v>
      </c>
      <c r="F6" s="243" t="s">
        <v>128</v>
      </c>
      <c r="G6" s="229" t="s">
        <v>240</v>
      </c>
      <c r="H6" s="229" t="s">
        <v>257</v>
      </c>
      <c r="I6" s="229" t="s">
        <v>310</v>
      </c>
      <c r="J6" s="229" t="s">
        <v>129</v>
      </c>
      <c r="K6" s="378" t="s">
        <v>712</v>
      </c>
      <c r="L6" s="229"/>
      <c r="M6" s="229" t="s">
        <v>112</v>
      </c>
      <c r="N6" s="241" t="s">
        <v>16</v>
      </c>
      <c r="O6" s="241" t="s">
        <v>131</v>
      </c>
      <c r="P6" s="244" t="s">
        <v>83</v>
      </c>
      <c r="Q6" s="229" t="s">
        <v>288</v>
      </c>
      <c r="R6" s="235">
        <f>(COUNTA(C6:Q6))/12</f>
        <v>1</v>
      </c>
      <c r="S6" s="448"/>
      <c r="U6" s="618"/>
      <c r="V6" s="619"/>
      <c r="W6" s="619"/>
      <c r="X6" s="619"/>
      <c r="Y6" s="619"/>
      <c r="Z6" s="620"/>
      <c r="AA6" s="238"/>
    </row>
    <row r="7" spans="1:27" s="237" customFormat="1" ht="27.75" customHeight="1" thickBot="1" x14ac:dyDescent="0.2">
      <c r="A7" s="239">
        <v>4</v>
      </c>
      <c r="B7" s="245" t="s">
        <v>111</v>
      </c>
      <c r="C7" s="598"/>
      <c r="D7" s="599"/>
      <c r="E7" s="229" t="s">
        <v>103</v>
      </c>
      <c r="F7" s="231" t="s">
        <v>87</v>
      </c>
      <c r="G7" s="243" t="s">
        <v>92</v>
      </c>
      <c r="H7" s="229" t="s">
        <v>278</v>
      </c>
      <c r="I7" s="378" t="s">
        <v>797</v>
      </c>
      <c r="J7" s="229" t="s">
        <v>280</v>
      </c>
      <c r="K7" s="229" t="s">
        <v>81</v>
      </c>
      <c r="L7" s="229"/>
      <c r="M7" s="5" t="s">
        <v>711</v>
      </c>
      <c r="N7" s="5" t="s">
        <v>115</v>
      </c>
      <c r="O7" s="229" t="s">
        <v>116</v>
      </c>
      <c r="P7" s="229" t="s">
        <v>117</v>
      </c>
      <c r="Q7" s="246" t="s">
        <v>346</v>
      </c>
      <c r="R7" s="235">
        <f>(COUNTA(C7:Q7))/12</f>
        <v>1</v>
      </c>
      <c r="S7" s="448"/>
      <c r="U7" s="621"/>
      <c r="V7" s="622"/>
      <c r="W7" s="622"/>
      <c r="X7" s="622"/>
      <c r="Y7" s="622"/>
      <c r="Z7" s="623"/>
      <c r="AA7" s="238"/>
    </row>
    <row r="8" spans="1:27" s="237" customFormat="1" ht="27.95" customHeight="1" thickBot="1" x14ac:dyDescent="0.2">
      <c r="A8" s="239">
        <v>5</v>
      </c>
      <c r="B8" s="6" t="s">
        <v>416</v>
      </c>
      <c r="C8" s="598"/>
      <c r="D8" s="599"/>
      <c r="E8" s="229" t="s">
        <v>756</v>
      </c>
      <c r="F8" s="230" t="s">
        <v>104</v>
      </c>
      <c r="G8" s="170" t="s">
        <v>110</v>
      </c>
      <c r="H8" s="247" t="s">
        <v>279</v>
      </c>
      <c r="I8" s="247" t="s">
        <v>118</v>
      </c>
      <c r="J8" s="247" t="s">
        <v>106</v>
      </c>
      <c r="K8" s="230" t="s">
        <v>420</v>
      </c>
      <c r="L8" s="171"/>
      <c r="M8" s="230" t="s">
        <v>90</v>
      </c>
      <c r="N8" s="248" t="s">
        <v>272</v>
      </c>
      <c r="O8" s="249" t="s">
        <v>107</v>
      </c>
      <c r="P8" s="231" t="s">
        <v>94</v>
      </c>
      <c r="Q8" s="230" t="s">
        <v>103</v>
      </c>
      <c r="R8" s="235">
        <f>(COUNTA(C8:Q8))/12</f>
        <v>1</v>
      </c>
      <c r="S8" s="448"/>
      <c r="U8" s="612" t="s">
        <v>15</v>
      </c>
      <c r="V8" s="613"/>
      <c r="W8" s="613"/>
      <c r="X8" s="613"/>
      <c r="Y8" s="613"/>
      <c r="Z8" s="614"/>
      <c r="AA8" s="238"/>
    </row>
    <row r="9" spans="1:27" s="237" customFormat="1" ht="27.95" customHeight="1" x14ac:dyDescent="0.15">
      <c r="A9" s="250">
        <v>6</v>
      </c>
      <c r="B9" s="251" t="s">
        <v>79</v>
      </c>
      <c r="C9" s="252" t="s">
        <v>325</v>
      </c>
      <c r="D9" s="252" t="s">
        <v>325</v>
      </c>
      <c r="E9" s="253" t="s">
        <v>80</v>
      </c>
      <c r="F9" s="253" t="s">
        <v>81</v>
      </c>
      <c r="G9" s="468" t="s">
        <v>808</v>
      </c>
      <c r="H9" s="233" t="s">
        <v>83</v>
      </c>
      <c r="I9" s="232" t="s">
        <v>84</v>
      </c>
      <c r="J9" s="244"/>
      <c r="K9" s="160" t="s">
        <v>92</v>
      </c>
      <c r="L9" s="253"/>
      <c r="M9" s="253" t="s">
        <v>85</v>
      </c>
      <c r="N9" s="254" t="s">
        <v>86</v>
      </c>
      <c r="O9" s="231" t="s">
        <v>109</v>
      </c>
      <c r="P9" s="541"/>
      <c r="Q9" s="542"/>
      <c r="R9" s="235">
        <f t="shared" ref="R9:R18" si="0">(COUNTA(C9:Q9))/12</f>
        <v>0.91666666666666663</v>
      </c>
      <c r="S9" s="448"/>
      <c r="U9" s="592" t="s">
        <v>784</v>
      </c>
      <c r="V9" s="593"/>
      <c r="W9" s="593"/>
      <c r="X9" s="593"/>
      <c r="Y9" s="593"/>
      <c r="Z9" s="594"/>
      <c r="AA9" s="238"/>
    </row>
    <row r="10" spans="1:27" s="237" customFormat="1" ht="27.95" customHeight="1" x14ac:dyDescent="0.15">
      <c r="A10" s="239">
        <v>7</v>
      </c>
      <c r="B10" s="240" t="s">
        <v>96</v>
      </c>
      <c r="C10" s="255" t="s">
        <v>328</v>
      </c>
      <c r="D10" s="255" t="s">
        <v>328</v>
      </c>
      <c r="E10" s="241" t="s">
        <v>706</v>
      </c>
      <c r="F10" s="232" t="s">
        <v>13</v>
      </c>
      <c r="G10" s="229" t="s">
        <v>98</v>
      </c>
      <c r="H10" s="241" t="s">
        <v>93</v>
      </c>
      <c r="I10" s="234" t="s">
        <v>104</v>
      </c>
      <c r="J10" s="229" t="s">
        <v>14</v>
      </c>
      <c r="K10" s="229" t="s">
        <v>100</v>
      </c>
      <c r="L10" s="233"/>
      <c r="M10" s="231" t="s">
        <v>724</v>
      </c>
      <c r="N10" s="232" t="s">
        <v>101</v>
      </c>
      <c r="O10" s="231" t="s">
        <v>102</v>
      </c>
      <c r="P10" s="543"/>
      <c r="Q10" s="544"/>
      <c r="R10" s="235">
        <f t="shared" si="0"/>
        <v>1</v>
      </c>
      <c r="S10" s="448"/>
      <c r="U10" s="592"/>
      <c r="V10" s="593"/>
      <c r="W10" s="593"/>
      <c r="X10" s="593"/>
      <c r="Y10" s="593"/>
      <c r="Z10" s="594"/>
      <c r="AA10" s="238"/>
    </row>
    <row r="11" spans="1:27" s="237" customFormat="1" ht="27.95" customHeight="1" x14ac:dyDescent="0.15">
      <c r="A11" s="239">
        <v>8</v>
      </c>
      <c r="B11" s="245" t="s">
        <v>132</v>
      </c>
      <c r="C11" s="255" t="s">
        <v>334</v>
      </c>
      <c r="D11" s="255" t="s">
        <v>330</v>
      </c>
      <c r="E11" s="229" t="s">
        <v>133</v>
      </c>
      <c r="F11" s="466" t="s">
        <v>796</v>
      </c>
      <c r="G11" s="256" t="s">
        <v>134</v>
      </c>
      <c r="H11" s="229" t="s">
        <v>135</v>
      </c>
      <c r="I11" s="450" t="s">
        <v>106</v>
      </c>
      <c r="J11" s="378" t="s">
        <v>211</v>
      </c>
      <c r="K11" s="243" t="s">
        <v>108</v>
      </c>
      <c r="L11" s="230"/>
      <c r="M11" s="230" t="s">
        <v>113</v>
      </c>
      <c r="N11" s="229" t="s">
        <v>136</v>
      </c>
      <c r="O11" s="229" t="s">
        <v>123</v>
      </c>
      <c r="P11" s="543"/>
      <c r="Q11" s="544"/>
      <c r="R11" s="235">
        <f t="shared" si="0"/>
        <v>1</v>
      </c>
      <c r="S11" s="448"/>
      <c r="U11" s="592"/>
      <c r="V11" s="593"/>
      <c r="W11" s="593"/>
      <c r="X11" s="593"/>
      <c r="Y11" s="593"/>
      <c r="Z11" s="594"/>
      <c r="AA11" s="238"/>
    </row>
    <row r="12" spans="1:27" s="237" customFormat="1" ht="27.95" customHeight="1" x14ac:dyDescent="0.15">
      <c r="A12" s="239">
        <v>9</v>
      </c>
      <c r="B12" s="257" t="s">
        <v>137</v>
      </c>
      <c r="C12" s="255" t="s">
        <v>133</v>
      </c>
      <c r="D12" s="255" t="s">
        <v>121</v>
      </c>
      <c r="E12" s="229" t="s">
        <v>138</v>
      </c>
      <c r="F12" s="241" t="s">
        <v>706</v>
      </c>
      <c r="G12" s="248" t="s">
        <v>139</v>
      </c>
      <c r="H12" s="243" t="s">
        <v>140</v>
      </c>
      <c r="I12" s="233" t="s">
        <v>141</v>
      </c>
      <c r="J12" s="229" t="s">
        <v>142</v>
      </c>
      <c r="K12" s="241" t="s">
        <v>118</v>
      </c>
      <c r="L12" s="229"/>
      <c r="M12" s="241" t="s">
        <v>279</v>
      </c>
      <c r="N12" s="231" t="s">
        <v>143</v>
      </c>
      <c r="O12" s="241" t="s">
        <v>272</v>
      </c>
      <c r="P12" s="543"/>
      <c r="Q12" s="544"/>
      <c r="R12" s="235">
        <f t="shared" si="0"/>
        <v>1</v>
      </c>
      <c r="S12" s="448"/>
      <c r="U12" s="592"/>
      <c r="V12" s="593"/>
      <c r="W12" s="593"/>
      <c r="X12" s="593"/>
      <c r="Y12" s="593"/>
      <c r="Z12" s="594"/>
      <c r="AA12" s="238"/>
    </row>
    <row r="13" spans="1:27" s="237" customFormat="1" ht="27.95" customHeight="1" thickBot="1" x14ac:dyDescent="0.2">
      <c r="A13" s="258">
        <v>10</v>
      </c>
      <c r="B13" s="7" t="s">
        <v>119</v>
      </c>
      <c r="C13" s="259" t="s">
        <v>117</v>
      </c>
      <c r="D13" s="259" t="s">
        <v>128</v>
      </c>
      <c r="E13" s="260" t="s">
        <v>288</v>
      </c>
      <c r="F13" s="9" t="s">
        <v>102</v>
      </c>
      <c r="G13" s="249" t="s">
        <v>109</v>
      </c>
      <c r="H13" s="249" t="s">
        <v>724</v>
      </c>
      <c r="I13" s="249" t="s">
        <v>120</v>
      </c>
      <c r="J13" s="261" t="s">
        <v>115</v>
      </c>
      <c r="K13" s="249" t="s">
        <v>121</v>
      </c>
      <c r="L13" s="11"/>
      <c r="M13" s="262" t="s">
        <v>82</v>
      </c>
      <c r="N13" s="249" t="s">
        <v>782</v>
      </c>
      <c r="O13" s="249" t="s">
        <v>100</v>
      </c>
      <c r="P13" s="720"/>
      <c r="Q13" s="721"/>
      <c r="R13" s="235">
        <f t="shared" si="0"/>
        <v>1</v>
      </c>
      <c r="S13" s="448"/>
      <c r="U13" s="592"/>
      <c r="V13" s="593"/>
      <c r="W13" s="593"/>
      <c r="X13" s="593"/>
      <c r="Y13" s="593"/>
      <c r="Z13" s="594"/>
      <c r="AA13" s="238"/>
    </row>
    <row r="14" spans="1:27" ht="27.95" customHeight="1" x14ac:dyDescent="0.15">
      <c r="A14" s="263">
        <v>11</v>
      </c>
      <c r="B14" s="264" t="s">
        <v>144</v>
      </c>
      <c r="C14" s="722"/>
      <c r="D14" s="723"/>
      <c r="E14" s="229" t="s">
        <v>104</v>
      </c>
      <c r="F14" s="241" t="s">
        <v>94</v>
      </c>
      <c r="G14" s="241" t="s">
        <v>279</v>
      </c>
      <c r="H14" s="233" t="s">
        <v>272</v>
      </c>
      <c r="I14" s="271" t="s">
        <v>785</v>
      </c>
      <c r="J14" s="230" t="s">
        <v>288</v>
      </c>
      <c r="K14" s="231" t="s">
        <v>724</v>
      </c>
      <c r="L14" s="241"/>
      <c r="M14" s="278" t="s">
        <v>92</v>
      </c>
      <c r="N14" s="233" t="s">
        <v>240</v>
      </c>
      <c r="O14" s="243" t="s">
        <v>314</v>
      </c>
      <c r="P14" s="231"/>
      <c r="Q14" s="231" t="s">
        <v>90</v>
      </c>
      <c r="R14" s="235">
        <f t="shared" si="0"/>
        <v>0.91666666666666663</v>
      </c>
      <c r="S14" s="448"/>
      <c r="T14" s="237"/>
      <c r="U14" s="592"/>
      <c r="V14" s="593"/>
      <c r="W14" s="593"/>
      <c r="X14" s="593"/>
      <c r="Y14" s="593"/>
      <c r="Z14" s="594"/>
    </row>
    <row r="15" spans="1:27" ht="27.95" customHeight="1" thickBot="1" x14ac:dyDescent="0.2">
      <c r="A15" s="258">
        <v>12</v>
      </c>
      <c r="B15" s="265" t="s">
        <v>145</v>
      </c>
      <c r="C15" s="724"/>
      <c r="D15" s="725"/>
      <c r="E15" s="249" t="s">
        <v>97</v>
      </c>
      <c r="F15" s="261" t="s">
        <v>105</v>
      </c>
      <c r="G15" s="241" t="s">
        <v>706</v>
      </c>
      <c r="H15" s="249" t="s">
        <v>695</v>
      </c>
      <c r="I15" s="142" t="s">
        <v>288</v>
      </c>
      <c r="J15" s="249" t="s">
        <v>724</v>
      </c>
      <c r="K15" s="249" t="s">
        <v>756</v>
      </c>
      <c r="L15" s="249"/>
      <c r="M15" s="249" t="s">
        <v>673</v>
      </c>
      <c r="N15" s="266" t="s">
        <v>146</v>
      </c>
      <c r="O15" s="249" t="s">
        <v>93</v>
      </c>
      <c r="P15" s="249" t="s">
        <v>346</v>
      </c>
      <c r="Q15" s="9" t="s">
        <v>110</v>
      </c>
      <c r="R15" s="235">
        <f t="shared" si="0"/>
        <v>1</v>
      </c>
      <c r="S15" s="448"/>
      <c r="U15" s="592"/>
      <c r="V15" s="593"/>
      <c r="W15" s="593"/>
      <c r="X15" s="593"/>
      <c r="Y15" s="593"/>
      <c r="Z15" s="594"/>
    </row>
    <row r="16" spans="1:27" ht="27" customHeight="1" x14ac:dyDescent="0.15">
      <c r="A16" s="227">
        <v>13</v>
      </c>
      <c r="B16" s="267" t="s">
        <v>21</v>
      </c>
      <c r="C16" s="598"/>
      <c r="D16" s="599"/>
      <c r="E16" s="5" t="s">
        <v>712</v>
      </c>
      <c r="F16" s="177" t="s">
        <v>186</v>
      </c>
      <c r="G16" s="253" t="s">
        <v>22</v>
      </c>
      <c r="H16" s="253" t="s">
        <v>23</v>
      </c>
      <c r="I16" s="231" t="s">
        <v>187</v>
      </c>
      <c r="J16" s="160" t="s">
        <v>188</v>
      </c>
      <c r="K16" s="231" t="s">
        <v>189</v>
      </c>
      <c r="L16" s="233"/>
      <c r="M16" s="467" t="s">
        <v>802</v>
      </c>
      <c r="N16" s="229" t="s">
        <v>191</v>
      </c>
      <c r="O16" s="231" t="s">
        <v>192</v>
      </c>
      <c r="P16" s="376" t="s">
        <v>707</v>
      </c>
      <c r="Q16" s="390" t="s">
        <v>806</v>
      </c>
      <c r="R16" s="235">
        <f t="shared" si="0"/>
        <v>1</v>
      </c>
      <c r="S16" s="448"/>
      <c r="U16" s="592"/>
      <c r="V16" s="593"/>
      <c r="W16" s="593"/>
      <c r="X16" s="593"/>
      <c r="Y16" s="593"/>
      <c r="Z16" s="594"/>
    </row>
    <row r="17" spans="1:27" ht="27.95" customHeight="1" thickBot="1" x14ac:dyDescent="0.2">
      <c r="A17" s="227">
        <v>14</v>
      </c>
      <c r="B17" s="267" t="s">
        <v>155</v>
      </c>
      <c r="C17" s="598"/>
      <c r="D17" s="599"/>
      <c r="E17" s="229" t="s">
        <v>156</v>
      </c>
      <c r="F17" s="232" t="s">
        <v>157</v>
      </c>
      <c r="G17" s="229" t="s">
        <v>158</v>
      </c>
      <c r="H17" s="418" t="s">
        <v>800</v>
      </c>
      <c r="I17" s="241" t="s">
        <v>283</v>
      </c>
      <c r="J17" s="229" t="s">
        <v>159</v>
      </c>
      <c r="K17" s="241" t="s">
        <v>241</v>
      </c>
      <c r="L17" s="229"/>
      <c r="M17" s="17" t="s">
        <v>160</v>
      </c>
      <c r="N17" s="5" t="s">
        <v>161</v>
      </c>
      <c r="O17" s="18" t="s">
        <v>162</v>
      </c>
      <c r="P17" s="229" t="s">
        <v>163</v>
      </c>
      <c r="Q17" s="269" t="s">
        <v>164</v>
      </c>
      <c r="R17" s="235">
        <f t="shared" si="0"/>
        <v>1</v>
      </c>
      <c r="S17" s="448"/>
      <c r="U17" s="595"/>
      <c r="V17" s="596"/>
      <c r="W17" s="596"/>
      <c r="X17" s="596"/>
      <c r="Y17" s="596"/>
      <c r="Z17" s="597"/>
    </row>
    <row r="18" spans="1:27" ht="27.95" customHeight="1" thickBot="1" x14ac:dyDescent="0.2">
      <c r="A18" s="270">
        <v>15</v>
      </c>
      <c r="B18" s="245" t="s">
        <v>193</v>
      </c>
      <c r="C18" s="598"/>
      <c r="D18" s="599"/>
      <c r="E18" s="243" t="s">
        <v>194</v>
      </c>
      <c r="F18" s="5" t="s">
        <v>195</v>
      </c>
      <c r="G18" s="243" t="s">
        <v>24</v>
      </c>
      <c r="H18" s="379" t="s">
        <v>809</v>
      </c>
      <c r="I18" s="243" t="s">
        <v>237</v>
      </c>
      <c r="J18" s="229" t="s">
        <v>196</v>
      </c>
      <c r="K18" s="229" t="s">
        <v>197</v>
      </c>
      <c r="L18" s="229"/>
      <c r="M18" s="241" t="s">
        <v>25</v>
      </c>
      <c r="N18" s="229" t="s">
        <v>244</v>
      </c>
      <c r="O18" s="229" t="s">
        <v>198</v>
      </c>
      <c r="P18" s="243" t="s">
        <v>304</v>
      </c>
      <c r="Q18" s="246" t="s">
        <v>725</v>
      </c>
      <c r="R18" s="371">
        <f t="shared" si="0"/>
        <v>1</v>
      </c>
      <c r="S18" s="448"/>
      <c r="U18" s="547" t="s">
        <v>311</v>
      </c>
      <c r="V18" s="548"/>
      <c r="W18" s="548"/>
      <c r="X18" s="548"/>
      <c r="Y18" s="548"/>
      <c r="Z18" s="549"/>
    </row>
    <row r="19" spans="1:27" ht="27.95" customHeight="1" x14ac:dyDescent="0.15">
      <c r="A19" s="270">
        <v>16</v>
      </c>
      <c r="B19" s="245" t="s">
        <v>165</v>
      </c>
      <c r="C19" s="598"/>
      <c r="D19" s="599"/>
      <c r="E19" s="726"/>
      <c r="F19" s="727"/>
      <c r="G19" s="16" t="s">
        <v>69</v>
      </c>
      <c r="H19" s="5" t="s">
        <v>166</v>
      </c>
      <c r="I19" s="229" t="s">
        <v>167</v>
      </c>
      <c r="J19" s="466" t="s">
        <v>810</v>
      </c>
      <c r="K19" s="272" t="s">
        <v>168</v>
      </c>
      <c r="L19" s="229"/>
      <c r="M19" s="726" t="s">
        <v>169</v>
      </c>
      <c r="N19" s="749"/>
      <c r="O19" s="749"/>
      <c r="P19" s="749"/>
      <c r="Q19" s="727"/>
      <c r="R19" s="235">
        <f>(COUNTA(E19:K19))/5</f>
        <v>1</v>
      </c>
      <c r="S19" s="448"/>
      <c r="U19" s="740" t="s">
        <v>783</v>
      </c>
      <c r="V19" s="741"/>
      <c r="W19" s="741"/>
      <c r="X19" s="741"/>
      <c r="Y19" s="741"/>
      <c r="Z19" s="742"/>
    </row>
    <row r="20" spans="1:27" s="237" customFormat="1" ht="27.75" customHeight="1" x14ac:dyDescent="0.15">
      <c r="A20" s="239"/>
      <c r="B20" s="242" t="s">
        <v>170</v>
      </c>
      <c r="C20" s="598"/>
      <c r="D20" s="599"/>
      <c r="E20" s="602" t="s">
        <v>20</v>
      </c>
      <c r="F20" s="603"/>
      <c r="G20" s="241" t="s">
        <v>285</v>
      </c>
      <c r="H20" s="229" t="s">
        <v>171</v>
      </c>
      <c r="I20" s="273" t="s">
        <v>172</v>
      </c>
      <c r="J20" s="378" t="s">
        <v>798</v>
      </c>
      <c r="K20" s="406" t="s">
        <v>781</v>
      </c>
      <c r="L20" s="229"/>
      <c r="M20" s="273" t="s">
        <v>174</v>
      </c>
      <c r="N20" s="5" t="s">
        <v>175</v>
      </c>
      <c r="O20" s="246" t="s">
        <v>176</v>
      </c>
      <c r="P20" s="229" t="s">
        <v>152</v>
      </c>
      <c r="Q20" s="231" t="s">
        <v>154</v>
      </c>
      <c r="R20" s="235">
        <f>(COUNTA(G20:Q20))/10</f>
        <v>1</v>
      </c>
      <c r="S20" s="448"/>
      <c r="U20" s="743"/>
      <c r="V20" s="744"/>
      <c r="W20" s="744"/>
      <c r="X20" s="744"/>
      <c r="Y20" s="744"/>
      <c r="Z20" s="745"/>
      <c r="AA20" s="238"/>
    </row>
    <row r="21" spans="1:27" ht="27.95" customHeight="1" thickBot="1" x14ac:dyDescent="0.2">
      <c r="A21" s="258"/>
      <c r="B21" s="274" t="s">
        <v>177</v>
      </c>
      <c r="C21" s="600"/>
      <c r="D21" s="601"/>
      <c r="E21" s="275" t="s">
        <v>178</v>
      </c>
      <c r="F21" s="261"/>
      <c r="G21" s="230" t="s">
        <v>179</v>
      </c>
      <c r="H21" s="230" t="s">
        <v>180</v>
      </c>
      <c r="I21" s="249" t="s">
        <v>181</v>
      </c>
      <c r="J21" s="249" t="s">
        <v>309</v>
      </c>
      <c r="K21" s="249" t="s">
        <v>182</v>
      </c>
      <c r="L21" s="247"/>
      <c r="M21" s="249" t="s">
        <v>183</v>
      </c>
      <c r="N21" s="247" t="s">
        <v>184</v>
      </c>
      <c r="O21" s="249" t="s">
        <v>185</v>
      </c>
      <c r="P21" s="372" t="s">
        <v>153</v>
      </c>
      <c r="Q21" s="449" t="s">
        <v>178</v>
      </c>
      <c r="R21" s="235">
        <f>(COUNTA(F21:P21))/9</f>
        <v>1</v>
      </c>
      <c r="S21" s="448"/>
      <c r="U21" s="746"/>
      <c r="V21" s="747"/>
      <c r="W21" s="747"/>
      <c r="X21" s="747"/>
      <c r="Y21" s="747"/>
      <c r="Z21" s="748"/>
    </row>
    <row r="22" spans="1:27" s="237" customFormat="1" ht="27.95" customHeight="1" thickBot="1" x14ac:dyDescent="0.2">
      <c r="A22" s="227">
        <v>17</v>
      </c>
      <c r="B22" s="452" t="s">
        <v>788</v>
      </c>
      <c r="C22" s="751"/>
      <c r="D22" s="752"/>
      <c r="E22" s="462" t="s">
        <v>251</v>
      </c>
      <c r="F22" s="462" t="s">
        <v>254</v>
      </c>
      <c r="G22" s="463" t="s">
        <v>148</v>
      </c>
      <c r="H22" s="447"/>
      <c r="I22" s="464" t="s">
        <v>150</v>
      </c>
      <c r="J22" s="462"/>
      <c r="K22" s="462"/>
      <c r="L22" s="463"/>
      <c r="M22" s="462"/>
      <c r="N22" s="465" t="s">
        <v>152</v>
      </c>
      <c r="O22" s="464"/>
      <c r="P22" s="469"/>
      <c r="Q22" s="470"/>
      <c r="R22" s="235">
        <f>(COUNTA(C22:Q22))/12</f>
        <v>0.41666666666666669</v>
      </c>
      <c r="S22" s="448"/>
      <c r="U22" s="547" t="s">
        <v>312</v>
      </c>
      <c r="V22" s="548"/>
      <c r="W22" s="548"/>
      <c r="X22" s="548"/>
      <c r="Y22" s="548"/>
      <c r="Z22" s="549"/>
      <c r="AA22" s="238"/>
    </row>
    <row r="23" spans="1:27" ht="27.95" customHeight="1" x14ac:dyDescent="0.15">
      <c r="A23" s="270">
        <v>18</v>
      </c>
      <c r="B23" s="245" t="s">
        <v>199</v>
      </c>
      <c r="C23" s="268" t="s">
        <v>333</v>
      </c>
      <c r="D23" s="268" t="s">
        <v>333</v>
      </c>
      <c r="E23" s="273" t="s">
        <v>200</v>
      </c>
      <c r="F23" s="229" t="s">
        <v>201</v>
      </c>
      <c r="G23" s="18" t="s">
        <v>26</v>
      </c>
      <c r="H23" s="241" t="s">
        <v>241</v>
      </c>
      <c r="I23" s="229" t="s">
        <v>757</v>
      </c>
      <c r="J23" s="229" t="s">
        <v>202</v>
      </c>
      <c r="K23" s="23" t="s">
        <v>203</v>
      </c>
      <c r="L23" s="229"/>
      <c r="M23" s="243" t="s">
        <v>204</v>
      </c>
      <c r="N23" s="229" t="s">
        <v>269</v>
      </c>
      <c r="O23" s="269" t="s">
        <v>205</v>
      </c>
      <c r="P23" s="543"/>
      <c r="Q23" s="544"/>
      <c r="R23" s="235">
        <f t="shared" ref="R23:R25" si="1">(COUNTA(C23:Q23))/12</f>
        <v>1</v>
      </c>
      <c r="S23" s="448"/>
      <c r="U23" s="711" t="s">
        <v>791</v>
      </c>
      <c r="V23" s="712"/>
      <c r="W23" s="712"/>
      <c r="X23" s="712"/>
      <c r="Y23" s="712"/>
      <c r="Z23" s="713"/>
    </row>
    <row r="24" spans="1:27" ht="27.95" customHeight="1" x14ac:dyDescent="0.15">
      <c r="A24" s="270">
        <v>19</v>
      </c>
      <c r="B24" s="280" t="s">
        <v>27</v>
      </c>
      <c r="C24" s="255" t="s">
        <v>331</v>
      </c>
      <c r="D24" s="255" t="s">
        <v>230</v>
      </c>
      <c r="E24" s="243" t="s">
        <v>551</v>
      </c>
      <c r="F24" s="428" t="s">
        <v>787</v>
      </c>
      <c r="G24" s="229" t="s">
        <v>291</v>
      </c>
      <c r="H24" s="16" t="s">
        <v>289</v>
      </c>
      <c r="I24" s="241" t="s">
        <v>707</v>
      </c>
      <c r="J24" s="241" t="s">
        <v>696</v>
      </c>
      <c r="K24" s="229" t="s">
        <v>811</v>
      </c>
      <c r="L24" s="243"/>
      <c r="M24" s="229" t="s">
        <v>812</v>
      </c>
      <c r="N24" s="281" t="s">
        <v>804</v>
      </c>
      <c r="O24" s="234"/>
      <c r="P24" s="545"/>
      <c r="Q24" s="546"/>
      <c r="R24" s="235">
        <f t="shared" si="1"/>
        <v>0.91666666666666663</v>
      </c>
      <c r="S24" s="448"/>
      <c r="U24" s="714"/>
      <c r="V24" s="715"/>
      <c r="W24" s="715"/>
      <c r="X24" s="715"/>
      <c r="Y24" s="715"/>
      <c r="Z24" s="716"/>
      <c r="AA24" s="283"/>
    </row>
    <row r="25" spans="1:27" ht="27.95" customHeight="1" thickBot="1" x14ac:dyDescent="0.2">
      <c r="A25" s="239">
        <v>20</v>
      </c>
      <c r="B25" s="284" t="s">
        <v>206</v>
      </c>
      <c r="C25" s="550"/>
      <c r="D25" s="551"/>
      <c r="E25" s="230" t="s">
        <v>207</v>
      </c>
      <c r="F25" s="279" t="s">
        <v>192</v>
      </c>
      <c r="G25" s="229" t="s">
        <v>267</v>
      </c>
      <c r="H25" s="249" t="s">
        <v>190</v>
      </c>
      <c r="I25" s="249" t="s">
        <v>696</v>
      </c>
      <c r="J25" s="261" t="s">
        <v>208</v>
      </c>
      <c r="K25" s="243"/>
      <c r="L25" s="248"/>
      <c r="M25" s="379" t="s">
        <v>813</v>
      </c>
      <c r="N25" s="230" t="s">
        <v>28</v>
      </c>
      <c r="O25" s="260" t="s">
        <v>712</v>
      </c>
      <c r="P25" s="243" t="s">
        <v>209</v>
      </c>
      <c r="Q25" s="453" t="s">
        <v>93</v>
      </c>
      <c r="R25" s="235">
        <f t="shared" si="1"/>
        <v>0.91666666666666663</v>
      </c>
      <c r="S25" s="448"/>
      <c r="U25" s="714"/>
      <c r="V25" s="715"/>
      <c r="W25" s="715"/>
      <c r="X25" s="715"/>
      <c r="Y25" s="715"/>
      <c r="Z25" s="716"/>
    </row>
    <row r="26" spans="1:27" s="237" customFormat="1" ht="27.75" customHeight="1" x14ac:dyDescent="0.15">
      <c r="A26" s="285" t="s">
        <v>210</v>
      </c>
      <c r="B26" s="451" t="s">
        <v>789</v>
      </c>
      <c r="C26" s="552"/>
      <c r="D26" s="553"/>
      <c r="E26" s="456"/>
      <c r="F26" s="447"/>
      <c r="G26" s="447" t="s">
        <v>251</v>
      </c>
      <c r="H26" s="457"/>
      <c r="I26" s="458"/>
      <c r="J26" s="446"/>
      <c r="K26" s="459"/>
      <c r="L26" s="460"/>
      <c r="M26" s="459"/>
      <c r="N26" s="447"/>
      <c r="O26" s="447"/>
      <c r="P26" s="461"/>
      <c r="Q26" s="447" t="s">
        <v>757</v>
      </c>
      <c r="R26" s="235">
        <f>(COUNTA(C26:Q26))/7</f>
        <v>0.2857142857142857</v>
      </c>
      <c r="U26" s="714"/>
      <c r="V26" s="715"/>
      <c r="W26" s="715"/>
      <c r="X26" s="715"/>
      <c r="Y26" s="715"/>
      <c r="Z26" s="716"/>
      <c r="AA26" s="238"/>
    </row>
    <row r="27" spans="1:27" s="291" customFormat="1" ht="27.95" customHeight="1" thickBot="1" x14ac:dyDescent="0.2">
      <c r="A27" s="288"/>
      <c r="B27" s="289" t="s">
        <v>212</v>
      </c>
      <c r="C27" s="554"/>
      <c r="D27" s="555"/>
      <c r="E27" s="249" t="s">
        <v>260</v>
      </c>
      <c r="F27" s="247" t="s">
        <v>31</v>
      </c>
      <c r="G27" s="249"/>
      <c r="H27" s="249"/>
      <c r="I27" s="249"/>
      <c r="J27" s="9"/>
      <c r="K27" s="229" t="s">
        <v>213</v>
      </c>
      <c r="L27" s="248"/>
      <c r="M27" s="261" t="s">
        <v>255</v>
      </c>
      <c r="N27" s="454" t="s">
        <v>211</v>
      </c>
      <c r="O27" s="455" t="s">
        <v>792</v>
      </c>
      <c r="P27" s="247"/>
      <c r="Q27" s="249" t="s">
        <v>126</v>
      </c>
      <c r="R27" s="235">
        <f>(COUNTA(C27:Q27))/8</f>
        <v>0.875</v>
      </c>
      <c r="S27" s="448"/>
      <c r="U27" s="714"/>
      <c r="V27" s="715"/>
      <c r="W27" s="715"/>
      <c r="X27" s="715"/>
      <c r="Y27" s="715"/>
      <c r="Z27" s="716"/>
      <c r="AA27" s="292"/>
    </row>
    <row r="28" spans="1:27" s="291" customFormat="1" ht="9.9499999999999993" customHeight="1" thickBot="1" x14ac:dyDescent="0.2">
      <c r="A28" s="293"/>
      <c r="B28" s="294"/>
      <c r="C28" s="295"/>
      <c r="D28" s="296"/>
      <c r="E28" s="297"/>
      <c r="F28" s="298"/>
      <c r="G28" s="297"/>
      <c r="H28" s="297"/>
      <c r="I28" s="297"/>
      <c r="J28" s="80"/>
      <c r="K28" s="297"/>
      <c r="L28" s="298"/>
      <c r="M28" s="299"/>
      <c r="N28" s="82"/>
      <c r="O28" s="300"/>
      <c r="P28" s="244"/>
      <c r="Q28" s="279"/>
      <c r="R28" s="235"/>
      <c r="S28" s="448"/>
      <c r="U28" s="714"/>
      <c r="V28" s="715"/>
      <c r="W28" s="715"/>
      <c r="X28" s="715"/>
      <c r="Y28" s="715"/>
      <c r="Z28" s="716"/>
      <c r="AA28" s="292"/>
    </row>
    <row r="29" spans="1:27" ht="120" customHeight="1" thickBot="1" x14ac:dyDescent="0.2">
      <c r="A29" s="574"/>
      <c r="B29" s="576" t="s">
        <v>216</v>
      </c>
      <c r="C29" s="578"/>
      <c r="D29" s="579"/>
      <c r="E29" s="233" t="s">
        <v>297</v>
      </c>
      <c r="F29" s="231" t="s">
        <v>294</v>
      </c>
      <c r="G29" s="233" t="s">
        <v>259</v>
      </c>
      <c r="H29" s="301" t="s">
        <v>298</v>
      </c>
      <c r="I29" s="231" t="s">
        <v>256</v>
      </c>
      <c r="J29" s="231" t="s">
        <v>217</v>
      </c>
      <c r="K29" s="253" t="s">
        <v>218</v>
      </c>
      <c r="L29" s="254"/>
      <c r="M29" s="233" t="s">
        <v>219</v>
      </c>
      <c r="N29" s="253" t="s">
        <v>295</v>
      </c>
      <c r="O29" s="302" t="s">
        <v>292</v>
      </c>
      <c r="P29" s="278" t="s">
        <v>220</v>
      </c>
      <c r="Q29" s="278" t="s">
        <v>239</v>
      </c>
      <c r="R29" s="235">
        <f>(COUNTA(C29:Q29))/12</f>
        <v>1</v>
      </c>
      <c r="S29" s="237"/>
      <c r="T29" s="237"/>
      <c r="U29" s="717"/>
      <c r="V29" s="718"/>
      <c r="W29" s="718"/>
      <c r="X29" s="718"/>
      <c r="Y29" s="718"/>
      <c r="Z29" s="719"/>
    </row>
    <row r="30" spans="1:27" ht="120" customHeight="1" x14ac:dyDescent="0.15">
      <c r="A30" s="575"/>
      <c r="B30" s="577"/>
      <c r="C30" s="580"/>
      <c r="D30" s="581"/>
      <c r="E30" s="170" t="s">
        <v>726</v>
      </c>
      <c r="F30" s="170" t="s">
        <v>758</v>
      </c>
      <c r="G30" s="170" t="s">
        <v>807</v>
      </c>
      <c r="H30" s="170" t="s">
        <v>799</v>
      </c>
      <c r="I30" s="170" t="s">
        <v>793</v>
      </c>
      <c r="J30" s="170" t="s">
        <v>710</v>
      </c>
      <c r="K30" s="170" t="s">
        <v>794</v>
      </c>
      <c r="L30" s="171"/>
      <c r="M30" s="170" t="s">
        <v>801</v>
      </c>
      <c r="N30" s="170" t="s">
        <v>803</v>
      </c>
      <c r="O30" s="170" t="s">
        <v>795</v>
      </c>
      <c r="P30" s="170" t="s">
        <v>720</v>
      </c>
      <c r="Q30" s="170" t="s">
        <v>805</v>
      </c>
      <c r="R30" s="235"/>
      <c r="S30" s="237"/>
      <c r="T30" s="237"/>
      <c r="U30" s="584" t="s">
        <v>32</v>
      </c>
      <c r="V30" s="585"/>
      <c r="W30" s="585"/>
      <c r="X30" s="585"/>
      <c r="Y30" s="585"/>
      <c r="Z30" s="586"/>
    </row>
    <row r="31" spans="1:27" ht="120" customHeight="1" thickBot="1" x14ac:dyDescent="0.2">
      <c r="A31" s="303"/>
      <c r="B31" s="304" t="s">
        <v>589</v>
      </c>
      <c r="C31" s="582"/>
      <c r="D31" s="583"/>
      <c r="E31" s="590" t="s">
        <v>178</v>
      </c>
      <c r="F31" s="591"/>
      <c r="G31" s="248" t="s">
        <v>258</v>
      </c>
      <c r="H31" s="249" t="s">
        <v>307</v>
      </c>
      <c r="I31" s="230" t="s">
        <v>296</v>
      </c>
      <c r="J31" s="230" t="s">
        <v>299</v>
      </c>
      <c r="K31" s="249" t="s">
        <v>33</v>
      </c>
      <c r="L31" s="305"/>
      <c r="M31" s="248" t="s">
        <v>221</v>
      </c>
      <c r="N31" s="230" t="s">
        <v>597</v>
      </c>
      <c r="O31" s="247" t="s">
        <v>223</v>
      </c>
      <c r="P31" s="230" t="s">
        <v>34</v>
      </c>
      <c r="Q31" s="249"/>
      <c r="R31" s="235">
        <f>(COUNTA(G31:Q31))/9</f>
        <v>1</v>
      </c>
      <c r="S31" s="237"/>
      <c r="T31" s="237"/>
      <c r="U31" s="587"/>
      <c r="V31" s="588"/>
      <c r="W31" s="588"/>
      <c r="X31" s="588"/>
      <c r="Y31" s="588"/>
      <c r="Z31" s="589"/>
    </row>
    <row r="32" spans="1:27" s="237" customFormat="1" ht="9.9499999999999993" customHeight="1" x14ac:dyDescent="0.15">
      <c r="A32" s="306"/>
      <c r="B32" s="307"/>
      <c r="C32" s="308"/>
      <c r="D32" s="430"/>
      <c r="E32" s="430"/>
      <c r="F32" s="430"/>
      <c r="G32" s="430"/>
      <c r="H32" s="430"/>
      <c r="I32" s="430"/>
      <c r="J32" s="430"/>
      <c r="K32" s="430"/>
      <c r="L32" s="430"/>
      <c r="M32" s="430"/>
      <c r="N32" s="430"/>
      <c r="O32" s="430"/>
      <c r="P32" s="430"/>
      <c r="Q32" s="430"/>
      <c r="R32" s="235"/>
      <c r="U32" s="309"/>
      <c r="V32" s="309"/>
      <c r="W32" s="309"/>
      <c r="X32" s="309"/>
      <c r="Y32" s="309"/>
      <c r="Z32" s="310"/>
      <c r="AA32" s="238"/>
    </row>
    <row r="33" spans="1:27" s="237" customFormat="1" ht="21" customHeight="1" x14ac:dyDescent="0.15">
      <c r="A33" s="311"/>
      <c r="B33" s="312"/>
      <c r="C33" s="313"/>
      <c r="D33" s="314" t="s">
        <v>224</v>
      </c>
      <c r="E33" s="315" t="s">
        <v>35</v>
      </c>
      <c r="F33" s="316" t="s">
        <v>1</v>
      </c>
      <c r="G33" s="316" t="s">
        <v>2</v>
      </c>
      <c r="H33" s="316" t="s">
        <v>36</v>
      </c>
      <c r="I33" s="316" t="s">
        <v>4</v>
      </c>
      <c r="J33" s="316" t="s">
        <v>37</v>
      </c>
      <c r="K33" s="316" t="s">
        <v>38</v>
      </c>
      <c r="L33" s="317" t="s">
        <v>39</v>
      </c>
      <c r="M33" s="316" t="s">
        <v>40</v>
      </c>
      <c r="N33" s="316" t="s">
        <v>9</v>
      </c>
      <c r="O33" s="316" t="s">
        <v>10</v>
      </c>
      <c r="P33" s="316" t="s">
        <v>11</v>
      </c>
      <c r="Q33" s="318" t="s">
        <v>12</v>
      </c>
      <c r="R33" s="319"/>
      <c r="U33" s="309"/>
      <c r="V33" s="309"/>
      <c r="W33" s="309"/>
      <c r="X33" s="309"/>
      <c r="Y33" s="309"/>
      <c r="Z33" s="310"/>
      <c r="AA33" s="238"/>
    </row>
    <row r="34" spans="1:27" s="237" customFormat="1" ht="45.75" customHeight="1" x14ac:dyDescent="0.15">
      <c r="A34" s="217"/>
      <c r="B34" s="320"/>
      <c r="C34" s="320"/>
      <c r="D34" s="537" t="s">
        <v>225</v>
      </c>
      <c r="E34" s="321" t="s">
        <v>277</v>
      </c>
      <c r="F34" s="321" t="s">
        <v>319</v>
      </c>
      <c r="G34" s="321" t="s">
        <v>226</v>
      </c>
      <c r="H34" s="321" t="s">
        <v>345</v>
      </c>
      <c r="I34" s="321" t="s">
        <v>344</v>
      </c>
      <c r="J34" s="321" t="s">
        <v>16</v>
      </c>
      <c r="K34" s="321" t="s">
        <v>70</v>
      </c>
      <c r="L34" s="322"/>
      <c r="M34" s="321" t="s">
        <v>41</v>
      </c>
      <c r="N34" s="321" t="s">
        <v>71</v>
      </c>
      <c r="O34" s="321" t="s">
        <v>342</v>
      </c>
      <c r="P34" s="321" t="s">
        <v>612</v>
      </c>
      <c r="Q34" s="321" t="s">
        <v>253</v>
      </c>
      <c r="R34" s="319"/>
      <c r="S34" s="323">
        <f>2*12</f>
        <v>24</v>
      </c>
      <c r="V34" s="309"/>
      <c r="W34" s="309"/>
      <c r="X34" s="309"/>
      <c r="Y34" s="309"/>
      <c r="Z34" s="310"/>
      <c r="AA34" s="238"/>
    </row>
    <row r="35" spans="1:27" s="237" customFormat="1" ht="45.75" customHeight="1" x14ac:dyDescent="0.15">
      <c r="A35" s="217"/>
      <c r="B35" s="320"/>
      <c r="C35" s="320"/>
      <c r="D35" s="538"/>
      <c r="E35" s="322"/>
      <c r="F35" s="324" t="s">
        <v>117</v>
      </c>
      <c r="G35" s="322"/>
      <c r="H35" s="321"/>
      <c r="I35" s="322"/>
      <c r="J35" s="321" t="s">
        <v>42</v>
      </c>
      <c r="K35" s="321"/>
      <c r="L35" s="322"/>
      <c r="M35" s="321" t="s">
        <v>227</v>
      </c>
      <c r="N35" s="322" t="s">
        <v>14</v>
      </c>
      <c r="O35" s="321" t="s">
        <v>228</v>
      </c>
      <c r="P35" s="321"/>
      <c r="Q35" s="321"/>
      <c r="R35" s="325"/>
      <c r="S35" s="326"/>
      <c r="V35" s="309"/>
      <c r="W35" s="309"/>
      <c r="X35" s="309"/>
      <c r="Y35" s="309"/>
      <c r="Z35" s="218"/>
      <c r="AA35" s="238"/>
    </row>
    <row r="36" spans="1:27" ht="27.95" customHeight="1" x14ac:dyDescent="0.15">
      <c r="D36" s="327" t="s">
        <v>229</v>
      </c>
      <c r="E36" s="322" t="s">
        <v>339</v>
      </c>
      <c r="F36" s="322"/>
      <c r="G36" s="322" t="s">
        <v>66</v>
      </c>
      <c r="H36" s="329"/>
      <c r="I36" s="328" t="s">
        <v>230</v>
      </c>
      <c r="J36" s="322"/>
      <c r="K36" s="322"/>
      <c r="L36" s="322"/>
      <c r="M36" s="322"/>
      <c r="N36" s="329"/>
      <c r="O36" s="322"/>
      <c r="P36" s="322"/>
      <c r="Q36" s="322" t="s">
        <v>231</v>
      </c>
      <c r="R36" s="330"/>
      <c r="S36" s="326">
        <v>4</v>
      </c>
      <c r="U36" s="217"/>
      <c r="V36" s="309"/>
      <c r="W36" s="309"/>
      <c r="X36" s="309"/>
      <c r="Y36" s="309"/>
      <c r="Z36" s="310"/>
    </row>
    <row r="37" spans="1:27" s="291" customFormat="1" ht="42" customHeight="1" x14ac:dyDescent="0.15">
      <c r="A37" s="217"/>
      <c r="B37" s="320"/>
      <c r="C37" s="320"/>
      <c r="D37" s="327" t="s">
        <v>232</v>
      </c>
      <c r="E37" s="321" t="s">
        <v>320</v>
      </c>
      <c r="F37" s="321" t="s">
        <v>790</v>
      </c>
      <c r="G37" s="321" t="s">
        <v>301</v>
      </c>
      <c r="H37" s="321" t="s">
        <v>321</v>
      </c>
      <c r="I37" s="321" t="s">
        <v>249</v>
      </c>
      <c r="J37" s="321" t="s">
        <v>43</v>
      </c>
      <c r="K37" s="321" t="s">
        <v>246</v>
      </c>
      <c r="L37" s="322"/>
      <c r="M37" s="321" t="s">
        <v>322</v>
      </c>
      <c r="N37" s="321" t="s">
        <v>323</v>
      </c>
      <c r="O37" s="321" t="s">
        <v>72</v>
      </c>
      <c r="P37" s="331" t="s">
        <v>303</v>
      </c>
      <c r="Q37" s="321" t="s">
        <v>44</v>
      </c>
      <c r="R37" s="330"/>
      <c r="S37" s="332">
        <v>20</v>
      </c>
      <c r="V37" s="309"/>
      <c r="W37" s="309"/>
      <c r="X37" s="309"/>
      <c r="Y37" s="309"/>
      <c r="Z37" s="218"/>
      <c r="AA37" s="292"/>
    </row>
    <row r="38" spans="1:27" ht="42" customHeight="1" x14ac:dyDescent="0.15">
      <c r="D38" s="333" t="s">
        <v>233</v>
      </c>
      <c r="E38" s="321" t="s">
        <v>815</v>
      </c>
      <c r="F38" s="321" t="s">
        <v>245</v>
      </c>
      <c r="G38" s="321" t="s">
        <v>234</v>
      </c>
      <c r="H38" s="321" t="s">
        <v>60</v>
      </c>
      <c r="I38" s="321" t="s">
        <v>67</v>
      </c>
      <c r="J38" s="321" t="s">
        <v>235</v>
      </c>
      <c r="K38" s="321" t="s">
        <v>814</v>
      </c>
      <c r="L38" s="334"/>
      <c r="M38" s="321" t="s">
        <v>247</v>
      </c>
      <c r="N38" s="321" t="s">
        <v>270</v>
      </c>
      <c r="O38" s="321" t="s">
        <v>302</v>
      </c>
      <c r="P38" s="321" t="s">
        <v>248</v>
      </c>
      <c r="Q38" s="321" t="s">
        <v>46</v>
      </c>
      <c r="R38" s="335"/>
      <c r="S38" s="332">
        <v>23</v>
      </c>
      <c r="U38" s="217"/>
      <c r="V38" s="309"/>
      <c r="W38" s="309"/>
      <c r="X38" s="309"/>
      <c r="Y38" s="309"/>
      <c r="Z38" s="336"/>
    </row>
    <row r="39" spans="1:27" ht="9.9499999999999993" customHeight="1" x14ac:dyDescent="0.15">
      <c r="D39" s="539"/>
      <c r="E39" s="539"/>
      <c r="F39" s="539"/>
      <c r="G39" s="539"/>
      <c r="H39" s="539"/>
      <c r="I39" s="539"/>
      <c r="J39" s="539"/>
      <c r="K39" s="539"/>
      <c r="L39" s="539"/>
      <c r="M39" s="539"/>
      <c r="N39" s="539"/>
      <c r="O39" s="539"/>
      <c r="P39" s="539"/>
      <c r="Q39" s="539"/>
      <c r="R39" s="539"/>
      <c r="S39" s="332">
        <f>S34+S36+S37+S38</f>
        <v>71</v>
      </c>
      <c r="U39" s="217"/>
      <c r="V39" s="309"/>
      <c r="W39" s="309"/>
      <c r="X39" s="309"/>
      <c r="Y39" s="309"/>
    </row>
    <row r="40" spans="1:27" ht="21" customHeight="1" x14ac:dyDescent="0.15">
      <c r="D40" s="337"/>
      <c r="E40" s="338" t="s">
        <v>0</v>
      </c>
      <c r="F40" s="339" t="s">
        <v>1</v>
      </c>
      <c r="G40" s="339" t="s">
        <v>2</v>
      </c>
      <c r="H40" s="340" t="s">
        <v>3</v>
      </c>
      <c r="I40" s="341" t="s">
        <v>47</v>
      </c>
      <c r="J40" s="339" t="s">
        <v>5</v>
      </c>
      <c r="K40" s="339" t="s">
        <v>6</v>
      </c>
      <c r="L40" s="317"/>
      <c r="M40" s="339" t="s">
        <v>8</v>
      </c>
      <c r="N40" s="339" t="s">
        <v>9</v>
      </c>
      <c r="O40" s="341" t="s">
        <v>10</v>
      </c>
      <c r="P40" s="339" t="s">
        <v>11</v>
      </c>
      <c r="Q40" s="339" t="s">
        <v>12</v>
      </c>
      <c r="R40" s="342" t="s">
        <v>48</v>
      </c>
      <c r="S40" s="343" t="s">
        <v>263</v>
      </c>
    </row>
    <row r="41" spans="1:27" ht="39.950000000000003" customHeight="1" x14ac:dyDescent="0.15">
      <c r="D41" s="344" t="s">
        <v>49</v>
      </c>
      <c r="E41" s="345"/>
      <c r="F41" s="346"/>
      <c r="G41" s="346"/>
      <c r="H41" s="347"/>
      <c r="I41" s="348" t="s">
        <v>262</v>
      </c>
      <c r="J41" s="346"/>
      <c r="K41" s="348" t="s">
        <v>55</v>
      </c>
      <c r="L41" s="349"/>
      <c r="M41" s="346"/>
      <c r="N41" s="346"/>
      <c r="O41" s="350"/>
      <c r="P41" s="346"/>
      <c r="Q41" s="346"/>
      <c r="R41" s="351"/>
      <c r="S41" s="352"/>
      <c r="U41" s="540" t="s">
        <v>236</v>
      </c>
      <c r="V41" s="540"/>
      <c r="W41" s="540"/>
      <c r="X41" s="448"/>
      <c r="Y41" s="448"/>
      <c r="Z41" s="448"/>
    </row>
    <row r="42" spans="1:27" ht="39.950000000000003" customHeight="1" x14ac:dyDescent="0.15">
      <c r="D42" s="353" t="s">
        <v>50</v>
      </c>
      <c r="E42" s="354"/>
      <c r="F42" s="282"/>
      <c r="G42" s="282"/>
      <c r="H42" s="234"/>
      <c r="I42" s="355" t="s">
        <v>55</v>
      </c>
      <c r="J42" s="234"/>
      <c r="K42" s="282" t="s">
        <v>56</v>
      </c>
      <c r="L42" s="322"/>
      <c r="M42" s="355" t="s">
        <v>265</v>
      </c>
      <c r="N42" s="234"/>
      <c r="O42" s="282" t="s">
        <v>261</v>
      </c>
      <c r="P42" s="282"/>
      <c r="Q42" s="234"/>
      <c r="R42" s="356"/>
      <c r="S42" s="357"/>
      <c r="U42" s="448"/>
      <c r="V42" s="448"/>
      <c r="W42" s="448"/>
      <c r="X42" s="448"/>
      <c r="Y42" s="448"/>
      <c r="Z42" s="448"/>
      <c r="AA42" s="358"/>
    </row>
    <row r="43" spans="1:27" ht="39.950000000000003" customHeight="1" x14ac:dyDescent="0.15">
      <c r="D43" s="344" t="s">
        <v>51</v>
      </c>
      <c r="E43" s="354"/>
      <c r="F43" s="234" t="s">
        <v>293</v>
      </c>
      <c r="G43" s="282" t="s">
        <v>266</v>
      </c>
      <c r="H43" s="355"/>
      <c r="I43" s="355" t="s">
        <v>306</v>
      </c>
      <c r="J43" s="355" t="s">
        <v>282</v>
      </c>
      <c r="K43" s="355"/>
      <c r="L43" s="243"/>
      <c r="M43" s="355" t="s">
        <v>59</v>
      </c>
      <c r="N43" s="234" t="s">
        <v>58</v>
      </c>
      <c r="O43" s="282"/>
      <c r="P43" s="234"/>
      <c r="Q43" s="359" t="s">
        <v>57</v>
      </c>
      <c r="R43" s="360"/>
      <c r="S43" s="361"/>
      <c r="U43" s="448"/>
      <c r="V43" s="448"/>
      <c r="W43" s="448"/>
      <c r="X43" s="448"/>
      <c r="Y43" s="448"/>
      <c r="Z43" s="448"/>
      <c r="AA43" s="358"/>
    </row>
    <row r="44" spans="1:27" ht="39.950000000000003" customHeight="1" x14ac:dyDescent="0.15">
      <c r="D44" s="353" t="s">
        <v>52</v>
      </c>
      <c r="E44" s="354"/>
      <c r="F44" s="282"/>
      <c r="G44" s="282"/>
      <c r="H44" s="234"/>
      <c r="I44" s="234"/>
      <c r="J44" s="234"/>
      <c r="K44" s="282"/>
      <c r="L44" s="322"/>
      <c r="M44" s="282" t="s">
        <v>54</v>
      </c>
      <c r="N44" s="282"/>
      <c r="O44" s="282"/>
      <c r="P44" s="282"/>
      <c r="Q44" s="282" t="s">
        <v>264</v>
      </c>
      <c r="R44" s="356"/>
      <c r="S44" s="357"/>
      <c r="U44" s="448"/>
      <c r="V44" s="448"/>
      <c r="W44" s="448"/>
      <c r="X44" s="448"/>
      <c r="Y44" s="448"/>
      <c r="Z44" s="448"/>
      <c r="AA44" s="358"/>
    </row>
    <row r="45" spans="1:27" ht="39.950000000000003" customHeight="1" x14ac:dyDescent="0.15">
      <c r="D45" s="362" t="s">
        <v>53</v>
      </c>
      <c r="E45" s="363"/>
      <c r="F45" s="364"/>
      <c r="G45" s="365"/>
      <c r="H45" s="364"/>
      <c r="I45" s="364"/>
      <c r="J45" s="364"/>
      <c r="K45" s="364"/>
      <c r="L45" s="334"/>
      <c r="M45" s="364"/>
      <c r="N45" s="364"/>
      <c r="O45" s="364"/>
      <c r="P45" s="365"/>
      <c r="Q45" s="364"/>
      <c r="R45" s="366"/>
      <c r="S45" s="367"/>
      <c r="U45" s="448"/>
      <c r="V45" s="448"/>
      <c r="W45" s="448"/>
      <c r="X45" s="448"/>
      <c r="Y45" s="448"/>
      <c r="Z45" s="448"/>
      <c r="AA45" s="358"/>
    </row>
    <row r="46" spans="1:27" ht="27.95" customHeight="1" x14ac:dyDescent="0.15">
      <c r="C46" s="217"/>
      <c r="D46" s="217"/>
      <c r="K46" s="320"/>
      <c r="L46" s="320"/>
      <c r="M46" s="320"/>
      <c r="N46" s="320"/>
      <c r="O46" s="320"/>
      <c r="P46" s="320"/>
      <c r="Q46" s="320"/>
      <c r="S46" s="320"/>
      <c r="U46" s="448"/>
      <c r="V46" s="448"/>
      <c r="W46" s="448"/>
      <c r="X46" s="448"/>
      <c r="Y46" s="448"/>
      <c r="Z46" s="448"/>
      <c r="AA46" s="358"/>
    </row>
    <row r="47" spans="1:27" ht="27.95" customHeight="1" x14ac:dyDescent="0.15">
      <c r="R47" s="369"/>
      <c r="S47" s="320"/>
      <c r="AA47" s="358"/>
    </row>
    <row r="48" spans="1:27" ht="16.5" customHeight="1" x14ac:dyDescent="0.15">
      <c r="R48" s="369"/>
    </row>
    <row r="49" spans="1:27" s="329" customFormat="1" ht="16.5" customHeight="1" x14ac:dyDescent="0.15">
      <c r="A49" s="217"/>
      <c r="B49" s="370"/>
      <c r="C49" s="320"/>
      <c r="D49" s="320"/>
      <c r="E49" s="320"/>
      <c r="F49" s="320"/>
      <c r="G49" s="320"/>
      <c r="H49" s="320"/>
      <c r="I49" s="320"/>
      <c r="J49" s="320"/>
      <c r="K49" s="320"/>
      <c r="M49" s="217"/>
      <c r="N49" s="217"/>
      <c r="O49" s="217"/>
      <c r="P49" s="217"/>
      <c r="Q49" s="217"/>
      <c r="R49" s="368"/>
      <c r="S49" s="217"/>
      <c r="T49" s="217"/>
      <c r="U49" s="218"/>
      <c r="V49" s="218"/>
      <c r="W49" s="218"/>
      <c r="X49" s="218"/>
      <c r="Y49" s="218"/>
      <c r="Z49" s="218"/>
      <c r="AA49" s="219"/>
    </row>
    <row r="50" spans="1:27" s="329" customFormat="1" ht="16.5" customHeight="1" x14ac:dyDescent="0.15">
      <c r="A50" s="217"/>
      <c r="B50" s="320"/>
      <c r="C50" s="320"/>
      <c r="D50" s="320"/>
      <c r="E50" s="320"/>
      <c r="F50" s="320"/>
      <c r="G50" s="320"/>
      <c r="H50" s="320"/>
      <c r="I50" s="320"/>
      <c r="J50" s="320"/>
      <c r="K50" s="320"/>
      <c r="M50" s="217"/>
      <c r="N50" s="217"/>
      <c r="O50" s="217"/>
      <c r="P50" s="217"/>
      <c r="Q50" s="217"/>
      <c r="R50" s="368"/>
      <c r="S50" s="217"/>
      <c r="T50" s="217"/>
      <c r="U50" s="218"/>
      <c r="V50" s="218"/>
      <c r="W50" s="218"/>
      <c r="X50" s="218"/>
      <c r="Y50" s="218"/>
      <c r="Z50" s="218"/>
      <c r="AA50" s="219"/>
    </row>
    <row r="51" spans="1:27" s="329" customFormat="1" ht="17.25" customHeight="1" x14ac:dyDescent="0.15">
      <c r="A51" s="217"/>
      <c r="B51" s="320"/>
      <c r="C51" s="320"/>
      <c r="D51" s="320"/>
      <c r="E51" s="320"/>
      <c r="F51" s="320"/>
      <c r="G51" s="320"/>
      <c r="H51" s="320"/>
      <c r="I51" s="320"/>
      <c r="J51" s="320"/>
      <c r="K51" s="320"/>
      <c r="M51" s="217"/>
      <c r="N51" s="217"/>
      <c r="O51" s="217"/>
      <c r="P51" s="217"/>
      <c r="Q51" s="217"/>
      <c r="R51" s="368"/>
      <c r="S51" s="217"/>
      <c r="T51" s="217"/>
      <c r="U51" s="218"/>
      <c r="V51" s="218"/>
      <c r="W51" s="218"/>
      <c r="X51" s="218"/>
      <c r="Y51" s="218"/>
      <c r="Z51" s="218"/>
      <c r="AA51" s="219"/>
    </row>
    <row r="52" spans="1:27" s="329" customFormat="1" x14ac:dyDescent="0.15">
      <c r="A52" s="217"/>
      <c r="B52" s="320"/>
      <c r="C52" s="320"/>
      <c r="D52" s="320"/>
      <c r="E52" s="320"/>
      <c r="F52" s="320"/>
      <c r="G52" s="320"/>
      <c r="H52" s="320"/>
      <c r="I52" s="320"/>
      <c r="J52" s="320"/>
      <c r="K52" s="320"/>
      <c r="M52" s="217"/>
      <c r="N52" s="217"/>
      <c r="O52" s="217"/>
      <c r="P52" s="217"/>
      <c r="Q52" s="217"/>
      <c r="R52" s="368"/>
      <c r="S52" s="217"/>
      <c r="T52" s="217"/>
      <c r="U52" s="218"/>
      <c r="V52" s="218"/>
      <c r="W52" s="218"/>
      <c r="X52" s="218"/>
      <c r="Y52" s="218"/>
      <c r="Z52" s="218"/>
      <c r="AA52" s="219"/>
    </row>
    <row r="53" spans="1:27" s="329" customFormat="1" ht="16.5" customHeight="1" x14ac:dyDescent="0.15">
      <c r="A53" s="217"/>
      <c r="B53" s="320"/>
      <c r="C53" s="320"/>
      <c r="D53" s="320"/>
      <c r="E53" s="320"/>
      <c r="F53" s="320"/>
      <c r="G53" s="320"/>
      <c r="H53" s="320"/>
      <c r="I53" s="320"/>
      <c r="J53" s="320"/>
      <c r="K53" s="320"/>
      <c r="M53" s="217"/>
      <c r="N53" s="217"/>
      <c r="O53" s="217"/>
      <c r="P53" s="217"/>
      <c r="Q53" s="217"/>
      <c r="R53" s="368"/>
      <c r="S53" s="217"/>
      <c r="T53" s="217"/>
      <c r="U53" s="218"/>
      <c r="V53" s="218"/>
      <c r="W53" s="218"/>
      <c r="X53" s="218"/>
      <c r="Y53" s="218"/>
      <c r="Z53" s="218"/>
      <c r="AA53" s="219"/>
    </row>
    <row r="54" spans="1:27" s="329" customFormat="1" x14ac:dyDescent="0.15">
      <c r="A54" s="217"/>
      <c r="B54" s="320"/>
      <c r="C54" s="320"/>
      <c r="D54" s="320"/>
      <c r="E54" s="320"/>
      <c r="F54" s="320"/>
      <c r="G54" s="320"/>
      <c r="H54" s="320"/>
      <c r="I54" s="320"/>
      <c r="J54" s="320"/>
      <c r="K54" s="320"/>
      <c r="M54" s="217"/>
      <c r="N54" s="217"/>
      <c r="O54" s="217"/>
      <c r="P54" s="217"/>
      <c r="Q54" s="217"/>
      <c r="R54" s="368"/>
      <c r="S54" s="217"/>
      <c r="T54" s="217"/>
      <c r="U54" s="218"/>
      <c r="V54" s="218"/>
      <c r="W54" s="218"/>
      <c r="X54" s="218"/>
      <c r="Y54" s="218"/>
      <c r="Z54" s="218"/>
      <c r="AA54" s="219"/>
    </row>
    <row r="55" spans="1:27" s="329" customFormat="1" x14ac:dyDescent="0.15">
      <c r="A55" s="217"/>
      <c r="B55" s="320"/>
      <c r="C55" s="320"/>
      <c r="D55" s="320"/>
      <c r="E55" s="320"/>
      <c r="F55" s="320"/>
      <c r="G55" s="320"/>
      <c r="H55" s="320"/>
      <c r="I55" s="320"/>
      <c r="J55" s="320"/>
      <c r="K55" s="320"/>
      <c r="M55" s="217"/>
      <c r="N55" s="217"/>
      <c r="O55" s="217"/>
      <c r="P55" s="217"/>
      <c r="Q55" s="217"/>
      <c r="R55" s="368"/>
      <c r="S55" s="217"/>
      <c r="T55" s="217"/>
      <c r="U55" s="218"/>
      <c r="V55" s="218"/>
      <c r="W55" s="218"/>
      <c r="X55" s="218"/>
      <c r="Y55" s="218"/>
      <c r="Z55" s="218"/>
      <c r="AA55" s="219"/>
    </row>
    <row r="56" spans="1:27" s="329" customFormat="1" x14ac:dyDescent="0.15">
      <c r="A56" s="217"/>
      <c r="B56" s="320"/>
      <c r="C56" s="320"/>
      <c r="D56" s="320"/>
      <c r="E56" s="320"/>
      <c r="F56" s="320"/>
      <c r="G56" s="320"/>
      <c r="H56" s="320"/>
      <c r="I56" s="320"/>
      <c r="J56" s="320"/>
      <c r="K56" s="320"/>
      <c r="M56" s="217"/>
      <c r="N56" s="217"/>
      <c r="O56" s="217"/>
      <c r="P56" s="217"/>
      <c r="Q56" s="217"/>
      <c r="R56" s="368"/>
      <c r="S56" s="217"/>
      <c r="T56" s="217"/>
      <c r="U56" s="218"/>
      <c r="V56" s="218"/>
      <c r="W56" s="218"/>
      <c r="X56" s="218"/>
      <c r="Y56" s="218"/>
      <c r="Z56" s="218"/>
      <c r="AA56" s="219"/>
    </row>
    <row r="57" spans="1:27" s="329" customFormat="1" ht="16.5" customHeight="1" x14ac:dyDescent="0.15">
      <c r="A57" s="217"/>
      <c r="B57" s="320"/>
      <c r="C57" s="320"/>
      <c r="D57" s="320"/>
      <c r="E57" s="320"/>
      <c r="F57" s="320"/>
      <c r="G57" s="320"/>
      <c r="H57" s="320"/>
      <c r="I57" s="320"/>
      <c r="J57" s="320"/>
      <c r="K57" s="320"/>
      <c r="M57" s="217"/>
      <c r="N57" s="217"/>
      <c r="O57" s="217"/>
      <c r="P57" s="217"/>
      <c r="Q57" s="217"/>
      <c r="R57" s="368"/>
      <c r="S57" s="217"/>
      <c r="T57" s="217"/>
      <c r="U57" s="218"/>
      <c r="V57" s="218"/>
      <c r="W57" s="218"/>
      <c r="X57" s="218"/>
      <c r="Y57" s="218"/>
      <c r="Z57" s="218"/>
      <c r="AA57" s="219"/>
    </row>
    <row r="58" spans="1:27" s="329" customFormat="1" x14ac:dyDescent="0.15">
      <c r="A58" s="217"/>
      <c r="B58" s="320"/>
      <c r="C58" s="320"/>
      <c r="D58" s="320"/>
      <c r="E58" s="320"/>
      <c r="F58" s="320"/>
      <c r="G58" s="320"/>
      <c r="H58" s="320"/>
      <c r="I58" s="320"/>
      <c r="J58" s="320"/>
      <c r="K58" s="320"/>
      <c r="M58" s="217"/>
      <c r="N58" s="217"/>
      <c r="O58" s="217"/>
      <c r="P58" s="217"/>
      <c r="Q58" s="217"/>
      <c r="R58" s="368"/>
      <c r="S58" s="217"/>
      <c r="T58" s="217"/>
      <c r="U58" s="218"/>
      <c r="V58" s="218"/>
      <c r="W58" s="218"/>
      <c r="X58" s="218"/>
      <c r="Y58" s="218"/>
      <c r="Z58" s="218"/>
      <c r="AA58" s="219"/>
    </row>
    <row r="59" spans="1:27" s="329" customFormat="1" x14ac:dyDescent="0.15">
      <c r="A59" s="217"/>
      <c r="B59" s="320"/>
      <c r="C59" s="320"/>
      <c r="D59" s="320"/>
      <c r="E59" s="320"/>
      <c r="F59" s="320"/>
      <c r="G59" s="320"/>
      <c r="H59" s="320"/>
      <c r="I59" s="320"/>
      <c r="J59" s="320"/>
      <c r="K59" s="320"/>
      <c r="M59" s="217"/>
      <c r="N59" s="217"/>
      <c r="O59" s="217"/>
      <c r="P59" s="217"/>
      <c r="Q59" s="217"/>
      <c r="R59" s="368"/>
      <c r="S59" s="217"/>
      <c r="T59" s="217"/>
      <c r="U59" s="218"/>
      <c r="V59" s="218"/>
      <c r="W59" s="218"/>
      <c r="X59" s="218"/>
      <c r="Y59" s="218"/>
      <c r="Z59" s="218"/>
      <c r="AA59" s="219"/>
    </row>
    <row r="60" spans="1:27" s="329" customFormat="1" x14ac:dyDescent="0.15">
      <c r="A60" s="217"/>
      <c r="B60" s="320"/>
      <c r="C60" s="320"/>
      <c r="D60" s="320"/>
      <c r="E60" s="217"/>
      <c r="F60" s="217"/>
      <c r="G60" s="217"/>
      <c r="H60" s="217"/>
      <c r="I60" s="217"/>
      <c r="J60" s="217"/>
      <c r="K60" s="217"/>
      <c r="M60" s="217"/>
      <c r="N60" s="217"/>
      <c r="O60" s="217"/>
      <c r="P60" s="217"/>
      <c r="Q60" s="217"/>
      <c r="R60" s="368"/>
      <c r="S60" s="217"/>
      <c r="T60" s="217"/>
      <c r="U60" s="218"/>
      <c r="V60" s="218"/>
      <c r="W60" s="218"/>
      <c r="X60" s="218"/>
      <c r="Y60" s="218"/>
      <c r="Z60" s="218"/>
      <c r="AA60" s="219"/>
    </row>
    <row r="72" ht="16.5" customHeight="1" x14ac:dyDescent="0.15"/>
    <row r="74" ht="16.5" customHeight="1" x14ac:dyDescent="0.15"/>
    <row r="76" ht="16.5" customHeight="1" x14ac:dyDescent="0.15"/>
    <row r="78" ht="16.5" customHeight="1" x14ac:dyDescent="0.15"/>
  </sheetData>
  <mergeCells count="30">
    <mergeCell ref="A1:Q1"/>
    <mergeCell ref="A2:Q2"/>
    <mergeCell ref="U2:Z3"/>
    <mergeCell ref="C4:D8"/>
    <mergeCell ref="U4:Z4"/>
    <mergeCell ref="U5:Z7"/>
    <mergeCell ref="U8:Z8"/>
    <mergeCell ref="P9:Q13"/>
    <mergeCell ref="U9:Z17"/>
    <mergeCell ref="C14:D15"/>
    <mergeCell ref="C16:D21"/>
    <mergeCell ref="U18:Z18"/>
    <mergeCell ref="E19:F19"/>
    <mergeCell ref="M19:Q19"/>
    <mergeCell ref="U19:Z21"/>
    <mergeCell ref="E20:F20"/>
    <mergeCell ref="A29:A30"/>
    <mergeCell ref="B29:B30"/>
    <mergeCell ref="C29:D31"/>
    <mergeCell ref="U30:Z31"/>
    <mergeCell ref="E31:F31"/>
    <mergeCell ref="D34:D35"/>
    <mergeCell ref="D39:R39"/>
    <mergeCell ref="U41:W41"/>
    <mergeCell ref="C22:D22"/>
    <mergeCell ref="P23:Q24"/>
    <mergeCell ref="U22:Z22"/>
    <mergeCell ref="U23:Z29"/>
    <mergeCell ref="C25:D25"/>
    <mergeCell ref="C26:D27"/>
  </mergeCells>
  <phoneticPr fontId="3" type="noConversion"/>
  <conditionalFormatting sqref="O91:O92">
    <cfRule type="uniqueValues" dxfId="20" priority="3"/>
  </conditionalFormatting>
  <conditionalFormatting sqref="M85:M86">
    <cfRule type="uniqueValues" dxfId="19" priority="2"/>
  </conditionalFormatting>
  <conditionalFormatting sqref="N91:N92">
    <cfRule type="uniqueValues" dxfId="18" priority="1"/>
  </conditionalFormatting>
  <printOptions horizontalCentered="1"/>
  <pageMargins left="0" right="0" top="0" bottom="0" header="0" footer="0"/>
  <pageSetup paperSize="9" scale="29" orientation="portrait" horizontalDpi="4294967293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78"/>
  <sheetViews>
    <sheetView topLeftCell="A5" zoomScale="85" zoomScaleNormal="85" zoomScalePageLayoutView="80" workbookViewId="0">
      <selection activeCell="O22" sqref="O22"/>
    </sheetView>
  </sheetViews>
  <sheetFormatPr defaultRowHeight="16.5" x14ac:dyDescent="0.15"/>
  <cols>
    <col min="1" max="1" width="4.33203125" style="217" customWidth="1"/>
    <col min="2" max="2" width="13.33203125" style="320" customWidth="1"/>
    <col min="3" max="4" width="15.83203125" style="320" customWidth="1"/>
    <col min="5" max="11" width="15.83203125" style="217" customWidth="1"/>
    <col min="12" max="12" width="3.5" style="329" customWidth="1"/>
    <col min="13" max="17" width="15.83203125" style="217" customWidth="1"/>
    <col min="18" max="18" width="15.83203125" style="368" customWidth="1"/>
    <col min="19" max="19" width="15.83203125" style="217" customWidth="1"/>
    <col min="20" max="20" width="2.1640625" style="217" customWidth="1"/>
    <col min="21" max="26" width="10.83203125" style="218" customWidth="1"/>
    <col min="27" max="27" width="10" style="219" bestFit="1" customWidth="1"/>
    <col min="28" max="16384" width="9.33203125" style="217"/>
  </cols>
  <sheetData>
    <row r="1" spans="1:27" ht="16.5" hidden="1" customHeight="1" x14ac:dyDescent="0.15">
      <c r="A1" s="606" t="s">
        <v>74</v>
      </c>
      <c r="B1" s="607"/>
      <c r="C1" s="607"/>
      <c r="D1" s="607"/>
      <c r="E1" s="607"/>
      <c r="F1" s="607"/>
      <c r="G1" s="607"/>
      <c r="H1" s="607"/>
      <c r="I1" s="607"/>
      <c r="J1" s="607"/>
      <c r="K1" s="607"/>
      <c r="L1" s="607"/>
      <c r="M1" s="607"/>
      <c r="N1" s="607"/>
      <c r="O1" s="607"/>
      <c r="P1" s="607"/>
      <c r="Q1" s="608"/>
      <c r="R1" s="216"/>
    </row>
    <row r="2" spans="1:27" ht="18" customHeight="1" x14ac:dyDescent="0.15">
      <c r="A2" s="609" t="s">
        <v>850</v>
      </c>
      <c r="B2" s="610"/>
      <c r="C2" s="610"/>
      <c r="D2" s="610"/>
      <c r="E2" s="610"/>
      <c r="F2" s="610"/>
      <c r="G2" s="610"/>
      <c r="H2" s="610"/>
      <c r="I2" s="610"/>
      <c r="J2" s="610"/>
      <c r="K2" s="610"/>
      <c r="L2" s="610"/>
      <c r="M2" s="610"/>
      <c r="N2" s="610"/>
      <c r="O2" s="610"/>
      <c r="P2" s="610"/>
      <c r="Q2" s="610"/>
      <c r="R2" s="220"/>
      <c r="U2" s="540"/>
      <c r="V2" s="540"/>
      <c r="W2" s="540"/>
      <c r="X2" s="540"/>
      <c r="Y2" s="540"/>
      <c r="Z2" s="540"/>
    </row>
    <row r="3" spans="1:27" ht="21" customHeight="1" thickBot="1" x14ac:dyDescent="0.2">
      <c r="A3" s="221"/>
      <c r="B3" s="222" t="s">
        <v>75</v>
      </c>
      <c r="C3" s="223" t="s">
        <v>76</v>
      </c>
      <c r="D3" s="223" t="s">
        <v>77</v>
      </c>
      <c r="E3" s="224" t="s">
        <v>0</v>
      </c>
      <c r="F3" s="224" t="s">
        <v>1</v>
      </c>
      <c r="G3" s="223" t="s">
        <v>2</v>
      </c>
      <c r="H3" s="223" t="s">
        <v>377</v>
      </c>
      <c r="I3" s="224" t="s">
        <v>4</v>
      </c>
      <c r="J3" s="223" t="s">
        <v>5</v>
      </c>
      <c r="K3" s="223" t="s">
        <v>78</v>
      </c>
      <c r="L3" s="225" t="s">
        <v>7</v>
      </c>
      <c r="M3" s="224" t="s">
        <v>8</v>
      </c>
      <c r="N3" s="223" t="s">
        <v>9</v>
      </c>
      <c r="O3" s="223" t="s">
        <v>10</v>
      </c>
      <c r="P3" s="223" t="s">
        <v>11</v>
      </c>
      <c r="Q3" s="223" t="s">
        <v>12</v>
      </c>
      <c r="R3" s="226">
        <f>AVERAGE(R4:R32)</f>
        <v>0.96794871794871784</v>
      </c>
      <c r="U3" s="611"/>
      <c r="V3" s="611"/>
      <c r="W3" s="611"/>
      <c r="X3" s="611"/>
      <c r="Y3" s="611"/>
      <c r="Z3" s="611"/>
    </row>
    <row r="4" spans="1:27" s="237" customFormat="1" ht="27.95" customHeight="1" thickBot="1" x14ac:dyDescent="0.2">
      <c r="A4" s="227">
        <v>1</v>
      </c>
      <c r="B4" s="228" t="s">
        <v>122</v>
      </c>
      <c r="C4" s="604"/>
      <c r="D4" s="605"/>
      <c r="E4" s="229" t="s">
        <v>252</v>
      </c>
      <c r="F4" s="229" t="s">
        <v>253</v>
      </c>
      <c r="G4" s="230" t="s">
        <v>287</v>
      </c>
      <c r="H4" s="231" t="s">
        <v>124</v>
      </c>
      <c r="I4" s="229" t="s">
        <v>724</v>
      </c>
      <c r="J4" s="232" t="s">
        <v>125</v>
      </c>
      <c r="K4" s="229" t="s">
        <v>126</v>
      </c>
      <c r="L4" s="233"/>
      <c r="M4" s="234" t="s">
        <v>91</v>
      </c>
      <c r="N4" s="231" t="s">
        <v>109</v>
      </c>
      <c r="O4" s="241" t="s">
        <v>706</v>
      </c>
      <c r="P4" s="231" t="s">
        <v>389</v>
      </c>
      <c r="Q4" s="231" t="s">
        <v>88</v>
      </c>
      <c r="R4" s="235">
        <f>(COUNTA(C4:Q4))/12</f>
        <v>1</v>
      </c>
      <c r="S4" s="472"/>
      <c r="U4" s="612" t="s">
        <v>313</v>
      </c>
      <c r="V4" s="613"/>
      <c r="W4" s="613"/>
      <c r="X4" s="613"/>
      <c r="Y4" s="613"/>
      <c r="Z4" s="614"/>
      <c r="AA4" s="238"/>
    </row>
    <row r="5" spans="1:27" s="237" customFormat="1" ht="27.95" customHeight="1" x14ac:dyDescent="0.15">
      <c r="A5" s="239">
        <v>2</v>
      </c>
      <c r="B5" s="240" t="s">
        <v>89</v>
      </c>
      <c r="C5" s="598"/>
      <c r="D5" s="599"/>
      <c r="E5" s="378" t="s">
        <v>861</v>
      </c>
      <c r="F5" s="229" t="s">
        <v>90</v>
      </c>
      <c r="G5" s="229" t="s">
        <v>91</v>
      </c>
      <c r="H5" s="231" t="s">
        <v>106</v>
      </c>
      <c r="I5" s="241" t="s">
        <v>240</v>
      </c>
      <c r="J5" s="229" t="s">
        <v>92</v>
      </c>
      <c r="K5" s="229" t="s">
        <v>93</v>
      </c>
      <c r="L5" s="231"/>
      <c r="M5" s="229" t="s">
        <v>756</v>
      </c>
      <c r="N5" s="229" t="s">
        <v>94</v>
      </c>
      <c r="O5" s="234" t="s">
        <v>82</v>
      </c>
      <c r="P5" s="411" t="s">
        <v>140</v>
      </c>
      <c r="Q5" s="5" t="s">
        <v>711</v>
      </c>
      <c r="R5" s="235">
        <f>(COUNTA(C5:Q5))/12</f>
        <v>1</v>
      </c>
      <c r="S5" s="472"/>
      <c r="U5" s="615"/>
      <c r="V5" s="616"/>
      <c r="W5" s="616"/>
      <c r="X5" s="616"/>
      <c r="Y5" s="616"/>
      <c r="Z5" s="617"/>
      <c r="AA5" s="238"/>
    </row>
    <row r="6" spans="1:27" s="237" customFormat="1" ht="27.95" customHeight="1" x14ac:dyDescent="0.15">
      <c r="A6" s="239">
        <v>3</v>
      </c>
      <c r="B6" s="242" t="s">
        <v>127</v>
      </c>
      <c r="C6" s="598"/>
      <c r="D6" s="599"/>
      <c r="E6" s="229" t="s">
        <v>290</v>
      </c>
      <c r="F6" s="243" t="s">
        <v>128</v>
      </c>
      <c r="G6" s="229" t="s">
        <v>240</v>
      </c>
      <c r="H6" s="229" t="s">
        <v>257</v>
      </c>
      <c r="I6" s="229" t="s">
        <v>310</v>
      </c>
      <c r="J6" s="229" t="s">
        <v>129</v>
      </c>
      <c r="K6" s="229" t="s">
        <v>107</v>
      </c>
      <c r="L6" s="229"/>
      <c r="M6" s="229" t="s">
        <v>112</v>
      </c>
      <c r="N6" s="241" t="s">
        <v>130</v>
      </c>
      <c r="O6" s="241" t="s">
        <v>131</v>
      </c>
      <c r="P6" s="244" t="s">
        <v>83</v>
      </c>
      <c r="Q6" s="229" t="s">
        <v>717</v>
      </c>
      <c r="R6" s="235">
        <f>(COUNTA(C6:Q6))/12</f>
        <v>1</v>
      </c>
      <c r="S6" s="472"/>
      <c r="U6" s="618"/>
      <c r="V6" s="619"/>
      <c r="W6" s="619"/>
      <c r="X6" s="619"/>
      <c r="Y6" s="619"/>
      <c r="Z6" s="620"/>
      <c r="AA6" s="238"/>
    </row>
    <row r="7" spans="1:27" s="237" customFormat="1" ht="27.75" customHeight="1" thickBot="1" x14ac:dyDescent="0.2">
      <c r="A7" s="239">
        <v>4</v>
      </c>
      <c r="B7" s="245" t="s">
        <v>111</v>
      </c>
      <c r="C7" s="598"/>
      <c r="D7" s="599"/>
      <c r="E7" s="229" t="s">
        <v>103</v>
      </c>
      <c r="F7" s="231" t="s">
        <v>389</v>
      </c>
      <c r="G7" s="243" t="s">
        <v>92</v>
      </c>
      <c r="H7" s="229" t="s">
        <v>278</v>
      </c>
      <c r="I7" s="229" t="s">
        <v>107</v>
      </c>
      <c r="J7" s="229" t="s">
        <v>280</v>
      </c>
      <c r="K7" s="229" t="s">
        <v>81</v>
      </c>
      <c r="L7" s="229"/>
      <c r="M7" s="5" t="s">
        <v>711</v>
      </c>
      <c r="N7" s="5" t="s">
        <v>115</v>
      </c>
      <c r="O7" s="229" t="s">
        <v>116</v>
      </c>
      <c r="P7" s="229" t="s">
        <v>117</v>
      </c>
      <c r="Q7" s="246" t="s">
        <v>346</v>
      </c>
      <c r="R7" s="235">
        <f>(COUNTA(C7:Q7))/12</f>
        <v>1</v>
      </c>
      <c r="S7" s="472"/>
      <c r="U7" s="621"/>
      <c r="V7" s="622"/>
      <c r="W7" s="622"/>
      <c r="X7" s="622"/>
      <c r="Y7" s="622"/>
      <c r="Z7" s="623"/>
      <c r="AA7" s="238"/>
    </row>
    <row r="8" spans="1:27" s="237" customFormat="1" ht="27.95" customHeight="1" thickBot="1" x14ac:dyDescent="0.2">
      <c r="A8" s="239">
        <v>5</v>
      </c>
      <c r="B8" s="6" t="s">
        <v>416</v>
      </c>
      <c r="C8" s="598"/>
      <c r="D8" s="599"/>
      <c r="E8" s="229" t="s">
        <v>756</v>
      </c>
      <c r="F8" s="230" t="s">
        <v>853</v>
      </c>
      <c r="G8" s="170" t="s">
        <v>110</v>
      </c>
      <c r="H8" s="247" t="s">
        <v>279</v>
      </c>
      <c r="I8" s="247" t="s">
        <v>118</v>
      </c>
      <c r="J8" s="247" t="s">
        <v>106</v>
      </c>
      <c r="K8" s="230" t="s">
        <v>420</v>
      </c>
      <c r="L8" s="171"/>
      <c r="M8" s="230" t="s">
        <v>90</v>
      </c>
      <c r="N8" s="405" t="s">
        <v>842</v>
      </c>
      <c r="O8" s="249" t="s">
        <v>107</v>
      </c>
      <c r="P8" s="231" t="s">
        <v>94</v>
      </c>
      <c r="Q8" s="230" t="s">
        <v>716</v>
      </c>
      <c r="R8" s="235">
        <f>(COUNTA(C8:Q8))/12</f>
        <v>1</v>
      </c>
      <c r="S8" s="472"/>
      <c r="U8" s="612" t="s">
        <v>64</v>
      </c>
      <c r="V8" s="613"/>
      <c r="W8" s="613"/>
      <c r="X8" s="613"/>
      <c r="Y8" s="613"/>
      <c r="Z8" s="614"/>
      <c r="AA8" s="238"/>
    </row>
    <row r="9" spans="1:27" s="237" customFormat="1" ht="27.95" customHeight="1" x14ac:dyDescent="0.15">
      <c r="A9" s="250">
        <v>6</v>
      </c>
      <c r="B9" s="251" t="s">
        <v>79</v>
      </c>
      <c r="C9" s="252" t="s">
        <v>823</v>
      </c>
      <c r="D9" s="252" t="s">
        <v>824</v>
      </c>
      <c r="E9" s="253" t="s">
        <v>425</v>
      </c>
      <c r="F9" s="253" t="s">
        <v>81</v>
      </c>
      <c r="G9" s="253" t="s">
        <v>82</v>
      </c>
      <c r="H9" s="233" t="s">
        <v>83</v>
      </c>
      <c r="I9" s="232" t="s">
        <v>84</v>
      </c>
      <c r="J9" s="244" t="s">
        <v>427</v>
      </c>
      <c r="K9" s="160" t="s">
        <v>92</v>
      </c>
      <c r="L9" s="253"/>
      <c r="M9" s="253" t="s">
        <v>85</v>
      </c>
      <c r="N9" s="254" t="s">
        <v>86</v>
      </c>
      <c r="O9" s="231" t="s">
        <v>109</v>
      </c>
      <c r="P9" s="541"/>
      <c r="Q9" s="542"/>
      <c r="R9" s="235">
        <f t="shared" ref="R9:R18" si="0">(COUNTA(C9:Q9))/12</f>
        <v>1</v>
      </c>
      <c r="S9" s="472"/>
      <c r="U9" s="592" t="s">
        <v>848</v>
      </c>
      <c r="V9" s="593"/>
      <c r="W9" s="593"/>
      <c r="X9" s="593"/>
      <c r="Y9" s="593"/>
      <c r="Z9" s="594"/>
      <c r="AA9" s="238"/>
    </row>
    <row r="10" spans="1:27" s="237" customFormat="1" ht="27.95" customHeight="1" x14ac:dyDescent="0.15">
      <c r="A10" s="239">
        <v>7</v>
      </c>
      <c r="B10" s="240" t="s">
        <v>430</v>
      </c>
      <c r="C10" s="255" t="s">
        <v>826</v>
      </c>
      <c r="D10" s="255" t="s">
        <v>826</v>
      </c>
      <c r="E10" s="241" t="s">
        <v>706</v>
      </c>
      <c r="F10" s="232" t="s">
        <v>13</v>
      </c>
      <c r="G10" s="229" t="s">
        <v>98</v>
      </c>
      <c r="H10" s="241" t="s">
        <v>93</v>
      </c>
      <c r="I10" s="234" t="s">
        <v>104</v>
      </c>
      <c r="J10" s="229" t="s">
        <v>99</v>
      </c>
      <c r="K10" s="229" t="s">
        <v>100</v>
      </c>
      <c r="L10" s="233"/>
      <c r="M10" s="231" t="s">
        <v>724</v>
      </c>
      <c r="N10" s="232" t="s">
        <v>101</v>
      </c>
      <c r="O10" s="231" t="s">
        <v>102</v>
      </c>
      <c r="P10" s="543"/>
      <c r="Q10" s="544"/>
      <c r="R10" s="235">
        <f t="shared" si="0"/>
        <v>1</v>
      </c>
      <c r="S10" s="472"/>
      <c r="U10" s="592"/>
      <c r="V10" s="593"/>
      <c r="W10" s="593"/>
      <c r="X10" s="593"/>
      <c r="Y10" s="593"/>
      <c r="Z10" s="594"/>
      <c r="AA10" s="238"/>
    </row>
    <row r="11" spans="1:27" s="237" customFormat="1" ht="27.95" customHeight="1" x14ac:dyDescent="0.15">
      <c r="A11" s="239">
        <v>8</v>
      </c>
      <c r="B11" s="245" t="s">
        <v>132</v>
      </c>
      <c r="C11" s="255" t="s">
        <v>135</v>
      </c>
      <c r="D11" s="255" t="s">
        <v>838</v>
      </c>
      <c r="E11" s="229" t="s">
        <v>133</v>
      </c>
      <c r="F11" s="241" t="s">
        <v>82</v>
      </c>
      <c r="G11" s="256" t="s">
        <v>134</v>
      </c>
      <c r="H11" s="229" t="s">
        <v>135</v>
      </c>
      <c r="I11" s="473" t="s">
        <v>106</v>
      </c>
      <c r="J11" s="229" t="s">
        <v>107</v>
      </c>
      <c r="K11" s="243" t="s">
        <v>108</v>
      </c>
      <c r="L11" s="230"/>
      <c r="M11" s="230" t="s">
        <v>113</v>
      </c>
      <c r="N11" s="229" t="s">
        <v>136</v>
      </c>
      <c r="O11" s="229" t="s">
        <v>123</v>
      </c>
      <c r="P11" s="543"/>
      <c r="Q11" s="544"/>
      <c r="R11" s="235">
        <f t="shared" si="0"/>
        <v>1</v>
      </c>
      <c r="S11" s="472"/>
      <c r="U11" s="592"/>
      <c r="V11" s="593"/>
      <c r="W11" s="593"/>
      <c r="X11" s="593"/>
      <c r="Y11" s="593"/>
      <c r="Z11" s="594"/>
      <c r="AA11" s="238"/>
    </row>
    <row r="12" spans="1:27" s="237" customFormat="1" ht="27.95" customHeight="1" x14ac:dyDescent="0.15">
      <c r="A12" s="239">
        <v>9</v>
      </c>
      <c r="B12" s="257" t="s">
        <v>137</v>
      </c>
      <c r="C12" s="255" t="s">
        <v>131</v>
      </c>
      <c r="D12" s="255" t="s">
        <v>124</v>
      </c>
      <c r="E12" s="229" t="s">
        <v>138</v>
      </c>
      <c r="F12" s="241" t="s">
        <v>706</v>
      </c>
      <c r="G12" s="248" t="s">
        <v>139</v>
      </c>
      <c r="H12" s="281" t="s">
        <v>843</v>
      </c>
      <c r="I12" s="233" t="s">
        <v>141</v>
      </c>
      <c r="J12" s="229" t="s">
        <v>142</v>
      </c>
      <c r="K12" s="241" t="s">
        <v>118</v>
      </c>
      <c r="L12" s="229"/>
      <c r="M12" s="241" t="s">
        <v>279</v>
      </c>
      <c r="N12" s="231" t="s">
        <v>143</v>
      </c>
      <c r="O12" s="466" t="s">
        <v>862</v>
      </c>
      <c r="P12" s="543"/>
      <c r="Q12" s="544"/>
      <c r="R12" s="235">
        <f t="shared" si="0"/>
        <v>1</v>
      </c>
      <c r="S12" s="472"/>
      <c r="U12" s="592"/>
      <c r="V12" s="593"/>
      <c r="W12" s="593"/>
      <c r="X12" s="593"/>
      <c r="Y12" s="593"/>
      <c r="Z12" s="594"/>
      <c r="AA12" s="238"/>
    </row>
    <row r="13" spans="1:27" s="237" customFormat="1" ht="27.95" customHeight="1" thickBot="1" x14ac:dyDescent="0.2">
      <c r="A13" s="258">
        <v>10</v>
      </c>
      <c r="B13" s="7" t="s">
        <v>119</v>
      </c>
      <c r="C13" s="259" t="s">
        <v>86</v>
      </c>
      <c r="D13" s="259" t="s">
        <v>843</v>
      </c>
      <c r="E13" s="260" t="s">
        <v>288</v>
      </c>
      <c r="F13" s="9" t="s">
        <v>102</v>
      </c>
      <c r="G13" s="249" t="s">
        <v>109</v>
      </c>
      <c r="H13" s="249" t="s">
        <v>724</v>
      </c>
      <c r="I13" s="249" t="s">
        <v>120</v>
      </c>
      <c r="J13" s="261" t="s">
        <v>115</v>
      </c>
      <c r="K13" s="249" t="s">
        <v>121</v>
      </c>
      <c r="L13" s="11"/>
      <c r="M13" s="262" t="s">
        <v>82</v>
      </c>
      <c r="N13" s="249" t="s">
        <v>782</v>
      </c>
      <c r="O13" s="249" t="s">
        <v>100</v>
      </c>
      <c r="P13" s="720"/>
      <c r="Q13" s="721"/>
      <c r="R13" s="235">
        <f t="shared" si="0"/>
        <v>1</v>
      </c>
      <c r="S13" s="472"/>
      <c r="U13" s="592"/>
      <c r="V13" s="593"/>
      <c r="W13" s="593"/>
      <c r="X13" s="593"/>
      <c r="Y13" s="593"/>
      <c r="Z13" s="594"/>
      <c r="AA13" s="238"/>
    </row>
    <row r="14" spans="1:27" ht="27.95" customHeight="1" x14ac:dyDescent="0.15">
      <c r="A14" s="263">
        <v>11</v>
      </c>
      <c r="B14" s="264" t="s">
        <v>144</v>
      </c>
      <c r="C14" s="722"/>
      <c r="D14" s="723"/>
      <c r="E14" s="229" t="s">
        <v>104</v>
      </c>
      <c r="F14" s="466" t="s">
        <v>867</v>
      </c>
      <c r="G14" s="241" t="s">
        <v>279</v>
      </c>
      <c r="H14" s="399" t="s">
        <v>860</v>
      </c>
      <c r="I14" s="246" t="s">
        <v>785</v>
      </c>
      <c r="J14" s="230" t="s">
        <v>288</v>
      </c>
      <c r="K14" s="231" t="s">
        <v>724</v>
      </c>
      <c r="L14" s="241"/>
      <c r="M14" s="278" t="s">
        <v>92</v>
      </c>
      <c r="N14" s="233" t="s">
        <v>240</v>
      </c>
      <c r="O14" s="243" t="s">
        <v>314</v>
      </c>
      <c r="P14" s="231" t="s">
        <v>81</v>
      </c>
      <c r="Q14" s="231" t="s">
        <v>90</v>
      </c>
      <c r="R14" s="235">
        <f t="shared" si="0"/>
        <v>1</v>
      </c>
      <c r="S14" s="472"/>
      <c r="T14" s="237"/>
      <c r="U14" s="592"/>
      <c r="V14" s="593"/>
      <c r="W14" s="593"/>
      <c r="X14" s="593"/>
      <c r="Y14" s="593"/>
      <c r="Z14" s="594"/>
    </row>
    <row r="15" spans="1:27" ht="27.95" customHeight="1" thickBot="1" x14ac:dyDescent="0.2">
      <c r="A15" s="258">
        <v>12</v>
      </c>
      <c r="B15" s="475" t="s">
        <v>855</v>
      </c>
      <c r="C15" s="724"/>
      <c r="D15" s="725"/>
      <c r="E15" s="477"/>
      <c r="F15" s="478"/>
      <c r="G15" s="445" t="s">
        <v>706</v>
      </c>
      <c r="H15" s="477"/>
      <c r="I15" s="479" t="s">
        <v>288</v>
      </c>
      <c r="J15" s="477" t="s">
        <v>724</v>
      </c>
      <c r="K15" s="477" t="s">
        <v>756</v>
      </c>
      <c r="L15" s="477"/>
      <c r="M15" s="477" t="s">
        <v>709</v>
      </c>
      <c r="N15" s="480" t="s">
        <v>146</v>
      </c>
      <c r="O15" s="477"/>
      <c r="P15" s="477" t="s">
        <v>346</v>
      </c>
      <c r="Q15" s="479" t="s">
        <v>110</v>
      </c>
      <c r="R15" s="235">
        <f t="shared" si="0"/>
        <v>0.66666666666666663</v>
      </c>
      <c r="S15" s="472"/>
      <c r="U15" s="592"/>
      <c r="V15" s="593"/>
      <c r="W15" s="593"/>
      <c r="X15" s="593"/>
      <c r="Y15" s="593"/>
      <c r="Z15" s="594"/>
    </row>
    <row r="16" spans="1:27" ht="27" customHeight="1" x14ac:dyDescent="0.15">
      <c r="A16" s="227">
        <v>13</v>
      </c>
      <c r="B16" s="267" t="s">
        <v>21</v>
      </c>
      <c r="C16" s="598"/>
      <c r="D16" s="599"/>
      <c r="E16" s="5" t="s">
        <v>712</v>
      </c>
      <c r="F16" s="177" t="s">
        <v>186</v>
      </c>
      <c r="G16" s="253" t="s">
        <v>473</v>
      </c>
      <c r="H16" s="253" t="s">
        <v>23</v>
      </c>
      <c r="I16" s="231" t="s">
        <v>187</v>
      </c>
      <c r="J16" s="160" t="s">
        <v>188</v>
      </c>
      <c r="K16" s="231" t="s">
        <v>189</v>
      </c>
      <c r="L16" s="233"/>
      <c r="M16" s="241" t="s">
        <v>190</v>
      </c>
      <c r="N16" s="229" t="s">
        <v>191</v>
      </c>
      <c r="O16" s="231" t="s">
        <v>192</v>
      </c>
      <c r="P16" s="376" t="s">
        <v>708</v>
      </c>
      <c r="Q16" s="390" t="s">
        <v>859</v>
      </c>
      <c r="R16" s="235">
        <f t="shared" si="0"/>
        <v>1</v>
      </c>
      <c r="S16" s="472"/>
      <c r="U16" s="592"/>
      <c r="V16" s="593"/>
      <c r="W16" s="593"/>
      <c r="X16" s="593"/>
      <c r="Y16" s="593"/>
      <c r="Z16" s="594"/>
    </row>
    <row r="17" spans="1:27" ht="27.95" customHeight="1" thickBot="1" x14ac:dyDescent="0.2">
      <c r="A17" s="227">
        <v>14</v>
      </c>
      <c r="B17" s="267" t="s">
        <v>155</v>
      </c>
      <c r="C17" s="598"/>
      <c r="D17" s="599"/>
      <c r="E17" s="229" t="s">
        <v>156</v>
      </c>
      <c r="F17" s="232" t="s">
        <v>157</v>
      </c>
      <c r="G17" s="229" t="s">
        <v>158</v>
      </c>
      <c r="H17" s="229" t="s">
        <v>154</v>
      </c>
      <c r="I17" s="241" t="s">
        <v>283</v>
      </c>
      <c r="J17" s="229" t="s">
        <v>159</v>
      </c>
      <c r="K17" s="241" t="s">
        <v>241</v>
      </c>
      <c r="L17" s="229"/>
      <c r="M17" s="17" t="s">
        <v>160</v>
      </c>
      <c r="N17" s="5" t="s">
        <v>161</v>
      </c>
      <c r="O17" s="18" t="s">
        <v>162</v>
      </c>
      <c r="P17" s="229" t="s">
        <v>163</v>
      </c>
      <c r="Q17" s="269" t="s">
        <v>164</v>
      </c>
      <c r="R17" s="235">
        <f t="shared" si="0"/>
        <v>1</v>
      </c>
      <c r="S17" s="472"/>
      <c r="U17" s="595"/>
      <c r="V17" s="596"/>
      <c r="W17" s="596"/>
      <c r="X17" s="596"/>
      <c r="Y17" s="596"/>
      <c r="Z17" s="597"/>
    </row>
    <row r="18" spans="1:27" ht="27.95" customHeight="1" thickBot="1" x14ac:dyDescent="0.2">
      <c r="A18" s="270">
        <v>15</v>
      </c>
      <c r="B18" s="245" t="s">
        <v>193</v>
      </c>
      <c r="C18" s="598"/>
      <c r="D18" s="599"/>
      <c r="E18" s="243" t="s">
        <v>194</v>
      </c>
      <c r="F18" s="5" t="s">
        <v>195</v>
      </c>
      <c r="G18" s="243" t="s">
        <v>495</v>
      </c>
      <c r="H18" s="246" t="s">
        <v>173</v>
      </c>
      <c r="I18" s="243" t="s">
        <v>237</v>
      </c>
      <c r="J18" s="229" t="s">
        <v>196</v>
      </c>
      <c r="K18" s="229" t="s">
        <v>197</v>
      </c>
      <c r="L18" s="229"/>
      <c r="M18" s="241" t="s">
        <v>25</v>
      </c>
      <c r="N18" s="229" t="s">
        <v>244</v>
      </c>
      <c r="O18" s="229" t="s">
        <v>198</v>
      </c>
      <c r="P18" s="243" t="s">
        <v>304</v>
      </c>
      <c r="Q18" s="246" t="s">
        <v>725</v>
      </c>
      <c r="R18" s="371">
        <f t="shared" si="0"/>
        <v>1</v>
      </c>
      <c r="S18" s="472"/>
      <c r="U18" s="547" t="s">
        <v>311</v>
      </c>
      <c r="V18" s="548"/>
      <c r="W18" s="548"/>
      <c r="X18" s="548"/>
      <c r="Y18" s="548"/>
      <c r="Z18" s="549"/>
    </row>
    <row r="19" spans="1:27" ht="27.95" customHeight="1" x14ac:dyDescent="0.15">
      <c r="A19" s="270">
        <v>16</v>
      </c>
      <c r="B19" s="245" t="s">
        <v>165</v>
      </c>
      <c r="C19" s="598"/>
      <c r="D19" s="599"/>
      <c r="E19" s="726"/>
      <c r="F19" s="727"/>
      <c r="G19" s="16" t="s">
        <v>69</v>
      </c>
      <c r="H19" s="5" t="s">
        <v>166</v>
      </c>
      <c r="I19" s="229" t="s">
        <v>759</v>
      </c>
      <c r="J19" s="243" t="s">
        <v>68</v>
      </c>
      <c r="K19" s="272" t="s">
        <v>168</v>
      </c>
      <c r="L19" s="229"/>
      <c r="M19" s="726" t="s">
        <v>169</v>
      </c>
      <c r="N19" s="749"/>
      <c r="O19" s="749"/>
      <c r="P19" s="749"/>
      <c r="Q19" s="727"/>
      <c r="R19" s="235">
        <f>(COUNTA(E19:K19))/5</f>
        <v>1</v>
      </c>
      <c r="S19" s="472"/>
      <c r="U19" s="740" t="s">
        <v>849</v>
      </c>
      <c r="V19" s="741"/>
      <c r="W19" s="741"/>
      <c r="X19" s="741"/>
      <c r="Y19" s="741"/>
      <c r="Z19" s="742"/>
    </row>
    <row r="20" spans="1:27" s="237" customFormat="1" ht="27.75" customHeight="1" x14ac:dyDescent="0.15">
      <c r="A20" s="239"/>
      <c r="B20" s="242" t="s">
        <v>170</v>
      </c>
      <c r="C20" s="598"/>
      <c r="D20" s="599"/>
      <c r="E20" s="602" t="s">
        <v>20</v>
      </c>
      <c r="F20" s="603"/>
      <c r="G20" s="466" t="s">
        <v>267</v>
      </c>
      <c r="H20" s="229" t="s">
        <v>171</v>
      </c>
      <c r="I20" s="273" t="s">
        <v>172</v>
      </c>
      <c r="J20" s="229" t="s">
        <v>173</v>
      </c>
      <c r="K20" s="243" t="s">
        <v>781</v>
      </c>
      <c r="L20" s="229"/>
      <c r="M20" s="273" t="s">
        <v>174</v>
      </c>
      <c r="N20" s="5" t="s">
        <v>175</v>
      </c>
      <c r="O20" s="246" t="s">
        <v>176</v>
      </c>
      <c r="P20" s="229" t="s">
        <v>152</v>
      </c>
      <c r="Q20" s="231" t="s">
        <v>154</v>
      </c>
      <c r="R20" s="235">
        <f>(COUNTA(G20:Q20))/10</f>
        <v>1</v>
      </c>
      <c r="S20" s="472"/>
      <c r="U20" s="743"/>
      <c r="V20" s="744"/>
      <c r="W20" s="744"/>
      <c r="X20" s="744"/>
      <c r="Y20" s="744"/>
      <c r="Z20" s="745"/>
      <c r="AA20" s="238"/>
    </row>
    <row r="21" spans="1:27" ht="27.95" customHeight="1" thickBot="1" x14ac:dyDescent="0.2">
      <c r="A21" s="258"/>
      <c r="B21" s="274" t="s">
        <v>177</v>
      </c>
      <c r="C21" s="600"/>
      <c r="D21" s="601"/>
      <c r="E21" s="471" t="s">
        <v>178</v>
      </c>
      <c r="F21" s="261"/>
      <c r="G21" s="230" t="s">
        <v>179</v>
      </c>
      <c r="H21" s="230" t="s">
        <v>180</v>
      </c>
      <c r="I21" s="249" t="s">
        <v>181</v>
      </c>
      <c r="J21" s="249" t="s">
        <v>309</v>
      </c>
      <c r="K21" s="249" t="s">
        <v>182</v>
      </c>
      <c r="L21" s="247"/>
      <c r="M21" s="249" t="s">
        <v>183</v>
      </c>
      <c r="N21" s="247" t="s">
        <v>184</v>
      </c>
      <c r="O21" s="249" t="s">
        <v>185</v>
      </c>
      <c r="P21" s="372" t="s">
        <v>153</v>
      </c>
      <c r="Q21" s="474" t="s">
        <v>178</v>
      </c>
      <c r="R21" s="235">
        <f>(COUNTA(F21:P21))/9</f>
        <v>1</v>
      </c>
      <c r="S21" s="472"/>
      <c r="U21" s="746"/>
      <c r="V21" s="747"/>
      <c r="W21" s="747"/>
      <c r="X21" s="747"/>
      <c r="Y21" s="747"/>
      <c r="Z21" s="748"/>
    </row>
    <row r="22" spans="1:27" s="237" customFormat="1" ht="27.95" customHeight="1" thickBot="1" x14ac:dyDescent="0.2">
      <c r="A22" s="227">
        <v>17</v>
      </c>
      <c r="B22" s="245" t="s">
        <v>147</v>
      </c>
      <c r="C22" s="255" t="s">
        <v>827</v>
      </c>
      <c r="D22" s="255" t="s">
        <v>840</v>
      </c>
      <c r="E22" s="231" t="s">
        <v>780</v>
      </c>
      <c r="F22" s="253" t="s">
        <v>254</v>
      </c>
      <c r="G22" s="277" t="s">
        <v>148</v>
      </c>
      <c r="H22" s="278" t="s">
        <v>149</v>
      </c>
      <c r="I22" s="160" t="s">
        <v>150</v>
      </c>
      <c r="J22" s="253" t="s">
        <v>151</v>
      </c>
      <c r="K22" s="253" t="s">
        <v>18</v>
      </c>
      <c r="L22" s="277"/>
      <c r="M22" s="253" t="s">
        <v>19</v>
      </c>
      <c r="N22" s="279" t="s">
        <v>152</v>
      </c>
      <c r="O22" s="160" t="s">
        <v>816</v>
      </c>
      <c r="P22" s="541"/>
      <c r="Q22" s="542"/>
      <c r="R22" s="235">
        <f>(COUNTA(C22:Q22))/12</f>
        <v>1</v>
      </c>
      <c r="S22" s="472"/>
      <c r="U22" s="547" t="s">
        <v>312</v>
      </c>
      <c r="V22" s="548"/>
      <c r="W22" s="548"/>
      <c r="X22" s="548"/>
      <c r="Y22" s="548"/>
      <c r="Z22" s="549"/>
      <c r="AA22" s="238"/>
    </row>
    <row r="23" spans="1:27" ht="27.95" customHeight="1" x14ac:dyDescent="0.15">
      <c r="A23" s="270">
        <v>18</v>
      </c>
      <c r="B23" s="245" t="s">
        <v>199</v>
      </c>
      <c r="C23" s="268" t="s">
        <v>833</v>
      </c>
      <c r="D23" s="268" t="s">
        <v>833</v>
      </c>
      <c r="E23" s="273" t="s">
        <v>200</v>
      </c>
      <c r="F23" s="229" t="s">
        <v>201</v>
      </c>
      <c r="G23" s="18" t="s">
        <v>542</v>
      </c>
      <c r="H23" s="241" t="s">
        <v>241</v>
      </c>
      <c r="I23" s="229" t="s">
        <v>757</v>
      </c>
      <c r="J23" s="229" t="s">
        <v>202</v>
      </c>
      <c r="K23" s="23" t="s">
        <v>203</v>
      </c>
      <c r="L23" s="229"/>
      <c r="M23" s="243" t="s">
        <v>204</v>
      </c>
      <c r="N23" s="229" t="s">
        <v>269</v>
      </c>
      <c r="O23" s="269" t="s">
        <v>205</v>
      </c>
      <c r="P23" s="543"/>
      <c r="Q23" s="544"/>
      <c r="R23" s="235">
        <f t="shared" ref="R23:R25" si="1">(COUNTA(C23:Q23))/12</f>
        <v>1</v>
      </c>
      <c r="S23" s="472"/>
      <c r="U23" s="711" t="s">
        <v>854</v>
      </c>
      <c r="V23" s="712"/>
      <c r="W23" s="712"/>
      <c r="X23" s="712"/>
      <c r="Y23" s="712"/>
      <c r="Z23" s="713"/>
    </row>
    <row r="24" spans="1:27" ht="27.95" customHeight="1" x14ac:dyDescent="0.15">
      <c r="A24" s="270">
        <v>19</v>
      </c>
      <c r="B24" s="280" t="s">
        <v>27</v>
      </c>
      <c r="C24" s="255" t="s">
        <v>842</v>
      </c>
      <c r="D24" s="255" t="s">
        <v>845</v>
      </c>
      <c r="E24" s="243" t="s">
        <v>551</v>
      </c>
      <c r="F24" s="378" t="s">
        <v>866</v>
      </c>
      <c r="G24" s="229" t="s">
        <v>291</v>
      </c>
      <c r="H24" s="16" t="s">
        <v>289</v>
      </c>
      <c r="I24" s="241" t="s">
        <v>707</v>
      </c>
      <c r="J24" s="241" t="s">
        <v>696</v>
      </c>
      <c r="K24" s="229" t="s">
        <v>713</v>
      </c>
      <c r="L24" s="243"/>
      <c r="M24" s="229" t="s">
        <v>871</v>
      </c>
      <c r="N24" s="243" t="s">
        <v>267</v>
      </c>
      <c r="O24" s="438" t="s">
        <v>754</v>
      </c>
      <c r="P24" s="545"/>
      <c r="Q24" s="546"/>
      <c r="R24" s="235">
        <f t="shared" si="1"/>
        <v>1</v>
      </c>
      <c r="S24" s="472"/>
      <c r="U24" s="714"/>
      <c r="V24" s="715"/>
      <c r="W24" s="715"/>
      <c r="X24" s="715"/>
      <c r="Y24" s="715"/>
      <c r="Z24" s="716"/>
      <c r="AA24" s="283"/>
    </row>
    <row r="25" spans="1:27" ht="27.95" customHeight="1" thickBot="1" x14ac:dyDescent="0.2">
      <c r="A25" s="239">
        <v>20</v>
      </c>
      <c r="B25" s="476" t="s">
        <v>856</v>
      </c>
      <c r="C25" s="550"/>
      <c r="D25" s="551"/>
      <c r="E25" s="440"/>
      <c r="F25" s="465"/>
      <c r="G25" s="439"/>
      <c r="H25" s="477" t="s">
        <v>190</v>
      </c>
      <c r="I25" s="477" t="s">
        <v>697</v>
      </c>
      <c r="J25" s="478" t="s">
        <v>208</v>
      </c>
      <c r="K25" s="444" t="s">
        <v>192</v>
      </c>
      <c r="L25" s="481"/>
      <c r="M25" s="446"/>
      <c r="N25" s="440" t="s">
        <v>560</v>
      </c>
      <c r="O25" s="478"/>
      <c r="P25" s="444" t="s">
        <v>209</v>
      </c>
      <c r="Q25" s="446"/>
      <c r="R25" s="235">
        <f t="shared" si="1"/>
        <v>0.5</v>
      </c>
      <c r="S25" s="472"/>
      <c r="U25" s="714"/>
      <c r="V25" s="715"/>
      <c r="W25" s="715"/>
      <c r="X25" s="715"/>
      <c r="Y25" s="715"/>
      <c r="Z25" s="716"/>
    </row>
    <row r="26" spans="1:27" s="237" customFormat="1" ht="27.75" customHeight="1" x14ac:dyDescent="0.15">
      <c r="A26" s="285" t="s">
        <v>210</v>
      </c>
      <c r="B26" s="286" t="s">
        <v>29</v>
      </c>
      <c r="C26" s="552"/>
      <c r="D26" s="553"/>
      <c r="E26" s="278"/>
      <c r="F26" s="278" t="s">
        <v>305</v>
      </c>
      <c r="G26" s="278" t="s">
        <v>251</v>
      </c>
      <c r="H26" s="229"/>
      <c r="I26" s="254" t="s">
        <v>304</v>
      </c>
      <c r="J26" s="246" t="s">
        <v>30</v>
      </c>
      <c r="K26" s="287"/>
      <c r="L26" s="254"/>
      <c r="M26" s="287"/>
      <c r="N26" s="278" t="s">
        <v>211</v>
      </c>
      <c r="O26" s="278" t="s">
        <v>73</v>
      </c>
      <c r="P26" s="160"/>
      <c r="Q26" s="278" t="s">
        <v>757</v>
      </c>
      <c r="R26" s="235">
        <f>(COUNTA(C26:Q26))/7</f>
        <v>1</v>
      </c>
      <c r="U26" s="714"/>
      <c r="V26" s="715"/>
      <c r="W26" s="715"/>
      <c r="X26" s="715"/>
      <c r="Y26" s="715"/>
      <c r="Z26" s="716"/>
      <c r="AA26" s="238"/>
    </row>
    <row r="27" spans="1:27" s="291" customFormat="1" ht="27.95" customHeight="1" thickBot="1" x14ac:dyDescent="0.2">
      <c r="A27" s="288"/>
      <c r="B27" s="289" t="s">
        <v>212</v>
      </c>
      <c r="C27" s="554"/>
      <c r="D27" s="555"/>
      <c r="E27" s="249" t="s">
        <v>260</v>
      </c>
      <c r="F27" s="247" t="s">
        <v>31</v>
      </c>
      <c r="G27" s="249"/>
      <c r="H27" s="249"/>
      <c r="I27" s="249"/>
      <c r="J27" s="9"/>
      <c r="K27" s="229" t="s">
        <v>213</v>
      </c>
      <c r="L27" s="248"/>
      <c r="M27" s="261" t="s">
        <v>255</v>
      </c>
      <c r="N27" s="30" t="s">
        <v>863</v>
      </c>
      <c r="O27" s="290" t="s">
        <v>865</v>
      </c>
      <c r="P27" s="247" t="s">
        <v>93</v>
      </c>
      <c r="Q27" s="249" t="s">
        <v>126</v>
      </c>
      <c r="R27" s="235">
        <f>(COUNTA(C27:Q27))/8</f>
        <v>1</v>
      </c>
      <c r="S27" s="472"/>
      <c r="U27" s="714"/>
      <c r="V27" s="715"/>
      <c r="W27" s="715"/>
      <c r="X27" s="715"/>
      <c r="Y27" s="715"/>
      <c r="Z27" s="716"/>
      <c r="AA27" s="292"/>
    </row>
    <row r="28" spans="1:27" s="291" customFormat="1" ht="9.9499999999999993" customHeight="1" thickBot="1" x14ac:dyDescent="0.2">
      <c r="A28" s="293"/>
      <c r="B28" s="294"/>
      <c r="C28" s="295"/>
      <c r="D28" s="296"/>
      <c r="E28" s="297"/>
      <c r="F28" s="298"/>
      <c r="G28" s="297"/>
      <c r="H28" s="297"/>
      <c r="I28" s="297"/>
      <c r="J28" s="80"/>
      <c r="K28" s="297"/>
      <c r="L28" s="298"/>
      <c r="M28" s="299"/>
      <c r="N28" s="82"/>
      <c r="O28" s="300"/>
      <c r="P28" s="244"/>
      <c r="Q28" s="279"/>
      <c r="R28" s="235"/>
      <c r="S28" s="472"/>
      <c r="U28" s="714"/>
      <c r="V28" s="715"/>
      <c r="W28" s="715"/>
      <c r="X28" s="715"/>
      <c r="Y28" s="715"/>
      <c r="Z28" s="716"/>
      <c r="AA28" s="292"/>
    </row>
    <row r="29" spans="1:27" ht="120" customHeight="1" thickBot="1" x14ac:dyDescent="0.2">
      <c r="A29" s="574"/>
      <c r="B29" s="576" t="s">
        <v>216</v>
      </c>
      <c r="C29" s="578"/>
      <c r="D29" s="579"/>
      <c r="E29" s="233" t="s">
        <v>297</v>
      </c>
      <c r="F29" s="231" t="s">
        <v>294</v>
      </c>
      <c r="G29" s="233" t="s">
        <v>259</v>
      </c>
      <c r="H29" s="301" t="s">
        <v>298</v>
      </c>
      <c r="I29" s="231" t="s">
        <v>256</v>
      </c>
      <c r="J29" s="231" t="s">
        <v>217</v>
      </c>
      <c r="K29" s="253" t="s">
        <v>218</v>
      </c>
      <c r="L29" s="254"/>
      <c r="M29" s="233" t="s">
        <v>219</v>
      </c>
      <c r="N29" s="253" t="s">
        <v>868</v>
      </c>
      <c r="O29" s="302" t="s">
        <v>292</v>
      </c>
      <c r="P29" s="278" t="s">
        <v>220</v>
      </c>
      <c r="Q29" s="278" t="s">
        <v>239</v>
      </c>
      <c r="R29" s="235">
        <f>(COUNTA(C29:Q29))/12</f>
        <v>1</v>
      </c>
      <c r="S29" s="237"/>
      <c r="T29" s="237"/>
      <c r="U29" s="717"/>
      <c r="V29" s="718"/>
      <c r="W29" s="718"/>
      <c r="X29" s="718"/>
      <c r="Y29" s="718"/>
      <c r="Z29" s="719"/>
    </row>
    <row r="30" spans="1:27" ht="120" customHeight="1" x14ac:dyDescent="0.15">
      <c r="A30" s="575"/>
      <c r="B30" s="577"/>
      <c r="C30" s="580"/>
      <c r="D30" s="581"/>
      <c r="E30" s="170" t="s">
        <v>726</v>
      </c>
      <c r="F30" s="170" t="s">
        <v>851</v>
      </c>
      <c r="G30" s="170" t="s">
        <v>831</v>
      </c>
      <c r="H30" s="170" t="s">
        <v>857</v>
      </c>
      <c r="I30" s="170" t="s">
        <v>665</v>
      </c>
      <c r="J30" s="170" t="s">
        <v>841</v>
      </c>
      <c r="K30" s="170" t="s">
        <v>822</v>
      </c>
      <c r="L30" s="171"/>
      <c r="M30" s="170" t="s">
        <v>852</v>
      </c>
      <c r="N30" s="174" t="s">
        <v>872</v>
      </c>
      <c r="O30" s="170" t="s">
        <v>864</v>
      </c>
      <c r="P30" s="170" t="s">
        <v>825</v>
      </c>
      <c r="Q30" s="170" t="s">
        <v>858</v>
      </c>
      <c r="R30" s="235"/>
      <c r="S30" s="237"/>
      <c r="T30" s="237"/>
      <c r="U30" s="584" t="s">
        <v>588</v>
      </c>
      <c r="V30" s="585"/>
      <c r="W30" s="585"/>
      <c r="X30" s="585"/>
      <c r="Y30" s="585"/>
      <c r="Z30" s="586"/>
    </row>
    <row r="31" spans="1:27" ht="120" customHeight="1" thickBot="1" x14ac:dyDescent="0.2">
      <c r="A31" s="303"/>
      <c r="B31" s="304" t="s">
        <v>589</v>
      </c>
      <c r="C31" s="582"/>
      <c r="D31" s="583"/>
      <c r="E31" s="590" t="s">
        <v>178</v>
      </c>
      <c r="F31" s="591"/>
      <c r="G31" s="248" t="s">
        <v>258</v>
      </c>
      <c r="H31" s="249" t="s">
        <v>307</v>
      </c>
      <c r="I31" s="230" t="s">
        <v>296</v>
      </c>
      <c r="J31" s="230" t="s">
        <v>299</v>
      </c>
      <c r="K31" s="249" t="s">
        <v>595</v>
      </c>
      <c r="L31" s="305"/>
      <c r="M31" s="248" t="s">
        <v>221</v>
      </c>
      <c r="N31" s="230" t="s">
        <v>597</v>
      </c>
      <c r="O31" s="247" t="s">
        <v>869</v>
      </c>
      <c r="P31" s="230" t="s">
        <v>599</v>
      </c>
      <c r="Q31" s="249"/>
      <c r="R31" s="235">
        <f>(COUNTA(G31:Q31))/9</f>
        <v>1</v>
      </c>
      <c r="S31" s="237"/>
      <c r="T31" s="237"/>
      <c r="U31" s="587"/>
      <c r="V31" s="588"/>
      <c r="W31" s="588"/>
      <c r="X31" s="588"/>
      <c r="Y31" s="588"/>
      <c r="Z31" s="589"/>
    </row>
    <row r="32" spans="1:27" s="237" customFormat="1" ht="9.9499999999999993" customHeight="1" x14ac:dyDescent="0.15">
      <c r="A32" s="306"/>
      <c r="B32" s="307"/>
      <c r="C32" s="308"/>
      <c r="D32" s="430"/>
      <c r="E32" s="430"/>
      <c r="F32" s="430"/>
      <c r="G32" s="430"/>
      <c r="H32" s="430"/>
      <c r="I32" s="430"/>
      <c r="J32" s="430"/>
      <c r="K32" s="430"/>
      <c r="L32" s="430"/>
      <c r="M32" s="430"/>
      <c r="N32" s="430"/>
      <c r="O32" s="430"/>
      <c r="P32" s="430"/>
      <c r="Q32" s="430"/>
      <c r="R32" s="235"/>
      <c r="U32" s="309"/>
      <c r="V32" s="309"/>
      <c r="W32" s="309"/>
      <c r="X32" s="309"/>
      <c r="Y32" s="309"/>
      <c r="Z32" s="310"/>
      <c r="AA32" s="238"/>
    </row>
    <row r="33" spans="1:27" s="237" customFormat="1" ht="21" customHeight="1" x14ac:dyDescent="0.15">
      <c r="A33" s="311"/>
      <c r="B33" s="312"/>
      <c r="C33" s="313"/>
      <c r="D33" s="314" t="s">
        <v>224</v>
      </c>
      <c r="E33" s="315" t="s">
        <v>35</v>
      </c>
      <c r="F33" s="316" t="s">
        <v>1</v>
      </c>
      <c r="G33" s="316" t="s">
        <v>2</v>
      </c>
      <c r="H33" s="316" t="s">
        <v>36</v>
      </c>
      <c r="I33" s="316" t="s">
        <v>4</v>
      </c>
      <c r="J33" s="316" t="s">
        <v>37</v>
      </c>
      <c r="K33" s="316" t="s">
        <v>38</v>
      </c>
      <c r="L33" s="317" t="s">
        <v>39</v>
      </c>
      <c r="M33" s="316" t="s">
        <v>40</v>
      </c>
      <c r="N33" s="316" t="s">
        <v>9</v>
      </c>
      <c r="O33" s="316" t="s">
        <v>10</v>
      </c>
      <c r="P33" s="316" t="s">
        <v>11</v>
      </c>
      <c r="Q33" s="318" t="s">
        <v>12</v>
      </c>
      <c r="R33" s="319"/>
      <c r="U33" s="309"/>
      <c r="V33" s="309"/>
      <c r="W33" s="309"/>
      <c r="X33" s="309"/>
      <c r="Y33" s="309"/>
      <c r="Z33" s="310"/>
      <c r="AA33" s="238"/>
    </row>
    <row r="34" spans="1:27" s="237" customFormat="1" ht="45.75" customHeight="1" x14ac:dyDescent="0.15">
      <c r="A34" s="217"/>
      <c r="B34" s="320"/>
      <c r="C34" s="320"/>
      <c r="D34" s="537" t="s">
        <v>601</v>
      </c>
      <c r="E34" s="321" t="s">
        <v>602</v>
      </c>
      <c r="F34" s="321" t="s">
        <v>603</v>
      </c>
      <c r="G34" s="321" t="s">
        <v>839</v>
      </c>
      <c r="H34" s="321" t="s">
        <v>818</v>
      </c>
      <c r="I34" s="321" t="s">
        <v>835</v>
      </c>
      <c r="J34" s="324" t="s">
        <v>607</v>
      </c>
      <c r="K34" s="321" t="s">
        <v>830</v>
      </c>
      <c r="L34" s="322"/>
      <c r="M34" s="321" t="s">
        <v>609</v>
      </c>
      <c r="N34" s="321" t="s">
        <v>610</v>
      </c>
      <c r="O34" s="321" t="s">
        <v>817</v>
      </c>
      <c r="P34" s="321" t="s">
        <v>353</v>
      </c>
      <c r="Q34" s="321" t="s">
        <v>613</v>
      </c>
      <c r="R34" s="319"/>
      <c r="S34" s="323">
        <f>2*12</f>
        <v>24</v>
      </c>
      <c r="V34" s="309"/>
      <c r="W34" s="309"/>
      <c r="X34" s="309"/>
      <c r="Y34" s="309"/>
      <c r="Z34" s="310"/>
      <c r="AA34" s="238"/>
    </row>
    <row r="35" spans="1:27" s="237" customFormat="1" ht="45.75" customHeight="1" x14ac:dyDescent="0.15">
      <c r="A35" s="217"/>
      <c r="B35" s="320"/>
      <c r="C35" s="320"/>
      <c r="D35" s="538"/>
      <c r="E35" s="322"/>
      <c r="F35" s="321" t="s">
        <v>614</v>
      </c>
      <c r="G35" s="322"/>
      <c r="H35" s="321"/>
      <c r="I35" s="322"/>
      <c r="J35" s="321" t="s">
        <v>615</v>
      </c>
      <c r="K35" s="321"/>
      <c r="L35" s="322"/>
      <c r="M35" s="321" t="s">
        <v>227</v>
      </c>
      <c r="N35" s="322" t="s">
        <v>616</v>
      </c>
      <c r="O35" s="321" t="s">
        <v>617</v>
      </c>
      <c r="P35" s="321"/>
      <c r="Q35" s="321"/>
      <c r="R35" s="325"/>
      <c r="S35" s="326"/>
      <c r="V35" s="309"/>
      <c r="W35" s="309"/>
      <c r="X35" s="309"/>
      <c r="Y35" s="309"/>
      <c r="Z35" s="218"/>
      <c r="AA35" s="238"/>
    </row>
    <row r="36" spans="1:27" ht="27.95" customHeight="1" x14ac:dyDescent="0.15">
      <c r="D36" s="327" t="s">
        <v>229</v>
      </c>
      <c r="E36" s="322" t="s">
        <v>618</v>
      </c>
      <c r="F36" s="322"/>
      <c r="G36" s="322" t="s">
        <v>619</v>
      </c>
      <c r="H36" s="329"/>
      <c r="I36" s="322" t="s">
        <v>230</v>
      </c>
      <c r="J36" s="322"/>
      <c r="K36" s="322"/>
      <c r="L36" s="322"/>
      <c r="M36" s="322"/>
      <c r="N36" s="329"/>
      <c r="O36" s="322"/>
      <c r="P36" s="322"/>
      <c r="Q36" s="322" t="s">
        <v>620</v>
      </c>
      <c r="R36" s="330"/>
      <c r="S36" s="326">
        <v>4</v>
      </c>
      <c r="U36" s="217"/>
      <c r="V36" s="309"/>
      <c r="W36" s="309"/>
      <c r="X36" s="309"/>
      <c r="Y36" s="309"/>
      <c r="Z36" s="310"/>
    </row>
    <row r="37" spans="1:27" s="291" customFormat="1" ht="42" customHeight="1" x14ac:dyDescent="0.15">
      <c r="A37" s="217"/>
      <c r="B37" s="320"/>
      <c r="C37" s="320"/>
      <c r="D37" s="327" t="s">
        <v>621</v>
      </c>
      <c r="E37" s="321" t="s">
        <v>622</v>
      </c>
      <c r="F37" s="321" t="s">
        <v>790</v>
      </c>
      <c r="G37" s="321" t="s">
        <v>623</v>
      </c>
      <c r="H37" s="321" t="s">
        <v>828</v>
      </c>
      <c r="I37" s="321" t="s">
        <v>625</v>
      </c>
      <c r="J37" s="321" t="s">
        <v>626</v>
      </c>
      <c r="K37" s="321" t="s">
        <v>836</v>
      </c>
      <c r="L37" s="322"/>
      <c r="M37" s="321" t="s">
        <v>628</v>
      </c>
      <c r="N37" s="321" t="s">
        <v>629</v>
      </c>
      <c r="O37" s="321" t="s">
        <v>630</v>
      </c>
      <c r="P37" s="331" t="s">
        <v>631</v>
      </c>
      <c r="Q37" s="321" t="s">
        <v>632</v>
      </c>
      <c r="R37" s="330"/>
      <c r="S37" s="332">
        <v>20</v>
      </c>
      <c r="V37" s="309"/>
      <c r="W37" s="309"/>
      <c r="X37" s="309"/>
      <c r="Y37" s="309"/>
      <c r="Z37" s="218"/>
      <c r="AA37" s="292"/>
    </row>
    <row r="38" spans="1:27" ht="42" customHeight="1" x14ac:dyDescent="0.15">
      <c r="D38" s="333" t="s">
        <v>233</v>
      </c>
      <c r="E38" s="321" t="s">
        <v>633</v>
      </c>
      <c r="F38" s="321" t="s">
        <v>634</v>
      </c>
      <c r="G38" s="321" t="s">
        <v>635</v>
      </c>
      <c r="H38" s="321" t="s">
        <v>636</v>
      </c>
      <c r="I38" s="321" t="s">
        <v>637</v>
      </c>
      <c r="J38" s="321" t="s">
        <v>638</v>
      </c>
      <c r="K38" s="321" t="s">
        <v>844</v>
      </c>
      <c r="L38" s="334"/>
      <c r="M38" s="321" t="s">
        <v>640</v>
      </c>
      <c r="N38" s="321" t="s">
        <v>641</v>
      </c>
      <c r="O38" s="321" t="s">
        <v>642</v>
      </c>
      <c r="P38" s="321" t="s">
        <v>643</v>
      </c>
      <c r="Q38" s="321" t="s">
        <v>644</v>
      </c>
      <c r="R38" s="335"/>
      <c r="S38" s="332">
        <v>23</v>
      </c>
      <c r="U38" s="217"/>
      <c r="V38" s="309"/>
      <c r="W38" s="309"/>
      <c r="X38" s="309"/>
      <c r="Y38" s="309"/>
      <c r="Z38" s="336"/>
    </row>
    <row r="39" spans="1:27" ht="9.9499999999999993" customHeight="1" x14ac:dyDescent="0.15">
      <c r="D39" s="539"/>
      <c r="E39" s="539"/>
      <c r="F39" s="539"/>
      <c r="G39" s="539"/>
      <c r="H39" s="539"/>
      <c r="I39" s="539"/>
      <c r="J39" s="539"/>
      <c r="K39" s="539"/>
      <c r="L39" s="539"/>
      <c r="M39" s="539"/>
      <c r="N39" s="539"/>
      <c r="O39" s="539"/>
      <c r="P39" s="539"/>
      <c r="Q39" s="539"/>
      <c r="R39" s="539"/>
      <c r="S39" s="332">
        <f>S34+S36+S37+S38</f>
        <v>71</v>
      </c>
      <c r="U39" s="217"/>
      <c r="V39" s="309"/>
      <c r="W39" s="309"/>
      <c r="X39" s="309"/>
      <c r="Y39" s="309"/>
    </row>
    <row r="40" spans="1:27" ht="21" customHeight="1" x14ac:dyDescent="0.15">
      <c r="D40" s="337"/>
      <c r="E40" s="338" t="s">
        <v>0</v>
      </c>
      <c r="F40" s="339" t="s">
        <v>1</v>
      </c>
      <c r="G40" s="339" t="s">
        <v>2</v>
      </c>
      <c r="H40" s="340" t="s">
        <v>377</v>
      </c>
      <c r="I40" s="341" t="s">
        <v>645</v>
      </c>
      <c r="J40" s="339" t="s">
        <v>5</v>
      </c>
      <c r="K40" s="339" t="s">
        <v>78</v>
      </c>
      <c r="L40" s="317"/>
      <c r="M40" s="339" t="s">
        <v>8</v>
      </c>
      <c r="N40" s="339" t="s">
        <v>9</v>
      </c>
      <c r="O40" s="341" t="s">
        <v>10</v>
      </c>
      <c r="P40" s="339" t="s">
        <v>11</v>
      </c>
      <c r="Q40" s="339" t="s">
        <v>12</v>
      </c>
      <c r="R40" s="342" t="s">
        <v>48</v>
      </c>
      <c r="S40" s="343" t="s">
        <v>263</v>
      </c>
    </row>
    <row r="41" spans="1:27" ht="39.950000000000003" customHeight="1" x14ac:dyDescent="0.15">
      <c r="D41" s="344" t="s">
        <v>49</v>
      </c>
      <c r="E41" s="345"/>
      <c r="F41" s="346"/>
      <c r="G41" s="346"/>
      <c r="H41" s="347"/>
      <c r="I41" s="348" t="s">
        <v>262</v>
      </c>
      <c r="J41" s="346"/>
      <c r="K41" s="348"/>
      <c r="L41" s="349"/>
      <c r="M41" s="346"/>
      <c r="N41" s="346"/>
      <c r="O41" s="350"/>
      <c r="P41" s="346"/>
      <c r="Q41" s="346"/>
      <c r="R41" s="351" t="s">
        <v>820</v>
      </c>
      <c r="S41" s="352"/>
      <c r="U41" s="540" t="s">
        <v>236</v>
      </c>
      <c r="V41" s="540"/>
      <c r="W41" s="540"/>
      <c r="X41" s="472"/>
      <c r="Y41" s="472"/>
      <c r="Z41" s="472"/>
    </row>
    <row r="42" spans="1:27" ht="39.950000000000003" customHeight="1" x14ac:dyDescent="0.15">
      <c r="D42" s="353" t="s">
        <v>50</v>
      </c>
      <c r="E42" s="354"/>
      <c r="F42" s="282"/>
      <c r="G42" s="282"/>
      <c r="H42" s="234"/>
      <c r="I42" s="355" t="s">
        <v>646</v>
      </c>
      <c r="J42" s="234"/>
      <c r="K42" s="282" t="s">
        <v>56</v>
      </c>
      <c r="L42" s="322"/>
      <c r="M42" s="355" t="s">
        <v>265</v>
      </c>
      <c r="N42" s="234"/>
      <c r="O42" s="282" t="s">
        <v>647</v>
      </c>
      <c r="P42" s="282"/>
      <c r="Q42" s="234"/>
      <c r="R42" s="356"/>
      <c r="S42" s="357"/>
      <c r="U42" s="472"/>
      <c r="V42" s="472"/>
      <c r="W42" s="472"/>
      <c r="X42" s="472"/>
      <c r="Y42" s="472"/>
      <c r="Z42" s="472"/>
      <c r="AA42" s="358"/>
    </row>
    <row r="43" spans="1:27" ht="39.950000000000003" customHeight="1" x14ac:dyDescent="0.15">
      <c r="D43" s="344" t="s">
        <v>648</v>
      </c>
      <c r="E43" s="354"/>
      <c r="F43" s="234"/>
      <c r="G43" s="282" t="s">
        <v>266</v>
      </c>
      <c r="H43" s="355"/>
      <c r="I43" s="355" t="s">
        <v>650</v>
      </c>
      <c r="J43" s="355" t="s">
        <v>282</v>
      </c>
      <c r="K43" s="355" t="s">
        <v>846</v>
      </c>
      <c r="L43" s="243"/>
      <c r="M43" s="355" t="s">
        <v>870</v>
      </c>
      <c r="N43" s="234" t="s">
        <v>58</v>
      </c>
      <c r="O43" s="282"/>
      <c r="P43" s="234"/>
      <c r="Q43" s="359" t="s">
        <v>652</v>
      </c>
      <c r="R43" s="360"/>
      <c r="S43" s="361"/>
      <c r="U43" s="472"/>
      <c r="V43" s="472"/>
      <c r="W43" s="472"/>
      <c r="X43" s="472"/>
      <c r="Y43" s="472"/>
      <c r="Z43" s="472"/>
      <c r="AA43" s="358"/>
    </row>
    <row r="44" spans="1:27" ht="39.950000000000003" customHeight="1" x14ac:dyDescent="0.15">
      <c r="D44" s="353" t="s">
        <v>52</v>
      </c>
      <c r="E44" s="354"/>
      <c r="F44" s="282"/>
      <c r="G44" s="282"/>
      <c r="H44" s="234"/>
      <c r="I44" s="234"/>
      <c r="J44" s="234"/>
      <c r="K44" s="282"/>
      <c r="L44" s="322"/>
      <c r="M44" s="282" t="s">
        <v>54</v>
      </c>
      <c r="N44" s="282"/>
      <c r="O44" s="282"/>
      <c r="P44" s="282"/>
      <c r="Q44" s="282" t="s">
        <v>264</v>
      </c>
      <c r="R44" s="356"/>
      <c r="S44" s="357"/>
      <c r="U44" s="472"/>
      <c r="V44" s="472"/>
      <c r="W44" s="472"/>
      <c r="X44" s="472"/>
      <c r="Y44" s="472"/>
      <c r="Z44" s="472"/>
      <c r="AA44" s="358"/>
    </row>
    <row r="45" spans="1:27" ht="39.950000000000003" customHeight="1" x14ac:dyDescent="0.15">
      <c r="D45" s="362" t="s">
        <v>653</v>
      </c>
      <c r="E45" s="363"/>
      <c r="F45" s="364"/>
      <c r="G45" s="365"/>
      <c r="H45" s="364"/>
      <c r="I45" s="364"/>
      <c r="J45" s="364"/>
      <c r="K45" s="364"/>
      <c r="L45" s="334"/>
      <c r="M45" s="364"/>
      <c r="N45" s="364"/>
      <c r="O45" s="364"/>
      <c r="P45" s="365"/>
      <c r="Q45" s="364"/>
      <c r="R45" s="366"/>
      <c r="S45" s="367"/>
      <c r="U45" s="472"/>
      <c r="V45" s="472"/>
      <c r="W45" s="472"/>
      <c r="X45" s="472"/>
      <c r="Y45" s="472"/>
      <c r="Z45" s="472"/>
      <c r="AA45" s="358"/>
    </row>
    <row r="46" spans="1:27" ht="27.95" customHeight="1" x14ac:dyDescent="0.15">
      <c r="C46" s="217"/>
      <c r="D46" s="362" t="s">
        <v>874</v>
      </c>
      <c r="E46" s="363"/>
      <c r="F46" s="364"/>
      <c r="G46" s="365" t="s">
        <v>875</v>
      </c>
      <c r="H46" s="364"/>
      <c r="I46" s="364"/>
      <c r="J46" s="364"/>
      <c r="K46" s="364"/>
      <c r="L46" s="334"/>
      <c r="M46" s="364"/>
      <c r="N46" s="364"/>
      <c r="O46" s="364"/>
      <c r="P46" s="365"/>
      <c r="Q46" s="364"/>
      <c r="R46" s="366"/>
      <c r="S46" s="367"/>
      <c r="U46" s="472"/>
      <c r="V46" s="472"/>
      <c r="W46" s="472"/>
      <c r="X46" s="472"/>
      <c r="Y46" s="472"/>
      <c r="Z46" s="472"/>
      <c r="AA46" s="358"/>
    </row>
    <row r="47" spans="1:27" ht="27.95" customHeight="1" x14ac:dyDescent="0.15">
      <c r="R47" s="369"/>
      <c r="S47" s="320"/>
      <c r="AA47" s="358"/>
    </row>
    <row r="48" spans="1:27" ht="16.5" customHeight="1" x14ac:dyDescent="0.15">
      <c r="R48" s="369"/>
    </row>
    <row r="49" spans="1:27" s="329" customFormat="1" ht="16.5" customHeight="1" x14ac:dyDescent="0.15">
      <c r="A49" s="217"/>
      <c r="B49" s="370"/>
      <c r="C49" s="320"/>
      <c r="D49" s="320"/>
      <c r="E49" s="320"/>
      <c r="F49" s="320"/>
      <c r="G49" s="320"/>
      <c r="H49" s="320"/>
      <c r="I49" s="320"/>
      <c r="J49" s="320"/>
      <c r="K49" s="320"/>
      <c r="M49" s="217"/>
      <c r="N49" s="217"/>
      <c r="O49" s="217"/>
      <c r="P49" s="217"/>
      <c r="Q49" s="217"/>
      <c r="R49" s="368"/>
      <c r="S49" s="217"/>
      <c r="T49" s="217"/>
      <c r="U49" s="218"/>
      <c r="V49" s="218"/>
      <c r="W49" s="218"/>
      <c r="X49" s="218"/>
      <c r="Y49" s="218"/>
      <c r="Z49" s="218"/>
      <c r="AA49" s="219"/>
    </row>
    <row r="50" spans="1:27" s="329" customFormat="1" ht="16.5" customHeight="1" x14ac:dyDescent="0.15">
      <c r="A50" s="217"/>
      <c r="B50" s="320"/>
      <c r="C50" s="320"/>
      <c r="D50" s="320"/>
      <c r="E50" s="320"/>
      <c r="F50" s="320"/>
      <c r="G50" s="320"/>
      <c r="H50" s="320"/>
      <c r="I50" s="320"/>
      <c r="J50" s="320"/>
      <c r="K50" s="320"/>
      <c r="M50" s="217"/>
      <c r="N50" s="217"/>
      <c r="O50" s="217"/>
      <c r="P50" s="217"/>
      <c r="Q50" s="217"/>
      <c r="R50" s="368"/>
      <c r="S50" s="217"/>
      <c r="T50" s="217"/>
      <c r="U50" s="218"/>
      <c r="V50" s="218"/>
      <c r="W50" s="218"/>
      <c r="X50" s="218"/>
      <c r="Y50" s="218"/>
      <c r="Z50" s="218"/>
      <c r="AA50" s="219"/>
    </row>
    <row r="51" spans="1:27" s="329" customFormat="1" ht="17.25" customHeight="1" x14ac:dyDescent="0.15">
      <c r="A51" s="217"/>
      <c r="B51" s="320"/>
      <c r="C51" s="320"/>
      <c r="D51" s="320"/>
      <c r="E51" s="320"/>
      <c r="F51" s="320"/>
      <c r="G51" s="320"/>
      <c r="H51" s="320"/>
      <c r="I51" s="320"/>
      <c r="J51" s="320"/>
      <c r="K51" s="320"/>
      <c r="M51" s="217"/>
      <c r="N51" s="217"/>
      <c r="O51" s="217"/>
      <c r="P51" s="217"/>
      <c r="Q51" s="217"/>
      <c r="R51" s="368"/>
      <c r="S51" s="217"/>
      <c r="T51" s="217"/>
      <c r="U51" s="218"/>
      <c r="V51" s="218"/>
      <c r="W51" s="218"/>
      <c r="X51" s="218"/>
      <c r="Y51" s="218"/>
      <c r="Z51" s="218"/>
      <c r="AA51" s="219"/>
    </row>
    <row r="52" spans="1:27" s="329" customFormat="1" x14ac:dyDescent="0.15">
      <c r="A52" s="217"/>
      <c r="B52" s="320"/>
      <c r="C52" s="320"/>
      <c r="D52" s="320"/>
      <c r="E52" s="320"/>
      <c r="F52" s="320"/>
      <c r="G52" s="320"/>
      <c r="H52" s="320"/>
      <c r="I52" s="320"/>
      <c r="J52" s="320"/>
      <c r="K52" s="320"/>
      <c r="M52" s="217"/>
      <c r="N52" s="217"/>
      <c r="O52" s="217"/>
      <c r="P52" s="217"/>
      <c r="Q52" s="217"/>
      <c r="R52" s="368"/>
      <c r="S52" s="217"/>
      <c r="T52" s="217"/>
      <c r="U52" s="218"/>
      <c r="V52" s="218"/>
      <c r="W52" s="218"/>
      <c r="X52" s="218"/>
      <c r="Y52" s="218"/>
      <c r="Z52" s="218"/>
      <c r="AA52" s="219"/>
    </row>
    <row r="53" spans="1:27" s="329" customFormat="1" ht="16.5" customHeight="1" x14ac:dyDescent="0.15">
      <c r="A53" s="217"/>
      <c r="B53" s="320"/>
      <c r="C53" s="320"/>
      <c r="D53" s="320"/>
      <c r="E53" s="320"/>
      <c r="F53" s="320"/>
      <c r="G53" s="320"/>
      <c r="H53" s="320"/>
      <c r="I53" s="320"/>
      <c r="J53" s="320"/>
      <c r="K53" s="320"/>
      <c r="M53" s="217"/>
      <c r="N53" s="217"/>
      <c r="O53" s="217"/>
      <c r="P53" s="217"/>
      <c r="Q53" s="217"/>
      <c r="R53" s="368"/>
      <c r="S53" s="217"/>
      <c r="T53" s="217"/>
      <c r="U53" s="218"/>
      <c r="V53" s="218"/>
      <c r="W53" s="218"/>
      <c r="X53" s="218"/>
      <c r="Y53" s="218"/>
      <c r="Z53" s="218"/>
      <c r="AA53" s="219"/>
    </row>
    <row r="54" spans="1:27" s="329" customFormat="1" x14ac:dyDescent="0.15">
      <c r="A54" s="217"/>
      <c r="B54" s="320"/>
      <c r="C54" s="320"/>
      <c r="D54" s="320"/>
      <c r="E54" s="320"/>
      <c r="F54" s="320"/>
      <c r="G54" s="320"/>
      <c r="H54" s="320"/>
      <c r="I54" s="320"/>
      <c r="J54" s="320"/>
      <c r="K54" s="320"/>
      <c r="M54" s="217"/>
      <c r="N54" s="217"/>
      <c r="O54" s="217"/>
      <c r="P54" s="217"/>
      <c r="Q54" s="217"/>
      <c r="R54" s="368"/>
      <c r="S54" s="217"/>
      <c r="T54" s="217"/>
      <c r="U54" s="218"/>
      <c r="V54" s="218"/>
      <c r="W54" s="218"/>
      <c r="X54" s="218"/>
      <c r="Y54" s="218"/>
      <c r="Z54" s="218"/>
      <c r="AA54" s="219"/>
    </row>
    <row r="55" spans="1:27" s="329" customFormat="1" x14ac:dyDescent="0.15">
      <c r="A55" s="217"/>
      <c r="B55" s="320"/>
      <c r="C55" s="320"/>
      <c r="D55" s="320"/>
      <c r="E55" s="320"/>
      <c r="F55" s="320"/>
      <c r="G55" s="320"/>
      <c r="H55" s="320"/>
      <c r="I55" s="320"/>
      <c r="J55" s="320"/>
      <c r="K55" s="320"/>
      <c r="M55" s="217"/>
      <c r="N55" s="217"/>
      <c r="O55" s="217"/>
      <c r="P55" s="217"/>
      <c r="Q55" s="217"/>
      <c r="R55" s="368"/>
      <c r="S55" s="217"/>
      <c r="T55" s="217"/>
      <c r="U55" s="218"/>
      <c r="V55" s="218"/>
      <c r="W55" s="218"/>
      <c r="X55" s="218"/>
      <c r="Y55" s="218"/>
      <c r="Z55" s="218"/>
      <c r="AA55" s="219"/>
    </row>
    <row r="56" spans="1:27" s="329" customFormat="1" x14ac:dyDescent="0.15">
      <c r="A56" s="217"/>
      <c r="B56" s="320"/>
      <c r="C56" s="320"/>
      <c r="D56" s="320"/>
      <c r="E56" s="320"/>
      <c r="F56" s="320"/>
      <c r="G56" s="320"/>
      <c r="H56" s="320"/>
      <c r="I56" s="320"/>
      <c r="J56" s="320"/>
      <c r="K56" s="320"/>
      <c r="M56" s="217"/>
      <c r="N56" s="217"/>
      <c r="O56" s="217"/>
      <c r="P56" s="217"/>
      <c r="Q56" s="217"/>
      <c r="R56" s="368"/>
      <c r="S56" s="217"/>
      <c r="T56" s="217"/>
      <c r="U56" s="218"/>
      <c r="V56" s="218"/>
      <c r="W56" s="218"/>
      <c r="X56" s="218"/>
      <c r="Y56" s="218"/>
      <c r="Z56" s="218"/>
      <c r="AA56" s="219"/>
    </row>
    <row r="57" spans="1:27" s="329" customFormat="1" ht="16.5" customHeight="1" x14ac:dyDescent="0.15">
      <c r="A57" s="217"/>
      <c r="B57" s="320"/>
      <c r="C57" s="320"/>
      <c r="D57" s="320"/>
      <c r="E57" s="320"/>
      <c r="F57" s="320"/>
      <c r="G57" s="320"/>
      <c r="H57" s="320"/>
      <c r="I57" s="320"/>
      <c r="J57" s="320"/>
      <c r="K57" s="320"/>
      <c r="M57" s="217"/>
      <c r="N57" s="217"/>
      <c r="O57" s="217"/>
      <c r="P57" s="217"/>
      <c r="Q57" s="217"/>
      <c r="R57" s="368"/>
      <c r="S57" s="217"/>
      <c r="T57" s="217"/>
      <c r="U57" s="218"/>
      <c r="V57" s="218"/>
      <c r="W57" s="218"/>
      <c r="X57" s="218"/>
      <c r="Y57" s="218"/>
      <c r="Z57" s="218"/>
      <c r="AA57" s="219"/>
    </row>
    <row r="58" spans="1:27" s="329" customFormat="1" x14ac:dyDescent="0.15">
      <c r="A58" s="217"/>
      <c r="B58" s="320"/>
      <c r="C58" s="320"/>
      <c r="D58" s="320"/>
      <c r="E58" s="320"/>
      <c r="F58" s="320"/>
      <c r="G58" s="320"/>
      <c r="H58" s="320"/>
      <c r="I58" s="320"/>
      <c r="J58" s="320"/>
      <c r="K58" s="320"/>
      <c r="M58" s="217"/>
      <c r="N58" s="217"/>
      <c r="O58" s="217"/>
      <c r="P58" s="217"/>
      <c r="Q58" s="217"/>
      <c r="R58" s="368"/>
      <c r="S58" s="217"/>
      <c r="T58" s="217"/>
      <c r="U58" s="218"/>
      <c r="V58" s="218"/>
      <c r="W58" s="218"/>
      <c r="X58" s="218"/>
      <c r="Y58" s="218"/>
      <c r="Z58" s="218"/>
      <c r="AA58" s="219"/>
    </row>
    <row r="59" spans="1:27" s="329" customFormat="1" x14ac:dyDescent="0.15">
      <c r="A59" s="217"/>
      <c r="B59" s="320"/>
      <c r="C59" s="320"/>
      <c r="D59" s="320"/>
      <c r="E59" s="320"/>
      <c r="F59" s="320"/>
      <c r="G59" s="320"/>
      <c r="H59" s="320"/>
      <c r="I59" s="320"/>
      <c r="J59" s="320"/>
      <c r="K59" s="320"/>
      <c r="M59" s="217"/>
      <c r="N59" s="217"/>
      <c r="O59" s="217"/>
      <c r="P59" s="217"/>
      <c r="Q59" s="217"/>
      <c r="R59" s="368"/>
      <c r="S59" s="217"/>
      <c r="T59" s="217"/>
      <c r="U59" s="218"/>
      <c r="V59" s="218"/>
      <c r="W59" s="218"/>
      <c r="X59" s="218"/>
      <c r="Y59" s="218"/>
      <c r="Z59" s="218"/>
      <c r="AA59" s="219"/>
    </row>
    <row r="60" spans="1:27" s="329" customFormat="1" x14ac:dyDescent="0.15">
      <c r="A60" s="217"/>
      <c r="B60" s="320"/>
      <c r="C60" s="320"/>
      <c r="D60" s="320"/>
      <c r="E60" s="217"/>
      <c r="F60" s="217"/>
      <c r="G60" s="217"/>
      <c r="H60" s="217"/>
      <c r="I60" s="217"/>
      <c r="J60" s="217"/>
      <c r="K60" s="217"/>
      <c r="M60" s="217"/>
      <c r="N60" s="217"/>
      <c r="O60" s="217"/>
      <c r="P60" s="217"/>
      <c r="Q60" s="217"/>
      <c r="R60" s="368"/>
      <c r="S60" s="217"/>
      <c r="T60" s="217"/>
      <c r="U60" s="218"/>
      <c r="V60" s="218"/>
      <c r="W60" s="218"/>
      <c r="X60" s="218"/>
      <c r="Y60" s="218"/>
      <c r="Z60" s="218"/>
      <c r="AA60" s="219"/>
    </row>
    <row r="72" ht="16.5" customHeight="1" x14ac:dyDescent="0.15"/>
    <row r="74" ht="16.5" customHeight="1" x14ac:dyDescent="0.15"/>
    <row r="76" ht="16.5" customHeight="1" x14ac:dyDescent="0.15"/>
    <row r="78" ht="16.5" customHeight="1" x14ac:dyDescent="0.15"/>
  </sheetData>
  <mergeCells count="29">
    <mergeCell ref="D34:D35"/>
    <mergeCell ref="D39:R39"/>
    <mergeCell ref="U41:W41"/>
    <mergeCell ref="P22:Q24"/>
    <mergeCell ref="U22:Z22"/>
    <mergeCell ref="U23:Z29"/>
    <mergeCell ref="C25:D25"/>
    <mergeCell ref="C26:D27"/>
    <mergeCell ref="A29:A30"/>
    <mergeCell ref="B29:B30"/>
    <mergeCell ref="C29:D31"/>
    <mergeCell ref="U30:Z31"/>
    <mergeCell ref="E31:F31"/>
    <mergeCell ref="P9:Q13"/>
    <mergeCell ref="U9:Z17"/>
    <mergeCell ref="C14:D15"/>
    <mergeCell ref="C16:D21"/>
    <mergeCell ref="U18:Z18"/>
    <mergeCell ref="E19:F19"/>
    <mergeCell ref="M19:Q19"/>
    <mergeCell ref="U19:Z21"/>
    <mergeCell ref="E20:F20"/>
    <mergeCell ref="A1:Q1"/>
    <mergeCell ref="A2:Q2"/>
    <mergeCell ref="U2:Z3"/>
    <mergeCell ref="C4:D8"/>
    <mergeCell ref="U4:Z4"/>
    <mergeCell ref="U5:Z7"/>
    <mergeCell ref="U8:Z8"/>
  </mergeCells>
  <phoneticPr fontId="3" type="noConversion"/>
  <conditionalFormatting sqref="O91:O92">
    <cfRule type="uniqueValues" dxfId="17" priority="3"/>
  </conditionalFormatting>
  <conditionalFormatting sqref="M85:M86">
    <cfRule type="uniqueValues" dxfId="16" priority="2"/>
  </conditionalFormatting>
  <conditionalFormatting sqref="N91:N92">
    <cfRule type="uniqueValues" dxfId="15" priority="1"/>
  </conditionalFormatting>
  <printOptions horizontalCentered="1"/>
  <pageMargins left="0" right="0" top="0" bottom="0" header="0" footer="0"/>
  <pageSetup paperSize="9" scale="29" orientation="portrait" horizontalDpi="4294967293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78"/>
  <sheetViews>
    <sheetView topLeftCell="A35" zoomScale="85" zoomScaleNormal="85" zoomScalePageLayoutView="80" workbookViewId="0">
      <selection activeCell="G38" sqref="G38"/>
    </sheetView>
  </sheetViews>
  <sheetFormatPr defaultRowHeight="16.5" x14ac:dyDescent="0.15"/>
  <cols>
    <col min="1" max="1" width="4.33203125" style="217" customWidth="1"/>
    <col min="2" max="2" width="13.33203125" style="320" customWidth="1"/>
    <col min="3" max="4" width="15.83203125" style="320" customWidth="1"/>
    <col min="5" max="11" width="15.83203125" style="217" customWidth="1"/>
    <col min="12" max="12" width="3.5" style="329" customWidth="1"/>
    <col min="13" max="17" width="15.83203125" style="217" customWidth="1"/>
    <col min="18" max="18" width="15.83203125" style="368" customWidth="1"/>
    <col min="19" max="19" width="15.83203125" style="217" customWidth="1"/>
    <col min="20" max="20" width="2.1640625" style="217" customWidth="1"/>
    <col min="21" max="26" width="10.83203125" style="218" customWidth="1"/>
    <col min="27" max="27" width="10" style="219" bestFit="1" customWidth="1"/>
    <col min="28" max="16384" width="9.33203125" style="217"/>
  </cols>
  <sheetData>
    <row r="1" spans="1:27" ht="16.5" hidden="1" customHeight="1" x14ac:dyDescent="0.15">
      <c r="A1" s="606" t="s">
        <v>74</v>
      </c>
      <c r="B1" s="607"/>
      <c r="C1" s="607"/>
      <c r="D1" s="607"/>
      <c r="E1" s="607"/>
      <c r="F1" s="607"/>
      <c r="G1" s="607"/>
      <c r="H1" s="607"/>
      <c r="I1" s="607"/>
      <c r="J1" s="607"/>
      <c r="K1" s="607"/>
      <c r="L1" s="607"/>
      <c r="M1" s="607"/>
      <c r="N1" s="607"/>
      <c r="O1" s="607"/>
      <c r="P1" s="607"/>
      <c r="Q1" s="608"/>
      <c r="R1" s="216"/>
    </row>
    <row r="2" spans="1:27" ht="18" customHeight="1" x14ac:dyDescent="0.15">
      <c r="A2" s="609" t="s">
        <v>885</v>
      </c>
      <c r="B2" s="610"/>
      <c r="C2" s="610"/>
      <c r="D2" s="610"/>
      <c r="E2" s="610"/>
      <c r="F2" s="610"/>
      <c r="G2" s="610"/>
      <c r="H2" s="610"/>
      <c r="I2" s="610"/>
      <c r="J2" s="610"/>
      <c r="K2" s="610"/>
      <c r="L2" s="610"/>
      <c r="M2" s="610"/>
      <c r="N2" s="610"/>
      <c r="O2" s="610"/>
      <c r="P2" s="610"/>
      <c r="Q2" s="610"/>
      <c r="R2" s="220"/>
      <c r="U2" s="540"/>
      <c r="V2" s="540"/>
      <c r="W2" s="540"/>
      <c r="X2" s="540"/>
      <c r="Y2" s="540"/>
      <c r="Z2" s="540"/>
    </row>
    <row r="3" spans="1:27" ht="21" customHeight="1" thickBot="1" x14ac:dyDescent="0.2">
      <c r="A3" s="221"/>
      <c r="B3" s="222" t="s">
        <v>75</v>
      </c>
      <c r="C3" s="223" t="s">
        <v>76</v>
      </c>
      <c r="D3" s="223" t="s">
        <v>77</v>
      </c>
      <c r="E3" s="224" t="s">
        <v>0</v>
      </c>
      <c r="F3" s="224" t="s">
        <v>1</v>
      </c>
      <c r="G3" s="223" t="s">
        <v>2</v>
      </c>
      <c r="H3" s="223" t="s">
        <v>3</v>
      </c>
      <c r="I3" s="224" t="s">
        <v>4</v>
      </c>
      <c r="J3" s="223" t="s">
        <v>5</v>
      </c>
      <c r="K3" s="223" t="s">
        <v>6</v>
      </c>
      <c r="L3" s="225" t="s">
        <v>7</v>
      </c>
      <c r="M3" s="224" t="s">
        <v>8</v>
      </c>
      <c r="N3" s="223" t="s">
        <v>9</v>
      </c>
      <c r="O3" s="223" t="s">
        <v>10</v>
      </c>
      <c r="P3" s="223" t="s">
        <v>11</v>
      </c>
      <c r="Q3" s="223" t="s">
        <v>12</v>
      </c>
      <c r="R3" s="226">
        <f>AVERAGE(R4:R32)</f>
        <v>0.97115384615384615</v>
      </c>
      <c r="U3" s="611"/>
      <c r="V3" s="611"/>
      <c r="W3" s="611"/>
      <c r="X3" s="611"/>
      <c r="Y3" s="611"/>
      <c r="Z3" s="611"/>
    </row>
    <row r="4" spans="1:27" s="237" customFormat="1" ht="27.95" customHeight="1" thickBot="1" x14ac:dyDescent="0.2">
      <c r="A4" s="227">
        <v>1</v>
      </c>
      <c r="B4" s="228" t="s">
        <v>122</v>
      </c>
      <c r="C4" s="604"/>
      <c r="D4" s="605"/>
      <c r="E4" s="229" t="s">
        <v>252</v>
      </c>
      <c r="F4" s="229" t="s">
        <v>253</v>
      </c>
      <c r="G4" s="230" t="s">
        <v>287</v>
      </c>
      <c r="H4" s="231" t="s">
        <v>124</v>
      </c>
      <c r="I4" s="229" t="s">
        <v>724</v>
      </c>
      <c r="J4" s="232" t="s">
        <v>125</v>
      </c>
      <c r="K4" s="229" t="s">
        <v>126</v>
      </c>
      <c r="L4" s="233"/>
      <c r="M4" s="234" t="s">
        <v>91</v>
      </c>
      <c r="N4" s="231" t="s">
        <v>109</v>
      </c>
      <c r="O4" s="241" t="s">
        <v>706</v>
      </c>
      <c r="P4" s="231" t="s">
        <v>87</v>
      </c>
      <c r="Q4" s="231" t="s">
        <v>88</v>
      </c>
      <c r="R4" s="235">
        <f>(COUNTA(C4:Q4))/12</f>
        <v>1</v>
      </c>
      <c r="S4" s="482"/>
      <c r="U4" s="612" t="s">
        <v>313</v>
      </c>
      <c r="V4" s="613"/>
      <c r="W4" s="613"/>
      <c r="X4" s="613"/>
      <c r="Y4" s="613"/>
      <c r="Z4" s="614"/>
      <c r="AA4" s="238"/>
    </row>
    <row r="5" spans="1:27" s="237" customFormat="1" ht="27.95" customHeight="1" x14ac:dyDescent="0.15">
      <c r="A5" s="239">
        <v>2</v>
      </c>
      <c r="B5" s="240" t="s">
        <v>89</v>
      </c>
      <c r="C5" s="598"/>
      <c r="D5" s="599"/>
      <c r="E5" s="229" t="s">
        <v>271</v>
      </c>
      <c r="F5" s="229" t="s">
        <v>90</v>
      </c>
      <c r="G5" s="229" t="s">
        <v>91</v>
      </c>
      <c r="H5" s="231" t="s">
        <v>106</v>
      </c>
      <c r="I5" s="241" t="s">
        <v>240</v>
      </c>
      <c r="J5" s="229" t="s">
        <v>92</v>
      </c>
      <c r="K5" s="378" t="s">
        <v>93</v>
      </c>
      <c r="L5" s="231"/>
      <c r="M5" s="229" t="s">
        <v>756</v>
      </c>
      <c r="N5" s="229" t="s">
        <v>94</v>
      </c>
      <c r="O5" s="234" t="s">
        <v>82</v>
      </c>
      <c r="P5" s="229" t="s">
        <v>140</v>
      </c>
      <c r="Q5" s="5" t="s">
        <v>711</v>
      </c>
      <c r="R5" s="235">
        <f>(COUNTA(C5:Q5))/12</f>
        <v>1</v>
      </c>
      <c r="S5" s="482"/>
      <c r="U5" s="615"/>
      <c r="V5" s="616"/>
      <c r="W5" s="616"/>
      <c r="X5" s="616"/>
      <c r="Y5" s="616"/>
      <c r="Z5" s="617"/>
      <c r="AA5" s="238"/>
    </row>
    <row r="6" spans="1:27" s="237" customFormat="1" ht="27.95" customHeight="1" x14ac:dyDescent="0.15">
      <c r="A6" s="239">
        <v>3</v>
      </c>
      <c r="B6" s="242" t="s">
        <v>127</v>
      </c>
      <c r="C6" s="598"/>
      <c r="D6" s="599"/>
      <c r="E6" s="229" t="s">
        <v>290</v>
      </c>
      <c r="F6" s="243" t="s">
        <v>128</v>
      </c>
      <c r="G6" s="229" t="s">
        <v>240</v>
      </c>
      <c r="H6" s="229" t="s">
        <v>257</v>
      </c>
      <c r="I6" s="229" t="s">
        <v>310</v>
      </c>
      <c r="J6" s="229" t="s">
        <v>129</v>
      </c>
      <c r="K6" s="229" t="s">
        <v>107</v>
      </c>
      <c r="L6" s="229"/>
      <c r="M6" s="229" t="s">
        <v>112</v>
      </c>
      <c r="N6" s="241" t="s">
        <v>16</v>
      </c>
      <c r="O6" s="241" t="s">
        <v>131</v>
      </c>
      <c r="P6" s="244" t="s">
        <v>83</v>
      </c>
      <c r="Q6" s="229" t="s">
        <v>288</v>
      </c>
      <c r="R6" s="235">
        <f>(COUNTA(C6:Q6))/12</f>
        <v>1</v>
      </c>
      <c r="S6" s="482"/>
      <c r="U6" s="618"/>
      <c r="V6" s="619"/>
      <c r="W6" s="619"/>
      <c r="X6" s="619"/>
      <c r="Y6" s="619"/>
      <c r="Z6" s="620"/>
      <c r="AA6" s="238"/>
    </row>
    <row r="7" spans="1:27" s="237" customFormat="1" ht="27.75" customHeight="1" thickBot="1" x14ac:dyDescent="0.2">
      <c r="A7" s="239">
        <v>4</v>
      </c>
      <c r="B7" s="245" t="s">
        <v>111</v>
      </c>
      <c r="C7" s="598"/>
      <c r="D7" s="599"/>
      <c r="E7" s="229" t="s">
        <v>103</v>
      </c>
      <c r="F7" s="231" t="s">
        <v>87</v>
      </c>
      <c r="G7" s="243" t="s">
        <v>92</v>
      </c>
      <c r="H7" s="229" t="s">
        <v>278</v>
      </c>
      <c r="I7" s="229" t="s">
        <v>107</v>
      </c>
      <c r="J7" s="229" t="s">
        <v>280</v>
      </c>
      <c r="K7" s="229" t="s">
        <v>81</v>
      </c>
      <c r="L7" s="229"/>
      <c r="M7" s="5" t="s">
        <v>711</v>
      </c>
      <c r="N7" s="5" t="s">
        <v>115</v>
      </c>
      <c r="O7" s="229" t="s">
        <v>116</v>
      </c>
      <c r="P7" s="229" t="s">
        <v>117</v>
      </c>
      <c r="Q7" s="246" t="s">
        <v>346</v>
      </c>
      <c r="R7" s="235">
        <f>(COUNTA(C7:Q7))/12</f>
        <v>1</v>
      </c>
      <c r="S7" s="482"/>
      <c r="U7" s="621"/>
      <c r="V7" s="622"/>
      <c r="W7" s="622"/>
      <c r="X7" s="622"/>
      <c r="Y7" s="622"/>
      <c r="Z7" s="623"/>
      <c r="AA7" s="238"/>
    </row>
    <row r="8" spans="1:27" s="237" customFormat="1" ht="27.95" customHeight="1" thickBot="1" x14ac:dyDescent="0.2">
      <c r="A8" s="239">
        <v>5</v>
      </c>
      <c r="B8" s="6" t="s">
        <v>416</v>
      </c>
      <c r="C8" s="598"/>
      <c r="D8" s="599"/>
      <c r="E8" s="229" t="s">
        <v>756</v>
      </c>
      <c r="F8" s="230" t="s">
        <v>104</v>
      </c>
      <c r="G8" s="170" t="s">
        <v>110</v>
      </c>
      <c r="H8" s="247" t="s">
        <v>279</v>
      </c>
      <c r="I8" s="247" t="s">
        <v>118</v>
      </c>
      <c r="J8" s="247" t="s">
        <v>106</v>
      </c>
      <c r="K8" s="230" t="s">
        <v>420</v>
      </c>
      <c r="L8" s="171"/>
      <c r="M8" s="230" t="s">
        <v>90</v>
      </c>
      <c r="N8" s="248" t="s">
        <v>272</v>
      </c>
      <c r="O8" s="249" t="s">
        <v>107</v>
      </c>
      <c r="P8" s="231" t="s">
        <v>94</v>
      </c>
      <c r="Q8" s="230" t="s">
        <v>103</v>
      </c>
      <c r="R8" s="235">
        <f>(COUNTA(C8:Q8))/12</f>
        <v>1</v>
      </c>
      <c r="S8" s="482"/>
      <c r="U8" s="612" t="s">
        <v>15</v>
      </c>
      <c r="V8" s="613"/>
      <c r="W8" s="613"/>
      <c r="X8" s="613"/>
      <c r="Y8" s="613"/>
      <c r="Z8" s="614"/>
      <c r="AA8" s="238"/>
    </row>
    <row r="9" spans="1:27" s="237" customFormat="1" ht="27.95" customHeight="1" x14ac:dyDescent="0.15">
      <c r="A9" s="250">
        <v>6</v>
      </c>
      <c r="B9" s="251" t="s">
        <v>79</v>
      </c>
      <c r="C9" s="252" t="s">
        <v>823</v>
      </c>
      <c r="D9" s="252" t="s">
        <v>823</v>
      </c>
      <c r="E9" s="253" t="s">
        <v>80</v>
      </c>
      <c r="F9" s="253" t="s">
        <v>81</v>
      </c>
      <c r="G9" s="253" t="s">
        <v>82</v>
      </c>
      <c r="H9" s="233" t="s">
        <v>83</v>
      </c>
      <c r="I9" s="486" t="s">
        <v>707</v>
      </c>
      <c r="J9" s="244" t="s">
        <v>427</v>
      </c>
      <c r="K9" s="160" t="s">
        <v>92</v>
      </c>
      <c r="L9" s="253"/>
      <c r="M9" s="253" t="s">
        <v>85</v>
      </c>
      <c r="N9" s="254" t="s">
        <v>86</v>
      </c>
      <c r="O9" s="231" t="s">
        <v>109</v>
      </c>
      <c r="P9" s="541"/>
      <c r="Q9" s="542"/>
      <c r="R9" s="235">
        <f t="shared" ref="R9:R18" si="0">(COUNTA(C9:Q9))/12</f>
        <v>1</v>
      </c>
      <c r="S9" s="482"/>
      <c r="U9" s="592" t="s">
        <v>890</v>
      </c>
      <c r="V9" s="593"/>
      <c r="W9" s="593"/>
      <c r="X9" s="593"/>
      <c r="Y9" s="593"/>
      <c r="Z9" s="594"/>
      <c r="AA9" s="238"/>
    </row>
    <row r="10" spans="1:27" s="237" customFormat="1" ht="27.95" customHeight="1" x14ac:dyDescent="0.15">
      <c r="A10" s="239">
        <v>7</v>
      </c>
      <c r="B10" s="240" t="s">
        <v>96</v>
      </c>
      <c r="C10" s="255" t="s">
        <v>682</v>
      </c>
      <c r="D10" s="255" t="s">
        <v>682</v>
      </c>
      <c r="E10" s="241" t="s">
        <v>706</v>
      </c>
      <c r="F10" s="232" t="s">
        <v>13</v>
      </c>
      <c r="G10" s="229" t="s">
        <v>98</v>
      </c>
      <c r="H10" s="241" t="s">
        <v>93</v>
      </c>
      <c r="I10" s="234" t="s">
        <v>104</v>
      </c>
      <c r="J10" s="229" t="s">
        <v>14</v>
      </c>
      <c r="K10" s="229" t="s">
        <v>100</v>
      </c>
      <c r="L10" s="233"/>
      <c r="M10" s="231" t="s">
        <v>724</v>
      </c>
      <c r="N10" s="232" t="s">
        <v>101</v>
      </c>
      <c r="O10" s="231" t="s">
        <v>102</v>
      </c>
      <c r="P10" s="543"/>
      <c r="Q10" s="544"/>
      <c r="R10" s="235">
        <f t="shared" si="0"/>
        <v>1</v>
      </c>
      <c r="S10" s="482"/>
      <c r="U10" s="592"/>
      <c r="V10" s="593"/>
      <c r="W10" s="593"/>
      <c r="X10" s="593"/>
      <c r="Y10" s="593"/>
      <c r="Z10" s="594"/>
      <c r="AA10" s="238"/>
    </row>
    <row r="11" spans="1:27" s="237" customFormat="1" ht="27.95" customHeight="1" x14ac:dyDescent="0.15">
      <c r="A11" s="239">
        <v>8</v>
      </c>
      <c r="B11" s="245" t="s">
        <v>132</v>
      </c>
      <c r="C11" s="255" t="s">
        <v>135</v>
      </c>
      <c r="D11" s="255" t="s">
        <v>838</v>
      </c>
      <c r="E11" s="229" t="s">
        <v>133</v>
      </c>
      <c r="F11" s="241" t="s">
        <v>82</v>
      </c>
      <c r="G11" s="256" t="s">
        <v>134</v>
      </c>
      <c r="H11" s="229" t="s">
        <v>135</v>
      </c>
      <c r="I11" s="483" t="s">
        <v>106</v>
      </c>
      <c r="J11" s="229" t="s">
        <v>107</v>
      </c>
      <c r="K11" s="243" t="s">
        <v>108</v>
      </c>
      <c r="L11" s="230"/>
      <c r="M11" s="230" t="s">
        <v>113</v>
      </c>
      <c r="N11" s="229" t="s">
        <v>136</v>
      </c>
      <c r="O11" s="229" t="s">
        <v>123</v>
      </c>
      <c r="P11" s="543"/>
      <c r="Q11" s="544"/>
      <c r="R11" s="235">
        <f t="shared" si="0"/>
        <v>1</v>
      </c>
      <c r="S11" s="482"/>
      <c r="U11" s="592"/>
      <c r="V11" s="593"/>
      <c r="W11" s="593"/>
      <c r="X11" s="593"/>
      <c r="Y11" s="593"/>
      <c r="Z11" s="594"/>
      <c r="AA11" s="238"/>
    </row>
    <row r="12" spans="1:27" s="237" customFormat="1" ht="27.95" customHeight="1" x14ac:dyDescent="0.15">
      <c r="A12" s="239">
        <v>9</v>
      </c>
      <c r="B12" s="257" t="s">
        <v>137</v>
      </c>
      <c r="C12" s="255" t="s">
        <v>131</v>
      </c>
      <c r="D12" s="255" t="s">
        <v>124</v>
      </c>
      <c r="E12" s="229" t="s">
        <v>138</v>
      </c>
      <c r="F12" s="241" t="s">
        <v>706</v>
      </c>
      <c r="G12" s="248" t="s">
        <v>139</v>
      </c>
      <c r="H12" s="281" t="s">
        <v>800</v>
      </c>
      <c r="I12" s="233" t="s">
        <v>141</v>
      </c>
      <c r="J12" s="229" t="s">
        <v>142</v>
      </c>
      <c r="K12" s="241" t="s">
        <v>118</v>
      </c>
      <c r="L12" s="229"/>
      <c r="M12" s="241" t="s">
        <v>279</v>
      </c>
      <c r="N12" s="231" t="s">
        <v>143</v>
      </c>
      <c r="O12" s="241" t="s">
        <v>272</v>
      </c>
      <c r="P12" s="543"/>
      <c r="Q12" s="544"/>
      <c r="R12" s="235">
        <f t="shared" si="0"/>
        <v>1</v>
      </c>
      <c r="S12" s="482"/>
      <c r="U12" s="592"/>
      <c r="V12" s="593"/>
      <c r="W12" s="593"/>
      <c r="X12" s="593"/>
      <c r="Y12" s="593"/>
      <c r="Z12" s="594"/>
      <c r="AA12" s="238"/>
    </row>
    <row r="13" spans="1:27" s="237" customFormat="1" ht="27.95" customHeight="1" thickBot="1" x14ac:dyDescent="0.2">
      <c r="A13" s="258">
        <v>10</v>
      </c>
      <c r="B13" s="7" t="s">
        <v>119</v>
      </c>
      <c r="C13" s="259" t="s">
        <v>86</v>
      </c>
      <c r="D13" s="259" t="s">
        <v>744</v>
      </c>
      <c r="E13" s="260" t="s">
        <v>288</v>
      </c>
      <c r="F13" s="9" t="s">
        <v>102</v>
      </c>
      <c r="G13" s="249" t="s">
        <v>109</v>
      </c>
      <c r="H13" s="249" t="s">
        <v>724</v>
      </c>
      <c r="I13" s="249" t="s">
        <v>120</v>
      </c>
      <c r="J13" s="261" t="s">
        <v>115</v>
      </c>
      <c r="K13" s="249" t="s">
        <v>121</v>
      </c>
      <c r="L13" s="11"/>
      <c r="M13" s="262" t="s">
        <v>82</v>
      </c>
      <c r="N13" s="249" t="s">
        <v>782</v>
      </c>
      <c r="O13" s="249" t="s">
        <v>100</v>
      </c>
      <c r="P13" s="720"/>
      <c r="Q13" s="721"/>
      <c r="R13" s="235">
        <f t="shared" si="0"/>
        <v>1</v>
      </c>
      <c r="S13" s="482"/>
      <c r="U13" s="592"/>
      <c r="V13" s="593"/>
      <c r="W13" s="593"/>
      <c r="X13" s="593"/>
      <c r="Y13" s="593"/>
      <c r="Z13" s="594"/>
      <c r="AA13" s="238"/>
    </row>
    <row r="14" spans="1:27" ht="27.95" customHeight="1" x14ac:dyDescent="0.15">
      <c r="A14" s="263">
        <v>11</v>
      </c>
      <c r="B14" s="264" t="s">
        <v>144</v>
      </c>
      <c r="C14" s="722"/>
      <c r="D14" s="723"/>
      <c r="E14" s="229" t="s">
        <v>104</v>
      </c>
      <c r="F14" s="241" t="s">
        <v>94</v>
      </c>
      <c r="G14" s="241" t="s">
        <v>279</v>
      </c>
      <c r="H14" s="233" t="s">
        <v>272</v>
      </c>
      <c r="I14" s="246" t="s">
        <v>711</v>
      </c>
      <c r="J14" s="230" t="s">
        <v>288</v>
      </c>
      <c r="K14" s="231" t="s">
        <v>724</v>
      </c>
      <c r="L14" s="241"/>
      <c r="M14" s="278" t="s">
        <v>92</v>
      </c>
      <c r="N14" s="233" t="s">
        <v>240</v>
      </c>
      <c r="O14" s="243" t="s">
        <v>314</v>
      </c>
      <c r="P14" s="491" t="s">
        <v>901</v>
      </c>
      <c r="Q14" s="231" t="s">
        <v>90</v>
      </c>
      <c r="R14" s="235">
        <f t="shared" si="0"/>
        <v>1</v>
      </c>
      <c r="S14" s="482"/>
      <c r="T14" s="237"/>
      <c r="U14" s="592"/>
      <c r="V14" s="593"/>
      <c r="W14" s="593"/>
      <c r="X14" s="593"/>
      <c r="Y14" s="593"/>
      <c r="Z14" s="594"/>
    </row>
    <row r="15" spans="1:27" ht="27.95" customHeight="1" thickBot="1" x14ac:dyDescent="0.2">
      <c r="A15" s="258">
        <v>12</v>
      </c>
      <c r="B15" s="265" t="s">
        <v>145</v>
      </c>
      <c r="C15" s="724"/>
      <c r="D15" s="725"/>
      <c r="E15" s="249" t="s">
        <v>97</v>
      </c>
      <c r="F15" s="261" t="s">
        <v>105</v>
      </c>
      <c r="G15" s="241" t="s">
        <v>706</v>
      </c>
      <c r="H15" s="249" t="s">
        <v>695</v>
      </c>
      <c r="I15" s="9" t="s">
        <v>288</v>
      </c>
      <c r="J15" s="249" t="s">
        <v>724</v>
      </c>
      <c r="K15" s="249" t="s">
        <v>756</v>
      </c>
      <c r="L15" s="249"/>
      <c r="M15" s="249" t="s">
        <v>673</v>
      </c>
      <c r="N15" s="266" t="s">
        <v>146</v>
      </c>
      <c r="O15" s="249" t="s">
        <v>93</v>
      </c>
      <c r="P15" s="249" t="s">
        <v>346</v>
      </c>
      <c r="Q15" s="9" t="s">
        <v>110</v>
      </c>
      <c r="R15" s="235">
        <f t="shared" si="0"/>
        <v>1</v>
      </c>
      <c r="S15" s="482"/>
      <c r="U15" s="592"/>
      <c r="V15" s="593"/>
      <c r="W15" s="593"/>
      <c r="X15" s="593"/>
      <c r="Y15" s="593"/>
      <c r="Z15" s="594"/>
    </row>
    <row r="16" spans="1:27" ht="27" customHeight="1" x14ac:dyDescent="0.15">
      <c r="A16" s="227">
        <v>13</v>
      </c>
      <c r="B16" s="267" t="s">
        <v>21</v>
      </c>
      <c r="C16" s="598"/>
      <c r="D16" s="599"/>
      <c r="E16" s="5" t="s">
        <v>712</v>
      </c>
      <c r="F16" s="177" t="s">
        <v>186</v>
      </c>
      <c r="G16" s="253" t="s">
        <v>22</v>
      </c>
      <c r="H16" s="253" t="s">
        <v>23</v>
      </c>
      <c r="I16" s="231" t="s">
        <v>187</v>
      </c>
      <c r="J16" s="160" t="s">
        <v>188</v>
      </c>
      <c r="K16" s="231" t="s">
        <v>189</v>
      </c>
      <c r="L16" s="233"/>
      <c r="M16" s="467" t="s">
        <v>903</v>
      </c>
      <c r="N16" s="229" t="s">
        <v>191</v>
      </c>
      <c r="O16" s="231" t="s">
        <v>192</v>
      </c>
      <c r="P16" s="376" t="s">
        <v>707</v>
      </c>
      <c r="Q16" s="390" t="s">
        <v>900</v>
      </c>
      <c r="R16" s="235">
        <f t="shared" si="0"/>
        <v>1</v>
      </c>
      <c r="S16" s="482"/>
      <c r="U16" s="592"/>
      <c r="V16" s="593"/>
      <c r="W16" s="593"/>
      <c r="X16" s="593"/>
      <c r="Y16" s="593"/>
      <c r="Z16" s="594"/>
    </row>
    <row r="17" spans="1:28" ht="27.95" customHeight="1" thickBot="1" x14ac:dyDescent="0.2">
      <c r="A17" s="227">
        <v>14</v>
      </c>
      <c r="B17" s="267" t="s">
        <v>155</v>
      </c>
      <c r="C17" s="598"/>
      <c r="D17" s="599"/>
      <c r="E17" s="229" t="s">
        <v>156</v>
      </c>
      <c r="F17" s="232" t="s">
        <v>157</v>
      </c>
      <c r="G17" s="229" t="s">
        <v>158</v>
      </c>
      <c r="H17" s="229" t="s">
        <v>154</v>
      </c>
      <c r="I17" s="404" t="s">
        <v>889</v>
      </c>
      <c r="J17" s="229" t="s">
        <v>159</v>
      </c>
      <c r="K17" s="466" t="s">
        <v>241</v>
      </c>
      <c r="L17" s="229"/>
      <c r="M17" s="17" t="s">
        <v>160</v>
      </c>
      <c r="N17" s="5" t="s">
        <v>161</v>
      </c>
      <c r="O17" s="18" t="s">
        <v>162</v>
      </c>
      <c r="P17" s="229" t="s">
        <v>163</v>
      </c>
      <c r="Q17" s="269" t="s">
        <v>164</v>
      </c>
      <c r="R17" s="235">
        <f t="shared" si="0"/>
        <v>1</v>
      </c>
      <c r="S17" s="482"/>
      <c r="U17" s="595"/>
      <c r="V17" s="596"/>
      <c r="W17" s="596"/>
      <c r="X17" s="596"/>
      <c r="Y17" s="596"/>
      <c r="Z17" s="597"/>
    </row>
    <row r="18" spans="1:28" ht="27.95" customHeight="1" thickBot="1" x14ac:dyDescent="0.2">
      <c r="A18" s="270">
        <v>15</v>
      </c>
      <c r="B18" s="245" t="s">
        <v>193</v>
      </c>
      <c r="C18" s="598"/>
      <c r="D18" s="599"/>
      <c r="E18" s="243" t="s">
        <v>194</v>
      </c>
      <c r="F18" s="5" t="s">
        <v>195</v>
      </c>
      <c r="G18" s="243" t="s">
        <v>24</v>
      </c>
      <c r="H18" s="246" t="s">
        <v>173</v>
      </c>
      <c r="I18" s="243" t="s">
        <v>237</v>
      </c>
      <c r="J18" s="378" t="s">
        <v>888</v>
      </c>
      <c r="K18" s="229" t="s">
        <v>197</v>
      </c>
      <c r="L18" s="229"/>
      <c r="M18" s="241" t="s">
        <v>25</v>
      </c>
      <c r="N18" s="229" t="s">
        <v>244</v>
      </c>
      <c r="O18" s="229" t="s">
        <v>198</v>
      </c>
      <c r="P18" s="243" t="s">
        <v>304</v>
      </c>
      <c r="Q18" s="246" t="s">
        <v>725</v>
      </c>
      <c r="R18" s="371">
        <f t="shared" si="0"/>
        <v>1</v>
      </c>
      <c r="S18" s="482"/>
      <c r="U18" s="547" t="s">
        <v>311</v>
      </c>
      <c r="V18" s="548"/>
      <c r="W18" s="548"/>
      <c r="X18" s="548"/>
      <c r="Y18" s="548"/>
      <c r="Z18" s="549"/>
    </row>
    <row r="19" spans="1:28" ht="27.95" customHeight="1" x14ac:dyDescent="0.15">
      <c r="A19" s="270">
        <v>16</v>
      </c>
      <c r="B19" s="245" t="s">
        <v>165</v>
      </c>
      <c r="C19" s="598"/>
      <c r="D19" s="599"/>
      <c r="E19" s="726"/>
      <c r="F19" s="727"/>
      <c r="G19" s="16" t="s">
        <v>69</v>
      </c>
      <c r="H19" s="5" t="s">
        <v>166</v>
      </c>
      <c r="I19" s="229" t="s">
        <v>167</v>
      </c>
      <c r="J19" s="243" t="s">
        <v>68</v>
      </c>
      <c r="K19" s="272" t="s">
        <v>168</v>
      </c>
      <c r="L19" s="229"/>
      <c r="M19" s="726" t="s">
        <v>169</v>
      </c>
      <c r="N19" s="749"/>
      <c r="O19" s="749"/>
      <c r="P19" s="749"/>
      <c r="Q19" s="727"/>
      <c r="R19" s="235">
        <f>(COUNTA(E19:K19))/5</f>
        <v>1</v>
      </c>
      <c r="S19" s="482"/>
      <c r="U19" s="740" t="s">
        <v>891</v>
      </c>
      <c r="V19" s="741"/>
      <c r="W19" s="741"/>
      <c r="X19" s="741"/>
      <c r="Y19" s="741"/>
      <c r="Z19" s="742"/>
    </row>
    <row r="20" spans="1:28" s="237" customFormat="1" ht="27.75" customHeight="1" x14ac:dyDescent="0.15">
      <c r="A20" s="239"/>
      <c r="B20" s="242" t="s">
        <v>170</v>
      </c>
      <c r="C20" s="598"/>
      <c r="D20" s="599"/>
      <c r="E20" s="602" t="s">
        <v>20</v>
      </c>
      <c r="F20" s="603"/>
      <c r="G20" s="241" t="s">
        <v>285</v>
      </c>
      <c r="H20" s="229" t="s">
        <v>171</v>
      </c>
      <c r="I20" s="273" t="s">
        <v>172</v>
      </c>
      <c r="J20" s="229" t="s">
        <v>173</v>
      </c>
      <c r="K20" s="243" t="s">
        <v>781</v>
      </c>
      <c r="L20" s="229"/>
      <c r="M20" s="273" t="s">
        <v>174</v>
      </c>
      <c r="N20" s="5" t="s">
        <v>175</v>
      </c>
      <c r="O20" s="246" t="s">
        <v>176</v>
      </c>
      <c r="P20" s="229" t="s">
        <v>152</v>
      </c>
      <c r="Q20" s="231" t="s">
        <v>154</v>
      </c>
      <c r="R20" s="235">
        <f>(COUNTA(G20:Q20))/10</f>
        <v>1</v>
      </c>
      <c r="S20" s="482"/>
      <c r="U20" s="743"/>
      <c r="V20" s="744"/>
      <c r="W20" s="744"/>
      <c r="X20" s="744"/>
      <c r="Y20" s="744"/>
      <c r="Z20" s="745"/>
      <c r="AA20" s="238"/>
    </row>
    <row r="21" spans="1:28" ht="27.95" customHeight="1" thickBot="1" x14ac:dyDescent="0.2">
      <c r="A21" s="258"/>
      <c r="B21" s="274" t="s">
        <v>177</v>
      </c>
      <c r="C21" s="600"/>
      <c r="D21" s="601"/>
      <c r="E21" s="471" t="s">
        <v>178</v>
      </c>
      <c r="F21" s="261"/>
      <c r="G21" s="230" t="s">
        <v>179</v>
      </c>
      <c r="H21" s="230" t="s">
        <v>180</v>
      </c>
      <c r="I21" s="249" t="s">
        <v>181</v>
      </c>
      <c r="J21" s="249" t="s">
        <v>309</v>
      </c>
      <c r="K21" s="249" t="s">
        <v>182</v>
      </c>
      <c r="L21" s="247"/>
      <c r="M21" s="249" t="s">
        <v>183</v>
      </c>
      <c r="N21" s="247" t="s">
        <v>184</v>
      </c>
      <c r="O21" s="249" t="s">
        <v>185</v>
      </c>
      <c r="P21" s="372" t="s">
        <v>153</v>
      </c>
      <c r="Q21" s="484" t="s">
        <v>178</v>
      </c>
      <c r="R21" s="235">
        <f>(COUNTA(F21:P21))/9</f>
        <v>1</v>
      </c>
      <c r="S21" s="482"/>
      <c r="U21" s="746"/>
      <c r="V21" s="747"/>
      <c r="W21" s="747"/>
      <c r="X21" s="747"/>
      <c r="Y21" s="747"/>
      <c r="Z21" s="748"/>
    </row>
    <row r="22" spans="1:28" s="237" customFormat="1" ht="27.95" customHeight="1" thickBot="1" x14ac:dyDescent="0.2">
      <c r="A22" s="227">
        <v>17</v>
      </c>
      <c r="B22" s="245" t="s">
        <v>147</v>
      </c>
      <c r="C22" s="255" t="s">
        <v>827</v>
      </c>
      <c r="D22" s="255" t="s">
        <v>840</v>
      </c>
      <c r="E22" s="231" t="s">
        <v>251</v>
      </c>
      <c r="F22" s="253" t="s">
        <v>254</v>
      </c>
      <c r="G22" s="277" t="s">
        <v>148</v>
      </c>
      <c r="H22" s="278" t="s">
        <v>149</v>
      </c>
      <c r="I22" s="160" t="s">
        <v>150</v>
      </c>
      <c r="J22" s="253" t="s">
        <v>151</v>
      </c>
      <c r="K22" s="253" t="s">
        <v>18</v>
      </c>
      <c r="L22" s="277"/>
      <c r="M22" s="253" t="s">
        <v>19</v>
      </c>
      <c r="N22" s="279" t="s">
        <v>152</v>
      </c>
      <c r="O22" s="160" t="s">
        <v>904</v>
      </c>
      <c r="P22" s="541"/>
      <c r="Q22" s="542"/>
      <c r="R22" s="235">
        <f>(COUNTA(C22:Q22))/12</f>
        <v>1</v>
      </c>
      <c r="S22" s="482"/>
      <c r="U22" s="547" t="s">
        <v>312</v>
      </c>
      <c r="V22" s="548"/>
      <c r="W22" s="548"/>
      <c r="X22" s="548"/>
      <c r="Y22" s="548"/>
      <c r="Z22" s="549"/>
      <c r="AA22" s="238"/>
    </row>
    <row r="23" spans="1:28" ht="27.95" customHeight="1" x14ac:dyDescent="0.15">
      <c r="A23" s="270">
        <v>18</v>
      </c>
      <c r="B23" s="245" t="s">
        <v>199</v>
      </c>
      <c r="C23" s="268" t="s">
        <v>833</v>
      </c>
      <c r="D23" s="268" t="s">
        <v>833</v>
      </c>
      <c r="E23" s="273" t="s">
        <v>200</v>
      </c>
      <c r="F23" s="229" t="s">
        <v>201</v>
      </c>
      <c r="G23" s="18" t="s">
        <v>26</v>
      </c>
      <c r="H23" s="241" t="s">
        <v>241</v>
      </c>
      <c r="I23" s="229" t="s">
        <v>757</v>
      </c>
      <c r="J23" s="229" t="s">
        <v>202</v>
      </c>
      <c r="K23" s="23" t="s">
        <v>203</v>
      </c>
      <c r="L23" s="229"/>
      <c r="M23" s="243" t="s">
        <v>204</v>
      </c>
      <c r="N23" s="229" t="s">
        <v>269</v>
      </c>
      <c r="O23" s="269" t="s">
        <v>205</v>
      </c>
      <c r="P23" s="543"/>
      <c r="Q23" s="544"/>
      <c r="R23" s="235">
        <f t="shared" ref="R23:R25" si="1">(COUNTA(C23:Q23))/12</f>
        <v>1</v>
      </c>
      <c r="S23" s="482"/>
      <c r="U23" s="711" t="s">
        <v>894</v>
      </c>
      <c r="V23" s="712"/>
      <c r="W23" s="712"/>
      <c r="X23" s="712"/>
      <c r="Y23" s="712"/>
      <c r="Z23" s="713"/>
    </row>
    <row r="24" spans="1:28" ht="27.95" customHeight="1" x14ac:dyDescent="0.15">
      <c r="A24" s="270">
        <v>19</v>
      </c>
      <c r="B24" s="485" t="s">
        <v>886</v>
      </c>
      <c r="C24" s="753"/>
      <c r="D24" s="754"/>
      <c r="E24" s="444" t="s">
        <v>551</v>
      </c>
      <c r="F24" s="439"/>
      <c r="G24" s="439" t="s">
        <v>291</v>
      </c>
      <c r="H24" s="487" t="s">
        <v>893</v>
      </c>
      <c r="I24" s="445"/>
      <c r="J24" s="445"/>
      <c r="K24" s="439" t="s">
        <v>712</v>
      </c>
      <c r="L24" s="444"/>
      <c r="M24" s="439"/>
      <c r="N24" s="444" t="s">
        <v>267</v>
      </c>
      <c r="O24" s="488"/>
      <c r="P24" s="489"/>
      <c r="Q24" s="490"/>
      <c r="R24" s="235">
        <f t="shared" si="1"/>
        <v>0.41666666666666669</v>
      </c>
      <c r="S24" s="482"/>
      <c r="U24" s="714"/>
      <c r="V24" s="715"/>
      <c r="W24" s="715"/>
      <c r="X24" s="715"/>
      <c r="Y24" s="715"/>
      <c r="Z24" s="716"/>
      <c r="AA24" s="283"/>
    </row>
    <row r="25" spans="1:28" ht="27.95" customHeight="1" thickBot="1" x14ac:dyDescent="0.2">
      <c r="A25" s="239">
        <v>20</v>
      </c>
      <c r="B25" s="476" t="s">
        <v>899</v>
      </c>
      <c r="C25" s="550"/>
      <c r="D25" s="551"/>
      <c r="E25" s="440"/>
      <c r="F25" s="465"/>
      <c r="G25" s="439" t="s">
        <v>267</v>
      </c>
      <c r="H25" s="477" t="s">
        <v>190</v>
      </c>
      <c r="I25" s="477" t="s">
        <v>696</v>
      </c>
      <c r="J25" s="478" t="s">
        <v>208</v>
      </c>
      <c r="K25" s="444" t="s">
        <v>192</v>
      </c>
      <c r="L25" s="481"/>
      <c r="M25" s="446"/>
      <c r="N25" s="440" t="s">
        <v>28</v>
      </c>
      <c r="O25" s="478" t="s">
        <v>712</v>
      </c>
      <c r="P25" s="444"/>
      <c r="Q25" s="446"/>
      <c r="R25" s="235">
        <f t="shared" si="1"/>
        <v>0.58333333333333337</v>
      </c>
      <c r="S25" s="482"/>
      <c r="U25" s="714"/>
      <c r="V25" s="715"/>
      <c r="W25" s="715"/>
      <c r="X25" s="715"/>
      <c r="Y25" s="715"/>
      <c r="Z25" s="716"/>
    </row>
    <row r="26" spans="1:28" s="237" customFormat="1" ht="27.75" customHeight="1" x14ac:dyDescent="0.15">
      <c r="A26" s="285" t="s">
        <v>210</v>
      </c>
      <c r="B26" s="286" t="s">
        <v>29</v>
      </c>
      <c r="C26" s="552"/>
      <c r="D26" s="553"/>
      <c r="E26" s="278"/>
      <c r="F26" s="278" t="s">
        <v>305</v>
      </c>
      <c r="G26" s="278" t="s">
        <v>251</v>
      </c>
      <c r="H26" s="229"/>
      <c r="I26" s="254" t="s">
        <v>304</v>
      </c>
      <c r="J26" s="246" t="s">
        <v>30</v>
      </c>
      <c r="K26" s="287"/>
      <c r="L26" s="254"/>
      <c r="M26" s="287"/>
      <c r="N26" s="278" t="s">
        <v>211</v>
      </c>
      <c r="O26" s="278" t="s">
        <v>73</v>
      </c>
      <c r="P26" s="160"/>
      <c r="Q26" s="278" t="s">
        <v>757</v>
      </c>
      <c r="R26" s="235">
        <f>(COUNTA(C26:Q26))/7</f>
        <v>1</v>
      </c>
      <c r="U26" s="714"/>
      <c r="V26" s="715"/>
      <c r="W26" s="715"/>
      <c r="X26" s="715"/>
      <c r="Y26" s="715"/>
      <c r="Z26" s="716"/>
      <c r="AA26" s="238"/>
      <c r="AB26" s="237">
        <v>9</v>
      </c>
    </row>
    <row r="27" spans="1:28" s="291" customFormat="1" ht="27.95" customHeight="1" thickBot="1" x14ac:dyDescent="0.2">
      <c r="A27" s="288"/>
      <c r="B27" s="289" t="s">
        <v>212</v>
      </c>
      <c r="C27" s="554"/>
      <c r="D27" s="555"/>
      <c r="E27" s="249" t="s">
        <v>260</v>
      </c>
      <c r="F27" s="247" t="s">
        <v>31</v>
      </c>
      <c r="G27" s="249"/>
      <c r="H27" s="249"/>
      <c r="I27" s="30" t="s">
        <v>569</v>
      </c>
      <c r="J27" s="290" t="s">
        <v>569</v>
      </c>
      <c r="K27" s="229" t="s">
        <v>213</v>
      </c>
      <c r="L27" s="248"/>
      <c r="M27" s="261" t="s">
        <v>255</v>
      </c>
      <c r="N27" s="30" t="s">
        <v>896</v>
      </c>
      <c r="O27" s="290" t="s">
        <v>898</v>
      </c>
      <c r="P27" s="247" t="s">
        <v>93</v>
      </c>
      <c r="Q27" s="249" t="s">
        <v>126</v>
      </c>
      <c r="R27" s="235">
        <f>(COUNTA(C27:Q27))/8</f>
        <v>1.25</v>
      </c>
      <c r="S27" s="482"/>
      <c r="U27" s="714"/>
      <c r="V27" s="715"/>
      <c r="W27" s="715"/>
      <c r="X27" s="715"/>
      <c r="Y27" s="715"/>
      <c r="Z27" s="716"/>
      <c r="AA27" s="292"/>
    </row>
    <row r="28" spans="1:28" s="291" customFormat="1" ht="9.9499999999999993" customHeight="1" thickBot="1" x14ac:dyDescent="0.2">
      <c r="A28" s="293"/>
      <c r="B28" s="294"/>
      <c r="C28" s="295"/>
      <c r="D28" s="296"/>
      <c r="E28" s="297"/>
      <c r="F28" s="298"/>
      <c r="G28" s="297"/>
      <c r="H28" s="297"/>
      <c r="I28" s="297"/>
      <c r="J28" s="80"/>
      <c r="K28" s="297"/>
      <c r="L28" s="298"/>
      <c r="M28" s="299"/>
      <c r="N28" s="82"/>
      <c r="O28" s="300"/>
      <c r="P28" s="244"/>
      <c r="Q28" s="279"/>
      <c r="R28" s="235"/>
      <c r="S28" s="482"/>
      <c r="U28" s="714"/>
      <c r="V28" s="715"/>
      <c r="W28" s="715"/>
      <c r="X28" s="715"/>
      <c r="Y28" s="715"/>
      <c r="Z28" s="716"/>
      <c r="AA28" s="292"/>
    </row>
    <row r="29" spans="1:28" ht="120" customHeight="1" thickBot="1" x14ac:dyDescent="0.2">
      <c r="A29" s="574"/>
      <c r="B29" s="576" t="s">
        <v>216</v>
      </c>
      <c r="C29" s="578"/>
      <c r="D29" s="579"/>
      <c r="E29" s="233" t="s">
        <v>881</v>
      </c>
      <c r="F29" s="231" t="s">
        <v>294</v>
      </c>
      <c r="G29" s="233" t="s">
        <v>259</v>
      </c>
      <c r="H29" s="301" t="s">
        <v>298</v>
      </c>
      <c r="I29" s="231" t="s">
        <v>256</v>
      </c>
      <c r="J29" s="231" t="s">
        <v>217</v>
      </c>
      <c r="K29" s="253" t="s">
        <v>218</v>
      </c>
      <c r="L29" s="254"/>
      <c r="M29" s="233" t="s">
        <v>219</v>
      </c>
      <c r="N29" s="253" t="s">
        <v>868</v>
      </c>
      <c r="O29" s="302" t="s">
        <v>292</v>
      </c>
      <c r="P29" s="278" t="s">
        <v>220</v>
      </c>
      <c r="Q29" s="278" t="s">
        <v>239</v>
      </c>
      <c r="R29" s="235">
        <f>(COUNTA(C29:Q29))/12</f>
        <v>1</v>
      </c>
      <c r="S29" s="237"/>
      <c r="T29" s="237"/>
      <c r="U29" s="717"/>
      <c r="V29" s="718"/>
      <c r="W29" s="718"/>
      <c r="X29" s="718"/>
      <c r="Y29" s="718"/>
      <c r="Z29" s="719"/>
    </row>
    <row r="30" spans="1:28" ht="120" customHeight="1" x14ac:dyDescent="0.15">
      <c r="A30" s="575"/>
      <c r="B30" s="577"/>
      <c r="C30" s="580"/>
      <c r="D30" s="581"/>
      <c r="E30" s="170" t="s">
        <v>726</v>
      </c>
      <c r="F30" s="170" t="s">
        <v>847</v>
      </c>
      <c r="G30" s="170" t="s">
        <v>879</v>
      </c>
      <c r="H30" s="170" t="s">
        <v>857</v>
      </c>
      <c r="I30" s="170" t="s">
        <v>665</v>
      </c>
      <c r="J30" s="170" t="s">
        <v>887</v>
      </c>
      <c r="K30" s="170" t="s">
        <v>822</v>
      </c>
      <c r="L30" s="171"/>
      <c r="M30" s="170" t="s">
        <v>902</v>
      </c>
      <c r="N30" s="170" t="s">
        <v>895</v>
      </c>
      <c r="O30" s="170" t="s">
        <v>897</v>
      </c>
      <c r="P30" s="170" t="s">
        <v>880</v>
      </c>
      <c r="Q30" s="170" t="s">
        <v>892</v>
      </c>
      <c r="R30" s="235"/>
      <c r="S30" s="237"/>
      <c r="T30" s="237"/>
      <c r="U30" s="584" t="s">
        <v>32</v>
      </c>
      <c r="V30" s="585"/>
      <c r="W30" s="585"/>
      <c r="X30" s="585"/>
      <c r="Y30" s="585"/>
      <c r="Z30" s="586"/>
    </row>
    <row r="31" spans="1:28" ht="120" customHeight="1" thickBot="1" x14ac:dyDescent="0.2">
      <c r="A31" s="303"/>
      <c r="B31" s="304" t="s">
        <v>589</v>
      </c>
      <c r="C31" s="582"/>
      <c r="D31" s="583"/>
      <c r="E31" s="590" t="s">
        <v>178</v>
      </c>
      <c r="F31" s="591"/>
      <c r="G31" s="248" t="s">
        <v>258</v>
      </c>
      <c r="H31" s="249" t="s">
        <v>307</v>
      </c>
      <c r="I31" s="230" t="s">
        <v>296</v>
      </c>
      <c r="J31" s="230" t="s">
        <v>299</v>
      </c>
      <c r="K31" s="249" t="s">
        <v>33</v>
      </c>
      <c r="L31" s="305"/>
      <c r="M31" s="248" t="s">
        <v>221</v>
      </c>
      <c r="N31" s="230" t="s">
        <v>597</v>
      </c>
      <c r="O31" s="247" t="s">
        <v>869</v>
      </c>
      <c r="P31" s="230" t="s">
        <v>34</v>
      </c>
      <c r="Q31" s="249"/>
      <c r="R31" s="235">
        <f>(COUNTA(G31:Q31))/9</f>
        <v>1</v>
      </c>
      <c r="S31" s="237"/>
      <c r="T31" s="237"/>
      <c r="U31" s="587"/>
      <c r="V31" s="588"/>
      <c r="W31" s="588"/>
      <c r="X31" s="588"/>
      <c r="Y31" s="588"/>
      <c r="Z31" s="589"/>
    </row>
    <row r="32" spans="1:28" s="237" customFormat="1" ht="9.9499999999999993" customHeight="1" x14ac:dyDescent="0.15">
      <c r="A32" s="306"/>
      <c r="B32" s="307"/>
      <c r="C32" s="308"/>
      <c r="D32" s="430"/>
      <c r="E32" s="430"/>
      <c r="F32" s="430"/>
      <c r="G32" s="430"/>
      <c r="H32" s="430"/>
      <c r="I32" s="430"/>
      <c r="J32" s="430"/>
      <c r="K32" s="430"/>
      <c r="L32" s="430"/>
      <c r="M32" s="430"/>
      <c r="N32" s="430"/>
      <c r="O32" s="430"/>
      <c r="P32" s="430"/>
      <c r="Q32" s="430"/>
      <c r="R32" s="235"/>
      <c r="U32" s="309"/>
      <c r="V32" s="309"/>
      <c r="W32" s="309"/>
      <c r="X32" s="309"/>
      <c r="Y32" s="309"/>
      <c r="Z32" s="310"/>
      <c r="AA32" s="238"/>
    </row>
    <row r="33" spans="1:27" s="237" customFormat="1" ht="21" customHeight="1" x14ac:dyDescent="0.15">
      <c r="A33" s="311"/>
      <c r="B33" s="312"/>
      <c r="C33" s="313"/>
      <c r="D33" s="314" t="s">
        <v>224</v>
      </c>
      <c r="E33" s="315" t="s">
        <v>35</v>
      </c>
      <c r="F33" s="316" t="s">
        <v>1</v>
      </c>
      <c r="G33" s="316" t="s">
        <v>2</v>
      </c>
      <c r="H33" s="316" t="s">
        <v>36</v>
      </c>
      <c r="I33" s="316" t="s">
        <v>4</v>
      </c>
      <c r="J33" s="316" t="s">
        <v>37</v>
      </c>
      <c r="K33" s="316" t="s">
        <v>38</v>
      </c>
      <c r="L33" s="317" t="s">
        <v>39</v>
      </c>
      <c r="M33" s="316" t="s">
        <v>40</v>
      </c>
      <c r="N33" s="316" t="s">
        <v>9</v>
      </c>
      <c r="O33" s="316" t="s">
        <v>10</v>
      </c>
      <c r="P33" s="316" t="s">
        <v>11</v>
      </c>
      <c r="Q33" s="318" t="s">
        <v>12</v>
      </c>
      <c r="R33" s="319"/>
      <c r="U33" s="309"/>
      <c r="V33" s="309"/>
      <c r="W33" s="309"/>
      <c r="X33" s="309"/>
      <c r="Y33" s="309"/>
      <c r="Z33" s="310"/>
      <c r="AA33" s="238"/>
    </row>
    <row r="34" spans="1:27" s="237" customFormat="1" ht="45.75" customHeight="1" x14ac:dyDescent="0.15">
      <c r="A34" s="217"/>
      <c r="B34" s="320"/>
      <c r="C34" s="320"/>
      <c r="D34" s="537" t="s">
        <v>225</v>
      </c>
      <c r="E34" s="321" t="s">
        <v>277</v>
      </c>
      <c r="F34" s="321" t="s">
        <v>319</v>
      </c>
      <c r="G34" s="321" t="s">
        <v>839</v>
      </c>
      <c r="H34" s="321" t="s">
        <v>884</v>
      </c>
      <c r="I34" s="321" t="s">
        <v>835</v>
      </c>
      <c r="J34" s="324" t="s">
        <v>16</v>
      </c>
      <c r="K34" s="321" t="s">
        <v>830</v>
      </c>
      <c r="L34" s="322"/>
      <c r="M34" s="321" t="s">
        <v>41</v>
      </c>
      <c r="N34" s="321" t="s">
        <v>71</v>
      </c>
      <c r="O34" s="321" t="s">
        <v>817</v>
      </c>
      <c r="P34" s="321" t="s">
        <v>353</v>
      </c>
      <c r="Q34" s="321" t="s">
        <v>253</v>
      </c>
      <c r="R34" s="319"/>
      <c r="S34" s="323">
        <v>23</v>
      </c>
      <c r="V34" s="309"/>
      <c r="W34" s="309"/>
      <c r="X34" s="309"/>
      <c r="Y34" s="309"/>
      <c r="Z34" s="310"/>
      <c r="AA34" s="238"/>
    </row>
    <row r="35" spans="1:27" s="237" customFormat="1" ht="45.75" customHeight="1" x14ac:dyDescent="0.15">
      <c r="A35" s="217"/>
      <c r="B35" s="320"/>
      <c r="C35" s="320"/>
      <c r="D35" s="538"/>
      <c r="E35" s="322"/>
      <c r="F35" s="321"/>
      <c r="G35" s="322"/>
      <c r="H35" s="321"/>
      <c r="I35" s="322"/>
      <c r="J35" s="321" t="s">
        <v>42</v>
      </c>
      <c r="K35" s="321"/>
      <c r="L35" s="322"/>
      <c r="M35" s="321" t="s">
        <v>227</v>
      </c>
      <c r="N35" s="322" t="s">
        <v>14</v>
      </c>
      <c r="O35" s="321" t="s">
        <v>228</v>
      </c>
      <c r="P35" s="321"/>
      <c r="Q35" s="321"/>
      <c r="R35" s="325"/>
      <c r="S35" s="326"/>
      <c r="V35" s="309"/>
      <c r="W35" s="309"/>
      <c r="X35" s="309"/>
      <c r="Y35" s="309"/>
      <c r="Z35" s="218"/>
      <c r="AA35" s="238"/>
    </row>
    <row r="36" spans="1:27" ht="27.95" customHeight="1" x14ac:dyDescent="0.15">
      <c r="D36" s="327" t="s">
        <v>229</v>
      </c>
      <c r="E36" s="322" t="s">
        <v>339</v>
      </c>
      <c r="F36" s="322"/>
      <c r="G36" s="322" t="s">
        <v>66</v>
      </c>
      <c r="H36" s="329"/>
      <c r="I36" s="322" t="s">
        <v>230</v>
      </c>
      <c r="J36" s="322"/>
      <c r="K36" s="322"/>
      <c r="L36" s="322"/>
      <c r="M36" s="322"/>
      <c r="N36" s="329"/>
      <c r="O36" s="322"/>
      <c r="P36" s="322"/>
      <c r="Q36" s="322" t="s">
        <v>231</v>
      </c>
      <c r="R36" s="330"/>
      <c r="S36" s="326">
        <v>4</v>
      </c>
      <c r="U36" s="217"/>
      <c r="V36" s="309"/>
      <c r="W36" s="309"/>
      <c r="X36" s="309"/>
      <c r="Y36" s="309"/>
      <c r="Z36" s="310"/>
    </row>
    <row r="37" spans="1:27" s="291" customFormat="1" ht="42" customHeight="1" x14ac:dyDescent="0.15">
      <c r="A37" s="217"/>
      <c r="B37" s="320"/>
      <c r="C37" s="320"/>
      <c r="D37" s="327" t="s">
        <v>232</v>
      </c>
      <c r="E37" s="321" t="s">
        <v>320</v>
      </c>
      <c r="F37" s="321" t="s">
        <v>790</v>
      </c>
      <c r="G37" s="321" t="s">
        <v>301</v>
      </c>
      <c r="H37" s="321" t="s">
        <v>828</v>
      </c>
      <c r="I37" s="321" t="s">
        <v>249</v>
      </c>
      <c r="J37" s="321" t="s">
        <v>43</v>
      </c>
      <c r="K37" s="321" t="s">
        <v>836</v>
      </c>
      <c r="L37" s="322"/>
      <c r="M37" s="321" t="s">
        <v>322</v>
      </c>
      <c r="N37" s="321" t="s">
        <v>323</v>
      </c>
      <c r="O37" s="321" t="s">
        <v>72</v>
      </c>
      <c r="P37" s="331" t="s">
        <v>303</v>
      </c>
      <c r="Q37" s="321" t="s">
        <v>44</v>
      </c>
      <c r="R37" s="330"/>
      <c r="S37" s="332">
        <v>20</v>
      </c>
      <c r="V37" s="309"/>
      <c r="W37" s="309"/>
      <c r="X37" s="309"/>
      <c r="Y37" s="309"/>
      <c r="Z37" s="218"/>
      <c r="AA37" s="292"/>
    </row>
    <row r="38" spans="1:27" ht="42" customHeight="1" x14ac:dyDescent="0.15">
      <c r="D38" s="333" t="s">
        <v>233</v>
      </c>
      <c r="E38" s="321" t="s">
        <v>250</v>
      </c>
      <c r="F38" s="321" t="s">
        <v>245</v>
      </c>
      <c r="G38" s="321" t="s">
        <v>234</v>
      </c>
      <c r="H38" s="321" t="s">
        <v>60</v>
      </c>
      <c r="I38" s="321" t="s">
        <v>692</v>
      </c>
      <c r="J38" s="321" t="s">
        <v>235</v>
      </c>
      <c r="K38" s="321" t="s">
        <v>882</v>
      </c>
      <c r="L38" s="334"/>
      <c r="M38" s="321" t="s">
        <v>247</v>
      </c>
      <c r="N38" s="321" t="s">
        <v>270</v>
      </c>
      <c r="O38" s="321" t="s">
        <v>302</v>
      </c>
      <c r="P38" s="321" t="s">
        <v>248</v>
      </c>
      <c r="Q38" s="321" t="s">
        <v>878</v>
      </c>
      <c r="R38" s="335"/>
      <c r="S38" s="332">
        <v>22</v>
      </c>
      <c r="U38" s="217"/>
      <c r="V38" s="309"/>
      <c r="W38" s="309"/>
      <c r="X38" s="309"/>
      <c r="Y38" s="309"/>
      <c r="Z38" s="336"/>
    </row>
    <row r="39" spans="1:27" ht="9.9499999999999993" customHeight="1" x14ac:dyDescent="0.15">
      <c r="D39" s="539"/>
      <c r="E39" s="539"/>
      <c r="F39" s="539"/>
      <c r="G39" s="539"/>
      <c r="H39" s="539"/>
      <c r="I39" s="539"/>
      <c r="J39" s="539"/>
      <c r="K39" s="539"/>
      <c r="L39" s="539"/>
      <c r="M39" s="539"/>
      <c r="N39" s="539"/>
      <c r="O39" s="539"/>
      <c r="P39" s="539"/>
      <c r="Q39" s="539"/>
      <c r="R39" s="539"/>
      <c r="S39" s="332">
        <f>S34+S36+S37+S38</f>
        <v>69</v>
      </c>
      <c r="U39" s="217"/>
      <c r="V39" s="309"/>
      <c r="W39" s="309"/>
      <c r="X39" s="309"/>
      <c r="Y39" s="309"/>
    </row>
    <row r="40" spans="1:27" ht="21" customHeight="1" x14ac:dyDescent="0.15">
      <c r="D40" s="337"/>
      <c r="E40" s="338" t="s">
        <v>0</v>
      </c>
      <c r="F40" s="339" t="s">
        <v>1</v>
      </c>
      <c r="G40" s="339" t="s">
        <v>2</v>
      </c>
      <c r="H40" s="340" t="s">
        <v>3</v>
      </c>
      <c r="I40" s="341" t="s">
        <v>47</v>
      </c>
      <c r="J40" s="339" t="s">
        <v>5</v>
      </c>
      <c r="K40" s="339" t="s">
        <v>6</v>
      </c>
      <c r="L40" s="317"/>
      <c r="M40" s="339" t="s">
        <v>8</v>
      </c>
      <c r="N40" s="339" t="s">
        <v>9</v>
      </c>
      <c r="O40" s="341" t="s">
        <v>10</v>
      </c>
      <c r="P40" s="339" t="s">
        <v>11</v>
      </c>
      <c r="Q40" s="339" t="s">
        <v>12</v>
      </c>
      <c r="R40" s="342" t="s">
        <v>48</v>
      </c>
      <c r="S40" s="343" t="s">
        <v>263</v>
      </c>
    </row>
    <row r="41" spans="1:27" ht="39.950000000000003" customHeight="1" x14ac:dyDescent="0.15">
      <c r="D41" s="344" t="s">
        <v>49</v>
      </c>
      <c r="E41" s="345"/>
      <c r="F41" s="346"/>
      <c r="G41" s="346"/>
      <c r="H41" s="347"/>
      <c r="I41" s="348" t="s">
        <v>262</v>
      </c>
      <c r="J41" s="346"/>
      <c r="K41" s="348"/>
      <c r="L41" s="349"/>
      <c r="M41" s="346"/>
      <c r="N41" s="346"/>
      <c r="O41" s="350"/>
      <c r="P41" s="346"/>
      <c r="Q41" s="346"/>
      <c r="R41" s="351" t="s">
        <v>55</v>
      </c>
      <c r="S41" s="352"/>
      <c r="U41" s="540" t="s">
        <v>236</v>
      </c>
      <c r="V41" s="540"/>
      <c r="W41" s="540"/>
      <c r="X41" s="482"/>
      <c r="Y41" s="482"/>
      <c r="Z41" s="482"/>
    </row>
    <row r="42" spans="1:27" ht="39.950000000000003" customHeight="1" x14ac:dyDescent="0.15">
      <c r="D42" s="353" t="s">
        <v>50</v>
      </c>
      <c r="E42" s="354"/>
      <c r="F42" s="282"/>
      <c r="G42" s="282"/>
      <c r="H42" s="234"/>
      <c r="I42" s="355" t="s">
        <v>877</v>
      </c>
      <c r="J42" s="234"/>
      <c r="K42" s="282" t="s">
        <v>56</v>
      </c>
      <c r="L42" s="322"/>
      <c r="M42" s="355" t="s">
        <v>876</v>
      </c>
      <c r="N42" s="234"/>
      <c r="O42" s="282" t="s">
        <v>261</v>
      </c>
      <c r="P42" s="282"/>
      <c r="Q42" s="234"/>
      <c r="R42" s="356"/>
      <c r="S42" s="357"/>
      <c r="U42" s="482"/>
      <c r="V42" s="482"/>
      <c r="W42" s="482"/>
      <c r="X42" s="482"/>
      <c r="Y42" s="482"/>
      <c r="Z42" s="482"/>
      <c r="AA42" s="358"/>
    </row>
    <row r="43" spans="1:27" ht="39.950000000000003" customHeight="1" x14ac:dyDescent="0.15">
      <c r="D43" s="344" t="s">
        <v>51</v>
      </c>
      <c r="E43" s="354"/>
      <c r="F43" s="234"/>
      <c r="G43" s="282" t="s">
        <v>266</v>
      </c>
      <c r="H43" s="355"/>
      <c r="I43" s="355" t="s">
        <v>306</v>
      </c>
      <c r="J43" s="355" t="s">
        <v>282</v>
      </c>
      <c r="K43" s="355" t="s">
        <v>293</v>
      </c>
      <c r="L43" s="243"/>
      <c r="M43" s="355" t="s">
        <v>883</v>
      </c>
      <c r="N43" s="234" t="s">
        <v>58</v>
      </c>
      <c r="O43" s="282"/>
      <c r="P43" s="234"/>
      <c r="Q43" s="359" t="s">
        <v>57</v>
      </c>
      <c r="R43" s="360"/>
      <c r="S43" s="361"/>
      <c r="U43" s="482"/>
      <c r="V43" s="482"/>
      <c r="W43" s="482"/>
      <c r="X43" s="482"/>
      <c r="Y43" s="482"/>
      <c r="Z43" s="482"/>
      <c r="AA43" s="358"/>
    </row>
    <row r="44" spans="1:27" ht="39.950000000000003" customHeight="1" x14ac:dyDescent="0.15">
      <c r="D44" s="353" t="s">
        <v>52</v>
      </c>
      <c r="E44" s="354"/>
      <c r="F44" s="282"/>
      <c r="G44" s="282"/>
      <c r="H44" s="234"/>
      <c r="I44" s="234"/>
      <c r="J44" s="234"/>
      <c r="K44" s="282"/>
      <c r="L44" s="322"/>
      <c r="M44" s="282" t="s">
        <v>54</v>
      </c>
      <c r="N44" s="282"/>
      <c r="O44" s="282"/>
      <c r="P44" s="282"/>
      <c r="Q44" s="282" t="s">
        <v>264</v>
      </c>
      <c r="R44" s="356"/>
      <c r="S44" s="357"/>
      <c r="U44" s="482"/>
      <c r="V44" s="482"/>
      <c r="W44" s="482"/>
      <c r="X44" s="482"/>
      <c r="Y44" s="482"/>
      <c r="Z44" s="482"/>
      <c r="AA44" s="358"/>
    </row>
    <row r="45" spans="1:27" ht="39.950000000000003" customHeight="1" x14ac:dyDescent="0.15">
      <c r="D45" s="362" t="s">
        <v>53</v>
      </c>
      <c r="E45" s="363"/>
      <c r="F45" s="364"/>
      <c r="G45" s="365"/>
      <c r="H45" s="364"/>
      <c r="I45" s="364"/>
      <c r="J45" s="364"/>
      <c r="K45" s="364"/>
      <c r="L45" s="334"/>
      <c r="M45" s="364"/>
      <c r="N45" s="364"/>
      <c r="O45" s="364"/>
      <c r="P45" s="365"/>
      <c r="Q45" s="364"/>
      <c r="R45" s="366"/>
      <c r="S45" s="367"/>
      <c r="U45" s="482"/>
      <c r="V45" s="482"/>
      <c r="W45" s="482"/>
      <c r="X45" s="482"/>
      <c r="Y45" s="482"/>
      <c r="Z45" s="482"/>
      <c r="AA45" s="358"/>
    </row>
    <row r="46" spans="1:27" ht="27.95" customHeight="1" x14ac:dyDescent="0.15">
      <c r="C46" s="217"/>
      <c r="D46" s="362" t="s">
        <v>874</v>
      </c>
      <c r="E46" s="363"/>
      <c r="F46" s="364"/>
      <c r="G46" s="365" t="s">
        <v>55</v>
      </c>
      <c r="H46" s="364"/>
      <c r="I46" s="364"/>
      <c r="J46" s="364"/>
      <c r="K46" s="364"/>
      <c r="L46" s="334"/>
      <c r="M46" s="364"/>
      <c r="N46" s="364"/>
      <c r="O46" s="364"/>
      <c r="P46" s="365"/>
      <c r="Q46" s="364"/>
      <c r="R46" s="366"/>
      <c r="S46" s="367"/>
      <c r="U46" s="482"/>
      <c r="V46" s="482"/>
      <c r="W46" s="482"/>
      <c r="X46" s="482"/>
      <c r="Y46" s="482"/>
      <c r="Z46" s="482"/>
      <c r="AA46" s="358"/>
    </row>
    <row r="47" spans="1:27" ht="27.95" customHeight="1" x14ac:dyDescent="0.15">
      <c r="R47" s="369"/>
      <c r="S47" s="320"/>
      <c r="AA47" s="358"/>
    </row>
    <row r="48" spans="1:27" ht="16.5" customHeight="1" x14ac:dyDescent="0.15">
      <c r="R48" s="369"/>
    </row>
    <row r="49" spans="1:27" s="329" customFormat="1" ht="16.5" customHeight="1" x14ac:dyDescent="0.15">
      <c r="A49" s="217"/>
      <c r="B49" s="370"/>
      <c r="C49" s="320"/>
      <c r="D49" s="320"/>
      <c r="E49" s="320"/>
      <c r="F49" s="320"/>
      <c r="G49" s="320"/>
      <c r="H49" s="320"/>
      <c r="I49" s="320"/>
      <c r="J49" s="320"/>
      <c r="K49" s="320"/>
      <c r="M49" s="217"/>
      <c r="N49" s="217"/>
      <c r="O49" s="217"/>
      <c r="P49" s="217"/>
      <c r="Q49" s="217"/>
      <c r="R49" s="368"/>
      <c r="S49" s="217"/>
      <c r="T49" s="217"/>
      <c r="U49" s="218"/>
      <c r="V49" s="218"/>
      <c r="W49" s="218"/>
      <c r="X49" s="218"/>
      <c r="Y49" s="218"/>
      <c r="Z49" s="218"/>
      <c r="AA49" s="219"/>
    </row>
    <row r="50" spans="1:27" s="329" customFormat="1" ht="16.5" customHeight="1" x14ac:dyDescent="0.15">
      <c r="A50" s="217"/>
      <c r="B50" s="320"/>
      <c r="C50" s="320"/>
      <c r="D50" s="320"/>
      <c r="E50" s="320"/>
      <c r="F50" s="320"/>
      <c r="G50" s="320"/>
      <c r="H50" s="320"/>
      <c r="I50" s="320"/>
      <c r="J50" s="320"/>
      <c r="K50" s="320"/>
      <c r="M50" s="217"/>
      <c r="N50" s="217"/>
      <c r="O50" s="217"/>
      <c r="P50" s="217"/>
      <c r="Q50" s="217"/>
      <c r="R50" s="368"/>
      <c r="S50" s="217"/>
      <c r="T50" s="217"/>
      <c r="U50" s="218"/>
      <c r="V50" s="218"/>
      <c r="W50" s="218"/>
      <c r="X50" s="218"/>
      <c r="Y50" s="218"/>
      <c r="Z50" s="218"/>
      <c r="AA50" s="219"/>
    </row>
    <row r="51" spans="1:27" s="329" customFormat="1" ht="17.25" customHeight="1" x14ac:dyDescent="0.15">
      <c r="A51" s="217"/>
      <c r="B51" s="320"/>
      <c r="C51" s="320"/>
      <c r="D51" s="320"/>
      <c r="E51" s="320"/>
      <c r="F51" s="320"/>
      <c r="G51" s="320"/>
      <c r="H51" s="320"/>
      <c r="I51" s="320"/>
      <c r="J51" s="320"/>
      <c r="K51" s="320"/>
      <c r="M51" s="217"/>
      <c r="N51" s="217"/>
      <c r="O51" s="217"/>
      <c r="P51" s="217"/>
      <c r="Q51" s="217"/>
      <c r="R51" s="368"/>
      <c r="S51" s="217"/>
      <c r="T51" s="217"/>
      <c r="U51" s="218"/>
      <c r="V51" s="218"/>
      <c r="W51" s="218"/>
      <c r="X51" s="218"/>
      <c r="Y51" s="218"/>
      <c r="Z51" s="218"/>
      <c r="AA51" s="219"/>
    </row>
    <row r="52" spans="1:27" s="329" customFormat="1" x14ac:dyDescent="0.15">
      <c r="A52" s="217"/>
      <c r="B52" s="320"/>
      <c r="C52" s="320"/>
      <c r="D52" s="320"/>
      <c r="E52" s="320"/>
      <c r="F52" s="320"/>
      <c r="G52" s="320"/>
      <c r="H52" s="320"/>
      <c r="I52" s="320"/>
      <c r="J52" s="320"/>
      <c r="K52" s="320"/>
      <c r="M52" s="217"/>
      <c r="N52" s="217"/>
      <c r="O52" s="217"/>
      <c r="P52" s="217"/>
      <c r="Q52" s="217"/>
      <c r="R52" s="368"/>
      <c r="S52" s="217"/>
      <c r="T52" s="217"/>
      <c r="U52" s="218"/>
      <c r="V52" s="218"/>
      <c r="W52" s="218"/>
      <c r="X52" s="218"/>
      <c r="Y52" s="218"/>
      <c r="Z52" s="218"/>
      <c r="AA52" s="219"/>
    </row>
    <row r="53" spans="1:27" s="329" customFormat="1" ht="16.5" customHeight="1" x14ac:dyDescent="0.15">
      <c r="A53" s="217"/>
      <c r="B53" s="320"/>
      <c r="C53" s="320"/>
      <c r="D53" s="320"/>
      <c r="E53" s="320"/>
      <c r="F53" s="320"/>
      <c r="G53" s="320"/>
      <c r="H53" s="320"/>
      <c r="I53" s="320"/>
      <c r="J53" s="320"/>
      <c r="K53" s="320"/>
      <c r="M53" s="217"/>
      <c r="N53" s="217"/>
      <c r="O53" s="217"/>
      <c r="P53" s="217"/>
      <c r="Q53" s="217"/>
      <c r="R53" s="368"/>
      <c r="S53" s="217"/>
      <c r="T53" s="217"/>
      <c r="U53" s="218"/>
      <c r="V53" s="218"/>
      <c r="W53" s="218"/>
      <c r="X53" s="218"/>
      <c r="Y53" s="218"/>
      <c r="Z53" s="218"/>
      <c r="AA53" s="219"/>
    </row>
    <row r="54" spans="1:27" s="329" customFormat="1" x14ac:dyDescent="0.15">
      <c r="A54" s="217"/>
      <c r="B54" s="320"/>
      <c r="C54" s="320"/>
      <c r="D54" s="320"/>
      <c r="E54" s="320"/>
      <c r="F54" s="320"/>
      <c r="G54" s="320"/>
      <c r="H54" s="320"/>
      <c r="I54" s="320"/>
      <c r="J54" s="320"/>
      <c r="K54" s="320"/>
      <c r="M54" s="217"/>
      <c r="N54" s="217"/>
      <c r="O54" s="217"/>
      <c r="P54" s="217"/>
      <c r="Q54" s="217"/>
      <c r="R54" s="368"/>
      <c r="S54" s="217"/>
      <c r="T54" s="217"/>
      <c r="U54" s="218"/>
      <c r="V54" s="218"/>
      <c r="W54" s="218"/>
      <c r="X54" s="218"/>
      <c r="Y54" s="218"/>
      <c r="Z54" s="218"/>
      <c r="AA54" s="219"/>
    </row>
    <row r="55" spans="1:27" s="329" customFormat="1" x14ac:dyDescent="0.15">
      <c r="A55" s="217"/>
      <c r="B55" s="320"/>
      <c r="C55" s="320"/>
      <c r="D55" s="320"/>
      <c r="E55" s="320"/>
      <c r="F55" s="320"/>
      <c r="G55" s="320"/>
      <c r="H55" s="320"/>
      <c r="I55" s="320"/>
      <c r="J55" s="320"/>
      <c r="K55" s="320"/>
      <c r="M55" s="217"/>
      <c r="N55" s="217"/>
      <c r="O55" s="217"/>
      <c r="P55" s="217"/>
      <c r="Q55" s="217"/>
      <c r="R55" s="368"/>
      <c r="S55" s="217"/>
      <c r="T55" s="217"/>
      <c r="U55" s="218"/>
      <c r="V55" s="218"/>
      <c r="W55" s="218"/>
      <c r="X55" s="218"/>
      <c r="Y55" s="218"/>
      <c r="Z55" s="218"/>
      <c r="AA55" s="219"/>
    </row>
    <row r="56" spans="1:27" s="329" customFormat="1" x14ac:dyDescent="0.15">
      <c r="A56" s="217"/>
      <c r="B56" s="320"/>
      <c r="C56" s="320"/>
      <c r="D56" s="320"/>
      <c r="E56" s="320"/>
      <c r="F56" s="320"/>
      <c r="G56" s="320"/>
      <c r="H56" s="320"/>
      <c r="I56" s="320"/>
      <c r="J56" s="320"/>
      <c r="K56" s="320"/>
      <c r="M56" s="217"/>
      <c r="N56" s="217"/>
      <c r="O56" s="217"/>
      <c r="P56" s="217"/>
      <c r="Q56" s="217"/>
      <c r="R56" s="368"/>
      <c r="S56" s="217"/>
      <c r="T56" s="217"/>
      <c r="U56" s="218"/>
      <c r="V56" s="218"/>
      <c r="W56" s="218"/>
      <c r="X56" s="218"/>
      <c r="Y56" s="218"/>
      <c r="Z56" s="218"/>
      <c r="AA56" s="219"/>
    </row>
    <row r="57" spans="1:27" s="329" customFormat="1" ht="16.5" customHeight="1" x14ac:dyDescent="0.15">
      <c r="A57" s="217"/>
      <c r="B57" s="320"/>
      <c r="C57" s="320"/>
      <c r="D57" s="320"/>
      <c r="E57" s="320"/>
      <c r="F57" s="320"/>
      <c r="G57" s="320"/>
      <c r="H57" s="320"/>
      <c r="I57" s="320"/>
      <c r="J57" s="320"/>
      <c r="K57" s="320"/>
      <c r="M57" s="217"/>
      <c r="N57" s="217"/>
      <c r="O57" s="217"/>
      <c r="P57" s="217"/>
      <c r="Q57" s="217"/>
      <c r="R57" s="368"/>
      <c r="S57" s="217"/>
      <c r="T57" s="217"/>
      <c r="U57" s="218"/>
      <c r="V57" s="218"/>
      <c r="W57" s="218"/>
      <c r="X57" s="218"/>
      <c r="Y57" s="218"/>
      <c r="Z57" s="218"/>
      <c r="AA57" s="219"/>
    </row>
    <row r="58" spans="1:27" s="329" customFormat="1" x14ac:dyDescent="0.15">
      <c r="A58" s="217"/>
      <c r="B58" s="320"/>
      <c r="C58" s="320"/>
      <c r="D58" s="320"/>
      <c r="E58" s="320"/>
      <c r="F58" s="320"/>
      <c r="G58" s="320"/>
      <c r="H58" s="320"/>
      <c r="I58" s="320"/>
      <c r="J58" s="320"/>
      <c r="K58" s="320"/>
      <c r="M58" s="217"/>
      <c r="N58" s="217"/>
      <c r="O58" s="217"/>
      <c r="P58" s="217"/>
      <c r="Q58" s="217"/>
      <c r="R58" s="368"/>
      <c r="S58" s="217"/>
      <c r="T58" s="217"/>
      <c r="U58" s="218"/>
      <c r="V58" s="218"/>
      <c r="W58" s="218"/>
      <c r="X58" s="218"/>
      <c r="Y58" s="218"/>
      <c r="Z58" s="218"/>
      <c r="AA58" s="219"/>
    </row>
    <row r="59" spans="1:27" s="329" customFormat="1" x14ac:dyDescent="0.15">
      <c r="A59" s="217"/>
      <c r="B59" s="320"/>
      <c r="C59" s="320"/>
      <c r="D59" s="320"/>
      <c r="E59" s="320"/>
      <c r="F59" s="320"/>
      <c r="G59" s="320"/>
      <c r="H59" s="320"/>
      <c r="I59" s="320"/>
      <c r="J59" s="320"/>
      <c r="K59" s="320"/>
      <c r="M59" s="217"/>
      <c r="N59" s="217"/>
      <c r="O59" s="217"/>
      <c r="P59" s="217"/>
      <c r="Q59" s="217"/>
      <c r="R59" s="368"/>
      <c r="S59" s="217"/>
      <c r="T59" s="217"/>
      <c r="U59" s="218"/>
      <c r="V59" s="218"/>
      <c r="W59" s="218"/>
      <c r="X59" s="218"/>
      <c r="Y59" s="218"/>
      <c r="Z59" s="218"/>
      <c r="AA59" s="219"/>
    </row>
    <row r="60" spans="1:27" s="329" customFormat="1" x14ac:dyDescent="0.15">
      <c r="A60" s="217"/>
      <c r="B60" s="320"/>
      <c r="C60" s="320"/>
      <c r="D60" s="320"/>
      <c r="E60" s="217"/>
      <c r="F60" s="217"/>
      <c r="G60" s="217"/>
      <c r="H60" s="217"/>
      <c r="I60" s="217"/>
      <c r="J60" s="217"/>
      <c r="K60" s="217"/>
      <c r="M60" s="217"/>
      <c r="N60" s="217"/>
      <c r="O60" s="217"/>
      <c r="P60" s="217"/>
      <c r="Q60" s="217"/>
      <c r="R60" s="368"/>
      <c r="S60" s="217"/>
      <c r="T60" s="217"/>
      <c r="U60" s="218"/>
      <c r="V60" s="218"/>
      <c r="W60" s="218"/>
      <c r="X60" s="218"/>
      <c r="Y60" s="218"/>
      <c r="Z60" s="218"/>
      <c r="AA60" s="219"/>
    </row>
    <row r="72" ht="16.5" customHeight="1" x14ac:dyDescent="0.15"/>
    <row r="74" ht="16.5" customHeight="1" x14ac:dyDescent="0.15"/>
    <row r="76" ht="16.5" customHeight="1" x14ac:dyDescent="0.15"/>
    <row r="78" ht="16.5" customHeight="1" x14ac:dyDescent="0.15"/>
  </sheetData>
  <mergeCells count="30">
    <mergeCell ref="D34:D35"/>
    <mergeCell ref="D39:R39"/>
    <mergeCell ref="U41:W41"/>
    <mergeCell ref="C24:D24"/>
    <mergeCell ref="P22:Q23"/>
    <mergeCell ref="U22:Z22"/>
    <mergeCell ref="U23:Z29"/>
    <mergeCell ref="C25:D25"/>
    <mergeCell ref="C26:D27"/>
    <mergeCell ref="A29:A30"/>
    <mergeCell ref="B29:B30"/>
    <mergeCell ref="C29:D31"/>
    <mergeCell ref="U30:Z31"/>
    <mergeCell ref="E31:F31"/>
    <mergeCell ref="P9:Q13"/>
    <mergeCell ref="U9:Z17"/>
    <mergeCell ref="C14:D15"/>
    <mergeCell ref="C16:D21"/>
    <mergeCell ref="U18:Z18"/>
    <mergeCell ref="E19:F19"/>
    <mergeCell ref="M19:Q19"/>
    <mergeCell ref="U19:Z21"/>
    <mergeCell ref="E20:F20"/>
    <mergeCell ref="A1:Q1"/>
    <mergeCell ref="A2:Q2"/>
    <mergeCell ref="U2:Z3"/>
    <mergeCell ref="C4:D8"/>
    <mergeCell ref="U4:Z4"/>
    <mergeCell ref="U5:Z7"/>
    <mergeCell ref="U8:Z8"/>
  </mergeCells>
  <phoneticPr fontId="3" type="noConversion"/>
  <conditionalFormatting sqref="O91:O92">
    <cfRule type="uniqueValues" dxfId="14" priority="3"/>
  </conditionalFormatting>
  <conditionalFormatting sqref="M85:M86">
    <cfRule type="uniqueValues" dxfId="13" priority="2"/>
  </conditionalFormatting>
  <conditionalFormatting sqref="N91:N92">
    <cfRule type="uniqueValues" dxfId="12" priority="1"/>
  </conditionalFormatting>
  <printOptions horizontalCentered="1"/>
  <pageMargins left="0" right="0" top="0" bottom="0" header="0" footer="0"/>
  <pageSetup paperSize="9" scale="29" orientation="portrait" horizontalDpi="4294967293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78"/>
  <sheetViews>
    <sheetView topLeftCell="A17" zoomScale="85" zoomScaleNormal="85" zoomScalePageLayoutView="80" workbookViewId="0">
      <selection activeCell="J29" sqref="J29"/>
    </sheetView>
  </sheetViews>
  <sheetFormatPr defaultRowHeight="16.5" x14ac:dyDescent="0.15"/>
  <cols>
    <col min="1" max="1" width="4.33203125" style="217" customWidth="1"/>
    <col min="2" max="2" width="13.33203125" style="320" customWidth="1"/>
    <col min="3" max="4" width="15.83203125" style="320" customWidth="1"/>
    <col min="5" max="11" width="15.83203125" style="217" customWidth="1"/>
    <col min="12" max="12" width="3.5" style="329" customWidth="1"/>
    <col min="13" max="17" width="15.83203125" style="217" customWidth="1"/>
    <col min="18" max="18" width="15.83203125" style="368" customWidth="1"/>
    <col min="19" max="19" width="15.83203125" style="217" customWidth="1"/>
    <col min="20" max="20" width="2.1640625" style="217" customWidth="1"/>
    <col min="21" max="26" width="10.83203125" style="218" customWidth="1"/>
    <col min="27" max="27" width="10" style="219" bestFit="1" customWidth="1"/>
    <col min="28" max="16384" width="9.33203125" style="217"/>
  </cols>
  <sheetData>
    <row r="1" spans="1:27" ht="16.5" hidden="1" customHeight="1" x14ac:dyDescent="0.15">
      <c r="A1" s="606" t="s">
        <v>74</v>
      </c>
      <c r="B1" s="607"/>
      <c r="C1" s="607"/>
      <c r="D1" s="607"/>
      <c r="E1" s="607"/>
      <c r="F1" s="607"/>
      <c r="G1" s="607"/>
      <c r="H1" s="607"/>
      <c r="I1" s="607"/>
      <c r="J1" s="607"/>
      <c r="K1" s="607"/>
      <c r="L1" s="607"/>
      <c r="M1" s="607"/>
      <c r="N1" s="607"/>
      <c r="O1" s="607"/>
      <c r="P1" s="607"/>
      <c r="Q1" s="608"/>
      <c r="R1" s="216"/>
    </row>
    <row r="2" spans="1:27" ht="18" customHeight="1" x14ac:dyDescent="0.15">
      <c r="A2" s="609" t="s">
        <v>909</v>
      </c>
      <c r="B2" s="610"/>
      <c r="C2" s="610"/>
      <c r="D2" s="610"/>
      <c r="E2" s="610"/>
      <c r="F2" s="610"/>
      <c r="G2" s="610"/>
      <c r="H2" s="610"/>
      <c r="I2" s="610"/>
      <c r="J2" s="610"/>
      <c r="K2" s="610"/>
      <c r="L2" s="610"/>
      <c r="M2" s="610"/>
      <c r="N2" s="610"/>
      <c r="O2" s="610"/>
      <c r="P2" s="610"/>
      <c r="Q2" s="610"/>
      <c r="R2" s="220"/>
      <c r="U2" s="540"/>
      <c r="V2" s="540"/>
      <c r="W2" s="540"/>
      <c r="X2" s="540"/>
      <c r="Y2" s="540"/>
      <c r="Z2" s="540"/>
    </row>
    <row r="3" spans="1:27" ht="21" customHeight="1" thickBot="1" x14ac:dyDescent="0.2">
      <c r="A3" s="221"/>
      <c r="B3" s="222" t="s">
        <v>75</v>
      </c>
      <c r="C3" s="223" t="s">
        <v>76</v>
      </c>
      <c r="D3" s="223" t="s">
        <v>77</v>
      </c>
      <c r="E3" s="224" t="s">
        <v>0</v>
      </c>
      <c r="F3" s="224" t="s">
        <v>1</v>
      </c>
      <c r="G3" s="223" t="s">
        <v>2</v>
      </c>
      <c r="H3" s="223" t="s">
        <v>377</v>
      </c>
      <c r="I3" s="224" t="s">
        <v>4</v>
      </c>
      <c r="J3" s="223" t="s">
        <v>5</v>
      </c>
      <c r="K3" s="223" t="s">
        <v>6</v>
      </c>
      <c r="L3" s="225" t="s">
        <v>7</v>
      </c>
      <c r="M3" s="224" t="s">
        <v>8</v>
      </c>
      <c r="N3" s="223" t="s">
        <v>9</v>
      </c>
      <c r="O3" s="223" t="s">
        <v>10</v>
      </c>
      <c r="P3" s="223" t="s">
        <v>11</v>
      </c>
      <c r="Q3" s="223" t="s">
        <v>12</v>
      </c>
      <c r="R3" s="226">
        <f>AVERAGE(R4:R32)</f>
        <v>0.93269230769230771</v>
      </c>
      <c r="U3" s="611"/>
      <c r="V3" s="611"/>
      <c r="W3" s="611"/>
      <c r="X3" s="611"/>
      <c r="Y3" s="611"/>
      <c r="Z3" s="611"/>
    </row>
    <row r="4" spans="1:27" s="237" customFormat="1" ht="27.95" customHeight="1" thickBot="1" x14ac:dyDescent="0.2">
      <c r="A4" s="227">
        <v>1</v>
      </c>
      <c r="B4" s="228" t="s">
        <v>378</v>
      </c>
      <c r="C4" s="604"/>
      <c r="D4" s="605"/>
      <c r="E4" s="229" t="s">
        <v>379</v>
      </c>
      <c r="F4" s="229" t="s">
        <v>380</v>
      </c>
      <c r="G4" s="230" t="s">
        <v>381</v>
      </c>
      <c r="H4" s="231" t="s">
        <v>382</v>
      </c>
      <c r="I4" s="229" t="s">
        <v>724</v>
      </c>
      <c r="J4" s="232" t="s">
        <v>384</v>
      </c>
      <c r="K4" s="229" t="s">
        <v>385</v>
      </c>
      <c r="L4" s="233"/>
      <c r="M4" s="234" t="s">
        <v>386</v>
      </c>
      <c r="N4" s="231" t="s">
        <v>387</v>
      </c>
      <c r="O4" s="241" t="s">
        <v>706</v>
      </c>
      <c r="P4" s="231" t="s">
        <v>389</v>
      </c>
      <c r="Q4" s="231" t="s">
        <v>88</v>
      </c>
      <c r="R4" s="235">
        <f>(COUNTA(C4:Q4))/12</f>
        <v>1</v>
      </c>
      <c r="S4" s="492"/>
      <c r="U4" s="612" t="s">
        <v>313</v>
      </c>
      <c r="V4" s="613"/>
      <c r="W4" s="613"/>
      <c r="X4" s="613"/>
      <c r="Y4" s="613"/>
      <c r="Z4" s="614"/>
      <c r="AA4" s="238"/>
    </row>
    <row r="5" spans="1:27" s="237" customFormat="1" ht="27.95" customHeight="1" x14ac:dyDescent="0.15">
      <c r="A5" s="239">
        <v>2</v>
      </c>
      <c r="B5" s="240" t="s">
        <v>390</v>
      </c>
      <c r="C5" s="598"/>
      <c r="D5" s="599"/>
      <c r="E5" s="229" t="s">
        <v>271</v>
      </c>
      <c r="F5" s="229" t="s">
        <v>391</v>
      </c>
      <c r="G5" s="229" t="s">
        <v>386</v>
      </c>
      <c r="H5" s="231" t="s">
        <v>106</v>
      </c>
      <c r="I5" s="241" t="s">
        <v>392</v>
      </c>
      <c r="J5" s="229" t="s">
        <v>393</v>
      </c>
      <c r="K5" s="229" t="s">
        <v>388</v>
      </c>
      <c r="L5" s="231"/>
      <c r="M5" s="229" t="s">
        <v>756</v>
      </c>
      <c r="N5" s="229" t="s">
        <v>395</v>
      </c>
      <c r="O5" s="234" t="s">
        <v>396</v>
      </c>
      <c r="P5" s="229" t="s">
        <v>140</v>
      </c>
      <c r="Q5" s="5" t="s">
        <v>711</v>
      </c>
      <c r="R5" s="235">
        <f>(COUNTA(C5:Q5))/12</f>
        <v>1</v>
      </c>
      <c r="S5" s="492"/>
      <c r="U5" s="615"/>
      <c r="V5" s="616"/>
      <c r="W5" s="616"/>
      <c r="X5" s="616"/>
      <c r="Y5" s="616"/>
      <c r="Z5" s="617"/>
      <c r="AA5" s="238"/>
    </row>
    <row r="6" spans="1:27" s="237" customFormat="1" ht="27.95" customHeight="1" x14ac:dyDescent="0.15">
      <c r="A6" s="239">
        <v>3</v>
      </c>
      <c r="B6" s="242" t="s">
        <v>398</v>
      </c>
      <c r="C6" s="598"/>
      <c r="D6" s="599"/>
      <c r="E6" s="229" t="s">
        <v>399</v>
      </c>
      <c r="F6" s="243" t="s">
        <v>128</v>
      </c>
      <c r="G6" s="229" t="s">
        <v>392</v>
      </c>
      <c r="H6" s="229" t="s">
        <v>400</v>
      </c>
      <c r="I6" s="229" t="s">
        <v>401</v>
      </c>
      <c r="J6" s="229" t="s">
        <v>402</v>
      </c>
      <c r="K6" s="229" t="s">
        <v>403</v>
      </c>
      <c r="L6" s="229"/>
      <c r="M6" s="229" t="s">
        <v>404</v>
      </c>
      <c r="N6" s="241" t="s">
        <v>405</v>
      </c>
      <c r="O6" s="241" t="s">
        <v>406</v>
      </c>
      <c r="P6" s="244" t="s">
        <v>407</v>
      </c>
      <c r="Q6" s="229" t="s">
        <v>717</v>
      </c>
      <c r="R6" s="235">
        <f>(COUNTA(C6:Q6))/12</f>
        <v>1</v>
      </c>
      <c r="S6" s="492"/>
      <c r="U6" s="618"/>
      <c r="V6" s="619"/>
      <c r="W6" s="619"/>
      <c r="X6" s="619"/>
      <c r="Y6" s="619"/>
      <c r="Z6" s="620"/>
      <c r="AA6" s="238"/>
    </row>
    <row r="7" spans="1:27" s="237" customFormat="1" ht="27.75" customHeight="1" thickBot="1" x14ac:dyDescent="0.2">
      <c r="A7" s="239">
        <v>4</v>
      </c>
      <c r="B7" s="245" t="s">
        <v>409</v>
      </c>
      <c r="C7" s="598"/>
      <c r="D7" s="599"/>
      <c r="E7" s="229" t="s">
        <v>408</v>
      </c>
      <c r="F7" s="231" t="s">
        <v>389</v>
      </c>
      <c r="G7" s="243" t="s">
        <v>393</v>
      </c>
      <c r="H7" s="229" t="s">
        <v>410</v>
      </c>
      <c r="I7" s="229" t="s">
        <v>403</v>
      </c>
      <c r="J7" s="229" t="s">
        <v>280</v>
      </c>
      <c r="K7" s="229" t="s">
        <v>411</v>
      </c>
      <c r="L7" s="229"/>
      <c r="M7" s="5" t="s">
        <v>711</v>
      </c>
      <c r="N7" s="5" t="s">
        <v>412</v>
      </c>
      <c r="O7" s="229" t="s">
        <v>413</v>
      </c>
      <c r="P7" s="229" t="s">
        <v>414</v>
      </c>
      <c r="Q7" s="246" t="s">
        <v>415</v>
      </c>
      <c r="R7" s="235">
        <f>(COUNTA(C7:Q7))/12</f>
        <v>1</v>
      </c>
      <c r="S7" s="492"/>
      <c r="U7" s="621"/>
      <c r="V7" s="622"/>
      <c r="W7" s="622"/>
      <c r="X7" s="622"/>
      <c r="Y7" s="622"/>
      <c r="Z7" s="623"/>
      <c r="AA7" s="238"/>
    </row>
    <row r="8" spans="1:27" s="237" customFormat="1" ht="27.95" customHeight="1" thickBot="1" x14ac:dyDescent="0.2">
      <c r="A8" s="239">
        <v>5</v>
      </c>
      <c r="B8" s="6" t="s">
        <v>416</v>
      </c>
      <c r="C8" s="598"/>
      <c r="D8" s="599"/>
      <c r="E8" s="229" t="s">
        <v>756</v>
      </c>
      <c r="F8" s="230" t="s">
        <v>417</v>
      </c>
      <c r="G8" s="170" t="s">
        <v>418</v>
      </c>
      <c r="H8" s="247" t="s">
        <v>279</v>
      </c>
      <c r="I8" s="247" t="s">
        <v>419</v>
      </c>
      <c r="J8" s="247" t="s">
        <v>106</v>
      </c>
      <c r="K8" s="230" t="s">
        <v>420</v>
      </c>
      <c r="L8" s="171"/>
      <c r="M8" s="230" t="s">
        <v>391</v>
      </c>
      <c r="N8" s="248" t="s">
        <v>272</v>
      </c>
      <c r="O8" s="249" t="s">
        <v>403</v>
      </c>
      <c r="P8" s="231" t="s">
        <v>395</v>
      </c>
      <c r="Q8" s="230" t="s">
        <v>716</v>
      </c>
      <c r="R8" s="235">
        <f>(COUNTA(C8:Q8))/12</f>
        <v>1</v>
      </c>
      <c r="S8" s="492"/>
      <c r="U8" s="612" t="s">
        <v>422</v>
      </c>
      <c r="V8" s="613"/>
      <c r="W8" s="613"/>
      <c r="X8" s="613"/>
      <c r="Y8" s="613"/>
      <c r="Z8" s="614"/>
      <c r="AA8" s="238"/>
    </row>
    <row r="9" spans="1:27" s="237" customFormat="1" ht="27.95" customHeight="1" x14ac:dyDescent="0.15">
      <c r="A9" s="250">
        <v>6</v>
      </c>
      <c r="B9" s="251" t="s">
        <v>423</v>
      </c>
      <c r="C9" s="252" t="s">
        <v>823</v>
      </c>
      <c r="D9" s="252" t="s">
        <v>824</v>
      </c>
      <c r="E9" s="253" t="s">
        <v>425</v>
      </c>
      <c r="F9" s="253" t="s">
        <v>411</v>
      </c>
      <c r="G9" s="253" t="s">
        <v>396</v>
      </c>
      <c r="H9" s="233" t="s">
        <v>407</v>
      </c>
      <c r="I9" s="399" t="s">
        <v>923</v>
      </c>
      <c r="J9" s="378" t="s">
        <v>924</v>
      </c>
      <c r="K9" s="160" t="s">
        <v>393</v>
      </c>
      <c r="L9" s="253"/>
      <c r="M9" s="253" t="s">
        <v>428</v>
      </c>
      <c r="N9" s="254" t="s">
        <v>429</v>
      </c>
      <c r="O9" s="231" t="s">
        <v>387</v>
      </c>
      <c r="P9" s="541"/>
      <c r="Q9" s="542"/>
      <c r="R9" s="235">
        <f t="shared" ref="R9:R18" si="0">(COUNTA(C9:Q9))/12</f>
        <v>1</v>
      </c>
      <c r="S9" s="492"/>
      <c r="U9" s="592" t="s">
        <v>910</v>
      </c>
      <c r="V9" s="593"/>
      <c r="W9" s="593"/>
      <c r="X9" s="593"/>
      <c r="Y9" s="593"/>
      <c r="Z9" s="594"/>
      <c r="AA9" s="238"/>
    </row>
    <row r="10" spans="1:27" s="237" customFormat="1" ht="27.95" customHeight="1" x14ac:dyDescent="0.15">
      <c r="A10" s="239">
        <v>7</v>
      </c>
      <c r="B10" s="240" t="s">
        <v>430</v>
      </c>
      <c r="C10" s="255" t="s">
        <v>826</v>
      </c>
      <c r="D10" s="255" t="s">
        <v>826</v>
      </c>
      <c r="E10" s="241" t="s">
        <v>706</v>
      </c>
      <c r="F10" s="232" t="s">
        <v>13</v>
      </c>
      <c r="G10" s="229" t="s">
        <v>432</v>
      </c>
      <c r="H10" s="241" t="s">
        <v>433</v>
      </c>
      <c r="I10" s="234" t="s">
        <v>417</v>
      </c>
      <c r="J10" s="229" t="s">
        <v>434</v>
      </c>
      <c r="K10" s="229" t="s">
        <v>100</v>
      </c>
      <c r="L10" s="233"/>
      <c r="M10" s="231" t="s">
        <v>724</v>
      </c>
      <c r="N10" s="232" t="s">
        <v>436</v>
      </c>
      <c r="O10" s="231" t="s">
        <v>437</v>
      </c>
      <c r="P10" s="543"/>
      <c r="Q10" s="544"/>
      <c r="R10" s="235">
        <f t="shared" si="0"/>
        <v>1</v>
      </c>
      <c r="S10" s="492"/>
      <c r="U10" s="592"/>
      <c r="V10" s="593"/>
      <c r="W10" s="593"/>
      <c r="X10" s="593"/>
      <c r="Y10" s="593"/>
      <c r="Z10" s="594"/>
      <c r="AA10" s="238"/>
    </row>
    <row r="11" spans="1:27" s="237" customFormat="1" ht="27.95" customHeight="1" x14ac:dyDescent="0.15">
      <c r="A11" s="239">
        <v>8</v>
      </c>
      <c r="B11" s="245" t="s">
        <v>438</v>
      </c>
      <c r="C11" s="255" t="s">
        <v>829</v>
      </c>
      <c r="D11" s="255" t="s">
        <v>838</v>
      </c>
      <c r="E11" s="229" t="s">
        <v>439</v>
      </c>
      <c r="F11" s="241" t="s">
        <v>396</v>
      </c>
      <c r="G11" s="256" t="s">
        <v>440</v>
      </c>
      <c r="H11" s="229" t="s">
        <v>441</v>
      </c>
      <c r="I11" s="493" t="s">
        <v>442</v>
      </c>
      <c r="J11" s="229" t="s">
        <v>443</v>
      </c>
      <c r="K11" s="243" t="s">
        <v>444</v>
      </c>
      <c r="L11" s="230"/>
      <c r="M11" s="502" t="s">
        <v>937</v>
      </c>
      <c r="N11" s="229" t="s">
        <v>446</v>
      </c>
      <c r="O11" s="229" t="s">
        <v>447</v>
      </c>
      <c r="P11" s="543"/>
      <c r="Q11" s="544"/>
      <c r="R11" s="235">
        <f t="shared" si="0"/>
        <v>1</v>
      </c>
      <c r="S11" s="492"/>
      <c r="U11" s="592"/>
      <c r="V11" s="593"/>
      <c r="W11" s="593"/>
      <c r="X11" s="593"/>
      <c r="Y11" s="593"/>
      <c r="Z11" s="594"/>
      <c r="AA11" s="238"/>
    </row>
    <row r="12" spans="1:27" s="237" customFormat="1" ht="27.95" customHeight="1" x14ac:dyDescent="0.15">
      <c r="A12" s="239">
        <v>9</v>
      </c>
      <c r="B12" s="495" t="s">
        <v>911</v>
      </c>
      <c r="C12" s="753"/>
      <c r="D12" s="754"/>
      <c r="E12" s="439"/>
      <c r="F12" s="445"/>
      <c r="G12" s="481"/>
      <c r="H12" s="444"/>
      <c r="I12" s="499"/>
      <c r="J12" s="499"/>
      <c r="K12" s="445"/>
      <c r="L12" s="439"/>
      <c r="M12" s="445"/>
      <c r="N12" s="441"/>
      <c r="O12" s="445"/>
      <c r="P12" s="500"/>
      <c r="Q12" s="501"/>
      <c r="R12" s="235">
        <f t="shared" si="0"/>
        <v>0</v>
      </c>
      <c r="S12" s="492"/>
      <c r="U12" s="592"/>
      <c r="V12" s="593"/>
      <c r="W12" s="593"/>
      <c r="X12" s="593"/>
      <c r="Y12" s="593"/>
      <c r="Z12" s="594"/>
      <c r="AA12" s="238"/>
    </row>
    <row r="13" spans="1:27" s="237" customFormat="1" ht="27.95" customHeight="1" thickBot="1" x14ac:dyDescent="0.2">
      <c r="A13" s="258">
        <v>10</v>
      </c>
      <c r="B13" s="7" t="s">
        <v>457</v>
      </c>
      <c r="C13" s="259" t="s">
        <v>837</v>
      </c>
      <c r="D13" s="259" t="s">
        <v>843</v>
      </c>
      <c r="E13" s="260" t="s">
        <v>421</v>
      </c>
      <c r="F13" s="9" t="s">
        <v>460</v>
      </c>
      <c r="G13" s="249" t="s">
        <v>387</v>
      </c>
      <c r="H13" s="249" t="s">
        <v>724</v>
      </c>
      <c r="I13" s="249" t="s">
        <v>461</v>
      </c>
      <c r="J13" s="261" t="s">
        <v>412</v>
      </c>
      <c r="K13" s="249" t="s">
        <v>462</v>
      </c>
      <c r="L13" s="11"/>
      <c r="M13" s="262" t="s">
        <v>82</v>
      </c>
      <c r="N13" s="249" t="s">
        <v>782</v>
      </c>
      <c r="O13" s="249" t="s">
        <v>100</v>
      </c>
      <c r="P13" s="720"/>
      <c r="Q13" s="721"/>
      <c r="R13" s="235">
        <f t="shared" si="0"/>
        <v>1</v>
      </c>
      <c r="S13" s="492"/>
      <c r="U13" s="592"/>
      <c r="V13" s="593"/>
      <c r="W13" s="593"/>
      <c r="X13" s="593"/>
      <c r="Y13" s="593"/>
      <c r="Z13" s="594"/>
      <c r="AA13" s="238"/>
    </row>
    <row r="14" spans="1:27" ht="27.95" customHeight="1" x14ac:dyDescent="0.15">
      <c r="A14" s="263">
        <v>11</v>
      </c>
      <c r="B14" s="264" t="s">
        <v>464</v>
      </c>
      <c r="C14" s="722"/>
      <c r="D14" s="723"/>
      <c r="E14" s="229" t="s">
        <v>417</v>
      </c>
      <c r="F14" s="241" t="s">
        <v>465</v>
      </c>
      <c r="G14" s="241" t="s">
        <v>279</v>
      </c>
      <c r="H14" s="233" t="s">
        <v>272</v>
      </c>
      <c r="I14" s="246" t="s">
        <v>785</v>
      </c>
      <c r="J14" s="230" t="s">
        <v>421</v>
      </c>
      <c r="K14" s="231" t="s">
        <v>724</v>
      </c>
      <c r="L14" s="241"/>
      <c r="M14" s="278" t="s">
        <v>393</v>
      </c>
      <c r="N14" s="233" t="s">
        <v>392</v>
      </c>
      <c r="O14" s="243" t="s">
        <v>314</v>
      </c>
      <c r="P14" s="231" t="s">
        <v>411</v>
      </c>
      <c r="Q14" s="231" t="s">
        <v>467</v>
      </c>
      <c r="R14" s="235">
        <f t="shared" si="0"/>
        <v>1</v>
      </c>
      <c r="S14" s="492"/>
      <c r="T14" s="237"/>
      <c r="U14" s="592"/>
      <c r="V14" s="593"/>
      <c r="W14" s="593"/>
      <c r="X14" s="593"/>
      <c r="Y14" s="593"/>
      <c r="Z14" s="594"/>
    </row>
    <row r="15" spans="1:27" ht="27.95" customHeight="1" thickBot="1" x14ac:dyDescent="0.2">
      <c r="A15" s="258">
        <v>12</v>
      </c>
      <c r="B15" s="475" t="s">
        <v>912</v>
      </c>
      <c r="C15" s="724"/>
      <c r="D15" s="725"/>
      <c r="E15" s="477"/>
      <c r="F15" s="478"/>
      <c r="G15" s="445"/>
      <c r="H15" s="477"/>
      <c r="I15" s="479"/>
      <c r="J15" s="477"/>
      <c r="K15" s="477"/>
      <c r="L15" s="477"/>
      <c r="M15" s="477"/>
      <c r="N15" s="477"/>
      <c r="O15" s="477"/>
      <c r="P15" s="477"/>
      <c r="Q15" s="479"/>
      <c r="R15" s="235">
        <f t="shared" si="0"/>
        <v>0</v>
      </c>
      <c r="S15" s="492"/>
      <c r="U15" s="592"/>
      <c r="V15" s="593"/>
      <c r="W15" s="593"/>
      <c r="X15" s="593"/>
      <c r="Y15" s="593"/>
      <c r="Z15" s="594"/>
    </row>
    <row r="16" spans="1:27" ht="27" customHeight="1" x14ac:dyDescent="0.15">
      <c r="A16" s="227">
        <v>13</v>
      </c>
      <c r="B16" s="267" t="s">
        <v>21</v>
      </c>
      <c r="C16" s="598"/>
      <c r="D16" s="599"/>
      <c r="E16" s="5" t="s">
        <v>712</v>
      </c>
      <c r="F16" s="177" t="s">
        <v>472</v>
      </c>
      <c r="G16" s="253" t="s">
        <v>473</v>
      </c>
      <c r="H16" s="253" t="s">
        <v>23</v>
      </c>
      <c r="I16" s="231" t="s">
        <v>474</v>
      </c>
      <c r="J16" s="160" t="s">
        <v>475</v>
      </c>
      <c r="K16" s="231" t="s">
        <v>476</v>
      </c>
      <c r="L16" s="233"/>
      <c r="M16" s="241" t="s">
        <v>477</v>
      </c>
      <c r="N16" s="229" t="s">
        <v>478</v>
      </c>
      <c r="O16" s="231" t="s">
        <v>479</v>
      </c>
      <c r="P16" s="376" t="s">
        <v>708</v>
      </c>
      <c r="Q16" s="496" t="s">
        <v>920</v>
      </c>
      <c r="R16" s="235">
        <f t="shared" si="0"/>
        <v>1</v>
      </c>
      <c r="S16" s="492"/>
      <c r="U16" s="592"/>
      <c r="V16" s="593"/>
      <c r="W16" s="593"/>
      <c r="X16" s="593"/>
      <c r="Y16" s="593"/>
      <c r="Z16" s="594"/>
    </row>
    <row r="17" spans="1:28" ht="27.95" customHeight="1" thickBot="1" x14ac:dyDescent="0.2">
      <c r="A17" s="227">
        <v>14</v>
      </c>
      <c r="B17" s="267" t="s">
        <v>480</v>
      </c>
      <c r="C17" s="598"/>
      <c r="D17" s="599"/>
      <c r="E17" s="229" t="s">
        <v>481</v>
      </c>
      <c r="F17" s="232" t="s">
        <v>482</v>
      </c>
      <c r="G17" s="229" t="s">
        <v>483</v>
      </c>
      <c r="H17" s="229" t="s">
        <v>484</v>
      </c>
      <c r="I17" s="404" t="s">
        <v>889</v>
      </c>
      <c r="J17" s="229" t="s">
        <v>486</v>
      </c>
      <c r="K17" s="241" t="s">
        <v>487</v>
      </c>
      <c r="L17" s="229"/>
      <c r="M17" s="17" t="s">
        <v>488</v>
      </c>
      <c r="N17" s="5" t="s">
        <v>489</v>
      </c>
      <c r="O17" s="18" t="s">
        <v>162</v>
      </c>
      <c r="P17" s="229" t="s">
        <v>490</v>
      </c>
      <c r="Q17" s="269" t="s">
        <v>491</v>
      </c>
      <c r="R17" s="235">
        <f t="shared" si="0"/>
        <v>1</v>
      </c>
      <c r="S17" s="492"/>
      <c r="U17" s="595"/>
      <c r="V17" s="596"/>
      <c r="W17" s="596"/>
      <c r="X17" s="596"/>
      <c r="Y17" s="596"/>
      <c r="Z17" s="597"/>
    </row>
    <row r="18" spans="1:28" ht="27.95" customHeight="1" thickBot="1" x14ac:dyDescent="0.2">
      <c r="A18" s="270">
        <v>15</v>
      </c>
      <c r="B18" s="245" t="s">
        <v>492</v>
      </c>
      <c r="C18" s="598"/>
      <c r="D18" s="599"/>
      <c r="E18" s="243" t="s">
        <v>493</v>
      </c>
      <c r="F18" s="5" t="s">
        <v>494</v>
      </c>
      <c r="G18" s="243" t="s">
        <v>495</v>
      </c>
      <c r="H18" s="246" t="s">
        <v>496</v>
      </c>
      <c r="I18" s="243" t="s">
        <v>497</v>
      </c>
      <c r="J18" s="378" t="s">
        <v>919</v>
      </c>
      <c r="K18" s="229" t="s">
        <v>499</v>
      </c>
      <c r="L18" s="229"/>
      <c r="M18" s="241" t="s">
        <v>25</v>
      </c>
      <c r="N18" s="229" t="s">
        <v>500</v>
      </c>
      <c r="O18" s="411" t="s">
        <v>908</v>
      </c>
      <c r="P18" s="243" t="s">
        <v>502</v>
      </c>
      <c r="Q18" s="271" t="s">
        <v>907</v>
      </c>
      <c r="R18" s="371">
        <f t="shared" si="0"/>
        <v>1</v>
      </c>
      <c r="S18" s="492"/>
      <c r="U18" s="547" t="s">
        <v>503</v>
      </c>
      <c r="V18" s="548"/>
      <c r="W18" s="548"/>
      <c r="X18" s="548"/>
      <c r="Y18" s="548"/>
      <c r="Z18" s="549"/>
    </row>
    <row r="19" spans="1:28" ht="27.95" customHeight="1" x14ac:dyDescent="0.15">
      <c r="A19" s="270">
        <v>16</v>
      </c>
      <c r="B19" s="245" t="s">
        <v>504</v>
      </c>
      <c r="C19" s="598"/>
      <c r="D19" s="599"/>
      <c r="E19" s="726"/>
      <c r="F19" s="727"/>
      <c r="G19" s="16" t="s">
        <v>69</v>
      </c>
      <c r="H19" s="5" t="s">
        <v>166</v>
      </c>
      <c r="I19" s="229" t="s">
        <v>759</v>
      </c>
      <c r="J19" s="243" t="s">
        <v>68</v>
      </c>
      <c r="K19" s="272" t="s">
        <v>507</v>
      </c>
      <c r="L19" s="229"/>
      <c r="M19" s="726" t="s">
        <v>508</v>
      </c>
      <c r="N19" s="749"/>
      <c r="O19" s="749"/>
      <c r="P19" s="749"/>
      <c r="Q19" s="727"/>
      <c r="R19" s="235">
        <f>(COUNTA(E19:K19))/5</f>
        <v>1</v>
      </c>
      <c r="S19" s="492"/>
      <c r="U19" s="740" t="s">
        <v>931</v>
      </c>
      <c r="V19" s="741"/>
      <c r="W19" s="741"/>
      <c r="X19" s="741"/>
      <c r="Y19" s="741"/>
      <c r="Z19" s="742"/>
    </row>
    <row r="20" spans="1:28" s="237" customFormat="1" ht="27.75" customHeight="1" x14ac:dyDescent="0.15">
      <c r="A20" s="239"/>
      <c r="B20" s="242" t="s">
        <v>170</v>
      </c>
      <c r="C20" s="598"/>
      <c r="D20" s="599"/>
      <c r="E20" s="602" t="s">
        <v>20</v>
      </c>
      <c r="F20" s="603"/>
      <c r="G20" s="241" t="s">
        <v>510</v>
      </c>
      <c r="H20" s="229" t="s">
        <v>511</v>
      </c>
      <c r="I20" s="273" t="s">
        <v>512</v>
      </c>
      <c r="J20" s="229" t="s">
        <v>496</v>
      </c>
      <c r="K20" s="243" t="s">
        <v>781</v>
      </c>
      <c r="L20" s="229"/>
      <c r="M20" s="273" t="s">
        <v>514</v>
      </c>
      <c r="N20" s="5" t="s">
        <v>515</v>
      </c>
      <c r="O20" s="246" t="s">
        <v>516</v>
      </c>
      <c r="P20" s="229" t="s">
        <v>517</v>
      </c>
      <c r="Q20" s="231" t="s">
        <v>484</v>
      </c>
      <c r="R20" s="235">
        <f>(COUNTA(G20:Q20))/10</f>
        <v>1</v>
      </c>
      <c r="S20" s="492"/>
      <c r="U20" s="743"/>
      <c r="V20" s="744"/>
      <c r="W20" s="744"/>
      <c r="X20" s="744"/>
      <c r="Y20" s="744"/>
      <c r="Z20" s="745"/>
      <c r="AA20" s="238"/>
    </row>
    <row r="21" spans="1:28" ht="27.95" customHeight="1" thickBot="1" x14ac:dyDescent="0.2">
      <c r="A21" s="258"/>
      <c r="B21" s="274" t="s">
        <v>518</v>
      </c>
      <c r="C21" s="600"/>
      <c r="D21" s="601"/>
      <c r="E21" s="471" t="s">
        <v>519</v>
      </c>
      <c r="F21" s="261"/>
      <c r="G21" s="230" t="s">
        <v>520</v>
      </c>
      <c r="H21" s="230" t="s">
        <v>521</v>
      </c>
      <c r="I21" s="249" t="s">
        <v>522</v>
      </c>
      <c r="J21" s="249" t="s">
        <v>523</v>
      </c>
      <c r="K21" s="249" t="s">
        <v>524</v>
      </c>
      <c r="L21" s="247"/>
      <c r="M21" s="249" t="s">
        <v>525</v>
      </c>
      <c r="N21" s="247" t="s">
        <v>526</v>
      </c>
      <c r="O21" s="249" t="s">
        <v>527</v>
      </c>
      <c r="P21" s="372" t="s">
        <v>528</v>
      </c>
      <c r="Q21" s="494" t="s">
        <v>529</v>
      </c>
      <c r="R21" s="235">
        <f>(COUNTA(F21:P21))/9</f>
        <v>1</v>
      </c>
      <c r="S21" s="492"/>
      <c r="U21" s="746"/>
      <c r="V21" s="747"/>
      <c r="W21" s="747"/>
      <c r="X21" s="747"/>
      <c r="Y21" s="747"/>
      <c r="Z21" s="748"/>
    </row>
    <row r="22" spans="1:28" s="237" customFormat="1" ht="27.95" customHeight="1" thickBot="1" x14ac:dyDescent="0.2">
      <c r="A22" s="227">
        <v>17</v>
      </c>
      <c r="B22" s="245" t="s">
        <v>530</v>
      </c>
      <c r="C22" s="255" t="s">
        <v>827</v>
      </c>
      <c r="D22" s="255" t="s">
        <v>840</v>
      </c>
      <c r="E22" s="231" t="s">
        <v>780</v>
      </c>
      <c r="F22" s="253" t="s">
        <v>532</v>
      </c>
      <c r="G22" s="277" t="s">
        <v>533</v>
      </c>
      <c r="H22" s="498" t="s">
        <v>929</v>
      </c>
      <c r="I22" s="160" t="s">
        <v>535</v>
      </c>
      <c r="J22" s="253" t="s">
        <v>536</v>
      </c>
      <c r="K22" s="253" t="s">
        <v>18</v>
      </c>
      <c r="L22" s="277"/>
      <c r="M22" s="253" t="s">
        <v>19</v>
      </c>
      <c r="N22" s="279" t="s">
        <v>517</v>
      </c>
      <c r="O22" s="160" t="s">
        <v>915</v>
      </c>
      <c r="P22" s="541"/>
      <c r="Q22" s="542"/>
      <c r="R22" s="235">
        <f>(COUNTA(C22:Q22))/12</f>
        <v>1</v>
      </c>
      <c r="S22" s="492"/>
      <c r="U22" s="547" t="s">
        <v>537</v>
      </c>
      <c r="V22" s="548"/>
      <c r="W22" s="548"/>
      <c r="X22" s="548"/>
      <c r="Y22" s="548"/>
      <c r="Z22" s="549"/>
      <c r="AA22" s="238"/>
    </row>
    <row r="23" spans="1:28" ht="27.95" customHeight="1" x14ac:dyDescent="0.15">
      <c r="A23" s="270">
        <v>18</v>
      </c>
      <c r="B23" s="245" t="s">
        <v>538</v>
      </c>
      <c r="C23" s="268" t="s">
        <v>833</v>
      </c>
      <c r="D23" s="268" t="s">
        <v>834</v>
      </c>
      <c r="E23" s="273" t="s">
        <v>540</v>
      </c>
      <c r="F23" s="229" t="s">
        <v>541</v>
      </c>
      <c r="G23" s="18" t="s">
        <v>542</v>
      </c>
      <c r="H23" s="241" t="s">
        <v>543</v>
      </c>
      <c r="I23" s="229" t="s">
        <v>757</v>
      </c>
      <c r="J23" s="229" t="s">
        <v>544</v>
      </c>
      <c r="K23" s="23" t="s">
        <v>545</v>
      </c>
      <c r="L23" s="229"/>
      <c r="M23" s="243" t="s">
        <v>546</v>
      </c>
      <c r="N23" s="229" t="s">
        <v>547</v>
      </c>
      <c r="O23" s="269" t="s">
        <v>548</v>
      </c>
      <c r="P23" s="543"/>
      <c r="Q23" s="544"/>
      <c r="R23" s="235">
        <f t="shared" ref="R23:R25" si="1">(COUNTA(C23:Q23))/12</f>
        <v>1</v>
      </c>
      <c r="S23" s="492"/>
      <c r="U23" s="711" t="s">
        <v>946</v>
      </c>
      <c r="V23" s="712"/>
      <c r="W23" s="712"/>
      <c r="X23" s="712"/>
      <c r="Y23" s="712"/>
      <c r="Z23" s="713"/>
    </row>
    <row r="24" spans="1:28" ht="27.95" customHeight="1" x14ac:dyDescent="0.15">
      <c r="A24" s="270">
        <v>19</v>
      </c>
      <c r="B24" s="280" t="s">
        <v>27</v>
      </c>
      <c r="C24" s="255" t="s">
        <v>842</v>
      </c>
      <c r="D24" s="255" t="s">
        <v>845</v>
      </c>
      <c r="E24" s="243" t="s">
        <v>551</v>
      </c>
      <c r="F24" s="418" t="s">
        <v>918</v>
      </c>
      <c r="G24" s="229" t="s">
        <v>552</v>
      </c>
      <c r="H24" s="16" t="s">
        <v>553</v>
      </c>
      <c r="I24" s="241" t="s">
        <v>707</v>
      </c>
      <c r="J24" s="241" t="s">
        <v>696</v>
      </c>
      <c r="K24" s="229" t="s">
        <v>713</v>
      </c>
      <c r="L24" s="243"/>
      <c r="M24" s="229" t="s">
        <v>352</v>
      </c>
      <c r="N24" s="243" t="s">
        <v>554</v>
      </c>
      <c r="O24" s="281" t="s">
        <v>916</v>
      </c>
      <c r="P24" s="545"/>
      <c r="Q24" s="546"/>
      <c r="R24" s="235">
        <f t="shared" si="1"/>
        <v>1</v>
      </c>
      <c r="S24" s="492"/>
      <c r="U24" s="714"/>
      <c r="V24" s="715"/>
      <c r="W24" s="715"/>
      <c r="X24" s="715"/>
      <c r="Y24" s="715"/>
      <c r="Z24" s="716"/>
      <c r="AA24" s="283"/>
    </row>
    <row r="25" spans="1:28" ht="27.95" customHeight="1" thickBot="1" x14ac:dyDescent="0.2">
      <c r="A25" s="239">
        <v>20</v>
      </c>
      <c r="B25" s="284" t="s">
        <v>555</v>
      </c>
      <c r="C25" s="550"/>
      <c r="D25" s="551"/>
      <c r="E25" s="230" t="s">
        <v>556</v>
      </c>
      <c r="F25" s="497" t="s">
        <v>922</v>
      </c>
      <c r="G25" s="229" t="s">
        <v>557</v>
      </c>
      <c r="H25" s="249" t="s">
        <v>558</v>
      </c>
      <c r="I25" s="249" t="s">
        <v>697</v>
      </c>
      <c r="J25" s="261" t="s">
        <v>559</v>
      </c>
      <c r="K25" s="243" t="s">
        <v>821</v>
      </c>
      <c r="L25" s="248"/>
      <c r="M25" s="379" t="s">
        <v>921</v>
      </c>
      <c r="N25" s="230" t="s">
        <v>560</v>
      </c>
      <c r="O25" s="260" t="s">
        <v>714</v>
      </c>
      <c r="P25" s="243" t="s">
        <v>561</v>
      </c>
      <c r="Q25" s="389" t="s">
        <v>934</v>
      </c>
      <c r="R25" s="235">
        <f t="shared" si="1"/>
        <v>1</v>
      </c>
      <c r="S25" s="492"/>
      <c r="U25" s="714"/>
      <c r="V25" s="715"/>
      <c r="W25" s="715"/>
      <c r="X25" s="715"/>
      <c r="Y25" s="715"/>
      <c r="Z25" s="716"/>
    </row>
    <row r="26" spans="1:28" s="237" customFormat="1" ht="27.75" customHeight="1" x14ac:dyDescent="0.15">
      <c r="A26" s="285" t="s">
        <v>562</v>
      </c>
      <c r="B26" s="286" t="s">
        <v>29</v>
      </c>
      <c r="C26" s="552"/>
      <c r="D26" s="553"/>
      <c r="E26" s="278"/>
      <c r="F26" s="278" t="s">
        <v>563</v>
      </c>
      <c r="G26" s="278" t="s">
        <v>564</v>
      </c>
      <c r="H26" s="229"/>
      <c r="I26" s="254" t="s">
        <v>502</v>
      </c>
      <c r="J26" s="246" t="s">
        <v>30</v>
      </c>
      <c r="K26" s="287"/>
      <c r="L26" s="254"/>
      <c r="M26" s="287"/>
      <c r="N26" s="278" t="s">
        <v>947</v>
      </c>
      <c r="O26" s="278" t="s">
        <v>948</v>
      </c>
      <c r="P26" s="160"/>
      <c r="Q26" s="278" t="s">
        <v>757</v>
      </c>
      <c r="R26" s="235">
        <f>(COUNTA(C26:Q26))/7</f>
        <v>1</v>
      </c>
      <c r="U26" s="714"/>
      <c r="V26" s="715"/>
      <c r="W26" s="715"/>
      <c r="X26" s="715"/>
      <c r="Y26" s="715"/>
      <c r="Z26" s="716"/>
      <c r="AA26" s="238"/>
      <c r="AB26" s="237">
        <v>9</v>
      </c>
    </row>
    <row r="27" spans="1:28" s="291" customFormat="1" ht="27.95" customHeight="1" thickBot="1" x14ac:dyDescent="0.2">
      <c r="A27" s="288"/>
      <c r="B27" s="289" t="s">
        <v>566</v>
      </c>
      <c r="C27" s="554"/>
      <c r="D27" s="555"/>
      <c r="E27" s="249" t="s">
        <v>260</v>
      </c>
      <c r="F27" s="247" t="s">
        <v>31</v>
      </c>
      <c r="G27" s="249"/>
      <c r="H27" s="249"/>
      <c r="I27" s="454" t="s">
        <v>930</v>
      </c>
      <c r="J27" s="455" t="s">
        <v>941</v>
      </c>
      <c r="K27" s="229" t="s">
        <v>567</v>
      </c>
      <c r="L27" s="248"/>
      <c r="M27" s="261" t="s">
        <v>568</v>
      </c>
      <c r="N27" s="454" t="s">
        <v>940</v>
      </c>
      <c r="O27" s="455" t="s">
        <v>939</v>
      </c>
      <c r="P27" s="247" t="s">
        <v>570</v>
      </c>
      <c r="Q27" s="249" t="s">
        <v>385</v>
      </c>
      <c r="R27" s="235">
        <f>(COUNTA(C27:Q27))/8</f>
        <v>1.25</v>
      </c>
      <c r="S27" s="492"/>
      <c r="U27" s="714"/>
      <c r="V27" s="715"/>
      <c r="W27" s="715"/>
      <c r="X27" s="715"/>
      <c r="Y27" s="715"/>
      <c r="Z27" s="716"/>
      <c r="AA27" s="292"/>
    </row>
    <row r="28" spans="1:28" s="291" customFormat="1" ht="9.9499999999999993" customHeight="1" thickBot="1" x14ac:dyDescent="0.2">
      <c r="A28" s="293"/>
      <c r="B28" s="294"/>
      <c r="C28" s="295"/>
      <c r="D28" s="296"/>
      <c r="E28" s="297"/>
      <c r="F28" s="298"/>
      <c r="G28" s="297"/>
      <c r="H28" s="297"/>
      <c r="I28" s="297"/>
      <c r="J28" s="80"/>
      <c r="K28" s="297"/>
      <c r="L28" s="298"/>
      <c r="M28" s="299"/>
      <c r="N28" s="82"/>
      <c r="O28" s="300"/>
      <c r="P28" s="244"/>
      <c r="Q28" s="279"/>
      <c r="R28" s="235"/>
      <c r="S28" s="492"/>
      <c r="U28" s="714"/>
      <c r="V28" s="715"/>
      <c r="W28" s="715"/>
      <c r="X28" s="715"/>
      <c r="Y28" s="715"/>
      <c r="Z28" s="716"/>
      <c r="AA28" s="292"/>
    </row>
    <row r="29" spans="1:28" ht="120" customHeight="1" thickBot="1" x14ac:dyDescent="0.2">
      <c r="A29" s="574"/>
      <c r="B29" s="576" t="s">
        <v>571</v>
      </c>
      <c r="C29" s="578"/>
      <c r="D29" s="579"/>
      <c r="E29" s="233" t="s">
        <v>881</v>
      </c>
      <c r="F29" s="231" t="s">
        <v>573</v>
      </c>
      <c r="G29" s="233" t="s">
        <v>574</v>
      </c>
      <c r="H29" s="301" t="s">
        <v>575</v>
      </c>
      <c r="I29" s="231" t="s">
        <v>576</v>
      </c>
      <c r="J29" s="231" t="s">
        <v>967</v>
      </c>
      <c r="K29" s="253" t="s">
        <v>578</v>
      </c>
      <c r="L29" s="254"/>
      <c r="M29" s="233" t="s">
        <v>579</v>
      </c>
      <c r="N29" s="253" t="s">
        <v>868</v>
      </c>
      <c r="O29" s="302" t="s">
        <v>925</v>
      </c>
      <c r="P29" s="278" t="s">
        <v>582</v>
      </c>
      <c r="Q29" s="278" t="s">
        <v>583</v>
      </c>
      <c r="R29" s="235">
        <f>(COUNTA(C29:Q29))/12</f>
        <v>1</v>
      </c>
      <c r="S29" s="237"/>
      <c r="T29" s="237"/>
      <c r="U29" s="717"/>
      <c r="V29" s="718"/>
      <c r="W29" s="718"/>
      <c r="X29" s="718"/>
      <c r="Y29" s="718"/>
      <c r="Z29" s="719"/>
    </row>
    <row r="30" spans="1:28" ht="120" customHeight="1" x14ac:dyDescent="0.15">
      <c r="A30" s="575"/>
      <c r="B30" s="577"/>
      <c r="C30" s="580"/>
      <c r="D30" s="581"/>
      <c r="E30" s="170" t="s">
        <v>726</v>
      </c>
      <c r="F30" s="170" t="s">
        <v>917</v>
      </c>
      <c r="G30" s="170" t="s">
        <v>879</v>
      </c>
      <c r="H30" s="170" t="s">
        <v>945</v>
      </c>
      <c r="I30" s="170" t="s">
        <v>665</v>
      </c>
      <c r="J30" s="170" t="s">
        <v>942</v>
      </c>
      <c r="K30" s="170" t="s">
        <v>822</v>
      </c>
      <c r="L30" s="171"/>
      <c r="M30" s="170" t="s">
        <v>944</v>
      </c>
      <c r="N30" s="170" t="s">
        <v>938</v>
      </c>
      <c r="O30" s="170" t="s">
        <v>943</v>
      </c>
      <c r="P30" s="170" t="s">
        <v>880</v>
      </c>
      <c r="Q30" s="170" t="s">
        <v>858</v>
      </c>
      <c r="R30" s="235"/>
      <c r="S30" s="237"/>
      <c r="T30" s="237"/>
      <c r="U30" s="584" t="s">
        <v>588</v>
      </c>
      <c r="V30" s="585"/>
      <c r="W30" s="585"/>
      <c r="X30" s="585"/>
      <c r="Y30" s="585"/>
      <c r="Z30" s="586"/>
    </row>
    <row r="31" spans="1:28" ht="120" customHeight="1" thickBot="1" x14ac:dyDescent="0.2">
      <c r="A31" s="303"/>
      <c r="B31" s="304" t="s">
        <v>589</v>
      </c>
      <c r="C31" s="582"/>
      <c r="D31" s="583"/>
      <c r="E31" s="590" t="s">
        <v>590</v>
      </c>
      <c r="F31" s="591"/>
      <c r="G31" s="248" t="s">
        <v>258</v>
      </c>
      <c r="H31" s="249" t="s">
        <v>592</v>
      </c>
      <c r="I31" s="230" t="s">
        <v>593</v>
      </c>
      <c r="J31" s="230" t="s">
        <v>594</v>
      </c>
      <c r="K31" s="249" t="s">
        <v>928</v>
      </c>
      <c r="L31" s="305"/>
      <c r="M31" s="248" t="s">
        <v>596</v>
      </c>
      <c r="N31" s="230" t="s">
        <v>597</v>
      </c>
      <c r="O31" s="247" t="s">
        <v>873</v>
      </c>
      <c r="P31" s="230" t="s">
        <v>599</v>
      </c>
      <c r="Q31" s="249"/>
      <c r="R31" s="235">
        <f>(COUNTA(G31:Q31))/9</f>
        <v>1</v>
      </c>
      <c r="S31" s="237"/>
      <c r="T31" s="237"/>
      <c r="U31" s="587"/>
      <c r="V31" s="588"/>
      <c r="W31" s="588"/>
      <c r="X31" s="588"/>
      <c r="Y31" s="588"/>
      <c r="Z31" s="589"/>
    </row>
    <row r="32" spans="1:28" s="237" customFormat="1" ht="9.9499999999999993" customHeight="1" x14ac:dyDescent="0.15">
      <c r="A32" s="306"/>
      <c r="B32" s="307"/>
      <c r="C32" s="308"/>
      <c r="D32" s="430"/>
      <c r="E32" s="430"/>
      <c r="F32" s="430"/>
      <c r="G32" s="430"/>
      <c r="H32" s="430"/>
      <c r="I32" s="430"/>
      <c r="J32" s="430"/>
      <c r="K32" s="430"/>
      <c r="L32" s="430"/>
      <c r="M32" s="430"/>
      <c r="N32" s="430"/>
      <c r="O32" s="430"/>
      <c r="P32" s="430"/>
      <c r="Q32" s="430"/>
      <c r="R32" s="235"/>
      <c r="U32" s="309"/>
      <c r="V32" s="309"/>
      <c r="W32" s="309"/>
      <c r="X32" s="309"/>
      <c r="Y32" s="309"/>
      <c r="Z32" s="310"/>
      <c r="AA32" s="238"/>
    </row>
    <row r="33" spans="1:27" s="237" customFormat="1" ht="21" customHeight="1" x14ac:dyDescent="0.15">
      <c r="A33" s="311"/>
      <c r="B33" s="312"/>
      <c r="C33" s="313"/>
      <c r="D33" s="314" t="s">
        <v>600</v>
      </c>
      <c r="E33" s="315" t="s">
        <v>35</v>
      </c>
      <c r="F33" s="316" t="s">
        <v>1</v>
      </c>
      <c r="G33" s="316" t="s">
        <v>2</v>
      </c>
      <c r="H33" s="316" t="s">
        <v>36</v>
      </c>
      <c r="I33" s="316" t="s">
        <v>4</v>
      </c>
      <c r="J33" s="316" t="s">
        <v>37</v>
      </c>
      <c r="K33" s="316" t="s">
        <v>38</v>
      </c>
      <c r="L33" s="317" t="s">
        <v>39</v>
      </c>
      <c r="M33" s="316" t="s">
        <v>40</v>
      </c>
      <c r="N33" s="316" t="s">
        <v>9</v>
      </c>
      <c r="O33" s="316" t="s">
        <v>10</v>
      </c>
      <c r="P33" s="316" t="s">
        <v>11</v>
      </c>
      <c r="Q33" s="318" t="s">
        <v>12</v>
      </c>
      <c r="R33" s="319"/>
      <c r="U33" s="309"/>
      <c r="V33" s="309"/>
      <c r="W33" s="309"/>
      <c r="X33" s="309"/>
      <c r="Y33" s="309"/>
      <c r="Z33" s="310"/>
      <c r="AA33" s="238"/>
    </row>
    <row r="34" spans="1:27" s="237" customFormat="1" ht="45.75" customHeight="1" x14ac:dyDescent="0.15">
      <c r="A34" s="217"/>
      <c r="B34" s="320"/>
      <c r="C34" s="320"/>
      <c r="D34" s="537" t="s">
        <v>601</v>
      </c>
      <c r="E34" s="321" t="s">
        <v>926</v>
      </c>
      <c r="F34" s="321" t="s">
        <v>603</v>
      </c>
      <c r="G34" s="321" t="s">
        <v>913</v>
      </c>
      <c r="H34" s="321" t="s">
        <v>884</v>
      </c>
      <c r="I34" s="321" t="s">
        <v>914</v>
      </c>
      <c r="J34" s="324" t="s">
        <v>607</v>
      </c>
      <c r="K34" s="321" t="s">
        <v>830</v>
      </c>
      <c r="L34" s="322"/>
      <c r="M34" s="321" t="s">
        <v>935</v>
      </c>
      <c r="N34" s="321" t="s">
        <v>610</v>
      </c>
      <c r="O34" s="321" t="s">
        <v>817</v>
      </c>
      <c r="P34" s="321" t="s">
        <v>353</v>
      </c>
      <c r="Q34" s="321" t="s">
        <v>613</v>
      </c>
      <c r="R34" s="319"/>
      <c r="S34" s="323">
        <v>23</v>
      </c>
      <c r="V34" s="309"/>
      <c r="W34" s="309"/>
      <c r="X34" s="309"/>
      <c r="Y34" s="309"/>
      <c r="Z34" s="310"/>
      <c r="AA34" s="238"/>
    </row>
    <row r="35" spans="1:27" s="237" customFormat="1" ht="45.75" customHeight="1" x14ac:dyDescent="0.15">
      <c r="A35" s="217"/>
      <c r="B35" s="320"/>
      <c r="C35" s="320"/>
      <c r="D35" s="538"/>
      <c r="E35" s="322"/>
      <c r="F35" s="321"/>
      <c r="G35" s="322"/>
      <c r="H35" s="321"/>
      <c r="I35" s="322"/>
      <c r="J35" s="321" t="s">
        <v>615</v>
      </c>
      <c r="K35" s="321"/>
      <c r="L35" s="322"/>
      <c r="M35" s="321" t="s">
        <v>936</v>
      </c>
      <c r="N35" s="322" t="s">
        <v>616</v>
      </c>
      <c r="O35" s="321" t="s">
        <v>617</v>
      </c>
      <c r="P35" s="321"/>
      <c r="Q35" s="321"/>
      <c r="R35" s="325"/>
      <c r="S35" s="326"/>
      <c r="V35" s="309"/>
      <c r="W35" s="309"/>
      <c r="X35" s="309"/>
      <c r="Y35" s="309"/>
      <c r="Z35" s="218"/>
      <c r="AA35" s="238"/>
    </row>
    <row r="36" spans="1:27" ht="27.95" customHeight="1" x14ac:dyDescent="0.15">
      <c r="D36" s="327" t="s">
        <v>229</v>
      </c>
      <c r="E36" s="322" t="s">
        <v>618</v>
      </c>
      <c r="F36" s="322"/>
      <c r="G36" s="322" t="s">
        <v>619</v>
      </c>
      <c r="H36" s="329"/>
      <c r="I36" s="322" t="s">
        <v>230</v>
      </c>
      <c r="J36" s="322"/>
      <c r="K36" s="322"/>
      <c r="L36" s="322"/>
      <c r="M36" s="322"/>
      <c r="N36" s="329"/>
      <c r="O36" s="322"/>
      <c r="P36" s="322"/>
      <c r="Q36" s="322" t="s">
        <v>620</v>
      </c>
      <c r="R36" s="330"/>
      <c r="S36" s="326">
        <v>4</v>
      </c>
      <c r="U36" s="217"/>
      <c r="V36" s="309"/>
      <c r="W36" s="309"/>
      <c r="X36" s="309"/>
      <c r="Y36" s="309"/>
      <c r="Z36" s="310"/>
    </row>
    <row r="37" spans="1:27" s="291" customFormat="1" ht="42" customHeight="1" x14ac:dyDescent="0.15">
      <c r="A37" s="217"/>
      <c r="B37" s="320"/>
      <c r="C37" s="320"/>
      <c r="D37" s="327" t="s">
        <v>621</v>
      </c>
      <c r="E37" s="321" t="s">
        <v>622</v>
      </c>
      <c r="F37" s="321" t="s">
        <v>819</v>
      </c>
      <c r="G37" s="321" t="s">
        <v>623</v>
      </c>
      <c r="H37" s="321" t="s">
        <v>828</v>
      </c>
      <c r="I37" s="321" t="s">
        <v>625</v>
      </c>
      <c r="J37" s="321" t="s">
        <v>626</v>
      </c>
      <c r="K37" s="321" t="s">
        <v>836</v>
      </c>
      <c r="L37" s="322"/>
      <c r="M37" s="321" t="s">
        <v>628</v>
      </c>
      <c r="N37" s="321" t="s">
        <v>629</v>
      </c>
      <c r="O37" s="321" t="s">
        <v>630</v>
      </c>
      <c r="P37" s="331" t="s">
        <v>631</v>
      </c>
      <c r="Q37" s="321" t="s">
        <v>632</v>
      </c>
      <c r="R37" s="330"/>
      <c r="S37" s="332">
        <v>20</v>
      </c>
      <c r="V37" s="309"/>
      <c r="W37" s="309"/>
      <c r="X37" s="309"/>
      <c r="Y37" s="309"/>
      <c r="Z37" s="218"/>
      <c r="AA37" s="292"/>
    </row>
    <row r="38" spans="1:27" ht="42" customHeight="1" x14ac:dyDescent="0.15">
      <c r="D38" s="333" t="s">
        <v>233</v>
      </c>
      <c r="E38" s="321" t="s">
        <v>933</v>
      </c>
      <c r="F38" s="321" t="s">
        <v>634</v>
      </c>
      <c r="G38" s="321" t="s">
        <v>635</v>
      </c>
      <c r="H38" s="321" t="s">
        <v>932</v>
      </c>
      <c r="I38" s="321" t="s">
        <v>692</v>
      </c>
      <c r="J38" s="321" t="s">
        <v>638</v>
      </c>
      <c r="K38" s="324" t="s">
        <v>882</v>
      </c>
      <c r="L38" s="334"/>
      <c r="M38" s="321" t="s">
        <v>640</v>
      </c>
      <c r="N38" s="321" t="s">
        <v>927</v>
      </c>
      <c r="O38" s="321" t="s">
        <v>642</v>
      </c>
      <c r="P38" s="321" t="s">
        <v>643</v>
      </c>
      <c r="Q38" s="321" t="s">
        <v>878</v>
      </c>
      <c r="R38" s="335"/>
      <c r="S38" s="332">
        <v>22</v>
      </c>
      <c r="U38" s="217"/>
      <c r="V38" s="309"/>
      <c r="W38" s="309"/>
      <c r="X38" s="309"/>
      <c r="Y38" s="309"/>
      <c r="Z38" s="336"/>
    </row>
    <row r="39" spans="1:27" ht="9.9499999999999993" customHeight="1" x14ac:dyDescent="0.15">
      <c r="D39" s="539"/>
      <c r="E39" s="539"/>
      <c r="F39" s="539"/>
      <c r="G39" s="539"/>
      <c r="H39" s="539"/>
      <c r="I39" s="539"/>
      <c r="J39" s="539"/>
      <c r="K39" s="539"/>
      <c r="L39" s="539"/>
      <c r="M39" s="539"/>
      <c r="N39" s="539"/>
      <c r="O39" s="539"/>
      <c r="P39" s="539"/>
      <c r="Q39" s="539"/>
      <c r="R39" s="539"/>
      <c r="S39" s="332">
        <f>S34+S36+S37+S38</f>
        <v>69</v>
      </c>
      <c r="U39" s="217"/>
      <c r="V39" s="309"/>
      <c r="W39" s="309"/>
      <c r="X39" s="309"/>
      <c r="Y39" s="309"/>
    </row>
    <row r="40" spans="1:27" ht="21" customHeight="1" x14ac:dyDescent="0.15">
      <c r="D40" s="337"/>
      <c r="E40" s="338" t="s">
        <v>0</v>
      </c>
      <c r="F40" s="339" t="s">
        <v>1</v>
      </c>
      <c r="G40" s="339" t="s">
        <v>2</v>
      </c>
      <c r="H40" s="340" t="s">
        <v>377</v>
      </c>
      <c r="I40" s="341" t="s">
        <v>645</v>
      </c>
      <c r="J40" s="339" t="s">
        <v>5</v>
      </c>
      <c r="K40" s="339" t="s">
        <v>6</v>
      </c>
      <c r="L40" s="317"/>
      <c r="M40" s="339" t="s">
        <v>8</v>
      </c>
      <c r="N40" s="339" t="s">
        <v>9</v>
      </c>
      <c r="O40" s="341" t="s">
        <v>10</v>
      </c>
      <c r="P40" s="339" t="s">
        <v>11</v>
      </c>
      <c r="Q40" s="339" t="s">
        <v>12</v>
      </c>
      <c r="R40" s="342" t="s">
        <v>48</v>
      </c>
      <c r="S40" s="343" t="s">
        <v>263</v>
      </c>
    </row>
    <row r="41" spans="1:27" ht="39.950000000000003" customHeight="1" x14ac:dyDescent="0.15">
      <c r="D41" s="344" t="s">
        <v>49</v>
      </c>
      <c r="E41" s="345"/>
      <c r="F41" s="346"/>
      <c r="G41" s="346"/>
      <c r="H41" s="347"/>
      <c r="I41" s="348" t="s">
        <v>262</v>
      </c>
      <c r="J41" s="346"/>
      <c r="K41" s="348"/>
      <c r="L41" s="349"/>
      <c r="M41" s="346"/>
      <c r="N41" s="346"/>
      <c r="O41" s="350"/>
      <c r="P41" s="346"/>
      <c r="Q41" s="346"/>
      <c r="R41" s="351" t="s">
        <v>820</v>
      </c>
      <c r="S41" s="352"/>
      <c r="U41" s="540" t="s">
        <v>236</v>
      </c>
      <c r="V41" s="540"/>
      <c r="W41" s="540"/>
      <c r="X41" s="492"/>
      <c r="Y41" s="492"/>
      <c r="Z41" s="492"/>
    </row>
    <row r="42" spans="1:27" ht="39.950000000000003" customHeight="1" x14ac:dyDescent="0.15">
      <c r="D42" s="353" t="s">
        <v>50</v>
      </c>
      <c r="E42" s="354"/>
      <c r="F42" s="282"/>
      <c r="G42" s="282"/>
      <c r="H42" s="234"/>
      <c r="I42" s="355" t="s">
        <v>877</v>
      </c>
      <c r="J42" s="234"/>
      <c r="K42" s="282" t="s">
        <v>56</v>
      </c>
      <c r="L42" s="322"/>
      <c r="M42" s="355" t="s">
        <v>876</v>
      </c>
      <c r="N42" s="234"/>
      <c r="O42" s="282" t="s">
        <v>647</v>
      </c>
      <c r="P42" s="282"/>
      <c r="Q42" s="234"/>
      <c r="R42" s="356"/>
      <c r="S42" s="357"/>
      <c r="U42" s="492"/>
      <c r="V42" s="492"/>
      <c r="W42" s="492"/>
      <c r="X42" s="492"/>
      <c r="Y42" s="492"/>
      <c r="Z42" s="492"/>
      <c r="AA42" s="358"/>
    </row>
    <row r="43" spans="1:27" ht="39.950000000000003" customHeight="1" x14ac:dyDescent="0.15">
      <c r="D43" s="344" t="s">
        <v>648</v>
      </c>
      <c r="E43" s="354"/>
      <c r="F43" s="234"/>
      <c r="G43" s="282" t="s">
        <v>266</v>
      </c>
      <c r="H43" s="355"/>
      <c r="I43" s="355" t="s">
        <v>650</v>
      </c>
      <c r="J43" s="355" t="s">
        <v>282</v>
      </c>
      <c r="K43" s="355" t="s">
        <v>846</v>
      </c>
      <c r="L43" s="243"/>
      <c r="M43" s="355" t="s">
        <v>883</v>
      </c>
      <c r="N43" s="234" t="s">
        <v>58</v>
      </c>
      <c r="O43" s="282"/>
      <c r="P43" s="234"/>
      <c r="Q43" s="359" t="s">
        <v>652</v>
      </c>
      <c r="R43" s="360"/>
      <c r="S43" s="361"/>
      <c r="U43" s="492"/>
      <c r="V43" s="492"/>
      <c r="W43" s="492"/>
      <c r="X43" s="492"/>
      <c r="Y43" s="492"/>
      <c r="Z43" s="492"/>
      <c r="AA43" s="358"/>
    </row>
    <row r="44" spans="1:27" ht="39.950000000000003" customHeight="1" x14ac:dyDescent="0.15">
      <c r="D44" s="353" t="s">
        <v>52</v>
      </c>
      <c r="E44" s="354"/>
      <c r="F44" s="282"/>
      <c r="G44" s="282"/>
      <c r="H44" s="234"/>
      <c r="I44" s="234"/>
      <c r="J44" s="234"/>
      <c r="K44" s="282"/>
      <c r="L44" s="322"/>
      <c r="M44" s="282" t="s">
        <v>54</v>
      </c>
      <c r="N44" s="282"/>
      <c r="O44" s="282"/>
      <c r="P44" s="282"/>
      <c r="Q44" s="282" t="s">
        <v>264</v>
      </c>
      <c r="R44" s="356"/>
      <c r="S44" s="357"/>
      <c r="U44" s="492"/>
      <c r="V44" s="492"/>
      <c r="W44" s="492"/>
      <c r="X44" s="492"/>
      <c r="Y44" s="492"/>
      <c r="Z44" s="492"/>
      <c r="AA44" s="358"/>
    </row>
    <row r="45" spans="1:27" ht="39.950000000000003" customHeight="1" x14ac:dyDescent="0.15">
      <c r="D45" s="362" t="s">
        <v>653</v>
      </c>
      <c r="E45" s="363"/>
      <c r="F45" s="364"/>
      <c r="G45" s="365"/>
      <c r="H45" s="364"/>
      <c r="I45" s="364"/>
      <c r="J45" s="364"/>
      <c r="K45" s="364"/>
      <c r="L45" s="334"/>
      <c r="M45" s="364"/>
      <c r="N45" s="364"/>
      <c r="O45" s="364"/>
      <c r="P45" s="365"/>
      <c r="Q45" s="364"/>
      <c r="R45" s="366"/>
      <c r="S45" s="367"/>
      <c r="U45" s="492"/>
      <c r="V45" s="492"/>
      <c r="W45" s="492"/>
      <c r="X45" s="492"/>
      <c r="Y45" s="492"/>
      <c r="Z45" s="492"/>
      <c r="AA45" s="358"/>
    </row>
    <row r="46" spans="1:27" ht="27.95" customHeight="1" x14ac:dyDescent="0.15">
      <c r="C46" s="217"/>
      <c r="D46" s="362" t="s">
        <v>874</v>
      </c>
      <c r="E46" s="363"/>
      <c r="F46" s="364"/>
      <c r="G46" s="365" t="s">
        <v>875</v>
      </c>
      <c r="H46" s="364"/>
      <c r="I46" s="364"/>
      <c r="J46" s="364"/>
      <c r="K46" s="364"/>
      <c r="L46" s="334"/>
      <c r="M46" s="364"/>
      <c r="N46" s="364"/>
      <c r="O46" s="364"/>
      <c r="P46" s="365"/>
      <c r="Q46" s="364"/>
      <c r="R46" s="366"/>
      <c r="S46" s="367"/>
      <c r="U46" s="492"/>
      <c r="V46" s="492"/>
      <c r="W46" s="492"/>
      <c r="X46" s="492"/>
      <c r="Y46" s="492"/>
      <c r="Z46" s="492"/>
      <c r="AA46" s="358"/>
    </row>
    <row r="47" spans="1:27" ht="27.95" customHeight="1" x14ac:dyDescent="0.15">
      <c r="R47" s="369"/>
      <c r="S47" s="320"/>
      <c r="AA47" s="358"/>
    </row>
    <row r="48" spans="1:27" ht="16.5" customHeight="1" x14ac:dyDescent="0.15">
      <c r="R48" s="369"/>
    </row>
    <row r="49" spans="1:27" s="329" customFormat="1" ht="16.5" customHeight="1" x14ac:dyDescent="0.15">
      <c r="A49" s="217"/>
      <c r="B49" s="370"/>
      <c r="C49" s="320"/>
      <c r="D49" s="320"/>
      <c r="E49" s="320"/>
      <c r="F49" s="320"/>
      <c r="G49" s="320"/>
      <c r="H49" s="320"/>
      <c r="I49" s="320"/>
      <c r="J49" s="320"/>
      <c r="K49" s="320"/>
      <c r="M49" s="217"/>
      <c r="N49" s="217"/>
      <c r="O49" s="217"/>
      <c r="P49" s="217"/>
      <c r="Q49" s="217"/>
      <c r="R49" s="368"/>
      <c r="S49" s="217"/>
      <c r="T49" s="217"/>
      <c r="U49" s="218"/>
      <c r="V49" s="218"/>
      <c r="W49" s="218"/>
      <c r="X49" s="218"/>
      <c r="Y49" s="218"/>
      <c r="Z49" s="218"/>
      <c r="AA49" s="219"/>
    </row>
    <row r="50" spans="1:27" s="329" customFormat="1" ht="16.5" customHeight="1" x14ac:dyDescent="0.15">
      <c r="A50" s="217"/>
      <c r="B50" s="320"/>
      <c r="C50" s="320"/>
      <c r="D50" s="320"/>
      <c r="E50" s="320"/>
      <c r="F50" s="320"/>
      <c r="G50" s="320"/>
      <c r="H50" s="320"/>
      <c r="I50" s="320"/>
      <c r="J50" s="320"/>
      <c r="K50" s="320"/>
      <c r="M50" s="217"/>
      <c r="N50" s="217"/>
      <c r="O50" s="217"/>
      <c r="P50" s="217"/>
      <c r="Q50" s="217"/>
      <c r="R50" s="368"/>
      <c r="S50" s="217"/>
      <c r="T50" s="217"/>
      <c r="U50" s="218"/>
      <c r="V50" s="218"/>
      <c r="W50" s="218"/>
      <c r="X50" s="218"/>
      <c r="Y50" s="218"/>
      <c r="Z50" s="218"/>
      <c r="AA50" s="219"/>
    </row>
    <row r="51" spans="1:27" s="329" customFormat="1" ht="17.25" customHeight="1" x14ac:dyDescent="0.15">
      <c r="A51" s="217"/>
      <c r="B51" s="320"/>
      <c r="C51" s="320"/>
      <c r="D51" s="320"/>
      <c r="E51" s="320"/>
      <c r="F51" s="320"/>
      <c r="G51" s="320"/>
      <c r="H51" s="320"/>
      <c r="I51" s="320"/>
      <c r="J51" s="320"/>
      <c r="K51" s="320"/>
      <c r="M51" s="217"/>
      <c r="N51" s="217"/>
      <c r="O51" s="217"/>
      <c r="P51" s="217"/>
      <c r="Q51" s="217"/>
      <c r="R51" s="368"/>
      <c r="S51" s="217"/>
      <c r="T51" s="217"/>
      <c r="U51" s="218"/>
      <c r="V51" s="218"/>
      <c r="W51" s="218"/>
      <c r="X51" s="218"/>
      <c r="Y51" s="218"/>
      <c r="Z51" s="218"/>
      <c r="AA51" s="219"/>
    </row>
    <row r="52" spans="1:27" s="329" customFormat="1" x14ac:dyDescent="0.15">
      <c r="A52" s="217"/>
      <c r="B52" s="320"/>
      <c r="C52" s="320"/>
      <c r="D52" s="320"/>
      <c r="E52" s="320"/>
      <c r="F52" s="320"/>
      <c r="G52" s="320"/>
      <c r="H52" s="320"/>
      <c r="I52" s="320"/>
      <c r="J52" s="320"/>
      <c r="K52" s="320"/>
      <c r="M52" s="217"/>
      <c r="N52" s="217"/>
      <c r="O52" s="217"/>
      <c r="P52" s="217"/>
      <c r="Q52" s="217"/>
      <c r="R52" s="368"/>
      <c r="S52" s="217"/>
      <c r="T52" s="217"/>
      <c r="U52" s="218"/>
      <c r="V52" s="218"/>
      <c r="W52" s="218"/>
      <c r="X52" s="218"/>
      <c r="Y52" s="218"/>
      <c r="Z52" s="218"/>
      <c r="AA52" s="219"/>
    </row>
    <row r="53" spans="1:27" s="329" customFormat="1" ht="16.5" customHeight="1" x14ac:dyDescent="0.15">
      <c r="A53" s="217"/>
      <c r="B53" s="320"/>
      <c r="C53" s="320"/>
      <c r="D53" s="320"/>
      <c r="E53" s="320"/>
      <c r="F53" s="320"/>
      <c r="G53" s="320"/>
      <c r="H53" s="320"/>
      <c r="I53" s="320"/>
      <c r="J53" s="320"/>
      <c r="K53" s="320"/>
      <c r="M53" s="217"/>
      <c r="N53" s="217"/>
      <c r="O53" s="217"/>
      <c r="P53" s="217"/>
      <c r="Q53" s="217"/>
      <c r="R53" s="368"/>
      <c r="S53" s="217"/>
      <c r="T53" s="217"/>
      <c r="U53" s="218"/>
      <c r="V53" s="218"/>
      <c r="W53" s="218"/>
      <c r="X53" s="218"/>
      <c r="Y53" s="218"/>
      <c r="Z53" s="218"/>
      <c r="AA53" s="219"/>
    </row>
    <row r="54" spans="1:27" s="329" customFormat="1" x14ac:dyDescent="0.15">
      <c r="A54" s="217"/>
      <c r="B54" s="320"/>
      <c r="C54" s="320"/>
      <c r="D54" s="320"/>
      <c r="E54" s="320"/>
      <c r="F54" s="320"/>
      <c r="G54" s="320"/>
      <c r="H54" s="320"/>
      <c r="I54" s="320"/>
      <c r="J54" s="320"/>
      <c r="K54" s="320"/>
      <c r="M54" s="217"/>
      <c r="N54" s="217"/>
      <c r="O54" s="217"/>
      <c r="P54" s="217"/>
      <c r="Q54" s="217"/>
      <c r="R54" s="368"/>
      <c r="S54" s="217"/>
      <c r="T54" s="217"/>
      <c r="U54" s="218"/>
      <c r="V54" s="218"/>
      <c r="W54" s="218"/>
      <c r="X54" s="218"/>
      <c r="Y54" s="218"/>
      <c r="Z54" s="218"/>
      <c r="AA54" s="219"/>
    </row>
    <row r="55" spans="1:27" s="329" customFormat="1" x14ac:dyDescent="0.15">
      <c r="A55" s="217"/>
      <c r="B55" s="320"/>
      <c r="C55" s="320"/>
      <c r="D55" s="320"/>
      <c r="E55" s="320"/>
      <c r="F55" s="320"/>
      <c r="G55" s="320"/>
      <c r="H55" s="320"/>
      <c r="I55" s="320"/>
      <c r="J55" s="320"/>
      <c r="K55" s="320"/>
      <c r="M55" s="217"/>
      <c r="N55" s="217"/>
      <c r="O55" s="217"/>
      <c r="P55" s="217"/>
      <c r="Q55" s="217"/>
      <c r="R55" s="368"/>
      <c r="S55" s="217"/>
      <c r="T55" s="217"/>
      <c r="U55" s="218"/>
      <c r="V55" s="218"/>
      <c r="W55" s="218"/>
      <c r="X55" s="218"/>
      <c r="Y55" s="218"/>
      <c r="Z55" s="218"/>
      <c r="AA55" s="219"/>
    </row>
    <row r="56" spans="1:27" s="329" customFormat="1" x14ac:dyDescent="0.15">
      <c r="A56" s="217"/>
      <c r="B56" s="320"/>
      <c r="C56" s="320"/>
      <c r="D56" s="320"/>
      <c r="E56" s="320"/>
      <c r="F56" s="320"/>
      <c r="G56" s="320"/>
      <c r="H56" s="320"/>
      <c r="I56" s="320"/>
      <c r="J56" s="320"/>
      <c r="K56" s="320"/>
      <c r="M56" s="217"/>
      <c r="N56" s="217"/>
      <c r="O56" s="217"/>
      <c r="P56" s="217"/>
      <c r="Q56" s="217"/>
      <c r="R56" s="368"/>
      <c r="S56" s="217"/>
      <c r="T56" s="217"/>
      <c r="U56" s="218"/>
      <c r="V56" s="218"/>
      <c r="W56" s="218"/>
      <c r="X56" s="218"/>
      <c r="Y56" s="218"/>
      <c r="Z56" s="218"/>
      <c r="AA56" s="219"/>
    </row>
    <row r="57" spans="1:27" s="329" customFormat="1" ht="16.5" customHeight="1" x14ac:dyDescent="0.15">
      <c r="A57" s="217"/>
      <c r="B57" s="320"/>
      <c r="C57" s="320"/>
      <c r="D57" s="320"/>
      <c r="E57" s="320"/>
      <c r="F57" s="320"/>
      <c r="G57" s="320"/>
      <c r="H57" s="320"/>
      <c r="I57" s="320"/>
      <c r="J57" s="320"/>
      <c r="K57" s="320"/>
      <c r="M57" s="217"/>
      <c r="N57" s="217"/>
      <c r="O57" s="217"/>
      <c r="P57" s="217"/>
      <c r="Q57" s="217"/>
      <c r="R57" s="368"/>
      <c r="S57" s="217"/>
      <c r="T57" s="217"/>
      <c r="U57" s="218"/>
      <c r="V57" s="218"/>
      <c r="W57" s="218"/>
      <c r="X57" s="218"/>
      <c r="Y57" s="218"/>
      <c r="Z57" s="218"/>
      <c r="AA57" s="219"/>
    </row>
    <row r="58" spans="1:27" s="329" customFormat="1" x14ac:dyDescent="0.15">
      <c r="A58" s="217"/>
      <c r="B58" s="320"/>
      <c r="C58" s="320"/>
      <c r="D58" s="320"/>
      <c r="E58" s="320"/>
      <c r="F58" s="320"/>
      <c r="G58" s="320"/>
      <c r="H58" s="320"/>
      <c r="I58" s="320"/>
      <c r="J58" s="320"/>
      <c r="K58" s="320"/>
      <c r="M58" s="217"/>
      <c r="N58" s="217"/>
      <c r="O58" s="217"/>
      <c r="P58" s="217"/>
      <c r="Q58" s="217"/>
      <c r="R58" s="368"/>
      <c r="S58" s="217"/>
      <c r="T58" s="217"/>
      <c r="U58" s="218"/>
      <c r="V58" s="218"/>
      <c r="W58" s="218"/>
      <c r="X58" s="218"/>
      <c r="Y58" s="218"/>
      <c r="Z58" s="218"/>
      <c r="AA58" s="219"/>
    </row>
    <row r="59" spans="1:27" s="329" customFormat="1" x14ac:dyDescent="0.15">
      <c r="A59" s="217"/>
      <c r="B59" s="320"/>
      <c r="C59" s="320"/>
      <c r="D59" s="320"/>
      <c r="E59" s="320"/>
      <c r="F59" s="320"/>
      <c r="G59" s="320"/>
      <c r="H59" s="320"/>
      <c r="I59" s="320"/>
      <c r="J59" s="320"/>
      <c r="K59" s="320"/>
      <c r="M59" s="217"/>
      <c r="N59" s="217"/>
      <c r="O59" s="217"/>
      <c r="P59" s="217"/>
      <c r="Q59" s="217"/>
      <c r="R59" s="368"/>
      <c r="S59" s="217"/>
      <c r="T59" s="217"/>
      <c r="U59" s="218"/>
      <c r="V59" s="218"/>
      <c r="W59" s="218"/>
      <c r="X59" s="218"/>
      <c r="Y59" s="218"/>
      <c r="Z59" s="218"/>
      <c r="AA59" s="219"/>
    </row>
    <row r="60" spans="1:27" s="329" customFormat="1" x14ac:dyDescent="0.15">
      <c r="A60" s="217"/>
      <c r="B60" s="320"/>
      <c r="C60" s="320"/>
      <c r="D60" s="320"/>
      <c r="E60" s="217"/>
      <c r="F60" s="217"/>
      <c r="G60" s="217"/>
      <c r="H60" s="217"/>
      <c r="I60" s="217"/>
      <c r="J60" s="217"/>
      <c r="K60" s="217"/>
      <c r="M60" s="217"/>
      <c r="N60" s="217"/>
      <c r="O60" s="217"/>
      <c r="P60" s="217"/>
      <c r="Q60" s="217"/>
      <c r="R60" s="368"/>
      <c r="S60" s="217"/>
      <c r="T60" s="217"/>
      <c r="U60" s="218"/>
      <c r="V60" s="218"/>
      <c r="W60" s="218"/>
      <c r="X60" s="218"/>
      <c r="Y60" s="218"/>
      <c r="Z60" s="218"/>
      <c r="AA60" s="219"/>
    </row>
    <row r="72" ht="16.5" customHeight="1" x14ac:dyDescent="0.15"/>
    <row r="74" ht="16.5" customHeight="1" x14ac:dyDescent="0.15"/>
    <row r="76" ht="16.5" customHeight="1" x14ac:dyDescent="0.15"/>
    <row r="78" ht="16.5" customHeight="1" x14ac:dyDescent="0.15"/>
  </sheetData>
  <mergeCells count="31">
    <mergeCell ref="D34:D35"/>
    <mergeCell ref="D39:R39"/>
    <mergeCell ref="U41:W41"/>
    <mergeCell ref="C12:D12"/>
    <mergeCell ref="P9:Q11"/>
    <mergeCell ref="P13:Q13"/>
    <mergeCell ref="P22:Q24"/>
    <mergeCell ref="U22:Z22"/>
    <mergeCell ref="U23:Z29"/>
    <mergeCell ref="C25:D25"/>
    <mergeCell ref="C26:D27"/>
    <mergeCell ref="U9:Z17"/>
    <mergeCell ref="C14:D15"/>
    <mergeCell ref="C16:D21"/>
    <mergeCell ref="U18:Z18"/>
    <mergeCell ref="E19:F19"/>
    <mergeCell ref="A29:A30"/>
    <mergeCell ref="B29:B30"/>
    <mergeCell ref="C29:D31"/>
    <mergeCell ref="U30:Z31"/>
    <mergeCell ref="E31:F31"/>
    <mergeCell ref="M19:Q19"/>
    <mergeCell ref="U19:Z21"/>
    <mergeCell ref="E20:F20"/>
    <mergeCell ref="A1:Q1"/>
    <mergeCell ref="A2:Q2"/>
    <mergeCell ref="U2:Z3"/>
    <mergeCell ref="C4:D8"/>
    <mergeCell ref="U4:Z4"/>
    <mergeCell ref="U5:Z7"/>
    <mergeCell ref="U8:Z8"/>
  </mergeCells>
  <phoneticPr fontId="3" type="noConversion"/>
  <conditionalFormatting sqref="O91:O92">
    <cfRule type="uniqueValues" dxfId="11" priority="3"/>
  </conditionalFormatting>
  <conditionalFormatting sqref="M85:M86">
    <cfRule type="uniqueValues" dxfId="10" priority="2"/>
  </conditionalFormatting>
  <conditionalFormatting sqref="N91:N92">
    <cfRule type="uniqueValues" dxfId="9" priority="1"/>
  </conditionalFormatting>
  <printOptions horizontalCentered="1"/>
  <pageMargins left="0" right="0" top="0" bottom="0" header="0" footer="0"/>
  <pageSetup paperSize="9" scale="29" orientation="portrait" horizontalDpi="4294967293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78"/>
  <sheetViews>
    <sheetView topLeftCell="A2" zoomScale="85" zoomScaleNormal="85" zoomScalePageLayoutView="80" workbookViewId="0">
      <selection activeCell="M15" sqref="M15"/>
    </sheetView>
  </sheetViews>
  <sheetFormatPr defaultRowHeight="16.5" x14ac:dyDescent="0.15"/>
  <cols>
    <col min="1" max="1" width="4.33203125" style="217" customWidth="1"/>
    <col min="2" max="2" width="13.33203125" style="320" customWidth="1"/>
    <col min="3" max="4" width="15.83203125" style="320" customWidth="1"/>
    <col min="5" max="11" width="15.83203125" style="217" customWidth="1"/>
    <col min="12" max="12" width="3.5" style="329" customWidth="1"/>
    <col min="13" max="17" width="15.83203125" style="217" customWidth="1"/>
    <col min="18" max="18" width="15.83203125" style="368" customWidth="1"/>
    <col min="19" max="19" width="15.83203125" style="217" customWidth="1"/>
    <col min="20" max="20" width="2.1640625" style="217" customWidth="1"/>
    <col min="21" max="26" width="10.83203125" style="218" customWidth="1"/>
    <col min="27" max="27" width="10" style="219" bestFit="1" customWidth="1"/>
    <col min="28" max="16384" width="9.33203125" style="217"/>
  </cols>
  <sheetData>
    <row r="1" spans="1:27" ht="16.5" hidden="1" customHeight="1" x14ac:dyDescent="0.15">
      <c r="A1" s="606" t="s">
        <v>74</v>
      </c>
      <c r="B1" s="607"/>
      <c r="C1" s="607"/>
      <c r="D1" s="607"/>
      <c r="E1" s="607"/>
      <c r="F1" s="607"/>
      <c r="G1" s="607"/>
      <c r="H1" s="607"/>
      <c r="I1" s="607"/>
      <c r="J1" s="607"/>
      <c r="K1" s="607"/>
      <c r="L1" s="607"/>
      <c r="M1" s="607"/>
      <c r="N1" s="607"/>
      <c r="O1" s="607"/>
      <c r="P1" s="607"/>
      <c r="Q1" s="608"/>
      <c r="R1" s="216"/>
    </row>
    <row r="2" spans="1:27" ht="18" customHeight="1" x14ac:dyDescent="0.15">
      <c r="A2" s="609" t="s">
        <v>961</v>
      </c>
      <c r="B2" s="610"/>
      <c r="C2" s="610"/>
      <c r="D2" s="610"/>
      <c r="E2" s="610"/>
      <c r="F2" s="610"/>
      <c r="G2" s="610"/>
      <c r="H2" s="610"/>
      <c r="I2" s="610"/>
      <c r="J2" s="610"/>
      <c r="K2" s="610"/>
      <c r="L2" s="610"/>
      <c r="M2" s="610"/>
      <c r="N2" s="610"/>
      <c r="O2" s="610"/>
      <c r="P2" s="610"/>
      <c r="Q2" s="610"/>
      <c r="R2" s="220"/>
      <c r="U2" s="540"/>
      <c r="V2" s="540"/>
      <c r="W2" s="540"/>
      <c r="X2" s="540"/>
      <c r="Y2" s="540"/>
      <c r="Z2" s="540"/>
    </row>
    <row r="3" spans="1:27" ht="21" customHeight="1" thickBot="1" x14ac:dyDescent="0.2">
      <c r="A3" s="221"/>
      <c r="B3" s="222" t="s">
        <v>75</v>
      </c>
      <c r="C3" s="223" t="s">
        <v>76</v>
      </c>
      <c r="D3" s="223" t="s">
        <v>77</v>
      </c>
      <c r="E3" s="224" t="s">
        <v>0</v>
      </c>
      <c r="F3" s="224" t="s">
        <v>1</v>
      </c>
      <c r="G3" s="223" t="s">
        <v>2</v>
      </c>
      <c r="H3" s="223" t="s">
        <v>3</v>
      </c>
      <c r="I3" s="224" t="s">
        <v>4</v>
      </c>
      <c r="J3" s="223" t="s">
        <v>5</v>
      </c>
      <c r="K3" s="223" t="s">
        <v>6</v>
      </c>
      <c r="L3" s="225" t="s">
        <v>7</v>
      </c>
      <c r="M3" s="224" t="s">
        <v>8</v>
      </c>
      <c r="N3" s="223" t="s">
        <v>9</v>
      </c>
      <c r="O3" s="223" t="s">
        <v>10</v>
      </c>
      <c r="P3" s="223" t="s">
        <v>11</v>
      </c>
      <c r="Q3" s="223" t="s">
        <v>12</v>
      </c>
      <c r="R3" s="226">
        <f>AVERAGE(R4:R32)</f>
        <v>0.9967948717948717</v>
      </c>
      <c r="U3" s="611"/>
      <c r="V3" s="611"/>
      <c r="W3" s="611"/>
      <c r="X3" s="611"/>
      <c r="Y3" s="611"/>
      <c r="Z3" s="611"/>
    </row>
    <row r="4" spans="1:27" s="237" customFormat="1" ht="27.95" customHeight="1" thickBot="1" x14ac:dyDescent="0.2">
      <c r="A4" s="227">
        <v>1</v>
      </c>
      <c r="B4" s="228" t="s">
        <v>122</v>
      </c>
      <c r="C4" s="604"/>
      <c r="D4" s="605"/>
      <c r="E4" s="229" t="s">
        <v>252</v>
      </c>
      <c r="F4" s="229" t="s">
        <v>253</v>
      </c>
      <c r="G4" s="230" t="s">
        <v>287</v>
      </c>
      <c r="H4" s="231" t="s">
        <v>124</v>
      </c>
      <c r="I4" s="229" t="s">
        <v>724</v>
      </c>
      <c r="J4" s="232" t="s">
        <v>125</v>
      </c>
      <c r="K4" s="229" t="s">
        <v>126</v>
      </c>
      <c r="L4" s="233"/>
      <c r="M4" s="234" t="s">
        <v>91</v>
      </c>
      <c r="N4" s="231" t="s">
        <v>109</v>
      </c>
      <c r="O4" s="241" t="s">
        <v>706</v>
      </c>
      <c r="P4" s="231" t="s">
        <v>87</v>
      </c>
      <c r="Q4" s="231" t="s">
        <v>88</v>
      </c>
      <c r="R4" s="235">
        <f>(COUNTA(C4:Q4))/12</f>
        <v>1</v>
      </c>
      <c r="S4" s="505"/>
      <c r="U4" s="612" t="s">
        <v>313</v>
      </c>
      <c r="V4" s="613"/>
      <c r="W4" s="613"/>
      <c r="X4" s="613"/>
      <c r="Y4" s="613"/>
      <c r="Z4" s="614"/>
      <c r="AA4" s="238"/>
    </row>
    <row r="5" spans="1:27" s="237" customFormat="1" ht="27.95" customHeight="1" x14ac:dyDescent="0.15">
      <c r="A5" s="239">
        <v>2</v>
      </c>
      <c r="B5" s="240" t="s">
        <v>89</v>
      </c>
      <c r="C5" s="598"/>
      <c r="D5" s="599"/>
      <c r="E5" s="229" t="s">
        <v>271</v>
      </c>
      <c r="F5" s="229" t="s">
        <v>90</v>
      </c>
      <c r="G5" s="229" t="s">
        <v>91</v>
      </c>
      <c r="H5" s="231" t="s">
        <v>106</v>
      </c>
      <c r="I5" s="241" t="s">
        <v>240</v>
      </c>
      <c r="J5" s="229" t="s">
        <v>92</v>
      </c>
      <c r="K5" s="229" t="s">
        <v>93</v>
      </c>
      <c r="L5" s="231"/>
      <c r="M5" s="229" t="s">
        <v>756</v>
      </c>
      <c r="N5" s="229" t="s">
        <v>94</v>
      </c>
      <c r="O5" s="234" t="s">
        <v>82</v>
      </c>
      <c r="P5" s="229" t="s">
        <v>140</v>
      </c>
      <c r="Q5" s="5" t="s">
        <v>711</v>
      </c>
      <c r="R5" s="235">
        <f>(COUNTA(C5:Q5))/12</f>
        <v>1</v>
      </c>
      <c r="S5" s="505"/>
      <c r="U5" s="615"/>
      <c r="V5" s="616"/>
      <c r="W5" s="616"/>
      <c r="X5" s="616"/>
      <c r="Y5" s="616"/>
      <c r="Z5" s="617"/>
      <c r="AA5" s="238"/>
    </row>
    <row r="6" spans="1:27" s="237" customFormat="1" ht="27.95" customHeight="1" x14ac:dyDescent="0.15">
      <c r="A6" s="239">
        <v>3</v>
      </c>
      <c r="B6" s="242" t="s">
        <v>127</v>
      </c>
      <c r="C6" s="598"/>
      <c r="D6" s="599"/>
      <c r="E6" s="229" t="s">
        <v>290</v>
      </c>
      <c r="F6" s="243" t="s">
        <v>128</v>
      </c>
      <c r="G6" s="229" t="s">
        <v>240</v>
      </c>
      <c r="H6" s="229" t="s">
        <v>257</v>
      </c>
      <c r="I6" s="229" t="s">
        <v>310</v>
      </c>
      <c r="J6" s="229" t="s">
        <v>129</v>
      </c>
      <c r="K6" s="229" t="s">
        <v>107</v>
      </c>
      <c r="L6" s="229"/>
      <c r="M6" s="229" t="s">
        <v>112</v>
      </c>
      <c r="N6" s="241" t="s">
        <v>16</v>
      </c>
      <c r="O6" s="241" t="s">
        <v>131</v>
      </c>
      <c r="P6" s="244" t="s">
        <v>83</v>
      </c>
      <c r="Q6" s="229" t="s">
        <v>288</v>
      </c>
      <c r="R6" s="235">
        <f>(COUNTA(C6:Q6))/12</f>
        <v>1</v>
      </c>
      <c r="S6" s="505"/>
      <c r="U6" s="618"/>
      <c r="V6" s="619"/>
      <c r="W6" s="619"/>
      <c r="X6" s="619"/>
      <c r="Y6" s="619"/>
      <c r="Z6" s="620"/>
      <c r="AA6" s="238"/>
    </row>
    <row r="7" spans="1:27" s="237" customFormat="1" ht="27.75" customHeight="1" thickBot="1" x14ac:dyDescent="0.2">
      <c r="A7" s="239">
        <v>4</v>
      </c>
      <c r="B7" s="245" t="s">
        <v>111</v>
      </c>
      <c r="C7" s="598"/>
      <c r="D7" s="599"/>
      <c r="E7" s="229" t="s">
        <v>103</v>
      </c>
      <c r="F7" s="231" t="s">
        <v>87</v>
      </c>
      <c r="G7" s="243" t="s">
        <v>92</v>
      </c>
      <c r="H7" s="229" t="s">
        <v>278</v>
      </c>
      <c r="I7" s="229" t="s">
        <v>107</v>
      </c>
      <c r="J7" s="229" t="s">
        <v>280</v>
      </c>
      <c r="K7" s="229" t="s">
        <v>81</v>
      </c>
      <c r="L7" s="229"/>
      <c r="M7" s="5" t="s">
        <v>711</v>
      </c>
      <c r="N7" s="5" t="s">
        <v>115</v>
      </c>
      <c r="O7" s="229" t="s">
        <v>116</v>
      </c>
      <c r="P7" s="229" t="s">
        <v>117</v>
      </c>
      <c r="Q7" s="246" t="s">
        <v>346</v>
      </c>
      <c r="R7" s="235">
        <f>(COUNTA(C7:Q7))/12</f>
        <v>1</v>
      </c>
      <c r="S7" s="505"/>
      <c r="U7" s="621"/>
      <c r="V7" s="622"/>
      <c r="W7" s="622"/>
      <c r="X7" s="622"/>
      <c r="Y7" s="622"/>
      <c r="Z7" s="623"/>
      <c r="AA7" s="238"/>
    </row>
    <row r="8" spans="1:27" s="237" customFormat="1" ht="27.95" customHeight="1" thickBot="1" x14ac:dyDescent="0.2">
      <c r="A8" s="239">
        <v>5</v>
      </c>
      <c r="B8" s="6" t="s">
        <v>416</v>
      </c>
      <c r="C8" s="598"/>
      <c r="D8" s="599"/>
      <c r="E8" s="229" t="s">
        <v>756</v>
      </c>
      <c r="F8" s="230" t="s">
        <v>104</v>
      </c>
      <c r="G8" s="170" t="s">
        <v>110</v>
      </c>
      <c r="H8" s="247" t="s">
        <v>279</v>
      </c>
      <c r="I8" s="247" t="s">
        <v>118</v>
      </c>
      <c r="J8" s="247" t="s">
        <v>106</v>
      </c>
      <c r="K8" s="230" t="s">
        <v>420</v>
      </c>
      <c r="L8" s="171"/>
      <c r="M8" s="230" t="s">
        <v>90</v>
      </c>
      <c r="N8" s="248" t="s">
        <v>272</v>
      </c>
      <c r="O8" s="249" t="s">
        <v>107</v>
      </c>
      <c r="P8" s="231" t="s">
        <v>94</v>
      </c>
      <c r="Q8" s="230" t="s">
        <v>103</v>
      </c>
      <c r="R8" s="235">
        <f>(COUNTA(C8:Q8))/12</f>
        <v>1</v>
      </c>
      <c r="S8" s="505"/>
      <c r="U8" s="612" t="s">
        <v>15</v>
      </c>
      <c r="V8" s="613"/>
      <c r="W8" s="613"/>
      <c r="X8" s="613"/>
      <c r="Y8" s="613"/>
      <c r="Z8" s="614"/>
      <c r="AA8" s="238"/>
    </row>
    <row r="9" spans="1:27" s="237" customFormat="1" ht="27.95" customHeight="1" x14ac:dyDescent="0.15">
      <c r="A9" s="250">
        <v>6</v>
      </c>
      <c r="B9" s="251" t="s">
        <v>79</v>
      </c>
      <c r="C9" s="252" t="s">
        <v>823</v>
      </c>
      <c r="D9" s="252" t="s">
        <v>823</v>
      </c>
      <c r="E9" s="253" t="s">
        <v>80</v>
      </c>
      <c r="F9" s="253" t="s">
        <v>81</v>
      </c>
      <c r="G9" s="253" t="s">
        <v>82</v>
      </c>
      <c r="H9" s="509" t="s">
        <v>978</v>
      </c>
      <c r="I9" s="503" t="s">
        <v>950</v>
      </c>
      <c r="J9" s="510" t="s">
        <v>979</v>
      </c>
      <c r="K9" s="160" t="s">
        <v>92</v>
      </c>
      <c r="L9" s="253"/>
      <c r="M9" s="253" t="s">
        <v>85</v>
      </c>
      <c r="N9" s="254" t="s">
        <v>86</v>
      </c>
      <c r="O9" s="231" t="s">
        <v>109</v>
      </c>
      <c r="P9" s="541"/>
      <c r="Q9" s="542"/>
      <c r="R9" s="235">
        <f t="shared" ref="R9:R18" si="0">(COUNTA(C9:Q9))/12</f>
        <v>1</v>
      </c>
      <c r="S9" s="505"/>
      <c r="U9" s="592" t="s">
        <v>954</v>
      </c>
      <c r="V9" s="593"/>
      <c r="W9" s="593"/>
      <c r="X9" s="593"/>
      <c r="Y9" s="593"/>
      <c r="Z9" s="594"/>
      <c r="AA9" s="238"/>
    </row>
    <row r="10" spans="1:27" s="237" customFormat="1" ht="27.95" customHeight="1" x14ac:dyDescent="0.15">
      <c r="A10" s="239">
        <v>7</v>
      </c>
      <c r="B10" s="240" t="s">
        <v>96</v>
      </c>
      <c r="C10" s="255" t="s">
        <v>682</v>
      </c>
      <c r="D10" s="255" t="s">
        <v>682</v>
      </c>
      <c r="E10" s="241" t="s">
        <v>706</v>
      </c>
      <c r="F10" s="232" t="s">
        <v>13</v>
      </c>
      <c r="G10" s="229" t="s">
        <v>98</v>
      </c>
      <c r="H10" s="241" t="s">
        <v>93</v>
      </c>
      <c r="I10" s="234" t="s">
        <v>104</v>
      </c>
      <c r="J10" s="229" t="s">
        <v>14</v>
      </c>
      <c r="K10" s="229" t="s">
        <v>100</v>
      </c>
      <c r="L10" s="233"/>
      <c r="M10" s="231" t="s">
        <v>724</v>
      </c>
      <c r="N10" s="232" t="s">
        <v>101</v>
      </c>
      <c r="O10" s="231" t="s">
        <v>102</v>
      </c>
      <c r="P10" s="543"/>
      <c r="Q10" s="544"/>
      <c r="R10" s="235">
        <f t="shared" si="0"/>
        <v>1</v>
      </c>
      <c r="S10" s="505"/>
      <c r="U10" s="592"/>
      <c r="V10" s="593"/>
      <c r="W10" s="593"/>
      <c r="X10" s="593"/>
      <c r="Y10" s="593"/>
      <c r="Z10" s="594"/>
      <c r="AA10" s="238"/>
    </row>
    <row r="11" spans="1:27" s="237" customFormat="1" ht="27.95" customHeight="1" x14ac:dyDescent="0.15">
      <c r="A11" s="239">
        <v>8</v>
      </c>
      <c r="B11" s="245" t="s">
        <v>132</v>
      </c>
      <c r="C11" s="255" t="s">
        <v>135</v>
      </c>
      <c r="D11" s="255" t="s">
        <v>838</v>
      </c>
      <c r="E11" s="229" t="s">
        <v>133</v>
      </c>
      <c r="F11" s="241" t="s">
        <v>82</v>
      </c>
      <c r="G11" s="256" t="s">
        <v>134</v>
      </c>
      <c r="H11" s="229" t="s">
        <v>135</v>
      </c>
      <c r="I11" s="507" t="s">
        <v>106</v>
      </c>
      <c r="J11" s="229" t="s">
        <v>107</v>
      </c>
      <c r="K11" s="243" t="s">
        <v>108</v>
      </c>
      <c r="L11" s="230"/>
      <c r="M11" s="230" t="s">
        <v>113</v>
      </c>
      <c r="N11" s="229" t="s">
        <v>136</v>
      </c>
      <c r="O11" s="229" t="s">
        <v>123</v>
      </c>
      <c r="P11" s="543"/>
      <c r="Q11" s="544"/>
      <c r="R11" s="235">
        <f t="shared" si="0"/>
        <v>1</v>
      </c>
      <c r="S11" s="505"/>
      <c r="U11" s="592"/>
      <c r="V11" s="593"/>
      <c r="W11" s="593"/>
      <c r="X11" s="593"/>
      <c r="Y11" s="593"/>
      <c r="Z11" s="594"/>
      <c r="AA11" s="238"/>
    </row>
    <row r="12" spans="1:27" s="237" customFormat="1" ht="27.95" customHeight="1" x14ac:dyDescent="0.15">
      <c r="A12" s="239">
        <v>9</v>
      </c>
      <c r="B12" s="495" t="s">
        <v>956</v>
      </c>
      <c r="C12" s="753"/>
      <c r="D12" s="754"/>
      <c r="E12" s="439" t="s">
        <v>138</v>
      </c>
      <c r="F12" s="445"/>
      <c r="G12" s="481" t="s">
        <v>139</v>
      </c>
      <c r="H12" s="444" t="s">
        <v>950</v>
      </c>
      <c r="I12" s="443" t="s">
        <v>141</v>
      </c>
      <c r="J12" s="439" t="s">
        <v>142</v>
      </c>
      <c r="K12" s="445" t="s">
        <v>118</v>
      </c>
      <c r="L12" s="439"/>
      <c r="M12" s="445" t="s">
        <v>279</v>
      </c>
      <c r="N12" s="441" t="s">
        <v>143</v>
      </c>
      <c r="O12" s="445" t="s">
        <v>272</v>
      </c>
      <c r="P12" s="500"/>
      <c r="Q12" s="501"/>
      <c r="R12" s="235">
        <f t="shared" si="0"/>
        <v>0.75</v>
      </c>
      <c r="S12" s="505"/>
      <c r="U12" s="592"/>
      <c r="V12" s="593"/>
      <c r="W12" s="593"/>
      <c r="X12" s="593"/>
      <c r="Y12" s="593"/>
      <c r="Z12" s="594"/>
      <c r="AA12" s="238"/>
    </row>
    <row r="13" spans="1:27" s="237" customFormat="1" ht="27.95" customHeight="1" thickBot="1" x14ac:dyDescent="0.2">
      <c r="A13" s="258">
        <v>10</v>
      </c>
      <c r="B13" s="7" t="s">
        <v>119</v>
      </c>
      <c r="C13" s="259" t="s">
        <v>86</v>
      </c>
      <c r="D13" s="259" t="s">
        <v>744</v>
      </c>
      <c r="E13" s="260" t="s">
        <v>288</v>
      </c>
      <c r="F13" s="9" t="s">
        <v>102</v>
      </c>
      <c r="G13" s="249" t="s">
        <v>109</v>
      </c>
      <c r="H13" s="249" t="s">
        <v>724</v>
      </c>
      <c r="I13" s="249" t="s">
        <v>120</v>
      </c>
      <c r="J13" s="261" t="s">
        <v>115</v>
      </c>
      <c r="K13" s="249" t="s">
        <v>121</v>
      </c>
      <c r="L13" s="11"/>
      <c r="M13" s="262" t="s">
        <v>82</v>
      </c>
      <c r="N13" s="249" t="s">
        <v>782</v>
      </c>
      <c r="O13" s="249" t="s">
        <v>100</v>
      </c>
      <c r="P13" s="720"/>
      <c r="Q13" s="721"/>
      <c r="R13" s="235">
        <f t="shared" si="0"/>
        <v>1</v>
      </c>
      <c r="S13" s="505"/>
      <c r="U13" s="592"/>
      <c r="V13" s="593"/>
      <c r="W13" s="593"/>
      <c r="X13" s="593"/>
      <c r="Y13" s="593"/>
      <c r="Z13" s="594"/>
      <c r="AA13" s="238"/>
    </row>
    <row r="14" spans="1:27" ht="27.95" customHeight="1" x14ac:dyDescent="0.15">
      <c r="A14" s="263">
        <v>11</v>
      </c>
      <c r="B14" s="264" t="s">
        <v>144</v>
      </c>
      <c r="C14" s="722"/>
      <c r="D14" s="723"/>
      <c r="E14" s="229" t="s">
        <v>104</v>
      </c>
      <c r="F14" s="241" t="s">
        <v>94</v>
      </c>
      <c r="G14" s="241" t="s">
        <v>279</v>
      </c>
      <c r="H14" s="233" t="s">
        <v>272</v>
      </c>
      <c r="I14" s="246" t="s">
        <v>711</v>
      </c>
      <c r="J14" s="230" t="s">
        <v>288</v>
      </c>
      <c r="K14" s="231" t="s">
        <v>724</v>
      </c>
      <c r="L14" s="241"/>
      <c r="M14" s="278" t="s">
        <v>92</v>
      </c>
      <c r="N14" s="233" t="s">
        <v>240</v>
      </c>
      <c r="O14" s="243" t="s">
        <v>314</v>
      </c>
      <c r="P14" s="231" t="s">
        <v>81</v>
      </c>
      <c r="Q14" s="231" t="s">
        <v>90</v>
      </c>
      <c r="R14" s="235">
        <f t="shared" si="0"/>
        <v>1</v>
      </c>
      <c r="S14" s="505"/>
      <c r="T14" s="237"/>
      <c r="U14" s="592"/>
      <c r="V14" s="593"/>
      <c r="W14" s="593"/>
      <c r="X14" s="593"/>
      <c r="Y14" s="593"/>
      <c r="Z14" s="594"/>
    </row>
    <row r="15" spans="1:27" ht="27.95" customHeight="1" thickBot="1" x14ac:dyDescent="0.2">
      <c r="A15" s="258">
        <v>12</v>
      </c>
      <c r="B15" s="475" t="s">
        <v>912</v>
      </c>
      <c r="C15" s="724"/>
      <c r="D15" s="725"/>
      <c r="E15" s="477" t="s">
        <v>97</v>
      </c>
      <c r="F15" s="478" t="s">
        <v>105</v>
      </c>
      <c r="G15" s="445" t="s">
        <v>706</v>
      </c>
      <c r="H15" s="477" t="s">
        <v>695</v>
      </c>
      <c r="I15" s="479"/>
      <c r="J15" s="477" t="s">
        <v>724</v>
      </c>
      <c r="K15" s="477" t="s">
        <v>756</v>
      </c>
      <c r="L15" s="477"/>
      <c r="M15" s="477" t="s">
        <v>673</v>
      </c>
      <c r="N15" s="480" t="s">
        <v>146</v>
      </c>
      <c r="O15" s="477" t="s">
        <v>906</v>
      </c>
      <c r="P15" s="477" t="s">
        <v>346</v>
      </c>
      <c r="Q15" s="479" t="s">
        <v>905</v>
      </c>
      <c r="R15" s="235">
        <f t="shared" si="0"/>
        <v>0.91666666666666663</v>
      </c>
      <c r="S15" s="505"/>
      <c r="U15" s="592"/>
      <c r="V15" s="593"/>
      <c r="W15" s="593"/>
      <c r="X15" s="593"/>
      <c r="Y15" s="593"/>
      <c r="Z15" s="594"/>
    </row>
    <row r="16" spans="1:27" ht="27" customHeight="1" x14ac:dyDescent="0.15">
      <c r="A16" s="227">
        <v>13</v>
      </c>
      <c r="B16" s="267" t="s">
        <v>21</v>
      </c>
      <c r="C16" s="598"/>
      <c r="D16" s="599"/>
      <c r="E16" s="5" t="s">
        <v>712</v>
      </c>
      <c r="F16" s="177" t="s">
        <v>186</v>
      </c>
      <c r="G16" s="253" t="s">
        <v>22</v>
      </c>
      <c r="H16" s="253" t="s">
        <v>23</v>
      </c>
      <c r="I16" s="231" t="s">
        <v>187</v>
      </c>
      <c r="J16" s="160" t="s">
        <v>188</v>
      </c>
      <c r="K16" s="231" t="s">
        <v>189</v>
      </c>
      <c r="L16" s="233"/>
      <c r="M16" s="241" t="s">
        <v>190</v>
      </c>
      <c r="N16" s="229" t="s">
        <v>191</v>
      </c>
      <c r="O16" s="231" t="s">
        <v>192</v>
      </c>
      <c r="P16" s="376" t="s">
        <v>707</v>
      </c>
      <c r="Q16" s="407" t="s">
        <v>953</v>
      </c>
      <c r="R16" s="235">
        <f t="shared" si="0"/>
        <v>1</v>
      </c>
      <c r="S16" s="505"/>
      <c r="U16" s="592"/>
      <c r="V16" s="593"/>
      <c r="W16" s="593"/>
      <c r="X16" s="593"/>
      <c r="Y16" s="593"/>
      <c r="Z16" s="594"/>
    </row>
    <row r="17" spans="1:28" ht="27.95" customHeight="1" thickBot="1" x14ac:dyDescent="0.2">
      <c r="A17" s="227">
        <v>14</v>
      </c>
      <c r="B17" s="267" t="s">
        <v>155</v>
      </c>
      <c r="C17" s="598"/>
      <c r="D17" s="599"/>
      <c r="E17" s="229" t="s">
        <v>156</v>
      </c>
      <c r="F17" s="232" t="s">
        <v>157</v>
      </c>
      <c r="G17" s="229" t="s">
        <v>158</v>
      </c>
      <c r="H17" s="229" t="s">
        <v>154</v>
      </c>
      <c r="I17" s="241" t="s">
        <v>889</v>
      </c>
      <c r="J17" s="229" t="s">
        <v>159</v>
      </c>
      <c r="K17" s="241" t="s">
        <v>241</v>
      </c>
      <c r="L17" s="229"/>
      <c r="M17" s="17" t="s">
        <v>160</v>
      </c>
      <c r="N17" s="5" t="s">
        <v>161</v>
      </c>
      <c r="O17" s="18" t="s">
        <v>162</v>
      </c>
      <c r="P17" s="229" t="s">
        <v>163</v>
      </c>
      <c r="Q17" s="269" t="s">
        <v>164</v>
      </c>
      <c r="R17" s="235">
        <f t="shared" si="0"/>
        <v>1</v>
      </c>
      <c r="S17" s="505"/>
      <c r="U17" s="595"/>
      <c r="V17" s="596"/>
      <c r="W17" s="596"/>
      <c r="X17" s="596"/>
      <c r="Y17" s="596"/>
      <c r="Z17" s="597"/>
    </row>
    <row r="18" spans="1:28" ht="27.95" customHeight="1" thickBot="1" x14ac:dyDescent="0.2">
      <c r="A18" s="270">
        <v>15</v>
      </c>
      <c r="B18" s="245" t="s">
        <v>193</v>
      </c>
      <c r="C18" s="598"/>
      <c r="D18" s="599"/>
      <c r="E18" s="243" t="s">
        <v>194</v>
      </c>
      <c r="F18" s="5" t="s">
        <v>195</v>
      </c>
      <c r="G18" s="243" t="s">
        <v>24</v>
      </c>
      <c r="H18" s="246" t="s">
        <v>173</v>
      </c>
      <c r="I18" s="243" t="s">
        <v>237</v>
      </c>
      <c r="J18" s="411" t="s">
        <v>952</v>
      </c>
      <c r="K18" s="229" t="s">
        <v>197</v>
      </c>
      <c r="L18" s="229"/>
      <c r="M18" s="241" t="s">
        <v>25</v>
      </c>
      <c r="N18" s="229" t="s">
        <v>244</v>
      </c>
      <c r="O18" s="229" t="s">
        <v>908</v>
      </c>
      <c r="P18" s="243" t="s">
        <v>304</v>
      </c>
      <c r="Q18" s="246" t="s">
        <v>907</v>
      </c>
      <c r="R18" s="371">
        <f t="shared" si="0"/>
        <v>1</v>
      </c>
      <c r="S18" s="505"/>
      <c r="U18" s="547" t="s">
        <v>311</v>
      </c>
      <c r="V18" s="548"/>
      <c r="W18" s="548"/>
      <c r="X18" s="548"/>
      <c r="Y18" s="548"/>
      <c r="Z18" s="549"/>
    </row>
    <row r="19" spans="1:28" ht="27.95" customHeight="1" x14ac:dyDescent="0.15">
      <c r="A19" s="270">
        <v>16</v>
      </c>
      <c r="B19" s="245" t="s">
        <v>165</v>
      </c>
      <c r="C19" s="598"/>
      <c r="D19" s="599"/>
      <c r="E19" s="726"/>
      <c r="F19" s="727"/>
      <c r="G19" s="16" t="s">
        <v>69</v>
      </c>
      <c r="H19" s="5" t="s">
        <v>166</v>
      </c>
      <c r="I19" s="229" t="s">
        <v>167</v>
      </c>
      <c r="J19" s="243" t="s">
        <v>68</v>
      </c>
      <c r="K19" s="272" t="s">
        <v>168</v>
      </c>
      <c r="L19" s="229"/>
      <c r="M19" s="726" t="s">
        <v>169</v>
      </c>
      <c r="N19" s="749"/>
      <c r="O19" s="749"/>
      <c r="P19" s="749"/>
      <c r="Q19" s="727"/>
      <c r="R19" s="235">
        <f>(COUNTA(E19:K19))/5</f>
        <v>1</v>
      </c>
      <c r="S19" s="505"/>
      <c r="U19" s="740" t="s">
        <v>958</v>
      </c>
      <c r="V19" s="741"/>
      <c r="W19" s="741"/>
      <c r="X19" s="741"/>
      <c r="Y19" s="741"/>
      <c r="Z19" s="742"/>
    </row>
    <row r="20" spans="1:28" s="237" customFormat="1" ht="27.75" customHeight="1" x14ac:dyDescent="0.15">
      <c r="A20" s="239"/>
      <c r="B20" s="242" t="s">
        <v>170</v>
      </c>
      <c r="C20" s="598"/>
      <c r="D20" s="599"/>
      <c r="E20" s="602" t="s">
        <v>20</v>
      </c>
      <c r="F20" s="603"/>
      <c r="G20" s="241" t="s">
        <v>285</v>
      </c>
      <c r="H20" s="229" t="s">
        <v>171</v>
      </c>
      <c r="I20" s="273" t="s">
        <v>172</v>
      </c>
      <c r="J20" s="229" t="s">
        <v>173</v>
      </c>
      <c r="K20" s="243" t="s">
        <v>781</v>
      </c>
      <c r="L20" s="229"/>
      <c r="M20" s="273" t="s">
        <v>174</v>
      </c>
      <c r="N20" s="5" t="s">
        <v>175</v>
      </c>
      <c r="O20" s="246" t="s">
        <v>176</v>
      </c>
      <c r="P20" s="229" t="s">
        <v>152</v>
      </c>
      <c r="Q20" s="231" t="s">
        <v>154</v>
      </c>
      <c r="R20" s="235">
        <f>(COUNTA(G20:Q20))/10</f>
        <v>1</v>
      </c>
      <c r="S20" s="505"/>
      <c r="U20" s="743"/>
      <c r="V20" s="744"/>
      <c r="W20" s="744"/>
      <c r="X20" s="744"/>
      <c r="Y20" s="744"/>
      <c r="Z20" s="745"/>
      <c r="AA20" s="238"/>
    </row>
    <row r="21" spans="1:28" ht="27.95" customHeight="1" thickBot="1" x14ac:dyDescent="0.2">
      <c r="A21" s="258"/>
      <c r="B21" s="274" t="s">
        <v>177</v>
      </c>
      <c r="C21" s="600"/>
      <c r="D21" s="601"/>
      <c r="E21" s="471" t="s">
        <v>178</v>
      </c>
      <c r="F21" s="261"/>
      <c r="G21" s="230" t="s">
        <v>179</v>
      </c>
      <c r="H21" s="230" t="s">
        <v>180</v>
      </c>
      <c r="I21" s="384" t="s">
        <v>288</v>
      </c>
      <c r="J21" s="249" t="s">
        <v>309</v>
      </c>
      <c r="K21" s="249" t="s">
        <v>182</v>
      </c>
      <c r="L21" s="247"/>
      <c r="M21" s="249" t="s">
        <v>183</v>
      </c>
      <c r="N21" s="247" t="s">
        <v>184</v>
      </c>
      <c r="O21" s="249" t="s">
        <v>185</v>
      </c>
      <c r="P21" s="372" t="s">
        <v>153</v>
      </c>
      <c r="Q21" s="506" t="s">
        <v>178</v>
      </c>
      <c r="R21" s="235">
        <f>(COUNTA(F21:P21))/9</f>
        <v>1</v>
      </c>
      <c r="S21" s="505"/>
      <c r="U21" s="746"/>
      <c r="V21" s="747"/>
      <c r="W21" s="747"/>
      <c r="X21" s="747"/>
      <c r="Y21" s="747"/>
      <c r="Z21" s="748"/>
    </row>
    <row r="22" spans="1:28" s="237" customFormat="1" ht="27.95" customHeight="1" thickBot="1" x14ac:dyDescent="0.2">
      <c r="A22" s="227">
        <v>17</v>
      </c>
      <c r="B22" s="245" t="s">
        <v>147</v>
      </c>
      <c r="C22" s="255" t="s">
        <v>827</v>
      </c>
      <c r="D22" s="255" t="s">
        <v>840</v>
      </c>
      <c r="E22" s="231" t="s">
        <v>251</v>
      </c>
      <c r="F22" s="253" t="s">
        <v>254</v>
      </c>
      <c r="G22" s="277" t="s">
        <v>148</v>
      </c>
      <c r="H22" s="278" t="s">
        <v>149</v>
      </c>
      <c r="I22" s="160" t="s">
        <v>150</v>
      </c>
      <c r="J22" s="253" t="s">
        <v>151</v>
      </c>
      <c r="K22" s="253" t="s">
        <v>18</v>
      </c>
      <c r="L22" s="277"/>
      <c r="M22" s="253" t="s">
        <v>19</v>
      </c>
      <c r="N22" s="279" t="s">
        <v>152</v>
      </c>
      <c r="O22" s="160" t="s">
        <v>968</v>
      </c>
      <c r="P22" s="541"/>
      <c r="Q22" s="542"/>
      <c r="R22" s="235">
        <f>(COUNTA(C22:Q22))/12</f>
        <v>1</v>
      </c>
      <c r="S22" s="505"/>
      <c r="U22" s="547" t="s">
        <v>312</v>
      </c>
      <c r="V22" s="548"/>
      <c r="W22" s="548"/>
      <c r="X22" s="548"/>
      <c r="Y22" s="548"/>
      <c r="Z22" s="549"/>
      <c r="AA22" s="238"/>
    </row>
    <row r="23" spans="1:28" ht="27.95" customHeight="1" x14ac:dyDescent="0.15">
      <c r="A23" s="270">
        <v>18</v>
      </c>
      <c r="B23" s="245" t="s">
        <v>199</v>
      </c>
      <c r="C23" s="268" t="s">
        <v>833</v>
      </c>
      <c r="D23" s="268" t="s">
        <v>833</v>
      </c>
      <c r="E23" s="273" t="s">
        <v>200</v>
      </c>
      <c r="F23" s="229" t="s">
        <v>201</v>
      </c>
      <c r="G23" s="18" t="s">
        <v>26</v>
      </c>
      <c r="H23" s="241" t="s">
        <v>241</v>
      </c>
      <c r="I23" s="229" t="s">
        <v>757</v>
      </c>
      <c r="J23" s="229" t="s">
        <v>202</v>
      </c>
      <c r="K23" s="23" t="s">
        <v>203</v>
      </c>
      <c r="L23" s="229"/>
      <c r="M23" s="243" t="s">
        <v>204</v>
      </c>
      <c r="N23" s="229" t="s">
        <v>269</v>
      </c>
      <c r="O23" s="269" t="s">
        <v>205</v>
      </c>
      <c r="P23" s="543"/>
      <c r="Q23" s="544"/>
      <c r="R23" s="235">
        <f t="shared" ref="R23:R25" si="1">(COUNTA(C23:Q23))/12</f>
        <v>1</v>
      </c>
      <c r="S23" s="505"/>
      <c r="U23" s="711" t="s">
        <v>980</v>
      </c>
      <c r="V23" s="712"/>
      <c r="W23" s="712"/>
      <c r="X23" s="712"/>
      <c r="Y23" s="712"/>
      <c r="Z23" s="713"/>
    </row>
    <row r="24" spans="1:28" ht="27.95" customHeight="1" x14ac:dyDescent="0.15">
      <c r="A24" s="270">
        <v>19</v>
      </c>
      <c r="B24" s="280" t="s">
        <v>27</v>
      </c>
      <c r="C24" s="255" t="s">
        <v>704</v>
      </c>
      <c r="D24" s="255" t="s">
        <v>845</v>
      </c>
      <c r="E24" s="243" t="s">
        <v>551</v>
      </c>
      <c r="F24" s="418" t="s">
        <v>970</v>
      </c>
      <c r="G24" s="229" t="s">
        <v>291</v>
      </c>
      <c r="H24" s="16" t="s">
        <v>289</v>
      </c>
      <c r="I24" s="241" t="s">
        <v>707</v>
      </c>
      <c r="J24" s="241" t="s">
        <v>696</v>
      </c>
      <c r="K24" s="229" t="s">
        <v>712</v>
      </c>
      <c r="L24" s="243"/>
      <c r="M24" s="418" t="s">
        <v>363</v>
      </c>
      <c r="N24" s="243" t="s">
        <v>267</v>
      </c>
      <c r="O24" s="504" t="s">
        <v>952</v>
      </c>
      <c r="P24" s="545"/>
      <c r="Q24" s="546"/>
      <c r="R24" s="235">
        <f t="shared" si="1"/>
        <v>1</v>
      </c>
      <c r="S24" s="505"/>
      <c r="U24" s="714"/>
      <c r="V24" s="715"/>
      <c r="W24" s="715"/>
      <c r="X24" s="715"/>
      <c r="Y24" s="715"/>
      <c r="Z24" s="716"/>
      <c r="AA24" s="283"/>
    </row>
    <row r="25" spans="1:28" ht="27.95" customHeight="1" thickBot="1" x14ac:dyDescent="0.2">
      <c r="A25" s="239">
        <v>20</v>
      </c>
      <c r="B25" s="284" t="s">
        <v>206</v>
      </c>
      <c r="C25" s="550"/>
      <c r="D25" s="551"/>
      <c r="E25" s="230" t="s">
        <v>207</v>
      </c>
      <c r="F25" s="497" t="s">
        <v>706</v>
      </c>
      <c r="G25" s="229" t="s">
        <v>267</v>
      </c>
      <c r="H25" s="249" t="s">
        <v>190</v>
      </c>
      <c r="I25" s="249" t="s">
        <v>696</v>
      </c>
      <c r="J25" s="261" t="s">
        <v>208</v>
      </c>
      <c r="K25" s="243" t="s">
        <v>192</v>
      </c>
      <c r="L25" s="248"/>
      <c r="M25" s="271" t="s">
        <v>952</v>
      </c>
      <c r="N25" s="230" t="s">
        <v>28</v>
      </c>
      <c r="O25" s="260" t="s">
        <v>712</v>
      </c>
      <c r="P25" s="243" t="s">
        <v>209</v>
      </c>
      <c r="Q25" s="389" t="s">
        <v>972</v>
      </c>
      <c r="R25" s="235">
        <f t="shared" si="1"/>
        <v>1</v>
      </c>
      <c r="S25" s="505"/>
      <c r="U25" s="714"/>
      <c r="V25" s="715"/>
      <c r="W25" s="715"/>
      <c r="X25" s="715"/>
      <c r="Y25" s="715"/>
      <c r="Z25" s="716"/>
    </row>
    <row r="26" spans="1:28" s="237" customFormat="1" ht="27.75" customHeight="1" x14ac:dyDescent="0.15">
      <c r="A26" s="285" t="s">
        <v>210</v>
      </c>
      <c r="B26" s="286" t="s">
        <v>29</v>
      </c>
      <c r="C26" s="552"/>
      <c r="D26" s="553"/>
      <c r="E26" s="278"/>
      <c r="F26" s="278" t="s">
        <v>305</v>
      </c>
      <c r="G26" s="278" t="s">
        <v>251</v>
      </c>
      <c r="H26" s="229"/>
      <c r="I26" s="254" t="s">
        <v>304</v>
      </c>
      <c r="J26" s="246" t="s">
        <v>30</v>
      </c>
      <c r="K26" s="287"/>
      <c r="L26" s="254"/>
      <c r="M26" s="287"/>
      <c r="N26" s="278" t="s">
        <v>211</v>
      </c>
      <c r="O26" s="278" t="s">
        <v>73</v>
      </c>
      <c r="P26" s="160"/>
      <c r="Q26" s="278" t="s">
        <v>757</v>
      </c>
      <c r="R26" s="235">
        <f>(COUNTA(C26:Q26))/7</f>
        <v>1</v>
      </c>
      <c r="U26" s="714"/>
      <c r="V26" s="715"/>
      <c r="W26" s="715"/>
      <c r="X26" s="715"/>
      <c r="Y26" s="715"/>
      <c r="Z26" s="716"/>
      <c r="AA26" s="238"/>
      <c r="AB26" s="237">
        <v>9</v>
      </c>
    </row>
    <row r="27" spans="1:28" s="291" customFormat="1" ht="27.95" customHeight="1" thickBot="1" x14ac:dyDescent="0.2">
      <c r="A27" s="288"/>
      <c r="B27" s="289" t="s">
        <v>212</v>
      </c>
      <c r="C27" s="554"/>
      <c r="D27" s="555"/>
      <c r="E27" s="249" t="s">
        <v>260</v>
      </c>
      <c r="F27" s="247" t="s">
        <v>31</v>
      </c>
      <c r="G27" s="249"/>
      <c r="H27" s="249"/>
      <c r="I27" s="30" t="s">
        <v>569</v>
      </c>
      <c r="J27" s="290" t="s">
        <v>569</v>
      </c>
      <c r="K27" s="229" t="s">
        <v>213</v>
      </c>
      <c r="L27" s="248"/>
      <c r="M27" s="261" t="s">
        <v>255</v>
      </c>
      <c r="N27" s="30" t="s">
        <v>896</v>
      </c>
      <c r="O27" s="290" t="s">
        <v>974</v>
      </c>
      <c r="P27" s="247" t="s">
        <v>93</v>
      </c>
      <c r="Q27" s="249" t="s">
        <v>126</v>
      </c>
      <c r="R27" s="235">
        <f>(COUNTA(C27:Q27))/8</f>
        <v>1.25</v>
      </c>
      <c r="S27" s="505"/>
      <c r="U27" s="714"/>
      <c r="V27" s="715"/>
      <c r="W27" s="715"/>
      <c r="X27" s="715"/>
      <c r="Y27" s="715"/>
      <c r="Z27" s="716"/>
      <c r="AA27" s="292"/>
    </row>
    <row r="28" spans="1:28" s="291" customFormat="1" ht="9.9499999999999993" customHeight="1" thickBot="1" x14ac:dyDescent="0.2">
      <c r="A28" s="293"/>
      <c r="B28" s="294"/>
      <c r="C28" s="295"/>
      <c r="D28" s="296"/>
      <c r="E28" s="297"/>
      <c r="F28" s="298"/>
      <c r="G28" s="297"/>
      <c r="H28" s="297"/>
      <c r="I28" s="297"/>
      <c r="J28" s="80"/>
      <c r="K28" s="297"/>
      <c r="L28" s="298"/>
      <c r="M28" s="299"/>
      <c r="N28" s="82"/>
      <c r="O28" s="300"/>
      <c r="P28" s="244"/>
      <c r="Q28" s="279"/>
      <c r="R28" s="235"/>
      <c r="S28" s="505"/>
      <c r="U28" s="714"/>
      <c r="V28" s="715"/>
      <c r="W28" s="715"/>
      <c r="X28" s="715"/>
      <c r="Y28" s="715"/>
      <c r="Z28" s="716"/>
      <c r="AA28" s="292"/>
    </row>
    <row r="29" spans="1:28" ht="120" customHeight="1" thickBot="1" x14ac:dyDescent="0.2">
      <c r="A29" s="574"/>
      <c r="B29" s="576" t="s">
        <v>216</v>
      </c>
      <c r="C29" s="578"/>
      <c r="D29" s="579"/>
      <c r="E29" s="233" t="s">
        <v>881</v>
      </c>
      <c r="F29" s="231" t="s">
        <v>294</v>
      </c>
      <c r="G29" s="233" t="s">
        <v>259</v>
      </c>
      <c r="H29" s="301" t="s">
        <v>298</v>
      </c>
      <c r="I29" s="231" t="s">
        <v>256</v>
      </c>
      <c r="J29" s="231" t="s">
        <v>960</v>
      </c>
      <c r="K29" s="253" t="s">
        <v>218</v>
      </c>
      <c r="L29" s="254"/>
      <c r="M29" s="233" t="s">
        <v>219</v>
      </c>
      <c r="N29" s="253" t="s">
        <v>868</v>
      </c>
      <c r="O29" s="302" t="s">
        <v>292</v>
      </c>
      <c r="P29" s="278" t="s">
        <v>220</v>
      </c>
      <c r="Q29" s="278" t="s">
        <v>239</v>
      </c>
      <c r="R29" s="235">
        <f>(COUNTA(C29:Q29))/12</f>
        <v>1</v>
      </c>
      <c r="S29" s="237"/>
      <c r="T29" s="237"/>
      <c r="U29" s="717"/>
      <c r="V29" s="718"/>
      <c r="W29" s="718"/>
      <c r="X29" s="718"/>
      <c r="Y29" s="718"/>
      <c r="Z29" s="719"/>
    </row>
    <row r="30" spans="1:28" ht="120" customHeight="1" x14ac:dyDescent="0.15">
      <c r="A30" s="575"/>
      <c r="B30" s="577"/>
      <c r="C30" s="580"/>
      <c r="D30" s="581"/>
      <c r="E30" s="170" t="s">
        <v>955</v>
      </c>
      <c r="F30" s="170" t="s">
        <v>969</v>
      </c>
      <c r="G30" s="174" t="s">
        <v>949</v>
      </c>
      <c r="H30" s="170" t="s">
        <v>832</v>
      </c>
      <c r="I30" s="170" t="s">
        <v>665</v>
      </c>
      <c r="J30" s="170" t="s">
        <v>841</v>
      </c>
      <c r="K30" s="170" t="s">
        <v>822</v>
      </c>
      <c r="L30" s="171"/>
      <c r="M30" s="170" t="s">
        <v>902</v>
      </c>
      <c r="N30" s="170" t="s">
        <v>975</v>
      </c>
      <c r="O30" s="170" t="s">
        <v>973</v>
      </c>
      <c r="P30" s="170" t="s">
        <v>971</v>
      </c>
      <c r="Q30" s="170" t="s">
        <v>858</v>
      </c>
      <c r="R30" s="235"/>
      <c r="S30" s="237"/>
      <c r="T30" s="237"/>
      <c r="U30" s="584" t="s">
        <v>32</v>
      </c>
      <c r="V30" s="585"/>
      <c r="W30" s="585"/>
      <c r="X30" s="585"/>
      <c r="Y30" s="585"/>
      <c r="Z30" s="586"/>
    </row>
    <row r="31" spans="1:28" ht="120" customHeight="1" thickBot="1" x14ac:dyDescent="0.2">
      <c r="A31" s="303"/>
      <c r="B31" s="304" t="s">
        <v>589</v>
      </c>
      <c r="C31" s="582"/>
      <c r="D31" s="583"/>
      <c r="E31" s="590" t="s">
        <v>178</v>
      </c>
      <c r="F31" s="591"/>
      <c r="G31" s="248" t="s">
        <v>258</v>
      </c>
      <c r="H31" s="249" t="s">
        <v>307</v>
      </c>
      <c r="I31" s="230" t="s">
        <v>296</v>
      </c>
      <c r="J31" s="230" t="s">
        <v>299</v>
      </c>
      <c r="K31" s="249" t="s">
        <v>33</v>
      </c>
      <c r="L31" s="305"/>
      <c r="M31" s="248" t="s">
        <v>221</v>
      </c>
      <c r="N31" s="230" t="s">
        <v>597</v>
      </c>
      <c r="O31" s="247" t="s">
        <v>869</v>
      </c>
      <c r="P31" s="230" t="s">
        <v>34</v>
      </c>
      <c r="Q31" s="249"/>
      <c r="R31" s="235">
        <f>(COUNTA(G31:Q31))/9</f>
        <v>1</v>
      </c>
      <c r="S31" s="237"/>
      <c r="T31" s="237"/>
      <c r="U31" s="587"/>
      <c r="V31" s="588"/>
      <c r="W31" s="588"/>
      <c r="X31" s="588"/>
      <c r="Y31" s="588"/>
      <c r="Z31" s="589"/>
    </row>
    <row r="32" spans="1:28" s="237" customFormat="1" ht="9.9499999999999993" customHeight="1" x14ac:dyDescent="0.15">
      <c r="A32" s="306"/>
      <c r="B32" s="307"/>
      <c r="C32" s="308"/>
      <c r="D32" s="430"/>
      <c r="E32" s="430"/>
      <c r="F32" s="430"/>
      <c r="G32" s="430"/>
      <c r="H32" s="430"/>
      <c r="I32" s="430"/>
      <c r="J32" s="430"/>
      <c r="K32" s="430"/>
      <c r="L32" s="430"/>
      <c r="M32" s="430"/>
      <c r="N32" s="430"/>
      <c r="O32" s="430"/>
      <c r="P32" s="430"/>
      <c r="Q32" s="430"/>
      <c r="R32" s="235"/>
      <c r="U32" s="309"/>
      <c r="V32" s="309"/>
      <c r="W32" s="309"/>
      <c r="X32" s="309"/>
      <c r="Y32" s="309"/>
      <c r="Z32" s="310"/>
      <c r="AA32" s="238"/>
    </row>
    <row r="33" spans="1:27" s="237" customFormat="1" ht="21" customHeight="1" x14ac:dyDescent="0.15">
      <c r="A33" s="311"/>
      <c r="B33" s="312"/>
      <c r="C33" s="313"/>
      <c r="D33" s="314" t="s">
        <v>224</v>
      </c>
      <c r="E33" s="315" t="s">
        <v>35</v>
      </c>
      <c r="F33" s="316" t="s">
        <v>1</v>
      </c>
      <c r="G33" s="316" t="s">
        <v>2</v>
      </c>
      <c r="H33" s="316" t="s">
        <v>36</v>
      </c>
      <c r="I33" s="316" t="s">
        <v>4</v>
      </c>
      <c r="J33" s="316" t="s">
        <v>37</v>
      </c>
      <c r="K33" s="316" t="s">
        <v>38</v>
      </c>
      <c r="L33" s="317" t="s">
        <v>39</v>
      </c>
      <c r="M33" s="316" t="s">
        <v>40</v>
      </c>
      <c r="N33" s="316" t="s">
        <v>9</v>
      </c>
      <c r="O33" s="316" t="s">
        <v>10</v>
      </c>
      <c r="P33" s="316" t="s">
        <v>11</v>
      </c>
      <c r="Q33" s="318" t="s">
        <v>12</v>
      </c>
      <c r="R33" s="319"/>
      <c r="U33" s="309"/>
      <c r="V33" s="309"/>
      <c r="W33" s="309"/>
      <c r="X33" s="309"/>
      <c r="Y33" s="309"/>
      <c r="Z33" s="310"/>
      <c r="AA33" s="238"/>
    </row>
    <row r="34" spans="1:27" s="237" customFormat="1" ht="45.75" customHeight="1" x14ac:dyDescent="0.15">
      <c r="A34" s="217"/>
      <c r="B34" s="320"/>
      <c r="C34" s="320"/>
      <c r="D34" s="537" t="s">
        <v>225</v>
      </c>
      <c r="E34" s="321" t="s">
        <v>277</v>
      </c>
      <c r="F34" s="321" t="s">
        <v>319</v>
      </c>
      <c r="G34" s="321" t="s">
        <v>913</v>
      </c>
      <c r="H34" s="321" t="s">
        <v>884</v>
      </c>
      <c r="I34" s="321" t="s">
        <v>914</v>
      </c>
      <c r="J34" s="324" t="s">
        <v>16</v>
      </c>
      <c r="K34" s="321" t="s">
        <v>830</v>
      </c>
      <c r="L34" s="322"/>
      <c r="M34" s="321" t="s">
        <v>41</v>
      </c>
      <c r="N34" s="321" t="s">
        <v>71</v>
      </c>
      <c r="O34" s="321" t="s">
        <v>817</v>
      </c>
      <c r="P34" s="321" t="s">
        <v>353</v>
      </c>
      <c r="Q34" s="321" t="s">
        <v>253</v>
      </c>
      <c r="R34" s="319"/>
      <c r="S34" s="323">
        <v>23</v>
      </c>
      <c r="V34" s="309"/>
      <c r="W34" s="309"/>
      <c r="X34" s="309"/>
      <c r="Y34" s="309"/>
      <c r="Z34" s="310"/>
      <c r="AA34" s="238"/>
    </row>
    <row r="35" spans="1:27" s="237" customFormat="1" ht="45.75" customHeight="1" x14ac:dyDescent="0.15">
      <c r="A35" s="217"/>
      <c r="B35" s="320"/>
      <c r="C35" s="320"/>
      <c r="D35" s="538"/>
      <c r="E35" s="322"/>
      <c r="F35" s="321"/>
      <c r="G35" s="322"/>
      <c r="H35" s="321"/>
      <c r="I35" s="322"/>
      <c r="J35" s="321" t="s">
        <v>42</v>
      </c>
      <c r="K35" s="321"/>
      <c r="L35" s="322"/>
      <c r="M35" s="321" t="s">
        <v>227</v>
      </c>
      <c r="N35" s="322" t="s">
        <v>14</v>
      </c>
      <c r="O35" s="321" t="s">
        <v>228</v>
      </c>
      <c r="P35" s="321"/>
      <c r="Q35" s="321"/>
      <c r="R35" s="325"/>
      <c r="S35" s="326"/>
      <c r="V35" s="309"/>
      <c r="W35" s="309"/>
      <c r="X35" s="309"/>
      <c r="Y35" s="309"/>
      <c r="Z35" s="218"/>
      <c r="AA35" s="238"/>
    </row>
    <row r="36" spans="1:27" ht="27.95" customHeight="1" x14ac:dyDescent="0.15">
      <c r="D36" s="327" t="s">
        <v>229</v>
      </c>
      <c r="E36" s="322" t="s">
        <v>339</v>
      </c>
      <c r="F36" s="322"/>
      <c r="G36" s="322" t="s">
        <v>66</v>
      </c>
      <c r="H36" s="329"/>
      <c r="I36" s="322" t="s">
        <v>230</v>
      </c>
      <c r="J36" s="322"/>
      <c r="K36" s="322"/>
      <c r="L36" s="322"/>
      <c r="M36" s="322"/>
      <c r="N36" s="329"/>
      <c r="O36" s="322"/>
      <c r="P36" s="322"/>
      <c r="Q36" s="322" t="s">
        <v>231</v>
      </c>
      <c r="R36" s="330"/>
      <c r="S36" s="326">
        <v>4</v>
      </c>
      <c r="U36" s="217"/>
      <c r="V36" s="309"/>
      <c r="W36" s="309"/>
      <c r="X36" s="309"/>
      <c r="Y36" s="309"/>
      <c r="Z36" s="310"/>
    </row>
    <row r="37" spans="1:27" s="291" customFormat="1" ht="42" customHeight="1" x14ac:dyDescent="0.15">
      <c r="A37" s="217"/>
      <c r="B37" s="320"/>
      <c r="C37" s="320"/>
      <c r="D37" s="327" t="s">
        <v>232</v>
      </c>
      <c r="E37" s="321" t="s">
        <v>320</v>
      </c>
      <c r="F37" s="321" t="s">
        <v>790</v>
      </c>
      <c r="G37" s="321" t="s">
        <v>301</v>
      </c>
      <c r="H37" s="321" t="s">
        <v>976</v>
      </c>
      <c r="I37" s="321" t="s">
        <v>249</v>
      </c>
      <c r="J37" s="321" t="s">
        <v>977</v>
      </c>
      <c r="K37" s="321" t="s">
        <v>836</v>
      </c>
      <c r="L37" s="322"/>
      <c r="M37" s="321" t="s">
        <v>322</v>
      </c>
      <c r="N37" s="321" t="s">
        <v>323</v>
      </c>
      <c r="O37" s="321" t="s">
        <v>72</v>
      </c>
      <c r="P37" s="331" t="s">
        <v>303</v>
      </c>
      <c r="Q37" s="321" t="s">
        <v>44</v>
      </c>
      <c r="R37" s="330"/>
      <c r="S37" s="332">
        <v>20</v>
      </c>
      <c r="V37" s="309"/>
      <c r="W37" s="309"/>
      <c r="X37" s="309"/>
      <c r="Y37" s="309"/>
      <c r="Z37" s="218"/>
      <c r="AA37" s="292"/>
    </row>
    <row r="38" spans="1:27" ht="42" customHeight="1" x14ac:dyDescent="0.15">
      <c r="D38" s="333" t="s">
        <v>233</v>
      </c>
      <c r="E38" s="321" t="s">
        <v>250</v>
      </c>
      <c r="F38" s="321" t="s">
        <v>245</v>
      </c>
      <c r="G38" s="321" t="s">
        <v>959</v>
      </c>
      <c r="H38" s="321" t="s">
        <v>60</v>
      </c>
      <c r="I38" s="321" t="s">
        <v>692</v>
      </c>
      <c r="J38" s="321" t="s">
        <v>235</v>
      </c>
      <c r="K38" s="324" t="s">
        <v>882</v>
      </c>
      <c r="L38" s="334"/>
      <c r="M38" s="321" t="s">
        <v>247</v>
      </c>
      <c r="N38" s="321" t="s">
        <v>270</v>
      </c>
      <c r="O38" s="321" t="s">
        <v>302</v>
      </c>
      <c r="P38" s="321" t="s">
        <v>248</v>
      </c>
      <c r="Q38" s="321" t="s">
        <v>878</v>
      </c>
      <c r="R38" s="335"/>
      <c r="S38" s="332">
        <v>22</v>
      </c>
      <c r="U38" s="217"/>
      <c r="V38" s="309"/>
      <c r="W38" s="309"/>
      <c r="X38" s="309"/>
      <c r="Y38" s="309"/>
      <c r="Z38" s="336"/>
    </row>
    <row r="39" spans="1:27" ht="9.9499999999999993" customHeight="1" x14ac:dyDescent="0.15">
      <c r="D39" s="539"/>
      <c r="E39" s="539"/>
      <c r="F39" s="539"/>
      <c r="G39" s="539"/>
      <c r="H39" s="539"/>
      <c r="I39" s="539"/>
      <c r="J39" s="539"/>
      <c r="K39" s="539"/>
      <c r="L39" s="539"/>
      <c r="M39" s="539"/>
      <c r="N39" s="539"/>
      <c r="O39" s="539"/>
      <c r="P39" s="539"/>
      <c r="Q39" s="539"/>
      <c r="R39" s="539"/>
      <c r="S39" s="332">
        <f>S34+S36+S37+S38</f>
        <v>69</v>
      </c>
      <c r="U39" s="217"/>
      <c r="V39" s="309"/>
      <c r="W39" s="309"/>
      <c r="X39" s="309"/>
      <c r="Y39" s="309"/>
    </row>
    <row r="40" spans="1:27" ht="21" customHeight="1" x14ac:dyDescent="0.15">
      <c r="D40" s="337"/>
      <c r="E40" s="338" t="s">
        <v>0</v>
      </c>
      <c r="F40" s="339" t="s">
        <v>1</v>
      </c>
      <c r="G40" s="339" t="s">
        <v>2</v>
      </c>
      <c r="H40" s="340" t="s">
        <v>3</v>
      </c>
      <c r="I40" s="341" t="s">
        <v>47</v>
      </c>
      <c r="J40" s="339" t="s">
        <v>5</v>
      </c>
      <c r="K40" s="339" t="s">
        <v>6</v>
      </c>
      <c r="L40" s="317"/>
      <c r="M40" s="339" t="s">
        <v>8</v>
      </c>
      <c r="N40" s="339" t="s">
        <v>9</v>
      </c>
      <c r="O40" s="341" t="s">
        <v>10</v>
      </c>
      <c r="P40" s="339" t="s">
        <v>11</v>
      </c>
      <c r="Q40" s="339" t="s">
        <v>12</v>
      </c>
      <c r="R40" s="342" t="s">
        <v>48</v>
      </c>
      <c r="S40" s="343" t="s">
        <v>263</v>
      </c>
    </row>
    <row r="41" spans="1:27" ht="39.950000000000003" customHeight="1" x14ac:dyDescent="0.15">
      <c r="D41" s="344" t="s">
        <v>49</v>
      </c>
      <c r="E41" s="345"/>
      <c r="F41" s="346"/>
      <c r="G41" s="346"/>
      <c r="H41" s="347"/>
      <c r="I41" s="348" t="s">
        <v>262</v>
      </c>
      <c r="J41" s="346"/>
      <c r="K41" s="348"/>
      <c r="L41" s="349"/>
      <c r="M41" s="346"/>
      <c r="N41" s="346"/>
      <c r="O41" s="350"/>
      <c r="P41" s="346"/>
      <c r="Q41" s="346"/>
      <c r="R41" s="351" t="s">
        <v>55</v>
      </c>
      <c r="S41" s="352"/>
      <c r="U41" s="540" t="s">
        <v>236</v>
      </c>
      <c r="V41" s="540"/>
      <c r="W41" s="540"/>
      <c r="X41" s="505"/>
      <c r="Y41" s="505"/>
      <c r="Z41" s="505"/>
    </row>
    <row r="42" spans="1:27" ht="39.950000000000003" customHeight="1" x14ac:dyDescent="0.15">
      <c r="D42" s="353" t="s">
        <v>50</v>
      </c>
      <c r="E42" s="354"/>
      <c r="F42" s="282"/>
      <c r="G42" s="282"/>
      <c r="H42" s="234"/>
      <c r="I42" s="355" t="s">
        <v>877</v>
      </c>
      <c r="J42" s="234"/>
      <c r="K42" s="282" t="s">
        <v>56</v>
      </c>
      <c r="L42" s="322"/>
      <c r="M42" s="355" t="s">
        <v>876</v>
      </c>
      <c r="N42" s="234"/>
      <c r="O42" s="282" t="s">
        <v>261</v>
      </c>
      <c r="P42" s="282"/>
      <c r="Q42" s="234"/>
      <c r="R42" s="356"/>
      <c r="S42" s="357"/>
      <c r="U42" s="505"/>
      <c r="V42" s="505"/>
      <c r="W42" s="505"/>
      <c r="X42" s="505"/>
      <c r="Y42" s="505"/>
      <c r="Z42" s="505"/>
      <c r="AA42" s="358"/>
    </row>
    <row r="43" spans="1:27" ht="39.950000000000003" customHeight="1" x14ac:dyDescent="0.15">
      <c r="D43" s="344" t="s">
        <v>51</v>
      </c>
      <c r="E43" s="354"/>
      <c r="F43" s="234"/>
      <c r="G43" s="282" t="s">
        <v>266</v>
      </c>
      <c r="H43" s="355"/>
      <c r="I43" s="355" t="s">
        <v>306</v>
      </c>
      <c r="J43" s="355" t="s">
        <v>282</v>
      </c>
      <c r="K43" s="355" t="s">
        <v>293</v>
      </c>
      <c r="L43" s="243"/>
      <c r="M43" s="355" t="s">
        <v>883</v>
      </c>
      <c r="N43" s="234" t="s">
        <v>58</v>
      </c>
      <c r="O43" s="282"/>
      <c r="P43" s="234"/>
      <c r="Q43" s="359" t="s">
        <v>57</v>
      </c>
      <c r="R43" s="360"/>
      <c r="S43" s="361"/>
      <c r="U43" s="505"/>
      <c r="V43" s="505"/>
      <c r="W43" s="505"/>
      <c r="X43" s="505"/>
      <c r="Y43" s="505"/>
      <c r="Z43" s="505"/>
      <c r="AA43" s="358"/>
    </row>
    <row r="44" spans="1:27" ht="39.950000000000003" customHeight="1" x14ac:dyDescent="0.15">
      <c r="D44" s="353" t="s">
        <v>52</v>
      </c>
      <c r="E44" s="354"/>
      <c r="F44" s="282"/>
      <c r="G44" s="282"/>
      <c r="H44" s="234"/>
      <c r="I44" s="234"/>
      <c r="J44" s="234"/>
      <c r="K44" s="282"/>
      <c r="L44" s="322"/>
      <c r="M44" s="282" t="s">
        <v>54</v>
      </c>
      <c r="N44" s="282"/>
      <c r="O44" s="282"/>
      <c r="P44" s="282"/>
      <c r="Q44" s="282" t="s">
        <v>264</v>
      </c>
      <c r="R44" s="356"/>
      <c r="S44" s="357"/>
      <c r="U44" s="505"/>
      <c r="V44" s="505"/>
      <c r="W44" s="505"/>
      <c r="X44" s="505"/>
      <c r="Y44" s="505"/>
      <c r="Z44" s="505"/>
      <c r="AA44" s="358"/>
    </row>
    <row r="45" spans="1:27" ht="39.950000000000003" customHeight="1" x14ac:dyDescent="0.15">
      <c r="D45" s="362" t="s">
        <v>53</v>
      </c>
      <c r="E45" s="363"/>
      <c r="F45" s="364"/>
      <c r="G45" s="365"/>
      <c r="H45" s="364"/>
      <c r="I45" s="364"/>
      <c r="J45" s="364"/>
      <c r="K45" s="364"/>
      <c r="L45" s="334"/>
      <c r="M45" s="364"/>
      <c r="N45" s="364"/>
      <c r="O45" s="364"/>
      <c r="P45" s="365"/>
      <c r="Q45" s="364"/>
      <c r="R45" s="366"/>
      <c r="S45" s="367"/>
      <c r="U45" s="505"/>
      <c r="V45" s="505"/>
      <c r="W45" s="505"/>
      <c r="X45" s="505"/>
      <c r="Y45" s="505"/>
      <c r="Z45" s="505"/>
      <c r="AA45" s="358"/>
    </row>
    <row r="46" spans="1:27" ht="27.95" customHeight="1" x14ac:dyDescent="0.15">
      <c r="C46" s="217"/>
      <c r="D46" s="362" t="s">
        <v>874</v>
      </c>
      <c r="E46" s="363"/>
      <c r="F46" s="364"/>
      <c r="G46" s="365" t="s">
        <v>55</v>
      </c>
      <c r="H46" s="364"/>
      <c r="I46" s="364"/>
      <c r="J46" s="364"/>
      <c r="K46" s="364"/>
      <c r="L46" s="334"/>
      <c r="M46" s="364"/>
      <c r="N46" s="364"/>
      <c r="O46" s="364"/>
      <c r="P46" s="365"/>
      <c r="Q46" s="364"/>
      <c r="R46" s="366"/>
      <c r="S46" s="367"/>
      <c r="U46" s="505"/>
      <c r="V46" s="505"/>
      <c r="W46" s="505"/>
      <c r="X46" s="505"/>
      <c r="Y46" s="505"/>
      <c r="Z46" s="505"/>
      <c r="AA46" s="358"/>
    </row>
    <row r="47" spans="1:27" ht="27.95" customHeight="1" x14ac:dyDescent="0.15">
      <c r="R47" s="369"/>
      <c r="S47" s="320"/>
      <c r="AA47" s="358"/>
    </row>
    <row r="48" spans="1:27" ht="16.5" customHeight="1" x14ac:dyDescent="0.15">
      <c r="R48" s="369"/>
    </row>
    <row r="49" spans="1:27" s="329" customFormat="1" ht="16.5" customHeight="1" x14ac:dyDescent="0.15">
      <c r="A49" s="217"/>
      <c r="B49" s="370"/>
      <c r="C49" s="320"/>
      <c r="D49" s="320"/>
      <c r="E49" s="320"/>
      <c r="F49" s="320"/>
      <c r="G49" s="320"/>
      <c r="H49" s="320"/>
      <c r="I49" s="320"/>
      <c r="J49" s="320"/>
      <c r="K49" s="320"/>
      <c r="M49" s="217"/>
      <c r="N49" s="217"/>
      <c r="O49" s="217"/>
      <c r="P49" s="217"/>
      <c r="Q49" s="217"/>
      <c r="R49" s="368"/>
      <c r="S49" s="217"/>
      <c r="T49" s="217"/>
      <c r="U49" s="218"/>
      <c r="V49" s="218"/>
      <c r="W49" s="218"/>
      <c r="X49" s="218"/>
      <c r="Y49" s="218"/>
      <c r="Z49" s="218"/>
      <c r="AA49" s="219"/>
    </row>
    <row r="50" spans="1:27" s="329" customFormat="1" ht="16.5" customHeight="1" x14ac:dyDescent="0.15">
      <c r="A50" s="217"/>
      <c r="B50" s="320"/>
      <c r="C50" s="320"/>
      <c r="D50" s="320"/>
      <c r="E50" s="320"/>
      <c r="F50" s="320"/>
      <c r="G50" s="320"/>
      <c r="H50" s="320"/>
      <c r="I50" s="320"/>
      <c r="J50" s="320"/>
      <c r="K50" s="320"/>
      <c r="M50" s="217"/>
      <c r="N50" s="217"/>
      <c r="O50" s="217"/>
      <c r="P50" s="217"/>
      <c r="Q50" s="217"/>
      <c r="R50" s="368"/>
      <c r="S50" s="217"/>
      <c r="T50" s="217"/>
      <c r="U50" s="218"/>
      <c r="V50" s="218"/>
      <c r="W50" s="218"/>
      <c r="X50" s="218"/>
      <c r="Y50" s="218"/>
      <c r="Z50" s="218"/>
      <c r="AA50" s="219"/>
    </row>
    <row r="51" spans="1:27" s="329" customFormat="1" ht="17.25" customHeight="1" x14ac:dyDescent="0.15">
      <c r="A51" s="217"/>
      <c r="B51" s="320"/>
      <c r="C51" s="320"/>
      <c r="D51" s="320"/>
      <c r="E51" s="320"/>
      <c r="F51" s="320"/>
      <c r="G51" s="320"/>
      <c r="H51" s="320"/>
      <c r="I51" s="320"/>
      <c r="J51" s="320"/>
      <c r="K51" s="320"/>
      <c r="M51" s="217"/>
      <c r="N51" s="217"/>
      <c r="O51" s="217"/>
      <c r="P51" s="217"/>
      <c r="Q51" s="217"/>
      <c r="R51" s="368"/>
      <c r="S51" s="217"/>
      <c r="T51" s="217"/>
      <c r="U51" s="218"/>
      <c r="V51" s="218"/>
      <c r="W51" s="218"/>
      <c r="X51" s="218"/>
      <c r="Y51" s="218"/>
      <c r="Z51" s="218"/>
      <c r="AA51" s="219"/>
    </row>
    <row r="52" spans="1:27" s="329" customFormat="1" x14ac:dyDescent="0.15">
      <c r="A52" s="217"/>
      <c r="B52" s="320"/>
      <c r="C52" s="320"/>
      <c r="D52" s="320"/>
      <c r="E52" s="320"/>
      <c r="F52" s="320"/>
      <c r="G52" s="320"/>
      <c r="H52" s="320"/>
      <c r="I52" s="320"/>
      <c r="J52" s="320"/>
      <c r="K52" s="320"/>
      <c r="M52" s="217"/>
      <c r="N52" s="217"/>
      <c r="O52" s="217"/>
      <c r="P52" s="217"/>
      <c r="Q52" s="217"/>
      <c r="R52" s="368"/>
      <c r="S52" s="217"/>
      <c r="T52" s="217"/>
      <c r="U52" s="218"/>
      <c r="V52" s="218"/>
      <c r="W52" s="218"/>
      <c r="X52" s="218"/>
      <c r="Y52" s="218"/>
      <c r="Z52" s="218"/>
      <c r="AA52" s="219"/>
    </row>
    <row r="53" spans="1:27" s="329" customFormat="1" ht="16.5" customHeight="1" x14ac:dyDescent="0.15">
      <c r="A53" s="217"/>
      <c r="B53" s="320"/>
      <c r="C53" s="320"/>
      <c r="D53" s="320"/>
      <c r="E53" s="320"/>
      <c r="F53" s="320"/>
      <c r="G53" s="320"/>
      <c r="H53" s="320"/>
      <c r="I53" s="320"/>
      <c r="J53" s="320"/>
      <c r="K53" s="320"/>
      <c r="M53" s="217"/>
      <c r="N53" s="217"/>
      <c r="O53" s="217"/>
      <c r="P53" s="217"/>
      <c r="Q53" s="217"/>
      <c r="R53" s="368"/>
      <c r="S53" s="217"/>
      <c r="T53" s="217"/>
      <c r="U53" s="218"/>
      <c r="V53" s="218"/>
      <c r="W53" s="218"/>
      <c r="X53" s="218"/>
      <c r="Y53" s="218"/>
      <c r="Z53" s="218"/>
      <c r="AA53" s="219"/>
    </row>
    <row r="54" spans="1:27" s="329" customFormat="1" x14ac:dyDescent="0.15">
      <c r="A54" s="217"/>
      <c r="B54" s="320"/>
      <c r="C54" s="320"/>
      <c r="D54" s="320"/>
      <c r="E54" s="320"/>
      <c r="F54" s="320"/>
      <c r="G54" s="320"/>
      <c r="H54" s="320"/>
      <c r="I54" s="320"/>
      <c r="J54" s="320"/>
      <c r="K54" s="320"/>
      <c r="M54" s="217"/>
      <c r="N54" s="217"/>
      <c r="O54" s="217"/>
      <c r="P54" s="217"/>
      <c r="Q54" s="217"/>
      <c r="R54" s="368"/>
      <c r="S54" s="217"/>
      <c r="T54" s="217"/>
      <c r="U54" s="218"/>
      <c r="V54" s="218"/>
      <c r="W54" s="218"/>
      <c r="X54" s="218"/>
      <c r="Y54" s="218"/>
      <c r="Z54" s="218"/>
      <c r="AA54" s="219"/>
    </row>
    <row r="55" spans="1:27" s="329" customFormat="1" x14ac:dyDescent="0.15">
      <c r="A55" s="217"/>
      <c r="B55" s="320"/>
      <c r="C55" s="320"/>
      <c r="D55" s="320"/>
      <c r="E55" s="320"/>
      <c r="F55" s="320"/>
      <c r="G55" s="320"/>
      <c r="H55" s="320"/>
      <c r="I55" s="320"/>
      <c r="J55" s="320"/>
      <c r="K55" s="320"/>
      <c r="M55" s="217"/>
      <c r="N55" s="217"/>
      <c r="O55" s="217"/>
      <c r="P55" s="217"/>
      <c r="Q55" s="217"/>
      <c r="R55" s="368"/>
      <c r="S55" s="217"/>
      <c r="T55" s="217"/>
      <c r="U55" s="218"/>
      <c r="V55" s="218"/>
      <c r="W55" s="218"/>
      <c r="X55" s="218"/>
      <c r="Y55" s="218"/>
      <c r="Z55" s="218"/>
      <c r="AA55" s="219"/>
    </row>
    <row r="56" spans="1:27" s="329" customFormat="1" x14ac:dyDescent="0.15">
      <c r="A56" s="217"/>
      <c r="B56" s="320"/>
      <c r="C56" s="320"/>
      <c r="D56" s="320"/>
      <c r="E56" s="320"/>
      <c r="F56" s="320"/>
      <c r="G56" s="320"/>
      <c r="H56" s="320"/>
      <c r="I56" s="320"/>
      <c r="J56" s="320"/>
      <c r="K56" s="320"/>
      <c r="M56" s="217"/>
      <c r="N56" s="217"/>
      <c r="O56" s="217"/>
      <c r="P56" s="217"/>
      <c r="Q56" s="217"/>
      <c r="R56" s="368"/>
      <c r="S56" s="217"/>
      <c r="T56" s="217"/>
      <c r="U56" s="218"/>
      <c r="V56" s="218"/>
      <c r="W56" s="218"/>
      <c r="X56" s="218"/>
      <c r="Y56" s="218"/>
      <c r="Z56" s="218"/>
      <c r="AA56" s="219"/>
    </row>
    <row r="57" spans="1:27" s="329" customFormat="1" ht="16.5" customHeight="1" x14ac:dyDescent="0.15">
      <c r="A57" s="217"/>
      <c r="B57" s="320"/>
      <c r="C57" s="320"/>
      <c r="D57" s="320"/>
      <c r="E57" s="320"/>
      <c r="F57" s="320"/>
      <c r="G57" s="320"/>
      <c r="H57" s="320"/>
      <c r="I57" s="320"/>
      <c r="J57" s="320"/>
      <c r="K57" s="320"/>
      <c r="M57" s="217"/>
      <c r="N57" s="217"/>
      <c r="O57" s="217"/>
      <c r="P57" s="217"/>
      <c r="Q57" s="217"/>
      <c r="R57" s="368"/>
      <c r="S57" s="217"/>
      <c r="T57" s="217"/>
      <c r="U57" s="218"/>
      <c r="V57" s="218"/>
      <c r="W57" s="218"/>
      <c r="X57" s="218"/>
      <c r="Y57" s="218"/>
      <c r="Z57" s="218"/>
      <c r="AA57" s="219"/>
    </row>
    <row r="58" spans="1:27" s="329" customFormat="1" x14ac:dyDescent="0.15">
      <c r="A58" s="217"/>
      <c r="B58" s="320"/>
      <c r="C58" s="320"/>
      <c r="D58" s="320"/>
      <c r="E58" s="320"/>
      <c r="F58" s="320"/>
      <c r="G58" s="320"/>
      <c r="H58" s="320"/>
      <c r="I58" s="320"/>
      <c r="J58" s="320"/>
      <c r="K58" s="320"/>
      <c r="M58" s="217"/>
      <c r="N58" s="217"/>
      <c r="O58" s="217"/>
      <c r="P58" s="217"/>
      <c r="Q58" s="217"/>
      <c r="R58" s="368"/>
      <c r="S58" s="217"/>
      <c r="T58" s="217"/>
      <c r="U58" s="218"/>
      <c r="V58" s="218"/>
      <c r="W58" s="218"/>
      <c r="X58" s="218"/>
      <c r="Y58" s="218"/>
      <c r="Z58" s="218"/>
      <c r="AA58" s="219"/>
    </row>
    <row r="59" spans="1:27" s="329" customFormat="1" x14ac:dyDescent="0.15">
      <c r="A59" s="217"/>
      <c r="B59" s="320"/>
      <c r="C59" s="320"/>
      <c r="D59" s="320"/>
      <c r="E59" s="320"/>
      <c r="F59" s="320"/>
      <c r="G59" s="320"/>
      <c r="H59" s="320"/>
      <c r="I59" s="320"/>
      <c r="J59" s="320"/>
      <c r="K59" s="320"/>
      <c r="M59" s="217"/>
      <c r="N59" s="217"/>
      <c r="O59" s="217"/>
      <c r="P59" s="217"/>
      <c r="Q59" s="217"/>
      <c r="R59" s="368"/>
      <c r="S59" s="217"/>
      <c r="T59" s="217"/>
      <c r="U59" s="218"/>
      <c r="V59" s="218"/>
      <c r="W59" s="218"/>
      <c r="X59" s="218"/>
      <c r="Y59" s="218"/>
      <c r="Z59" s="218"/>
      <c r="AA59" s="219"/>
    </row>
    <row r="60" spans="1:27" s="329" customFormat="1" x14ac:dyDescent="0.15">
      <c r="A60" s="217"/>
      <c r="B60" s="320"/>
      <c r="C60" s="320"/>
      <c r="D60" s="320"/>
      <c r="E60" s="217"/>
      <c r="F60" s="217"/>
      <c r="G60" s="217"/>
      <c r="H60" s="217"/>
      <c r="I60" s="217"/>
      <c r="J60" s="217"/>
      <c r="K60" s="217"/>
      <c r="M60" s="217"/>
      <c r="N60" s="217"/>
      <c r="O60" s="217"/>
      <c r="P60" s="217"/>
      <c r="Q60" s="217"/>
      <c r="R60" s="368"/>
      <c r="S60" s="217"/>
      <c r="T60" s="217"/>
      <c r="U60" s="218"/>
      <c r="V60" s="218"/>
      <c r="W60" s="218"/>
      <c r="X60" s="218"/>
      <c r="Y60" s="218"/>
      <c r="Z60" s="218"/>
      <c r="AA60" s="219"/>
    </row>
    <row r="72" ht="16.5" customHeight="1" x14ac:dyDescent="0.15"/>
    <row r="74" ht="16.5" customHeight="1" x14ac:dyDescent="0.15"/>
    <row r="76" ht="16.5" customHeight="1" x14ac:dyDescent="0.15"/>
    <row r="78" ht="16.5" customHeight="1" x14ac:dyDescent="0.15"/>
  </sheetData>
  <mergeCells count="31">
    <mergeCell ref="M19:Q19"/>
    <mergeCell ref="U19:Z21"/>
    <mergeCell ref="E20:F20"/>
    <mergeCell ref="A1:Q1"/>
    <mergeCell ref="A2:Q2"/>
    <mergeCell ref="U2:Z3"/>
    <mergeCell ref="C4:D8"/>
    <mergeCell ref="U4:Z4"/>
    <mergeCell ref="U5:Z7"/>
    <mergeCell ref="U8:Z8"/>
    <mergeCell ref="A29:A30"/>
    <mergeCell ref="B29:B30"/>
    <mergeCell ref="C29:D31"/>
    <mergeCell ref="U30:Z31"/>
    <mergeCell ref="E31:F31"/>
    <mergeCell ref="D34:D35"/>
    <mergeCell ref="D39:R39"/>
    <mergeCell ref="U41:W41"/>
    <mergeCell ref="P9:Q11"/>
    <mergeCell ref="P13:Q13"/>
    <mergeCell ref="P22:Q24"/>
    <mergeCell ref="U22:Z22"/>
    <mergeCell ref="U23:Z29"/>
    <mergeCell ref="C25:D25"/>
    <mergeCell ref="C26:D27"/>
    <mergeCell ref="U9:Z17"/>
    <mergeCell ref="C12:D12"/>
    <mergeCell ref="C14:D15"/>
    <mergeCell ref="C16:D21"/>
    <mergeCell ref="U18:Z18"/>
    <mergeCell ref="E19:F19"/>
  </mergeCells>
  <phoneticPr fontId="3" type="noConversion"/>
  <conditionalFormatting sqref="O91:O92">
    <cfRule type="uniqueValues" dxfId="8" priority="3"/>
  </conditionalFormatting>
  <conditionalFormatting sqref="M85:M86">
    <cfRule type="uniqueValues" dxfId="7" priority="2"/>
  </conditionalFormatting>
  <conditionalFormatting sqref="N91:N92">
    <cfRule type="uniqueValues" dxfId="6" priority="1"/>
  </conditionalFormatting>
  <printOptions horizontalCentered="1"/>
  <pageMargins left="0" right="0" top="0" bottom="0" header="0" footer="0"/>
  <pageSetup paperSize="9" scale="29" orientation="portrait" horizontalDpi="4294967293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78"/>
  <sheetViews>
    <sheetView topLeftCell="A2" zoomScale="85" zoomScaleNormal="85" zoomScalePageLayoutView="80" workbookViewId="0">
      <selection activeCell="R29" sqref="R29"/>
    </sheetView>
  </sheetViews>
  <sheetFormatPr defaultRowHeight="16.5" x14ac:dyDescent="0.15"/>
  <cols>
    <col min="1" max="1" width="4.33203125" style="217" customWidth="1"/>
    <col min="2" max="2" width="13.33203125" style="320" customWidth="1"/>
    <col min="3" max="4" width="15.83203125" style="320" customWidth="1"/>
    <col min="5" max="11" width="15.83203125" style="217" customWidth="1"/>
    <col min="12" max="12" width="3.5" style="329" customWidth="1"/>
    <col min="13" max="17" width="15.83203125" style="217" customWidth="1"/>
    <col min="18" max="18" width="15.83203125" style="368" customWidth="1"/>
    <col min="19" max="19" width="15.83203125" style="217" customWidth="1"/>
    <col min="20" max="20" width="2.1640625" style="217" customWidth="1"/>
    <col min="21" max="26" width="10.83203125" style="218" customWidth="1"/>
    <col min="27" max="27" width="10" style="219" bestFit="1" customWidth="1"/>
    <col min="28" max="16384" width="9.33203125" style="217"/>
  </cols>
  <sheetData>
    <row r="1" spans="1:27" ht="16.5" hidden="1" customHeight="1" x14ac:dyDescent="0.15">
      <c r="A1" s="606" t="s">
        <v>74</v>
      </c>
      <c r="B1" s="607"/>
      <c r="C1" s="607"/>
      <c r="D1" s="607"/>
      <c r="E1" s="607"/>
      <c r="F1" s="607"/>
      <c r="G1" s="607"/>
      <c r="H1" s="607"/>
      <c r="I1" s="607"/>
      <c r="J1" s="607"/>
      <c r="K1" s="607"/>
      <c r="L1" s="607"/>
      <c r="M1" s="607"/>
      <c r="N1" s="607"/>
      <c r="O1" s="607"/>
      <c r="P1" s="607"/>
      <c r="Q1" s="608"/>
      <c r="R1" s="216"/>
    </row>
    <row r="2" spans="1:27" ht="18" customHeight="1" x14ac:dyDescent="0.15">
      <c r="A2" s="609" t="s">
        <v>993</v>
      </c>
      <c r="B2" s="610"/>
      <c r="C2" s="610"/>
      <c r="D2" s="610"/>
      <c r="E2" s="610"/>
      <c r="F2" s="610"/>
      <c r="G2" s="610"/>
      <c r="H2" s="610"/>
      <c r="I2" s="610"/>
      <c r="J2" s="610"/>
      <c r="K2" s="610"/>
      <c r="L2" s="610"/>
      <c r="M2" s="610"/>
      <c r="N2" s="610"/>
      <c r="O2" s="610"/>
      <c r="P2" s="610"/>
      <c r="Q2" s="610"/>
      <c r="R2" s="220"/>
      <c r="U2" s="540"/>
      <c r="V2" s="540"/>
      <c r="W2" s="540"/>
      <c r="X2" s="540"/>
      <c r="Y2" s="540"/>
      <c r="Z2" s="540"/>
    </row>
    <row r="3" spans="1:27" ht="21" customHeight="1" thickBot="1" x14ac:dyDescent="0.2">
      <c r="A3" s="221"/>
      <c r="B3" s="222" t="s">
        <v>75</v>
      </c>
      <c r="C3" s="223" t="s">
        <v>76</v>
      </c>
      <c r="D3" s="223" t="s">
        <v>77</v>
      </c>
      <c r="E3" s="224" t="s">
        <v>0</v>
      </c>
      <c r="F3" s="224" t="s">
        <v>1</v>
      </c>
      <c r="G3" s="223" t="s">
        <v>2</v>
      </c>
      <c r="H3" s="223" t="s">
        <v>3</v>
      </c>
      <c r="I3" s="224" t="s">
        <v>4</v>
      </c>
      <c r="J3" s="223" t="s">
        <v>5</v>
      </c>
      <c r="K3" s="223" t="s">
        <v>6</v>
      </c>
      <c r="L3" s="225" t="s">
        <v>7</v>
      </c>
      <c r="M3" s="224" t="s">
        <v>8</v>
      </c>
      <c r="N3" s="223" t="s">
        <v>9</v>
      </c>
      <c r="O3" s="223" t="s">
        <v>10</v>
      </c>
      <c r="P3" s="223" t="s">
        <v>11</v>
      </c>
      <c r="Q3" s="223" t="s">
        <v>12</v>
      </c>
      <c r="R3" s="226">
        <f>AVERAGE(R4:R32)</f>
        <v>0.98076923076923073</v>
      </c>
      <c r="U3" s="611"/>
      <c r="V3" s="611"/>
      <c r="W3" s="611"/>
      <c r="X3" s="611"/>
      <c r="Y3" s="611"/>
      <c r="Z3" s="611"/>
    </row>
    <row r="4" spans="1:27" s="237" customFormat="1" ht="27.95" customHeight="1" thickBot="1" x14ac:dyDescent="0.2">
      <c r="A4" s="227">
        <v>1</v>
      </c>
      <c r="B4" s="228" t="s">
        <v>122</v>
      </c>
      <c r="C4" s="604"/>
      <c r="D4" s="605"/>
      <c r="E4" s="229" t="s">
        <v>252</v>
      </c>
      <c r="F4" s="229" t="s">
        <v>253</v>
      </c>
      <c r="G4" s="230" t="s">
        <v>287</v>
      </c>
      <c r="H4" s="231" t="s">
        <v>124</v>
      </c>
      <c r="I4" s="229" t="s">
        <v>724</v>
      </c>
      <c r="J4" s="232" t="s">
        <v>125</v>
      </c>
      <c r="K4" s="229" t="s">
        <v>126</v>
      </c>
      <c r="L4" s="233"/>
      <c r="M4" s="234" t="s">
        <v>91</v>
      </c>
      <c r="N4" s="231" t="s">
        <v>109</v>
      </c>
      <c r="O4" s="241" t="s">
        <v>706</v>
      </c>
      <c r="P4" s="231" t="s">
        <v>87</v>
      </c>
      <c r="Q4" s="231" t="s">
        <v>88</v>
      </c>
      <c r="R4" s="235">
        <f>(COUNTA(C4:Q4))/12</f>
        <v>1</v>
      </c>
      <c r="S4" s="511"/>
      <c r="U4" s="612" t="s">
        <v>313</v>
      </c>
      <c r="V4" s="613"/>
      <c r="W4" s="613"/>
      <c r="X4" s="613"/>
      <c r="Y4" s="613"/>
      <c r="Z4" s="614"/>
      <c r="AA4" s="238"/>
    </row>
    <row r="5" spans="1:27" s="237" customFormat="1" ht="27.95" customHeight="1" x14ac:dyDescent="0.15">
      <c r="A5" s="239">
        <v>2</v>
      </c>
      <c r="B5" s="240" t="s">
        <v>89</v>
      </c>
      <c r="C5" s="598"/>
      <c r="D5" s="599"/>
      <c r="E5" s="229" t="s">
        <v>271</v>
      </c>
      <c r="F5" s="229" t="s">
        <v>90</v>
      </c>
      <c r="G5" s="229" t="s">
        <v>91</v>
      </c>
      <c r="H5" s="231" t="s">
        <v>106</v>
      </c>
      <c r="I5" s="241" t="s">
        <v>240</v>
      </c>
      <c r="J5" s="229" t="s">
        <v>92</v>
      </c>
      <c r="K5" s="229" t="s">
        <v>93</v>
      </c>
      <c r="L5" s="231"/>
      <c r="M5" s="229" t="s">
        <v>756</v>
      </c>
      <c r="N5" s="229" t="s">
        <v>94</v>
      </c>
      <c r="O5" s="378" t="s">
        <v>123</v>
      </c>
      <c r="P5" s="229" t="s">
        <v>140</v>
      </c>
      <c r="Q5" s="5" t="s">
        <v>711</v>
      </c>
      <c r="R5" s="235">
        <f>(COUNTA(C5:Q5))/12</f>
        <v>1</v>
      </c>
      <c r="S5" s="511"/>
      <c r="U5" s="615"/>
      <c r="V5" s="616"/>
      <c r="W5" s="616"/>
      <c r="X5" s="616"/>
      <c r="Y5" s="616"/>
      <c r="Z5" s="617"/>
      <c r="AA5" s="238"/>
    </row>
    <row r="6" spans="1:27" s="237" customFormat="1" ht="27.95" customHeight="1" x14ac:dyDescent="0.15">
      <c r="A6" s="239">
        <v>3</v>
      </c>
      <c r="B6" s="242" t="s">
        <v>127</v>
      </c>
      <c r="C6" s="598"/>
      <c r="D6" s="599"/>
      <c r="E6" s="229" t="s">
        <v>290</v>
      </c>
      <c r="F6" s="243" t="s">
        <v>128</v>
      </c>
      <c r="G6" s="229" t="s">
        <v>240</v>
      </c>
      <c r="H6" s="229" t="s">
        <v>257</v>
      </c>
      <c r="I6" s="229" t="s">
        <v>310</v>
      </c>
      <c r="J6" s="229" t="s">
        <v>129</v>
      </c>
      <c r="K6" s="229" t="s">
        <v>107</v>
      </c>
      <c r="L6" s="229"/>
      <c r="M6" s="229" t="s">
        <v>112</v>
      </c>
      <c r="N6" s="241" t="s">
        <v>16</v>
      </c>
      <c r="O6" s="241" t="s">
        <v>131</v>
      </c>
      <c r="P6" s="244" t="s">
        <v>83</v>
      </c>
      <c r="Q6" s="229" t="s">
        <v>288</v>
      </c>
      <c r="R6" s="235">
        <f>(COUNTA(C6:Q6))/12</f>
        <v>1</v>
      </c>
      <c r="S6" s="511"/>
      <c r="U6" s="618"/>
      <c r="V6" s="619"/>
      <c r="W6" s="619"/>
      <c r="X6" s="619"/>
      <c r="Y6" s="619"/>
      <c r="Z6" s="620"/>
      <c r="AA6" s="238"/>
    </row>
    <row r="7" spans="1:27" s="237" customFormat="1" ht="27.75" customHeight="1" thickBot="1" x14ac:dyDescent="0.2">
      <c r="A7" s="239">
        <v>4</v>
      </c>
      <c r="B7" s="245" t="s">
        <v>111</v>
      </c>
      <c r="C7" s="598"/>
      <c r="D7" s="599"/>
      <c r="E7" s="229" t="s">
        <v>103</v>
      </c>
      <c r="F7" s="231" t="s">
        <v>87</v>
      </c>
      <c r="G7" s="243" t="s">
        <v>92</v>
      </c>
      <c r="H7" s="229" t="s">
        <v>278</v>
      </c>
      <c r="I7" s="229" t="s">
        <v>107</v>
      </c>
      <c r="J7" s="229" t="s">
        <v>280</v>
      </c>
      <c r="K7" s="229" t="s">
        <v>81</v>
      </c>
      <c r="L7" s="229"/>
      <c r="M7" s="5" t="s">
        <v>711</v>
      </c>
      <c r="N7" s="5" t="s">
        <v>115</v>
      </c>
      <c r="O7" s="229" t="s">
        <v>116</v>
      </c>
      <c r="P7" s="229" t="s">
        <v>117</v>
      </c>
      <c r="Q7" s="246" t="s">
        <v>346</v>
      </c>
      <c r="R7" s="235">
        <f>(COUNTA(C7:Q7))/12</f>
        <v>1</v>
      </c>
      <c r="S7" s="511"/>
      <c r="U7" s="621"/>
      <c r="V7" s="622"/>
      <c r="W7" s="622"/>
      <c r="X7" s="622"/>
      <c r="Y7" s="622"/>
      <c r="Z7" s="623"/>
      <c r="AA7" s="238"/>
    </row>
    <row r="8" spans="1:27" s="237" customFormat="1" ht="27.95" customHeight="1" thickBot="1" x14ac:dyDescent="0.2">
      <c r="A8" s="239">
        <v>5</v>
      </c>
      <c r="B8" s="6" t="s">
        <v>416</v>
      </c>
      <c r="C8" s="598"/>
      <c r="D8" s="599"/>
      <c r="E8" s="229" t="s">
        <v>756</v>
      </c>
      <c r="F8" s="230" t="s">
        <v>104</v>
      </c>
      <c r="G8" s="170" t="s">
        <v>110</v>
      </c>
      <c r="H8" s="247" t="s">
        <v>279</v>
      </c>
      <c r="I8" s="247" t="s">
        <v>118</v>
      </c>
      <c r="J8" s="247" t="s">
        <v>106</v>
      </c>
      <c r="K8" s="230" t="s">
        <v>420</v>
      </c>
      <c r="L8" s="171"/>
      <c r="M8" s="230" t="s">
        <v>90</v>
      </c>
      <c r="N8" s="248" t="s">
        <v>272</v>
      </c>
      <c r="O8" s="455" t="s">
        <v>272</v>
      </c>
      <c r="P8" s="231" t="s">
        <v>94</v>
      </c>
      <c r="Q8" s="230" t="s">
        <v>103</v>
      </c>
      <c r="R8" s="235">
        <f>(COUNTA(C8:Q8))/12</f>
        <v>1</v>
      </c>
      <c r="S8" s="511"/>
      <c r="U8" s="612" t="s">
        <v>15</v>
      </c>
      <c r="V8" s="613"/>
      <c r="W8" s="613"/>
      <c r="X8" s="613"/>
      <c r="Y8" s="613"/>
      <c r="Z8" s="614"/>
      <c r="AA8" s="238"/>
    </row>
    <row r="9" spans="1:27" s="237" customFormat="1" ht="27.95" customHeight="1" x14ac:dyDescent="0.15">
      <c r="A9" s="250">
        <v>6</v>
      </c>
      <c r="B9" s="251" t="s">
        <v>79</v>
      </c>
      <c r="C9" s="252" t="s">
        <v>823</v>
      </c>
      <c r="D9" s="252" t="s">
        <v>823</v>
      </c>
      <c r="E9" s="253" t="s">
        <v>80</v>
      </c>
      <c r="F9" s="253" t="s">
        <v>81</v>
      </c>
      <c r="G9" s="253" t="s">
        <v>82</v>
      </c>
      <c r="H9" s="233" t="s">
        <v>83</v>
      </c>
      <c r="I9" s="232" t="s">
        <v>950</v>
      </c>
      <c r="J9" s="378" t="s">
        <v>142</v>
      </c>
      <c r="K9" s="160" t="s">
        <v>92</v>
      </c>
      <c r="L9" s="253"/>
      <c r="M9" s="253" t="s">
        <v>85</v>
      </c>
      <c r="N9" s="254" t="s">
        <v>86</v>
      </c>
      <c r="O9" s="231" t="s">
        <v>109</v>
      </c>
      <c r="P9" s="541"/>
      <c r="Q9" s="542"/>
      <c r="R9" s="235">
        <f t="shared" ref="R9:R18" si="0">(COUNTA(C9:Q9))/12</f>
        <v>1</v>
      </c>
      <c r="S9" s="511"/>
      <c r="U9" s="592" t="s">
        <v>982</v>
      </c>
      <c r="V9" s="593"/>
      <c r="W9" s="593"/>
      <c r="X9" s="593"/>
      <c r="Y9" s="593"/>
      <c r="Z9" s="594"/>
      <c r="AA9" s="238"/>
    </row>
    <row r="10" spans="1:27" s="237" customFormat="1" ht="27.95" customHeight="1" x14ac:dyDescent="0.15">
      <c r="A10" s="239">
        <v>7</v>
      </c>
      <c r="B10" s="240" t="s">
        <v>96</v>
      </c>
      <c r="C10" s="255" t="s">
        <v>682</v>
      </c>
      <c r="D10" s="255" t="s">
        <v>682</v>
      </c>
      <c r="E10" s="241" t="s">
        <v>706</v>
      </c>
      <c r="F10" s="232" t="s">
        <v>13</v>
      </c>
      <c r="G10" s="229" t="s">
        <v>98</v>
      </c>
      <c r="H10" s="241" t="s">
        <v>93</v>
      </c>
      <c r="I10" s="234" t="s">
        <v>104</v>
      </c>
      <c r="J10" s="229" t="s">
        <v>14</v>
      </c>
      <c r="K10" s="229" t="s">
        <v>100</v>
      </c>
      <c r="L10" s="233"/>
      <c r="M10" s="231" t="s">
        <v>724</v>
      </c>
      <c r="N10" s="232" t="s">
        <v>101</v>
      </c>
      <c r="O10" s="231" t="s">
        <v>102</v>
      </c>
      <c r="P10" s="543"/>
      <c r="Q10" s="544"/>
      <c r="R10" s="235">
        <f t="shared" si="0"/>
        <v>1</v>
      </c>
      <c r="S10" s="511"/>
      <c r="U10" s="592"/>
      <c r="V10" s="593"/>
      <c r="W10" s="593"/>
      <c r="X10" s="593"/>
      <c r="Y10" s="593"/>
      <c r="Z10" s="594"/>
      <c r="AA10" s="238"/>
    </row>
    <row r="11" spans="1:27" s="237" customFormat="1" ht="27.95" customHeight="1" x14ac:dyDescent="0.15">
      <c r="A11" s="239">
        <v>8</v>
      </c>
      <c r="B11" s="452" t="s">
        <v>132</v>
      </c>
      <c r="C11" s="604"/>
      <c r="D11" s="605"/>
      <c r="E11" s="439" t="s">
        <v>133</v>
      </c>
      <c r="F11" s="445" t="s">
        <v>82</v>
      </c>
      <c r="G11" s="519" t="s">
        <v>134</v>
      </c>
      <c r="H11" s="439" t="s">
        <v>135</v>
      </c>
      <c r="I11" s="520" t="s">
        <v>106</v>
      </c>
      <c r="J11" s="439" t="s">
        <v>107</v>
      </c>
      <c r="K11" s="444" t="s">
        <v>108</v>
      </c>
      <c r="L11" s="440"/>
      <c r="M11" s="445" t="s">
        <v>279</v>
      </c>
      <c r="N11" s="439" t="s">
        <v>136</v>
      </c>
      <c r="O11" s="499"/>
      <c r="P11" s="500"/>
      <c r="Q11" s="501"/>
      <c r="R11" s="235">
        <f t="shared" si="0"/>
        <v>0.75</v>
      </c>
      <c r="S11" s="511"/>
      <c r="U11" s="592"/>
      <c r="V11" s="593"/>
      <c r="W11" s="593"/>
      <c r="X11" s="593"/>
      <c r="Y11" s="593"/>
      <c r="Z11" s="594"/>
      <c r="AA11" s="238"/>
    </row>
    <row r="12" spans="1:27" s="237" customFormat="1" ht="27.95" customHeight="1" x14ac:dyDescent="0.15">
      <c r="A12" s="239">
        <v>9</v>
      </c>
      <c r="B12" s="495" t="s">
        <v>137</v>
      </c>
      <c r="C12" s="755"/>
      <c r="D12" s="756"/>
      <c r="E12" s="439" t="s">
        <v>138</v>
      </c>
      <c r="F12" s="445" t="s">
        <v>983</v>
      </c>
      <c r="G12" s="481" t="s">
        <v>139</v>
      </c>
      <c r="H12" s="444" t="s">
        <v>950</v>
      </c>
      <c r="I12" s="443" t="s">
        <v>141</v>
      </c>
      <c r="J12" s="499"/>
      <c r="K12" s="445" t="s">
        <v>118</v>
      </c>
      <c r="L12" s="439"/>
      <c r="M12" s="499"/>
      <c r="N12" s="441" t="s">
        <v>143</v>
      </c>
      <c r="O12" s="445"/>
      <c r="P12" s="500"/>
      <c r="Q12" s="501"/>
      <c r="R12" s="235">
        <f t="shared" si="0"/>
        <v>0.58333333333333337</v>
      </c>
      <c r="S12" s="511"/>
      <c r="U12" s="592"/>
      <c r="V12" s="593"/>
      <c r="W12" s="593"/>
      <c r="X12" s="593"/>
      <c r="Y12" s="593"/>
      <c r="Z12" s="594"/>
      <c r="AA12" s="238"/>
    </row>
    <row r="13" spans="1:27" s="237" customFormat="1" ht="27.95" customHeight="1" thickBot="1" x14ac:dyDescent="0.2">
      <c r="A13" s="258">
        <v>10</v>
      </c>
      <c r="B13" s="7" t="s">
        <v>119</v>
      </c>
      <c r="C13" s="259" t="s">
        <v>86</v>
      </c>
      <c r="D13" s="259" t="s">
        <v>744</v>
      </c>
      <c r="E13" s="260" t="s">
        <v>288</v>
      </c>
      <c r="F13" s="9" t="s">
        <v>102</v>
      </c>
      <c r="G13" s="249" t="s">
        <v>109</v>
      </c>
      <c r="H13" s="249" t="s">
        <v>724</v>
      </c>
      <c r="I13" s="249" t="s">
        <v>120</v>
      </c>
      <c r="J13" s="261" t="s">
        <v>115</v>
      </c>
      <c r="K13" s="249" t="s">
        <v>121</v>
      </c>
      <c r="L13" s="11"/>
      <c r="M13" s="383" t="s">
        <v>113</v>
      </c>
      <c r="N13" s="249" t="s">
        <v>782</v>
      </c>
      <c r="O13" s="249" t="s">
        <v>100</v>
      </c>
      <c r="P13" s="720"/>
      <c r="Q13" s="721"/>
      <c r="R13" s="235">
        <f t="shared" si="0"/>
        <v>1</v>
      </c>
      <c r="S13" s="511"/>
      <c r="U13" s="592"/>
      <c r="V13" s="593"/>
      <c r="W13" s="593"/>
      <c r="X13" s="593"/>
      <c r="Y13" s="593"/>
      <c r="Z13" s="594"/>
      <c r="AA13" s="238"/>
    </row>
    <row r="14" spans="1:27" ht="27.95" customHeight="1" x14ac:dyDescent="0.15">
      <c r="A14" s="263">
        <v>11</v>
      </c>
      <c r="B14" s="264" t="s">
        <v>144</v>
      </c>
      <c r="C14" s="722"/>
      <c r="D14" s="723"/>
      <c r="E14" s="229" t="s">
        <v>104</v>
      </c>
      <c r="F14" s="241" t="s">
        <v>94</v>
      </c>
      <c r="G14" s="241" t="s">
        <v>279</v>
      </c>
      <c r="H14" s="233" t="s">
        <v>272</v>
      </c>
      <c r="I14" s="246" t="s">
        <v>711</v>
      </c>
      <c r="J14" s="230" t="s">
        <v>288</v>
      </c>
      <c r="K14" s="231" t="s">
        <v>724</v>
      </c>
      <c r="L14" s="241"/>
      <c r="M14" s="278" t="s">
        <v>92</v>
      </c>
      <c r="N14" s="233" t="s">
        <v>240</v>
      </c>
      <c r="O14" s="243" t="s">
        <v>314</v>
      </c>
      <c r="P14" s="398"/>
      <c r="Q14" s="231" t="s">
        <v>90</v>
      </c>
      <c r="R14" s="235">
        <f t="shared" si="0"/>
        <v>0.91666666666666663</v>
      </c>
      <c r="S14" s="511"/>
      <c r="T14" s="237"/>
      <c r="U14" s="592"/>
      <c r="V14" s="593"/>
      <c r="W14" s="593"/>
      <c r="X14" s="593"/>
      <c r="Y14" s="593"/>
      <c r="Z14" s="594"/>
    </row>
    <row r="15" spans="1:27" ht="27.95" customHeight="1" thickBot="1" x14ac:dyDescent="0.2">
      <c r="A15" s="258">
        <v>12</v>
      </c>
      <c r="B15" s="265" t="s">
        <v>145</v>
      </c>
      <c r="C15" s="724"/>
      <c r="D15" s="725"/>
      <c r="E15" s="249" t="s">
        <v>97</v>
      </c>
      <c r="F15" s="261" t="s">
        <v>105</v>
      </c>
      <c r="G15" s="241" t="s">
        <v>706</v>
      </c>
      <c r="H15" s="249" t="s">
        <v>695</v>
      </c>
      <c r="I15" s="9" t="s">
        <v>288</v>
      </c>
      <c r="J15" s="249" t="s">
        <v>724</v>
      </c>
      <c r="K15" s="249" t="s">
        <v>756</v>
      </c>
      <c r="L15" s="249"/>
      <c r="M15" s="249" t="s">
        <v>673</v>
      </c>
      <c r="N15" s="266" t="s">
        <v>146</v>
      </c>
      <c r="O15" s="249" t="s">
        <v>906</v>
      </c>
      <c r="P15" s="249" t="s">
        <v>346</v>
      </c>
      <c r="Q15" s="9" t="s">
        <v>905</v>
      </c>
      <c r="R15" s="235">
        <f t="shared" si="0"/>
        <v>1</v>
      </c>
      <c r="S15" s="511"/>
      <c r="U15" s="592"/>
      <c r="V15" s="593"/>
      <c r="W15" s="593"/>
      <c r="X15" s="593"/>
      <c r="Y15" s="593"/>
      <c r="Z15" s="594"/>
    </row>
    <row r="16" spans="1:27" ht="27" customHeight="1" x14ac:dyDescent="0.15">
      <c r="A16" s="227">
        <v>13</v>
      </c>
      <c r="B16" s="267" t="s">
        <v>21</v>
      </c>
      <c r="C16" s="598"/>
      <c r="D16" s="599"/>
      <c r="E16" s="5" t="s">
        <v>712</v>
      </c>
      <c r="F16" s="177" t="s">
        <v>186</v>
      </c>
      <c r="G16" s="253" t="s">
        <v>22</v>
      </c>
      <c r="H16" s="253" t="s">
        <v>23</v>
      </c>
      <c r="I16" s="231" t="s">
        <v>187</v>
      </c>
      <c r="J16" s="160" t="s">
        <v>188</v>
      </c>
      <c r="K16" s="231" t="s">
        <v>189</v>
      </c>
      <c r="L16" s="233"/>
      <c r="M16" s="517" t="s">
        <v>1003</v>
      </c>
      <c r="N16" s="229" t="s">
        <v>191</v>
      </c>
      <c r="O16" s="231" t="s">
        <v>192</v>
      </c>
      <c r="P16" s="376" t="s">
        <v>707</v>
      </c>
      <c r="Q16" s="376" t="s">
        <v>953</v>
      </c>
      <c r="R16" s="235">
        <f t="shared" si="0"/>
        <v>1</v>
      </c>
      <c r="S16" s="511"/>
      <c r="U16" s="592"/>
      <c r="V16" s="593"/>
      <c r="W16" s="593"/>
      <c r="X16" s="593"/>
      <c r="Y16" s="593"/>
      <c r="Z16" s="594"/>
    </row>
    <row r="17" spans="1:28" ht="27.95" customHeight="1" thickBot="1" x14ac:dyDescent="0.2">
      <c r="A17" s="227">
        <v>14</v>
      </c>
      <c r="B17" s="267" t="s">
        <v>155</v>
      </c>
      <c r="C17" s="598"/>
      <c r="D17" s="599"/>
      <c r="E17" s="229" t="s">
        <v>156</v>
      </c>
      <c r="F17" s="232" t="s">
        <v>157</v>
      </c>
      <c r="G17" s="229" t="s">
        <v>158</v>
      </c>
      <c r="H17" s="229" t="s">
        <v>154</v>
      </c>
      <c r="I17" s="241" t="s">
        <v>889</v>
      </c>
      <c r="J17" s="229" t="s">
        <v>159</v>
      </c>
      <c r="K17" s="241" t="s">
        <v>241</v>
      </c>
      <c r="L17" s="229"/>
      <c r="M17" s="17" t="s">
        <v>160</v>
      </c>
      <c r="N17" s="5" t="s">
        <v>161</v>
      </c>
      <c r="O17" s="18" t="s">
        <v>162</v>
      </c>
      <c r="P17" s="229" t="s">
        <v>163</v>
      </c>
      <c r="Q17" s="269" t="s">
        <v>164</v>
      </c>
      <c r="R17" s="235">
        <f t="shared" si="0"/>
        <v>1</v>
      </c>
      <c r="S17" s="511"/>
      <c r="U17" s="595"/>
      <c r="V17" s="596"/>
      <c r="W17" s="596"/>
      <c r="X17" s="596"/>
      <c r="Y17" s="596"/>
      <c r="Z17" s="597"/>
    </row>
    <row r="18" spans="1:28" ht="27.95" customHeight="1" thickBot="1" x14ac:dyDescent="0.2">
      <c r="A18" s="270">
        <v>15</v>
      </c>
      <c r="B18" s="245" t="s">
        <v>193</v>
      </c>
      <c r="C18" s="598"/>
      <c r="D18" s="599"/>
      <c r="E18" s="243" t="s">
        <v>194</v>
      </c>
      <c r="F18" s="5" t="s">
        <v>195</v>
      </c>
      <c r="G18" s="243" t="s">
        <v>24</v>
      </c>
      <c r="H18" s="246" t="s">
        <v>173</v>
      </c>
      <c r="I18" s="243" t="s">
        <v>237</v>
      </c>
      <c r="J18" s="229" t="s">
        <v>952</v>
      </c>
      <c r="K18" s="229" t="s">
        <v>197</v>
      </c>
      <c r="L18" s="229"/>
      <c r="M18" s="241" t="s">
        <v>25</v>
      </c>
      <c r="N18" s="229" t="s">
        <v>244</v>
      </c>
      <c r="O18" s="229" t="s">
        <v>908</v>
      </c>
      <c r="P18" s="243" t="s">
        <v>304</v>
      </c>
      <c r="Q18" s="246" t="s">
        <v>907</v>
      </c>
      <c r="R18" s="371">
        <f t="shared" si="0"/>
        <v>1</v>
      </c>
      <c r="S18" s="511"/>
      <c r="U18" s="547" t="s">
        <v>311</v>
      </c>
      <c r="V18" s="548"/>
      <c r="W18" s="548"/>
      <c r="X18" s="548"/>
      <c r="Y18" s="548"/>
      <c r="Z18" s="549"/>
    </row>
    <row r="19" spans="1:28" ht="27.95" customHeight="1" x14ac:dyDescent="0.15">
      <c r="A19" s="270">
        <v>16</v>
      </c>
      <c r="B19" s="245" t="s">
        <v>165</v>
      </c>
      <c r="C19" s="598"/>
      <c r="D19" s="599"/>
      <c r="E19" s="726"/>
      <c r="F19" s="727"/>
      <c r="G19" s="16" t="s">
        <v>69</v>
      </c>
      <c r="H19" s="5" t="s">
        <v>166</v>
      </c>
      <c r="I19" s="229" t="s">
        <v>167</v>
      </c>
      <c r="J19" s="243" t="s">
        <v>68</v>
      </c>
      <c r="K19" s="272" t="s">
        <v>168</v>
      </c>
      <c r="L19" s="229"/>
      <c r="M19" s="726" t="s">
        <v>169</v>
      </c>
      <c r="N19" s="749"/>
      <c r="O19" s="749"/>
      <c r="P19" s="749"/>
      <c r="Q19" s="727"/>
      <c r="R19" s="235">
        <f>(COUNTA(E19:K19))/5</f>
        <v>1</v>
      </c>
      <c r="S19" s="511"/>
      <c r="U19" s="740" t="s">
        <v>992</v>
      </c>
      <c r="V19" s="741"/>
      <c r="W19" s="741"/>
      <c r="X19" s="741"/>
      <c r="Y19" s="741"/>
      <c r="Z19" s="742"/>
    </row>
    <row r="20" spans="1:28" s="237" customFormat="1" ht="27.75" customHeight="1" x14ac:dyDescent="0.15">
      <c r="A20" s="239"/>
      <c r="B20" s="242" t="s">
        <v>170</v>
      </c>
      <c r="C20" s="598"/>
      <c r="D20" s="599"/>
      <c r="E20" s="602" t="s">
        <v>20</v>
      </c>
      <c r="F20" s="603"/>
      <c r="G20" s="241" t="s">
        <v>285</v>
      </c>
      <c r="H20" s="229" t="s">
        <v>171</v>
      </c>
      <c r="I20" s="273" t="s">
        <v>172</v>
      </c>
      <c r="J20" s="229" t="s">
        <v>173</v>
      </c>
      <c r="K20" s="243" t="s">
        <v>781</v>
      </c>
      <c r="L20" s="229"/>
      <c r="M20" s="273" t="s">
        <v>174</v>
      </c>
      <c r="N20" s="5" t="s">
        <v>175</v>
      </c>
      <c r="O20" s="246" t="s">
        <v>176</v>
      </c>
      <c r="P20" s="229" t="s">
        <v>152</v>
      </c>
      <c r="Q20" s="491" t="s">
        <v>972</v>
      </c>
      <c r="R20" s="235">
        <f>(COUNTA(G20:Q20))/10</f>
        <v>1</v>
      </c>
      <c r="S20" s="511"/>
      <c r="U20" s="743"/>
      <c r="V20" s="744"/>
      <c r="W20" s="744"/>
      <c r="X20" s="744"/>
      <c r="Y20" s="744"/>
      <c r="Z20" s="745"/>
      <c r="AA20" s="238"/>
    </row>
    <row r="21" spans="1:28" ht="27.95" customHeight="1" thickBot="1" x14ac:dyDescent="0.2">
      <c r="A21" s="258"/>
      <c r="B21" s="274" t="s">
        <v>177</v>
      </c>
      <c r="C21" s="600"/>
      <c r="D21" s="601"/>
      <c r="E21" s="471" t="s">
        <v>178</v>
      </c>
      <c r="F21" s="518"/>
      <c r="G21" s="230" t="s">
        <v>179</v>
      </c>
      <c r="H21" s="230" t="s">
        <v>180</v>
      </c>
      <c r="I21" s="249" t="s">
        <v>181</v>
      </c>
      <c r="J21" s="249" t="s">
        <v>309</v>
      </c>
      <c r="K21" s="249" t="s">
        <v>182</v>
      </c>
      <c r="L21" s="247"/>
      <c r="M21" s="249" t="s">
        <v>183</v>
      </c>
      <c r="N21" s="247" t="s">
        <v>184</v>
      </c>
      <c r="O21" s="249" t="s">
        <v>185</v>
      </c>
      <c r="P21" s="372" t="s">
        <v>153</v>
      </c>
      <c r="Q21" s="512" t="s">
        <v>178</v>
      </c>
      <c r="R21" s="235">
        <f>(COUNTA(F21:P21))/9</f>
        <v>1</v>
      </c>
      <c r="S21" s="511"/>
      <c r="U21" s="746"/>
      <c r="V21" s="747"/>
      <c r="W21" s="747"/>
      <c r="X21" s="747"/>
      <c r="Y21" s="747"/>
      <c r="Z21" s="748"/>
    </row>
    <row r="22" spans="1:28" s="237" customFormat="1" ht="27.95" customHeight="1" thickBot="1" x14ac:dyDescent="0.2">
      <c r="A22" s="227">
        <v>17</v>
      </c>
      <c r="B22" s="245" t="s">
        <v>147</v>
      </c>
      <c r="C22" s="255" t="s">
        <v>827</v>
      </c>
      <c r="D22" s="255" t="s">
        <v>840</v>
      </c>
      <c r="E22" s="231" t="s">
        <v>251</v>
      </c>
      <c r="F22" s="253" t="s">
        <v>254</v>
      </c>
      <c r="G22" s="277" t="s">
        <v>148</v>
      </c>
      <c r="H22" s="278" t="s">
        <v>149</v>
      </c>
      <c r="I22" s="160" t="s">
        <v>150</v>
      </c>
      <c r="J22" s="253" t="s">
        <v>151</v>
      </c>
      <c r="K22" s="253" t="s">
        <v>18</v>
      </c>
      <c r="L22" s="277"/>
      <c r="M22" s="253" t="s">
        <v>19</v>
      </c>
      <c r="N22" s="279" t="s">
        <v>994</v>
      </c>
      <c r="O22" s="160" t="s">
        <v>997</v>
      </c>
      <c r="P22" s="541"/>
      <c r="Q22" s="542"/>
      <c r="R22" s="235">
        <f>(COUNTA(C22:Q22))/12</f>
        <v>1</v>
      </c>
      <c r="S22" s="511"/>
      <c r="U22" s="547" t="s">
        <v>312</v>
      </c>
      <c r="V22" s="548"/>
      <c r="W22" s="548"/>
      <c r="X22" s="548"/>
      <c r="Y22" s="548"/>
      <c r="Z22" s="549"/>
      <c r="AA22" s="238"/>
    </row>
    <row r="23" spans="1:28" ht="27.95" customHeight="1" x14ac:dyDescent="0.15">
      <c r="A23" s="270">
        <v>18</v>
      </c>
      <c r="B23" s="245" t="s">
        <v>199</v>
      </c>
      <c r="C23" s="268" t="s">
        <v>833</v>
      </c>
      <c r="D23" s="268" t="s">
        <v>833</v>
      </c>
      <c r="E23" s="273" t="s">
        <v>200</v>
      </c>
      <c r="F23" s="229" t="s">
        <v>201</v>
      </c>
      <c r="G23" s="18" t="s">
        <v>26</v>
      </c>
      <c r="H23" s="241" t="s">
        <v>241</v>
      </c>
      <c r="I23" s="229" t="s">
        <v>757</v>
      </c>
      <c r="J23" s="229" t="s">
        <v>202</v>
      </c>
      <c r="K23" s="23" t="s">
        <v>203</v>
      </c>
      <c r="L23" s="229"/>
      <c r="M23" s="243" t="s">
        <v>204</v>
      </c>
      <c r="N23" s="229" t="s">
        <v>269</v>
      </c>
      <c r="O23" s="269" t="s">
        <v>205</v>
      </c>
      <c r="P23" s="543"/>
      <c r="Q23" s="544"/>
      <c r="R23" s="235">
        <f t="shared" ref="R23:R25" si="1">(COUNTA(C23:Q23))/12</f>
        <v>1</v>
      </c>
      <c r="S23" s="511"/>
      <c r="U23" s="711" t="s">
        <v>1006</v>
      </c>
      <c r="V23" s="712"/>
      <c r="W23" s="712"/>
      <c r="X23" s="712"/>
      <c r="Y23" s="712"/>
      <c r="Z23" s="713"/>
    </row>
    <row r="24" spans="1:28" ht="27.95" customHeight="1" x14ac:dyDescent="0.15">
      <c r="A24" s="270">
        <v>19</v>
      </c>
      <c r="B24" s="280" t="s">
        <v>27</v>
      </c>
      <c r="C24" s="255" t="s">
        <v>704</v>
      </c>
      <c r="D24" s="255" t="s">
        <v>845</v>
      </c>
      <c r="E24" s="243" t="s">
        <v>551</v>
      </c>
      <c r="F24" s="411" t="s">
        <v>981</v>
      </c>
      <c r="G24" s="229" t="s">
        <v>291</v>
      </c>
      <c r="H24" s="16" t="s">
        <v>289</v>
      </c>
      <c r="I24" s="241" t="s">
        <v>707</v>
      </c>
      <c r="J24" s="241" t="s">
        <v>696</v>
      </c>
      <c r="K24" s="229" t="s">
        <v>712</v>
      </c>
      <c r="L24" s="243"/>
      <c r="M24" s="229" t="s">
        <v>352</v>
      </c>
      <c r="N24" s="243" t="s">
        <v>267</v>
      </c>
      <c r="O24" s="234" t="s">
        <v>952</v>
      </c>
      <c r="P24" s="545"/>
      <c r="Q24" s="546"/>
      <c r="R24" s="235">
        <f t="shared" si="1"/>
        <v>1</v>
      </c>
      <c r="S24" s="511"/>
      <c r="U24" s="714"/>
      <c r="V24" s="715"/>
      <c r="W24" s="715"/>
      <c r="X24" s="715"/>
      <c r="Y24" s="715"/>
      <c r="Z24" s="716"/>
      <c r="AA24" s="283"/>
    </row>
    <row r="25" spans="1:28" ht="27.95" customHeight="1" thickBot="1" x14ac:dyDescent="0.2">
      <c r="A25" s="239">
        <v>20</v>
      </c>
      <c r="B25" s="284" t="s">
        <v>206</v>
      </c>
      <c r="C25" s="550"/>
      <c r="D25" s="551"/>
      <c r="E25" s="230" t="s">
        <v>207</v>
      </c>
      <c r="F25" s="467" t="s">
        <v>918</v>
      </c>
      <c r="G25" s="229" t="s">
        <v>267</v>
      </c>
      <c r="H25" s="249" t="s">
        <v>190</v>
      </c>
      <c r="I25" s="249" t="s">
        <v>696</v>
      </c>
      <c r="J25" s="261" t="s">
        <v>208</v>
      </c>
      <c r="K25" s="243" t="s">
        <v>192</v>
      </c>
      <c r="L25" s="248"/>
      <c r="M25" s="246" t="s">
        <v>952</v>
      </c>
      <c r="N25" s="230" t="s">
        <v>28</v>
      </c>
      <c r="O25" s="260" t="s">
        <v>712</v>
      </c>
      <c r="P25" s="243" t="s">
        <v>209</v>
      </c>
      <c r="Q25" s="514" t="s">
        <v>984</v>
      </c>
      <c r="R25" s="235">
        <f t="shared" si="1"/>
        <v>1</v>
      </c>
      <c r="S25" s="511"/>
      <c r="U25" s="714"/>
      <c r="V25" s="715"/>
      <c r="W25" s="715"/>
      <c r="X25" s="715"/>
      <c r="Y25" s="715"/>
      <c r="Z25" s="716"/>
    </row>
    <row r="26" spans="1:28" s="237" customFormat="1" ht="27.75" customHeight="1" x14ac:dyDescent="0.15">
      <c r="A26" s="285" t="s">
        <v>210</v>
      </c>
      <c r="B26" s="286" t="s">
        <v>29</v>
      </c>
      <c r="C26" s="552"/>
      <c r="D26" s="553"/>
      <c r="E26" s="278"/>
      <c r="F26" s="278" t="s">
        <v>305</v>
      </c>
      <c r="G26" s="278" t="s">
        <v>251</v>
      </c>
      <c r="H26" s="229"/>
      <c r="I26" s="254" t="s">
        <v>304</v>
      </c>
      <c r="J26" s="246" t="s">
        <v>30</v>
      </c>
      <c r="K26" s="287"/>
      <c r="L26" s="254"/>
      <c r="M26" s="287"/>
      <c r="N26" s="278" t="s">
        <v>211</v>
      </c>
      <c r="O26" s="278" t="s">
        <v>73</v>
      </c>
      <c r="P26" s="160"/>
      <c r="Q26" s="278" t="s">
        <v>757</v>
      </c>
      <c r="R26" s="235">
        <f>(COUNTA(C26:Q26))/7</f>
        <v>1</v>
      </c>
      <c r="U26" s="714"/>
      <c r="V26" s="715"/>
      <c r="W26" s="715"/>
      <c r="X26" s="715"/>
      <c r="Y26" s="715"/>
      <c r="Z26" s="716"/>
      <c r="AA26" s="238"/>
      <c r="AB26" s="237">
        <v>9</v>
      </c>
    </row>
    <row r="27" spans="1:28" s="291" customFormat="1" ht="27.95" customHeight="1" thickBot="1" x14ac:dyDescent="0.2">
      <c r="A27" s="288"/>
      <c r="B27" s="289" t="s">
        <v>212</v>
      </c>
      <c r="C27" s="554"/>
      <c r="D27" s="555"/>
      <c r="E27" s="249" t="s">
        <v>260</v>
      </c>
      <c r="F27" s="247" t="s">
        <v>31</v>
      </c>
      <c r="G27" s="249"/>
      <c r="H27" s="249"/>
      <c r="I27" s="30" t="s">
        <v>569</v>
      </c>
      <c r="J27" s="290" t="s">
        <v>569</v>
      </c>
      <c r="K27" s="229" t="s">
        <v>213</v>
      </c>
      <c r="L27" s="248"/>
      <c r="M27" s="261" t="s">
        <v>255</v>
      </c>
      <c r="N27" s="30" t="s">
        <v>999</v>
      </c>
      <c r="O27" s="290" t="s">
        <v>1001</v>
      </c>
      <c r="P27" s="247" t="s">
        <v>93</v>
      </c>
      <c r="Q27" s="249" t="s">
        <v>126</v>
      </c>
      <c r="R27" s="235">
        <f>(COUNTA(C27:Q27))/8</f>
        <v>1.25</v>
      </c>
      <c r="S27" s="511"/>
      <c r="U27" s="714"/>
      <c r="V27" s="715"/>
      <c r="W27" s="715"/>
      <c r="X27" s="715"/>
      <c r="Y27" s="715"/>
      <c r="Z27" s="716"/>
      <c r="AA27" s="292"/>
    </row>
    <row r="28" spans="1:28" s="291" customFormat="1" ht="9.9499999999999993" customHeight="1" thickBot="1" x14ac:dyDescent="0.2">
      <c r="A28" s="293"/>
      <c r="B28" s="294"/>
      <c r="C28" s="295"/>
      <c r="D28" s="296"/>
      <c r="E28" s="297"/>
      <c r="F28" s="298"/>
      <c r="G28" s="297"/>
      <c r="H28" s="297"/>
      <c r="I28" s="297"/>
      <c r="J28" s="80"/>
      <c r="K28" s="297"/>
      <c r="L28" s="298"/>
      <c r="M28" s="299"/>
      <c r="N28" s="82"/>
      <c r="O28" s="300"/>
      <c r="P28" s="244"/>
      <c r="Q28" s="279"/>
      <c r="R28" s="235"/>
      <c r="S28" s="511"/>
      <c r="U28" s="714"/>
      <c r="V28" s="715"/>
      <c r="W28" s="715"/>
      <c r="X28" s="715"/>
      <c r="Y28" s="715"/>
      <c r="Z28" s="716"/>
      <c r="AA28" s="292"/>
    </row>
    <row r="29" spans="1:28" ht="120" customHeight="1" thickBot="1" x14ac:dyDescent="0.2">
      <c r="A29" s="574"/>
      <c r="B29" s="576" t="s">
        <v>216</v>
      </c>
      <c r="C29" s="578"/>
      <c r="D29" s="579"/>
      <c r="E29" s="513" t="s">
        <v>986</v>
      </c>
      <c r="F29" s="231" t="s">
        <v>294</v>
      </c>
      <c r="G29" s="233" t="s">
        <v>259</v>
      </c>
      <c r="H29" s="301" t="s">
        <v>298</v>
      </c>
      <c r="I29" s="231" t="s">
        <v>256</v>
      </c>
      <c r="J29" s="231" t="s">
        <v>217</v>
      </c>
      <c r="K29" s="516" t="s">
        <v>988</v>
      </c>
      <c r="L29" s="254"/>
      <c r="M29" s="233" t="s">
        <v>219</v>
      </c>
      <c r="N29" s="253" t="s">
        <v>868</v>
      </c>
      <c r="O29" s="302" t="s">
        <v>292</v>
      </c>
      <c r="P29" s="278" t="s">
        <v>220</v>
      </c>
      <c r="Q29" s="278" t="s">
        <v>239</v>
      </c>
      <c r="R29" s="235">
        <f>(COUNTA(C29:Q29))/12</f>
        <v>1</v>
      </c>
      <c r="S29" s="237"/>
      <c r="T29" s="237"/>
      <c r="U29" s="717"/>
      <c r="V29" s="718"/>
      <c r="W29" s="718"/>
      <c r="X29" s="718"/>
      <c r="Y29" s="718"/>
      <c r="Z29" s="719"/>
    </row>
    <row r="30" spans="1:28" ht="120" customHeight="1" x14ac:dyDescent="0.15">
      <c r="A30" s="575"/>
      <c r="B30" s="577"/>
      <c r="C30" s="580"/>
      <c r="D30" s="581"/>
      <c r="E30" s="170" t="s">
        <v>985</v>
      </c>
      <c r="F30" s="170" t="s">
        <v>1007</v>
      </c>
      <c r="G30" s="170" t="s">
        <v>949</v>
      </c>
      <c r="H30" s="170" t="s">
        <v>832</v>
      </c>
      <c r="I30" s="170" t="s">
        <v>665</v>
      </c>
      <c r="J30" s="170" t="s">
        <v>841</v>
      </c>
      <c r="K30" s="170" t="s">
        <v>822</v>
      </c>
      <c r="L30" s="171"/>
      <c r="M30" s="170" t="s">
        <v>902</v>
      </c>
      <c r="N30" s="170" t="s">
        <v>998</v>
      </c>
      <c r="O30" s="170" t="s">
        <v>1000</v>
      </c>
      <c r="P30" s="170" t="s">
        <v>996</v>
      </c>
      <c r="Q30" s="170" t="s">
        <v>1002</v>
      </c>
      <c r="R30" s="235"/>
      <c r="S30" s="237"/>
      <c r="T30" s="237"/>
      <c r="U30" s="584" t="s">
        <v>32</v>
      </c>
      <c r="V30" s="585"/>
      <c r="W30" s="585"/>
      <c r="X30" s="585"/>
      <c r="Y30" s="585"/>
      <c r="Z30" s="586"/>
    </row>
    <row r="31" spans="1:28" ht="120" customHeight="1" thickBot="1" x14ac:dyDescent="0.2">
      <c r="A31" s="303"/>
      <c r="B31" s="304" t="s">
        <v>589</v>
      </c>
      <c r="C31" s="582"/>
      <c r="D31" s="583"/>
      <c r="E31" s="590" t="s">
        <v>178</v>
      </c>
      <c r="F31" s="591"/>
      <c r="G31" s="515" t="s">
        <v>987</v>
      </c>
      <c r="H31" s="521" t="s">
        <v>1005</v>
      </c>
      <c r="I31" s="230" t="s">
        <v>296</v>
      </c>
      <c r="J31" s="230" t="s">
        <v>299</v>
      </c>
      <c r="K31" s="249" t="s">
        <v>33</v>
      </c>
      <c r="L31" s="305"/>
      <c r="M31" s="248" t="s">
        <v>221</v>
      </c>
      <c r="N31" s="230" t="s">
        <v>597</v>
      </c>
      <c r="O31" s="247" t="s">
        <v>869</v>
      </c>
      <c r="P31" s="230" t="s">
        <v>1004</v>
      </c>
      <c r="Q31" s="249"/>
      <c r="R31" s="235">
        <f>(COUNTA(G31:Q31))/9</f>
        <v>1</v>
      </c>
      <c r="S31" s="237"/>
      <c r="T31" s="237"/>
      <c r="U31" s="587"/>
      <c r="V31" s="588"/>
      <c r="W31" s="588"/>
      <c r="X31" s="588"/>
      <c r="Y31" s="588"/>
      <c r="Z31" s="589"/>
    </row>
    <row r="32" spans="1:28" s="237" customFormat="1" ht="9.9499999999999993" customHeight="1" x14ac:dyDescent="0.15">
      <c r="A32" s="306"/>
      <c r="B32" s="307"/>
      <c r="C32" s="308"/>
      <c r="D32" s="430"/>
      <c r="E32" s="430"/>
      <c r="F32" s="430"/>
      <c r="G32" s="430"/>
      <c r="H32" s="430"/>
      <c r="I32" s="430"/>
      <c r="J32" s="430"/>
      <c r="K32" s="430"/>
      <c r="L32" s="430"/>
      <c r="M32" s="430"/>
      <c r="N32" s="430"/>
      <c r="O32" s="430"/>
      <c r="P32" s="430"/>
      <c r="Q32" s="430"/>
      <c r="R32" s="235"/>
      <c r="U32" s="309"/>
      <c r="V32" s="309"/>
      <c r="W32" s="309"/>
      <c r="X32" s="309"/>
      <c r="Y32" s="309"/>
      <c r="Z32" s="310"/>
      <c r="AA32" s="238"/>
    </row>
    <row r="33" spans="1:27" s="237" customFormat="1" ht="21" customHeight="1" x14ac:dyDescent="0.15">
      <c r="A33" s="311"/>
      <c r="B33" s="312"/>
      <c r="C33" s="313"/>
      <c r="D33" s="314" t="s">
        <v>224</v>
      </c>
      <c r="E33" s="315" t="s">
        <v>35</v>
      </c>
      <c r="F33" s="316" t="s">
        <v>1</v>
      </c>
      <c r="G33" s="316" t="s">
        <v>2</v>
      </c>
      <c r="H33" s="316" t="s">
        <v>36</v>
      </c>
      <c r="I33" s="316" t="s">
        <v>4</v>
      </c>
      <c r="J33" s="316" t="s">
        <v>37</v>
      </c>
      <c r="K33" s="316" t="s">
        <v>38</v>
      </c>
      <c r="L33" s="317" t="s">
        <v>39</v>
      </c>
      <c r="M33" s="316" t="s">
        <v>40</v>
      </c>
      <c r="N33" s="316" t="s">
        <v>9</v>
      </c>
      <c r="O33" s="316" t="s">
        <v>10</v>
      </c>
      <c r="P33" s="316" t="s">
        <v>11</v>
      </c>
      <c r="Q33" s="318" t="s">
        <v>12</v>
      </c>
      <c r="R33" s="319"/>
      <c r="U33" s="309"/>
      <c r="V33" s="309"/>
      <c r="W33" s="309"/>
      <c r="X33" s="309"/>
      <c r="Y33" s="309"/>
      <c r="Z33" s="310"/>
      <c r="AA33" s="238"/>
    </row>
    <row r="34" spans="1:27" s="237" customFormat="1" ht="45.75" customHeight="1" x14ac:dyDescent="0.15">
      <c r="A34" s="217"/>
      <c r="B34" s="320"/>
      <c r="C34" s="320"/>
      <c r="D34" s="537" t="s">
        <v>225</v>
      </c>
      <c r="E34" s="321" t="s">
        <v>277</v>
      </c>
      <c r="F34" s="321" t="s">
        <v>319</v>
      </c>
      <c r="G34" s="321" t="s">
        <v>913</v>
      </c>
      <c r="H34" s="321" t="s">
        <v>884</v>
      </c>
      <c r="I34" s="321" t="s">
        <v>914</v>
      </c>
      <c r="J34" s="321" t="s">
        <v>989</v>
      </c>
      <c r="K34" s="321" t="s">
        <v>995</v>
      </c>
      <c r="L34" s="322"/>
      <c r="M34" s="321" t="s">
        <v>41</v>
      </c>
      <c r="N34" s="321" t="s">
        <v>71</v>
      </c>
      <c r="O34" s="321" t="s">
        <v>817</v>
      </c>
      <c r="P34" s="321" t="s">
        <v>990</v>
      </c>
      <c r="Q34" s="321" t="s">
        <v>253</v>
      </c>
      <c r="R34" s="319"/>
      <c r="S34" s="323">
        <v>23</v>
      </c>
      <c r="V34" s="309"/>
      <c r="W34" s="309"/>
      <c r="X34" s="309"/>
      <c r="Y34" s="309"/>
      <c r="Z34" s="310"/>
      <c r="AA34" s="238"/>
    </row>
    <row r="35" spans="1:27" s="237" customFormat="1" ht="45.75" customHeight="1" x14ac:dyDescent="0.15">
      <c r="A35" s="217"/>
      <c r="B35" s="320"/>
      <c r="C35" s="320"/>
      <c r="D35" s="538"/>
      <c r="E35" s="322"/>
      <c r="F35" s="321"/>
      <c r="G35" s="322"/>
      <c r="H35" s="321"/>
      <c r="I35" s="322"/>
      <c r="J35" s="321" t="s">
        <v>42</v>
      </c>
      <c r="K35" s="321"/>
      <c r="L35" s="322"/>
      <c r="M35" s="321" t="s">
        <v>227</v>
      </c>
      <c r="N35" s="322" t="s">
        <v>14</v>
      </c>
      <c r="O35" s="321" t="s">
        <v>228</v>
      </c>
      <c r="P35" s="321"/>
      <c r="Q35" s="321"/>
      <c r="R35" s="325"/>
      <c r="S35" s="326"/>
      <c r="V35" s="309"/>
      <c r="W35" s="309"/>
      <c r="X35" s="309"/>
      <c r="Y35" s="309"/>
      <c r="Z35" s="218"/>
      <c r="AA35" s="238"/>
    </row>
    <row r="36" spans="1:27" ht="27.95" customHeight="1" x14ac:dyDescent="0.15">
      <c r="D36" s="327" t="s">
        <v>229</v>
      </c>
      <c r="E36" s="322" t="s">
        <v>339</v>
      </c>
      <c r="F36" s="322"/>
      <c r="G36" s="322" t="s">
        <v>66</v>
      </c>
      <c r="H36" s="329"/>
      <c r="I36" s="322" t="s">
        <v>230</v>
      </c>
      <c r="J36" s="322"/>
      <c r="K36" s="322"/>
      <c r="L36" s="322"/>
      <c r="M36" s="322"/>
      <c r="N36" s="329"/>
      <c r="O36" s="322"/>
      <c r="P36" s="322"/>
      <c r="Q36" s="322" t="s">
        <v>231</v>
      </c>
      <c r="R36" s="330"/>
      <c r="S36" s="326">
        <v>4</v>
      </c>
      <c r="U36" s="217"/>
      <c r="V36" s="309"/>
      <c r="W36" s="309"/>
      <c r="X36" s="309"/>
      <c r="Y36" s="309"/>
      <c r="Z36" s="310"/>
    </row>
    <row r="37" spans="1:27" s="291" customFormat="1" ht="42" customHeight="1" x14ac:dyDescent="0.15">
      <c r="A37" s="217"/>
      <c r="B37" s="320"/>
      <c r="C37" s="320"/>
      <c r="D37" s="327" t="s">
        <v>232</v>
      </c>
      <c r="E37" s="321" t="s">
        <v>320</v>
      </c>
      <c r="F37" s="321" t="s">
        <v>790</v>
      </c>
      <c r="G37" s="321" t="s">
        <v>301</v>
      </c>
      <c r="H37" s="321" t="s">
        <v>828</v>
      </c>
      <c r="I37" s="321" t="s">
        <v>249</v>
      </c>
      <c r="J37" s="321" t="s">
        <v>43</v>
      </c>
      <c r="K37" s="321" t="s">
        <v>836</v>
      </c>
      <c r="L37" s="322"/>
      <c r="M37" s="321" t="s">
        <v>322</v>
      </c>
      <c r="N37" s="321" t="s">
        <v>323</v>
      </c>
      <c r="O37" s="321" t="s">
        <v>72</v>
      </c>
      <c r="P37" s="331" t="s">
        <v>303</v>
      </c>
      <c r="Q37" s="321" t="s">
        <v>44</v>
      </c>
      <c r="R37" s="330"/>
      <c r="S37" s="332">
        <v>20</v>
      </c>
      <c r="V37" s="309"/>
      <c r="W37" s="309"/>
      <c r="X37" s="309"/>
      <c r="Y37" s="309"/>
      <c r="Z37" s="218"/>
      <c r="AA37" s="292"/>
    </row>
    <row r="38" spans="1:27" ht="42" customHeight="1" x14ac:dyDescent="0.15">
      <c r="D38" s="333" t="s">
        <v>233</v>
      </c>
      <c r="E38" s="321" t="s">
        <v>250</v>
      </c>
      <c r="F38" s="321" t="s">
        <v>245</v>
      </c>
      <c r="G38" s="321" t="s">
        <v>234</v>
      </c>
      <c r="H38" s="321" t="s">
        <v>60</v>
      </c>
      <c r="I38" s="321" t="s">
        <v>692</v>
      </c>
      <c r="J38" s="321" t="s">
        <v>235</v>
      </c>
      <c r="K38" s="324" t="s">
        <v>882</v>
      </c>
      <c r="L38" s="334"/>
      <c r="M38" s="321" t="s">
        <v>247</v>
      </c>
      <c r="N38" s="321" t="s">
        <v>270</v>
      </c>
      <c r="O38" s="321" t="s">
        <v>991</v>
      </c>
      <c r="P38" s="321" t="s">
        <v>248</v>
      </c>
      <c r="Q38" s="321" t="s">
        <v>878</v>
      </c>
      <c r="R38" s="335"/>
      <c r="S38" s="332">
        <v>22</v>
      </c>
      <c r="U38" s="217"/>
      <c r="V38" s="309"/>
      <c r="W38" s="309"/>
      <c r="X38" s="309"/>
      <c r="Y38" s="309"/>
      <c r="Z38" s="336"/>
    </row>
    <row r="39" spans="1:27" ht="9.9499999999999993" customHeight="1" x14ac:dyDescent="0.15">
      <c r="D39" s="539"/>
      <c r="E39" s="539"/>
      <c r="F39" s="539"/>
      <c r="G39" s="539"/>
      <c r="H39" s="539"/>
      <c r="I39" s="539"/>
      <c r="J39" s="539"/>
      <c r="K39" s="539"/>
      <c r="L39" s="539"/>
      <c r="M39" s="539"/>
      <c r="N39" s="539"/>
      <c r="O39" s="539"/>
      <c r="P39" s="539"/>
      <c r="Q39" s="539"/>
      <c r="R39" s="539"/>
      <c r="S39" s="332">
        <f>S34+S36+S37+S38</f>
        <v>69</v>
      </c>
      <c r="U39" s="217"/>
      <c r="V39" s="309"/>
      <c r="W39" s="309"/>
      <c r="X39" s="309"/>
      <c r="Y39" s="309"/>
    </row>
    <row r="40" spans="1:27" ht="21" customHeight="1" x14ac:dyDescent="0.15">
      <c r="D40" s="337"/>
      <c r="E40" s="338" t="s">
        <v>0</v>
      </c>
      <c r="F40" s="339" t="s">
        <v>1</v>
      </c>
      <c r="G40" s="339" t="s">
        <v>2</v>
      </c>
      <c r="H40" s="340" t="s">
        <v>3</v>
      </c>
      <c r="I40" s="341" t="s">
        <v>47</v>
      </c>
      <c r="J40" s="339" t="s">
        <v>5</v>
      </c>
      <c r="K40" s="339" t="s">
        <v>6</v>
      </c>
      <c r="L40" s="317"/>
      <c r="M40" s="339" t="s">
        <v>8</v>
      </c>
      <c r="N40" s="339" t="s">
        <v>9</v>
      </c>
      <c r="O40" s="341" t="s">
        <v>10</v>
      </c>
      <c r="P40" s="339" t="s">
        <v>11</v>
      </c>
      <c r="Q40" s="339" t="s">
        <v>12</v>
      </c>
      <c r="R40" s="342" t="s">
        <v>48</v>
      </c>
      <c r="S40" s="343" t="s">
        <v>263</v>
      </c>
    </row>
    <row r="41" spans="1:27" ht="39.950000000000003" customHeight="1" x14ac:dyDescent="0.15">
      <c r="D41" s="344" t="s">
        <v>49</v>
      </c>
      <c r="E41" s="345"/>
      <c r="F41" s="346"/>
      <c r="G41" s="346"/>
      <c r="H41" s="347"/>
      <c r="I41" s="348" t="s">
        <v>262</v>
      </c>
      <c r="J41" s="346"/>
      <c r="K41" s="348"/>
      <c r="L41" s="349"/>
      <c r="M41" s="346"/>
      <c r="N41" s="346"/>
      <c r="O41" s="350"/>
      <c r="P41" s="346"/>
      <c r="Q41" s="346"/>
      <c r="R41" s="351" t="s">
        <v>55</v>
      </c>
      <c r="S41" s="352"/>
      <c r="U41" s="540" t="s">
        <v>236</v>
      </c>
      <c r="V41" s="540"/>
      <c r="W41" s="540"/>
      <c r="X41" s="511"/>
      <c r="Y41" s="511"/>
      <c r="Z41" s="511"/>
    </row>
    <row r="42" spans="1:27" ht="39.950000000000003" customHeight="1" x14ac:dyDescent="0.15">
      <c r="D42" s="353" t="s">
        <v>50</v>
      </c>
      <c r="E42" s="354"/>
      <c r="F42" s="282"/>
      <c r="G42" s="282"/>
      <c r="H42" s="234"/>
      <c r="I42" s="355" t="s">
        <v>877</v>
      </c>
      <c r="J42" s="234"/>
      <c r="K42" s="282" t="s">
        <v>56</v>
      </c>
      <c r="L42" s="322"/>
      <c r="M42" s="355" t="s">
        <v>876</v>
      </c>
      <c r="N42" s="234"/>
      <c r="O42" s="282" t="s">
        <v>261</v>
      </c>
      <c r="P42" s="282"/>
      <c r="Q42" s="234"/>
      <c r="R42" s="356"/>
      <c r="S42" s="357"/>
      <c r="U42" s="511"/>
      <c r="V42" s="511"/>
      <c r="W42" s="511"/>
      <c r="X42" s="511"/>
      <c r="Y42" s="511"/>
      <c r="Z42" s="511"/>
      <c r="AA42" s="358"/>
    </row>
    <row r="43" spans="1:27" ht="39.950000000000003" customHeight="1" x14ac:dyDescent="0.15">
      <c r="D43" s="344" t="s">
        <v>51</v>
      </c>
      <c r="E43" s="354"/>
      <c r="F43" s="234"/>
      <c r="G43" s="282" t="s">
        <v>266</v>
      </c>
      <c r="H43" s="355"/>
      <c r="I43" s="355" t="s">
        <v>306</v>
      </c>
      <c r="J43" s="355" t="s">
        <v>282</v>
      </c>
      <c r="K43" s="355" t="s">
        <v>293</v>
      </c>
      <c r="L43" s="243"/>
      <c r="M43" s="355" t="s">
        <v>883</v>
      </c>
      <c r="N43" s="234" t="s">
        <v>58</v>
      </c>
      <c r="O43" s="282"/>
      <c r="P43" s="234"/>
      <c r="Q43" s="359" t="s">
        <v>57</v>
      </c>
      <c r="R43" s="360"/>
      <c r="S43" s="361"/>
      <c r="U43" s="511"/>
      <c r="V43" s="511"/>
      <c r="W43" s="511"/>
      <c r="X43" s="511"/>
      <c r="Y43" s="511"/>
      <c r="Z43" s="511"/>
      <c r="AA43" s="358"/>
    </row>
    <row r="44" spans="1:27" ht="39.950000000000003" customHeight="1" x14ac:dyDescent="0.15">
      <c r="D44" s="353" t="s">
        <v>52</v>
      </c>
      <c r="E44" s="354"/>
      <c r="F44" s="282"/>
      <c r="G44" s="282"/>
      <c r="H44" s="234"/>
      <c r="I44" s="234"/>
      <c r="J44" s="234"/>
      <c r="K44" s="282"/>
      <c r="L44" s="322"/>
      <c r="M44" s="282" t="s">
        <v>54</v>
      </c>
      <c r="N44" s="282"/>
      <c r="O44" s="282"/>
      <c r="P44" s="282"/>
      <c r="Q44" s="282" t="s">
        <v>264</v>
      </c>
      <c r="R44" s="356"/>
      <c r="S44" s="357"/>
      <c r="U44" s="511"/>
      <c r="V44" s="511"/>
      <c r="W44" s="511"/>
      <c r="X44" s="511"/>
      <c r="Y44" s="511"/>
      <c r="Z44" s="511"/>
      <c r="AA44" s="358"/>
    </row>
    <row r="45" spans="1:27" ht="39.950000000000003" customHeight="1" x14ac:dyDescent="0.15">
      <c r="D45" s="362" t="s">
        <v>53</v>
      </c>
      <c r="E45" s="363"/>
      <c r="F45" s="364"/>
      <c r="G45" s="365"/>
      <c r="H45" s="364"/>
      <c r="I45" s="364"/>
      <c r="J45" s="364"/>
      <c r="K45" s="364"/>
      <c r="L45" s="334"/>
      <c r="M45" s="364"/>
      <c r="N45" s="364"/>
      <c r="O45" s="364"/>
      <c r="P45" s="365"/>
      <c r="Q45" s="364"/>
      <c r="R45" s="366"/>
      <c r="S45" s="367"/>
      <c r="U45" s="511"/>
      <c r="V45" s="511"/>
      <c r="W45" s="511"/>
      <c r="X45" s="511"/>
      <c r="Y45" s="511"/>
      <c r="Z45" s="511"/>
      <c r="AA45" s="358"/>
    </row>
    <row r="46" spans="1:27" ht="27.95" customHeight="1" x14ac:dyDescent="0.15">
      <c r="C46" s="217"/>
      <c r="D46" s="362" t="s">
        <v>874</v>
      </c>
      <c r="E46" s="363"/>
      <c r="F46" s="364"/>
      <c r="G46" s="365" t="s">
        <v>55</v>
      </c>
      <c r="H46" s="364"/>
      <c r="I46" s="364"/>
      <c r="J46" s="364"/>
      <c r="K46" s="364"/>
      <c r="L46" s="334"/>
      <c r="M46" s="364"/>
      <c r="N46" s="364"/>
      <c r="O46" s="364"/>
      <c r="P46" s="365"/>
      <c r="Q46" s="364"/>
      <c r="R46" s="366"/>
      <c r="S46" s="367"/>
      <c r="U46" s="511"/>
      <c r="V46" s="511"/>
      <c r="W46" s="511"/>
      <c r="X46" s="511"/>
      <c r="Y46" s="511"/>
      <c r="Z46" s="511"/>
      <c r="AA46" s="358"/>
    </row>
    <row r="47" spans="1:27" ht="27.95" customHeight="1" x14ac:dyDescent="0.15">
      <c r="R47" s="369"/>
      <c r="S47" s="320"/>
      <c r="AA47" s="358"/>
    </row>
    <row r="48" spans="1:27" ht="16.5" customHeight="1" x14ac:dyDescent="0.15">
      <c r="R48" s="369"/>
    </row>
    <row r="49" spans="1:27" s="329" customFormat="1" ht="16.5" customHeight="1" x14ac:dyDescent="0.15">
      <c r="A49" s="217"/>
      <c r="B49" s="370"/>
      <c r="C49" s="320"/>
      <c r="D49" s="320"/>
      <c r="E49" s="320"/>
      <c r="F49" s="320"/>
      <c r="G49" s="320"/>
      <c r="H49" s="320"/>
      <c r="I49" s="320"/>
      <c r="J49" s="320"/>
      <c r="K49" s="320"/>
      <c r="M49" s="217"/>
      <c r="N49" s="217"/>
      <c r="O49" s="217"/>
      <c r="P49" s="217"/>
      <c r="Q49" s="217"/>
      <c r="R49" s="368"/>
      <c r="S49" s="217"/>
      <c r="T49" s="217"/>
      <c r="U49" s="218"/>
      <c r="V49" s="218"/>
      <c r="W49" s="218"/>
      <c r="X49" s="218"/>
      <c r="Y49" s="218"/>
      <c r="Z49" s="218"/>
      <c r="AA49" s="219"/>
    </row>
    <row r="50" spans="1:27" s="329" customFormat="1" ht="16.5" customHeight="1" x14ac:dyDescent="0.15">
      <c r="A50" s="217"/>
      <c r="B50" s="320"/>
      <c r="C50" s="320"/>
      <c r="D50" s="320"/>
      <c r="E50" s="320"/>
      <c r="F50" s="320"/>
      <c r="G50" s="320"/>
      <c r="H50" s="320"/>
      <c r="I50" s="320"/>
      <c r="J50" s="320"/>
      <c r="K50" s="320"/>
      <c r="M50" s="217"/>
      <c r="N50" s="217"/>
      <c r="O50" s="217"/>
      <c r="P50" s="217"/>
      <c r="Q50" s="217"/>
      <c r="R50" s="368"/>
      <c r="S50" s="217"/>
      <c r="T50" s="217"/>
      <c r="U50" s="218"/>
      <c r="V50" s="218"/>
      <c r="W50" s="218"/>
      <c r="X50" s="218"/>
      <c r="Y50" s="218"/>
      <c r="Z50" s="218"/>
      <c r="AA50" s="219"/>
    </row>
    <row r="51" spans="1:27" s="329" customFormat="1" ht="17.25" customHeight="1" x14ac:dyDescent="0.15">
      <c r="A51" s="217"/>
      <c r="B51" s="320"/>
      <c r="C51" s="320"/>
      <c r="D51" s="320"/>
      <c r="E51" s="320"/>
      <c r="F51" s="320"/>
      <c r="G51" s="320"/>
      <c r="H51" s="320"/>
      <c r="I51" s="320"/>
      <c r="J51" s="320"/>
      <c r="K51" s="320"/>
      <c r="M51" s="217"/>
      <c r="N51" s="217"/>
      <c r="O51" s="217"/>
      <c r="P51" s="217"/>
      <c r="Q51" s="217"/>
      <c r="R51" s="368"/>
      <c r="S51" s="217"/>
      <c r="T51" s="217"/>
      <c r="U51" s="218"/>
      <c r="V51" s="218"/>
      <c r="W51" s="218"/>
      <c r="X51" s="218"/>
      <c r="Y51" s="218"/>
      <c r="Z51" s="218"/>
      <c r="AA51" s="219"/>
    </row>
    <row r="52" spans="1:27" s="329" customFormat="1" x14ac:dyDescent="0.15">
      <c r="A52" s="217"/>
      <c r="B52" s="320"/>
      <c r="C52" s="320"/>
      <c r="D52" s="320"/>
      <c r="E52" s="320"/>
      <c r="F52" s="320"/>
      <c r="G52" s="320"/>
      <c r="H52" s="320"/>
      <c r="I52" s="320"/>
      <c r="J52" s="320"/>
      <c r="K52" s="320"/>
      <c r="M52" s="217"/>
      <c r="N52" s="217"/>
      <c r="O52" s="217"/>
      <c r="P52" s="217"/>
      <c r="Q52" s="217"/>
      <c r="R52" s="368"/>
      <c r="S52" s="217"/>
      <c r="T52" s="217"/>
      <c r="U52" s="218"/>
      <c r="V52" s="218"/>
      <c r="W52" s="218"/>
      <c r="X52" s="218"/>
      <c r="Y52" s="218"/>
      <c r="Z52" s="218"/>
      <c r="AA52" s="219"/>
    </row>
    <row r="53" spans="1:27" s="329" customFormat="1" ht="16.5" customHeight="1" x14ac:dyDescent="0.15">
      <c r="A53" s="217"/>
      <c r="B53" s="320"/>
      <c r="C53" s="320"/>
      <c r="D53" s="320"/>
      <c r="E53" s="320"/>
      <c r="F53" s="320"/>
      <c r="G53" s="320"/>
      <c r="H53" s="320"/>
      <c r="I53" s="320"/>
      <c r="J53" s="320"/>
      <c r="K53" s="320"/>
      <c r="M53" s="217"/>
      <c r="N53" s="217"/>
      <c r="O53" s="217"/>
      <c r="P53" s="217"/>
      <c r="Q53" s="217"/>
      <c r="R53" s="368"/>
      <c r="S53" s="217"/>
      <c r="T53" s="217"/>
      <c r="U53" s="218"/>
      <c r="V53" s="218"/>
      <c r="W53" s="218"/>
      <c r="X53" s="218"/>
      <c r="Y53" s="218"/>
      <c r="Z53" s="218"/>
      <c r="AA53" s="219"/>
    </row>
    <row r="54" spans="1:27" s="329" customFormat="1" x14ac:dyDescent="0.15">
      <c r="A54" s="217"/>
      <c r="B54" s="320"/>
      <c r="C54" s="320"/>
      <c r="D54" s="320"/>
      <c r="E54" s="320"/>
      <c r="F54" s="320"/>
      <c r="G54" s="320"/>
      <c r="H54" s="320"/>
      <c r="I54" s="320"/>
      <c r="J54" s="320"/>
      <c r="K54" s="320"/>
      <c r="M54" s="217"/>
      <c r="N54" s="217"/>
      <c r="O54" s="217"/>
      <c r="P54" s="217"/>
      <c r="Q54" s="217"/>
      <c r="R54" s="368"/>
      <c r="S54" s="217"/>
      <c r="T54" s="217"/>
      <c r="U54" s="218"/>
      <c r="V54" s="218"/>
      <c r="W54" s="218"/>
      <c r="X54" s="218"/>
      <c r="Y54" s="218"/>
      <c r="Z54" s="218"/>
      <c r="AA54" s="219"/>
    </row>
    <row r="55" spans="1:27" s="329" customFormat="1" x14ac:dyDescent="0.15">
      <c r="A55" s="217"/>
      <c r="B55" s="320"/>
      <c r="C55" s="320"/>
      <c r="D55" s="320"/>
      <c r="E55" s="320"/>
      <c r="F55" s="320"/>
      <c r="G55" s="320"/>
      <c r="H55" s="320"/>
      <c r="I55" s="320"/>
      <c r="J55" s="320"/>
      <c r="K55" s="320"/>
      <c r="M55" s="217"/>
      <c r="N55" s="217"/>
      <c r="O55" s="217"/>
      <c r="P55" s="217"/>
      <c r="Q55" s="217"/>
      <c r="R55" s="368"/>
      <c r="S55" s="217"/>
      <c r="T55" s="217"/>
      <c r="U55" s="218"/>
      <c r="V55" s="218"/>
      <c r="W55" s="218"/>
      <c r="X55" s="218"/>
      <c r="Y55" s="218"/>
      <c r="Z55" s="218"/>
      <c r="AA55" s="219"/>
    </row>
    <row r="56" spans="1:27" s="329" customFormat="1" x14ac:dyDescent="0.15">
      <c r="A56" s="217"/>
      <c r="B56" s="320"/>
      <c r="C56" s="320"/>
      <c r="D56" s="320"/>
      <c r="E56" s="320"/>
      <c r="F56" s="320"/>
      <c r="G56" s="320"/>
      <c r="H56" s="320"/>
      <c r="I56" s="320"/>
      <c r="J56" s="320"/>
      <c r="K56" s="320"/>
      <c r="M56" s="217"/>
      <c r="N56" s="217"/>
      <c r="O56" s="217"/>
      <c r="P56" s="217"/>
      <c r="Q56" s="217"/>
      <c r="R56" s="368"/>
      <c r="S56" s="217"/>
      <c r="T56" s="217"/>
      <c r="U56" s="218"/>
      <c r="V56" s="218"/>
      <c r="W56" s="218"/>
      <c r="X56" s="218"/>
      <c r="Y56" s="218"/>
      <c r="Z56" s="218"/>
      <c r="AA56" s="219"/>
    </row>
    <row r="57" spans="1:27" s="329" customFormat="1" ht="16.5" customHeight="1" x14ac:dyDescent="0.15">
      <c r="A57" s="217"/>
      <c r="B57" s="320"/>
      <c r="C57" s="320"/>
      <c r="D57" s="320"/>
      <c r="E57" s="320"/>
      <c r="F57" s="320"/>
      <c r="G57" s="320"/>
      <c r="H57" s="320"/>
      <c r="I57" s="320"/>
      <c r="J57" s="320"/>
      <c r="K57" s="320"/>
      <c r="M57" s="217"/>
      <c r="N57" s="217"/>
      <c r="O57" s="217"/>
      <c r="P57" s="217"/>
      <c r="Q57" s="217"/>
      <c r="R57" s="368"/>
      <c r="S57" s="217"/>
      <c r="T57" s="217"/>
      <c r="U57" s="218"/>
      <c r="V57" s="218"/>
      <c r="W57" s="218"/>
      <c r="X57" s="218"/>
      <c r="Y57" s="218"/>
      <c r="Z57" s="218"/>
      <c r="AA57" s="219"/>
    </row>
    <row r="58" spans="1:27" s="329" customFormat="1" x14ac:dyDescent="0.15">
      <c r="A58" s="217"/>
      <c r="B58" s="320"/>
      <c r="C58" s="320"/>
      <c r="D58" s="320"/>
      <c r="E58" s="320"/>
      <c r="F58" s="320"/>
      <c r="G58" s="320"/>
      <c r="H58" s="320"/>
      <c r="I58" s="320"/>
      <c r="J58" s="320"/>
      <c r="K58" s="320"/>
      <c r="M58" s="217"/>
      <c r="N58" s="217"/>
      <c r="O58" s="217"/>
      <c r="P58" s="217"/>
      <c r="Q58" s="217"/>
      <c r="R58" s="368"/>
      <c r="S58" s="217"/>
      <c r="T58" s="217"/>
      <c r="U58" s="218"/>
      <c r="V58" s="218"/>
      <c r="W58" s="218"/>
      <c r="X58" s="218"/>
      <c r="Y58" s="218"/>
      <c r="Z58" s="218"/>
      <c r="AA58" s="219"/>
    </row>
    <row r="59" spans="1:27" s="329" customFormat="1" x14ac:dyDescent="0.15">
      <c r="A59" s="217"/>
      <c r="B59" s="320"/>
      <c r="C59" s="320"/>
      <c r="D59" s="320"/>
      <c r="E59" s="320"/>
      <c r="F59" s="320"/>
      <c r="G59" s="320"/>
      <c r="H59" s="320"/>
      <c r="I59" s="320"/>
      <c r="J59" s="320"/>
      <c r="K59" s="320"/>
      <c r="M59" s="217"/>
      <c r="N59" s="217"/>
      <c r="O59" s="217"/>
      <c r="P59" s="217"/>
      <c r="Q59" s="217"/>
      <c r="R59" s="368"/>
      <c r="S59" s="217"/>
      <c r="T59" s="217"/>
      <c r="U59" s="218"/>
      <c r="V59" s="218"/>
      <c r="W59" s="218"/>
      <c r="X59" s="218"/>
      <c r="Y59" s="218"/>
      <c r="Z59" s="218"/>
      <c r="AA59" s="219"/>
    </row>
    <row r="60" spans="1:27" s="329" customFormat="1" x14ac:dyDescent="0.15">
      <c r="A60" s="217"/>
      <c r="B60" s="320"/>
      <c r="C60" s="320"/>
      <c r="D60" s="320"/>
      <c r="E60" s="217"/>
      <c r="F60" s="217"/>
      <c r="G60" s="217"/>
      <c r="H60" s="217"/>
      <c r="I60" s="217"/>
      <c r="J60" s="217"/>
      <c r="K60" s="217"/>
      <c r="M60" s="217"/>
      <c r="N60" s="217"/>
      <c r="O60" s="217"/>
      <c r="P60" s="217"/>
      <c r="Q60" s="217"/>
      <c r="R60" s="368"/>
      <c r="S60" s="217"/>
      <c r="T60" s="217"/>
      <c r="U60" s="218"/>
      <c r="V60" s="218"/>
      <c r="W60" s="218"/>
      <c r="X60" s="218"/>
      <c r="Y60" s="218"/>
      <c r="Z60" s="218"/>
      <c r="AA60" s="219"/>
    </row>
    <row r="72" ht="16.5" customHeight="1" x14ac:dyDescent="0.15"/>
    <row r="74" ht="16.5" customHeight="1" x14ac:dyDescent="0.15"/>
    <row r="76" ht="16.5" customHeight="1" x14ac:dyDescent="0.15"/>
    <row r="78" ht="16.5" customHeight="1" x14ac:dyDescent="0.15"/>
  </sheetData>
  <mergeCells count="31">
    <mergeCell ref="D34:D35"/>
    <mergeCell ref="D39:R39"/>
    <mergeCell ref="U41:W41"/>
    <mergeCell ref="P9:Q10"/>
    <mergeCell ref="P13:Q13"/>
    <mergeCell ref="C11:D12"/>
    <mergeCell ref="P22:Q24"/>
    <mergeCell ref="U22:Z22"/>
    <mergeCell ref="U23:Z29"/>
    <mergeCell ref="C25:D25"/>
    <mergeCell ref="C26:D27"/>
    <mergeCell ref="U9:Z17"/>
    <mergeCell ref="C14:D15"/>
    <mergeCell ref="C16:D21"/>
    <mergeCell ref="U18:Z18"/>
    <mergeCell ref="E19:F19"/>
    <mergeCell ref="A29:A30"/>
    <mergeCell ref="B29:B30"/>
    <mergeCell ref="C29:D31"/>
    <mergeCell ref="U30:Z31"/>
    <mergeCell ref="E31:F31"/>
    <mergeCell ref="M19:Q19"/>
    <mergeCell ref="U19:Z21"/>
    <mergeCell ref="E20:F20"/>
    <mergeCell ref="A1:Q1"/>
    <mergeCell ref="A2:Q2"/>
    <mergeCell ref="U2:Z3"/>
    <mergeCell ref="C4:D8"/>
    <mergeCell ref="U4:Z4"/>
    <mergeCell ref="U5:Z7"/>
    <mergeCell ref="U8:Z8"/>
  </mergeCells>
  <phoneticPr fontId="3" type="noConversion"/>
  <conditionalFormatting sqref="O91:O92">
    <cfRule type="uniqueValues" dxfId="5" priority="3"/>
  </conditionalFormatting>
  <conditionalFormatting sqref="M85:M86">
    <cfRule type="uniqueValues" dxfId="4" priority="2"/>
  </conditionalFormatting>
  <conditionalFormatting sqref="N91:N92">
    <cfRule type="uniqueValues" dxfId="3" priority="1"/>
  </conditionalFormatting>
  <printOptions horizontalCentered="1"/>
  <pageMargins left="0" right="0" top="0" bottom="0" header="0" footer="0"/>
  <pageSetup paperSize="9" scale="29" orientation="portrait" horizontalDpi="4294967293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78"/>
  <sheetViews>
    <sheetView tabSelected="1" topLeftCell="A2" zoomScale="85" zoomScaleNormal="85" zoomScalePageLayoutView="80" workbookViewId="0">
      <selection activeCell="U9" sqref="U9:Z18"/>
    </sheetView>
  </sheetViews>
  <sheetFormatPr defaultRowHeight="16.5" x14ac:dyDescent="0.15"/>
  <cols>
    <col min="1" max="1" width="4.33203125" style="217" customWidth="1"/>
    <col min="2" max="2" width="13.33203125" style="320" customWidth="1"/>
    <col min="3" max="4" width="15.83203125" style="320" customWidth="1"/>
    <col min="5" max="11" width="15.83203125" style="217" customWidth="1"/>
    <col min="12" max="12" width="3.5" style="329" customWidth="1"/>
    <col min="13" max="17" width="15.83203125" style="217" customWidth="1"/>
    <col min="18" max="18" width="15.83203125" style="368" customWidth="1"/>
    <col min="19" max="19" width="15.83203125" style="217" customWidth="1"/>
    <col min="20" max="20" width="2.1640625" style="217" customWidth="1"/>
    <col min="21" max="26" width="10.83203125" style="218" customWidth="1"/>
    <col min="27" max="27" width="10" style="219" bestFit="1" customWidth="1"/>
    <col min="28" max="16384" width="9.33203125" style="217"/>
  </cols>
  <sheetData>
    <row r="1" spans="1:27" ht="16.5" hidden="1" customHeight="1" x14ac:dyDescent="0.15">
      <c r="A1" s="606" t="s">
        <v>74</v>
      </c>
      <c r="B1" s="607"/>
      <c r="C1" s="607"/>
      <c r="D1" s="607"/>
      <c r="E1" s="607"/>
      <c r="F1" s="607"/>
      <c r="G1" s="607"/>
      <c r="H1" s="607"/>
      <c r="I1" s="607"/>
      <c r="J1" s="607"/>
      <c r="K1" s="607"/>
      <c r="L1" s="607"/>
      <c r="M1" s="607"/>
      <c r="N1" s="607"/>
      <c r="O1" s="607"/>
      <c r="P1" s="607"/>
      <c r="Q1" s="608"/>
      <c r="R1" s="216"/>
    </row>
    <row r="2" spans="1:27" ht="18" customHeight="1" x14ac:dyDescent="0.15">
      <c r="A2" s="609" t="s">
        <v>1078</v>
      </c>
      <c r="B2" s="610"/>
      <c r="C2" s="610"/>
      <c r="D2" s="610"/>
      <c r="E2" s="610"/>
      <c r="F2" s="610"/>
      <c r="G2" s="610"/>
      <c r="H2" s="610"/>
      <c r="I2" s="610"/>
      <c r="J2" s="610"/>
      <c r="K2" s="610"/>
      <c r="L2" s="610"/>
      <c r="M2" s="610"/>
      <c r="N2" s="610"/>
      <c r="O2" s="610"/>
      <c r="P2" s="610"/>
      <c r="Q2" s="610"/>
      <c r="R2" s="220"/>
      <c r="U2" s="540"/>
      <c r="V2" s="540"/>
      <c r="W2" s="540"/>
      <c r="X2" s="540"/>
      <c r="Y2" s="540"/>
      <c r="Z2" s="540"/>
    </row>
    <row r="3" spans="1:27" ht="21" customHeight="1" thickBot="1" x14ac:dyDescent="0.2">
      <c r="A3" s="221"/>
      <c r="B3" s="222" t="s">
        <v>75</v>
      </c>
      <c r="C3" s="223" t="s">
        <v>76</v>
      </c>
      <c r="D3" s="223" t="s">
        <v>77</v>
      </c>
      <c r="E3" s="224" t="s">
        <v>0</v>
      </c>
      <c r="F3" s="224" t="s">
        <v>1</v>
      </c>
      <c r="G3" s="223" t="s">
        <v>2</v>
      </c>
      <c r="H3" s="223" t="s">
        <v>377</v>
      </c>
      <c r="I3" s="224" t="s">
        <v>4</v>
      </c>
      <c r="J3" s="223" t="s">
        <v>5</v>
      </c>
      <c r="K3" s="223" t="s">
        <v>78</v>
      </c>
      <c r="L3" s="225" t="s">
        <v>7</v>
      </c>
      <c r="M3" s="224" t="s">
        <v>8</v>
      </c>
      <c r="N3" s="223" t="s">
        <v>9</v>
      </c>
      <c r="O3" s="223" t="s">
        <v>10</v>
      </c>
      <c r="P3" s="223" t="s">
        <v>11</v>
      </c>
      <c r="Q3" s="223" t="s">
        <v>12</v>
      </c>
      <c r="R3" s="226">
        <f>AVERAGE(R4:R32)</f>
        <v>0.93269230769230771</v>
      </c>
      <c r="U3" s="611"/>
      <c r="V3" s="611"/>
      <c r="W3" s="611"/>
      <c r="X3" s="611"/>
      <c r="Y3" s="611"/>
      <c r="Z3" s="611"/>
    </row>
    <row r="4" spans="1:27" s="237" customFormat="1" ht="27.95" customHeight="1" thickBot="1" x14ac:dyDescent="0.2">
      <c r="A4" s="227">
        <v>1</v>
      </c>
      <c r="B4" s="228" t="s">
        <v>122</v>
      </c>
      <c r="C4" s="604"/>
      <c r="D4" s="605"/>
      <c r="E4" s="229" t="s">
        <v>252</v>
      </c>
      <c r="F4" s="229" t="s">
        <v>253</v>
      </c>
      <c r="G4" s="230" t="s">
        <v>287</v>
      </c>
      <c r="H4" s="231" t="s">
        <v>124</v>
      </c>
      <c r="I4" s="229" t="s">
        <v>724</v>
      </c>
      <c r="J4" s="232" t="s">
        <v>125</v>
      </c>
      <c r="K4" s="229" t="s">
        <v>126</v>
      </c>
      <c r="L4" s="233"/>
      <c r="M4" s="234" t="s">
        <v>386</v>
      </c>
      <c r="N4" s="231" t="s">
        <v>109</v>
      </c>
      <c r="O4" s="241" t="s">
        <v>706</v>
      </c>
      <c r="P4" s="231" t="s">
        <v>389</v>
      </c>
      <c r="Q4" s="231" t="s">
        <v>88</v>
      </c>
      <c r="R4" s="235">
        <f>(COUNTA(C4:Q4))/12</f>
        <v>1</v>
      </c>
      <c r="S4" s="525"/>
      <c r="U4" s="612" t="s">
        <v>313</v>
      </c>
      <c r="V4" s="613"/>
      <c r="W4" s="613"/>
      <c r="X4" s="613"/>
      <c r="Y4" s="613"/>
      <c r="Z4" s="614"/>
      <c r="AA4" s="238"/>
    </row>
    <row r="5" spans="1:27" s="237" customFormat="1" ht="27.95" customHeight="1" x14ac:dyDescent="0.15">
      <c r="A5" s="239">
        <v>2</v>
      </c>
      <c r="B5" s="240" t="s">
        <v>390</v>
      </c>
      <c r="C5" s="598"/>
      <c r="D5" s="599"/>
      <c r="E5" s="378" t="s">
        <v>1084</v>
      </c>
      <c r="F5" s="229" t="s">
        <v>90</v>
      </c>
      <c r="G5" s="229" t="s">
        <v>386</v>
      </c>
      <c r="H5" s="231" t="s">
        <v>106</v>
      </c>
      <c r="I5" s="241" t="s">
        <v>240</v>
      </c>
      <c r="J5" s="229" t="s">
        <v>286</v>
      </c>
      <c r="K5" s="229" t="s">
        <v>214</v>
      </c>
      <c r="L5" s="231"/>
      <c r="M5" s="229" t="s">
        <v>756</v>
      </c>
      <c r="N5" s="378" t="s">
        <v>1077</v>
      </c>
      <c r="O5" s="234" t="s">
        <v>238</v>
      </c>
      <c r="P5" s="411" t="s">
        <v>1020</v>
      </c>
      <c r="Q5" s="5" t="s">
        <v>711</v>
      </c>
      <c r="R5" s="235">
        <f>(COUNTA(C5:Q5))/12</f>
        <v>1</v>
      </c>
      <c r="S5" s="525"/>
      <c r="U5" s="615"/>
      <c r="V5" s="616"/>
      <c r="W5" s="616"/>
      <c r="X5" s="616"/>
      <c r="Y5" s="616"/>
      <c r="Z5" s="617"/>
      <c r="AA5" s="238"/>
    </row>
    <row r="6" spans="1:27" s="237" customFormat="1" ht="27.95" customHeight="1" x14ac:dyDescent="0.15">
      <c r="A6" s="239">
        <v>3</v>
      </c>
      <c r="B6" s="242" t="s">
        <v>127</v>
      </c>
      <c r="C6" s="598"/>
      <c r="D6" s="599"/>
      <c r="E6" s="229" t="s">
        <v>290</v>
      </c>
      <c r="F6" s="243" t="s">
        <v>128</v>
      </c>
      <c r="G6" s="229" t="s">
        <v>240</v>
      </c>
      <c r="H6" s="229" t="s">
        <v>257</v>
      </c>
      <c r="I6" s="229" t="s">
        <v>310</v>
      </c>
      <c r="J6" s="229" t="s">
        <v>129</v>
      </c>
      <c r="K6" s="411" t="s">
        <v>1020</v>
      </c>
      <c r="L6" s="229"/>
      <c r="M6" s="229" t="s">
        <v>112</v>
      </c>
      <c r="N6" s="241" t="s">
        <v>130</v>
      </c>
      <c r="O6" s="241" t="s">
        <v>131</v>
      </c>
      <c r="P6" s="244" t="s">
        <v>407</v>
      </c>
      <c r="Q6" s="229" t="s">
        <v>288</v>
      </c>
      <c r="R6" s="235">
        <f>(COUNTA(C6:Q6))/12</f>
        <v>1</v>
      </c>
      <c r="S6" s="525"/>
      <c r="U6" s="618"/>
      <c r="V6" s="619"/>
      <c r="W6" s="619"/>
      <c r="X6" s="619"/>
      <c r="Y6" s="619"/>
      <c r="Z6" s="620"/>
      <c r="AA6" s="238"/>
    </row>
    <row r="7" spans="1:27" s="237" customFormat="1" ht="27.75" customHeight="1" thickBot="1" x14ac:dyDescent="0.2">
      <c r="A7" s="239">
        <v>4</v>
      </c>
      <c r="B7" s="245" t="s">
        <v>111</v>
      </c>
      <c r="C7" s="598"/>
      <c r="D7" s="599"/>
      <c r="E7" s="229" t="s">
        <v>103</v>
      </c>
      <c r="F7" s="231" t="s">
        <v>389</v>
      </c>
      <c r="G7" s="243" t="s">
        <v>286</v>
      </c>
      <c r="H7" s="229" t="s">
        <v>278</v>
      </c>
      <c r="I7" s="229" t="s">
        <v>107</v>
      </c>
      <c r="J7" s="229" t="s">
        <v>280</v>
      </c>
      <c r="K7" s="229" t="s">
        <v>411</v>
      </c>
      <c r="L7" s="229"/>
      <c r="M7" s="5" t="s">
        <v>711</v>
      </c>
      <c r="N7" s="5" t="s">
        <v>115</v>
      </c>
      <c r="O7" s="229" t="s">
        <v>116</v>
      </c>
      <c r="P7" s="229" t="s">
        <v>117</v>
      </c>
      <c r="Q7" s="246" t="s">
        <v>346</v>
      </c>
      <c r="R7" s="235">
        <f>(COUNTA(C7:Q7))/12</f>
        <v>1</v>
      </c>
      <c r="S7" s="525"/>
      <c r="U7" s="621"/>
      <c r="V7" s="622"/>
      <c r="W7" s="622"/>
      <c r="X7" s="622"/>
      <c r="Y7" s="622"/>
      <c r="Z7" s="623"/>
      <c r="AA7" s="238"/>
    </row>
    <row r="8" spans="1:27" s="237" customFormat="1" ht="27.95" customHeight="1" thickBot="1" x14ac:dyDescent="0.2">
      <c r="A8" s="239">
        <v>5</v>
      </c>
      <c r="B8" s="6" t="s">
        <v>416</v>
      </c>
      <c r="C8" s="598"/>
      <c r="D8" s="599"/>
      <c r="E8" s="229" t="s">
        <v>756</v>
      </c>
      <c r="F8" s="230" t="s">
        <v>104</v>
      </c>
      <c r="G8" s="170" t="s">
        <v>110</v>
      </c>
      <c r="H8" s="247" t="s">
        <v>279</v>
      </c>
      <c r="I8" s="247" t="s">
        <v>118</v>
      </c>
      <c r="J8" s="247" t="s">
        <v>106</v>
      </c>
      <c r="K8" s="230" t="s">
        <v>420</v>
      </c>
      <c r="L8" s="171"/>
      <c r="M8" s="230" t="s">
        <v>281</v>
      </c>
      <c r="N8" s="248" t="s">
        <v>272</v>
      </c>
      <c r="O8" s="249" t="s">
        <v>107</v>
      </c>
      <c r="P8" s="411" t="s">
        <v>1013</v>
      </c>
      <c r="Q8" s="230" t="s">
        <v>103</v>
      </c>
      <c r="R8" s="235">
        <f>(COUNTA(C8:Q8))/12</f>
        <v>1</v>
      </c>
      <c r="S8" s="525"/>
      <c r="U8" s="612" t="s">
        <v>422</v>
      </c>
      <c r="V8" s="613"/>
      <c r="W8" s="613"/>
      <c r="X8" s="613"/>
      <c r="Y8" s="613"/>
      <c r="Z8" s="614"/>
      <c r="AA8" s="238"/>
    </row>
    <row r="9" spans="1:27" s="237" customFormat="1" ht="27.95" customHeight="1" x14ac:dyDescent="0.15">
      <c r="A9" s="250">
        <v>6</v>
      </c>
      <c r="B9" s="251" t="s">
        <v>423</v>
      </c>
      <c r="C9" s="252" t="s">
        <v>1003</v>
      </c>
      <c r="D9" s="252" t="s">
        <v>1036</v>
      </c>
      <c r="E9" s="253" t="s">
        <v>425</v>
      </c>
      <c r="F9" s="253" t="s">
        <v>411</v>
      </c>
      <c r="G9" s="253" t="s">
        <v>238</v>
      </c>
      <c r="H9" s="233" t="s">
        <v>407</v>
      </c>
      <c r="I9" s="232" t="s">
        <v>950</v>
      </c>
      <c r="J9" s="424" t="s">
        <v>142</v>
      </c>
      <c r="K9" s="160" t="s">
        <v>286</v>
      </c>
      <c r="L9" s="253"/>
      <c r="M9" s="253" t="s">
        <v>428</v>
      </c>
      <c r="N9" s="254" t="s">
        <v>429</v>
      </c>
      <c r="O9" s="231" t="s">
        <v>109</v>
      </c>
      <c r="P9" s="541"/>
      <c r="Q9" s="542"/>
      <c r="R9" s="235">
        <f t="shared" ref="R9:R19" si="0">(COUNTA(C9:Q9))/12</f>
        <v>1</v>
      </c>
      <c r="S9" s="525"/>
      <c r="U9" s="592" t="s">
        <v>1087</v>
      </c>
      <c r="V9" s="593"/>
      <c r="W9" s="593"/>
      <c r="X9" s="593"/>
      <c r="Y9" s="593"/>
      <c r="Z9" s="594"/>
      <c r="AA9" s="238"/>
    </row>
    <row r="10" spans="1:27" s="237" customFormat="1" ht="27.95" customHeight="1" x14ac:dyDescent="0.15">
      <c r="A10" s="239">
        <v>7</v>
      </c>
      <c r="B10" s="240" t="s">
        <v>430</v>
      </c>
      <c r="C10" s="255" t="s">
        <v>1029</v>
      </c>
      <c r="D10" s="255" t="s">
        <v>1029</v>
      </c>
      <c r="E10" s="241" t="s">
        <v>706</v>
      </c>
      <c r="F10" s="232" t="s">
        <v>13</v>
      </c>
      <c r="G10" s="229" t="s">
        <v>432</v>
      </c>
      <c r="H10" s="241" t="s">
        <v>214</v>
      </c>
      <c r="I10" s="234" t="s">
        <v>104</v>
      </c>
      <c r="J10" s="229" t="s">
        <v>335</v>
      </c>
      <c r="K10" s="229" t="s">
        <v>100</v>
      </c>
      <c r="L10" s="233"/>
      <c r="M10" s="231" t="s">
        <v>724</v>
      </c>
      <c r="N10" s="232" t="s">
        <v>101</v>
      </c>
      <c r="O10" s="231" t="s">
        <v>102</v>
      </c>
      <c r="P10" s="543"/>
      <c r="Q10" s="544"/>
      <c r="R10" s="235">
        <f t="shared" si="0"/>
        <v>1</v>
      </c>
      <c r="S10" s="525"/>
      <c r="U10" s="592"/>
      <c r="V10" s="593"/>
      <c r="W10" s="593"/>
      <c r="X10" s="593"/>
      <c r="Y10" s="593"/>
      <c r="Z10" s="594"/>
      <c r="AA10" s="238"/>
    </row>
    <row r="11" spans="1:27" s="237" customFormat="1" ht="27.95" customHeight="1" x14ac:dyDescent="0.15">
      <c r="A11" s="239">
        <v>8</v>
      </c>
      <c r="B11" s="452" t="s">
        <v>1070</v>
      </c>
      <c r="C11" s="604"/>
      <c r="D11" s="605"/>
      <c r="E11" s="439"/>
      <c r="F11" s="445" t="s">
        <v>238</v>
      </c>
      <c r="G11" s="519" t="s">
        <v>134</v>
      </c>
      <c r="H11" s="439" t="s">
        <v>135</v>
      </c>
      <c r="I11" s="520" t="s">
        <v>106</v>
      </c>
      <c r="J11" s="439" t="s">
        <v>107</v>
      </c>
      <c r="K11" s="444" t="s">
        <v>108</v>
      </c>
      <c r="L11" s="440"/>
      <c r="M11" s="440"/>
      <c r="N11" s="439"/>
      <c r="O11" s="439" t="s">
        <v>123</v>
      </c>
      <c r="P11" s="440"/>
      <c r="Q11" s="439"/>
      <c r="R11" s="235">
        <f t="shared" si="0"/>
        <v>0.58333333333333337</v>
      </c>
      <c r="S11" s="525"/>
      <c r="U11" s="592"/>
      <c r="V11" s="593"/>
      <c r="W11" s="593"/>
      <c r="X11" s="593"/>
      <c r="Y11" s="593"/>
      <c r="Z11" s="594"/>
      <c r="AA11" s="238"/>
    </row>
    <row r="12" spans="1:27" s="237" customFormat="1" ht="27.95" customHeight="1" x14ac:dyDescent="0.15">
      <c r="A12" s="239">
        <v>9</v>
      </c>
      <c r="B12" s="495" t="s">
        <v>1071</v>
      </c>
      <c r="C12" s="755"/>
      <c r="D12" s="756"/>
      <c r="E12" s="439" t="s">
        <v>138</v>
      </c>
      <c r="F12" s="445" t="s">
        <v>983</v>
      </c>
      <c r="G12" s="481" t="s">
        <v>139</v>
      </c>
      <c r="H12" s="444" t="s">
        <v>950</v>
      </c>
      <c r="I12" s="443"/>
      <c r="J12" s="439"/>
      <c r="K12" s="445" t="s">
        <v>118</v>
      </c>
      <c r="L12" s="439"/>
      <c r="M12" s="445" t="s">
        <v>279</v>
      </c>
      <c r="N12" s="441" t="s">
        <v>143</v>
      </c>
      <c r="O12" s="445" t="s">
        <v>272</v>
      </c>
      <c r="P12" s="445"/>
      <c r="Q12" s="441"/>
      <c r="R12" s="235">
        <f t="shared" si="0"/>
        <v>0.66666666666666663</v>
      </c>
      <c r="S12" s="525"/>
      <c r="U12" s="592"/>
      <c r="V12" s="593"/>
      <c r="W12" s="593"/>
      <c r="X12" s="593"/>
      <c r="Y12" s="593"/>
      <c r="Z12" s="594"/>
      <c r="AA12" s="238"/>
    </row>
    <row r="13" spans="1:27" s="237" customFormat="1" ht="27.75" customHeight="1" x14ac:dyDescent="0.15">
      <c r="A13" s="270">
        <v>10</v>
      </c>
      <c r="B13" s="527" t="s">
        <v>119</v>
      </c>
      <c r="C13" s="268" t="s">
        <v>1040</v>
      </c>
      <c r="D13" s="268" t="s">
        <v>1037</v>
      </c>
      <c r="E13" s="234" t="s">
        <v>288</v>
      </c>
      <c r="F13" s="170" t="s">
        <v>102</v>
      </c>
      <c r="G13" s="230" t="s">
        <v>109</v>
      </c>
      <c r="H13" s="230" t="s">
        <v>724</v>
      </c>
      <c r="I13" s="230" t="s">
        <v>120</v>
      </c>
      <c r="J13" s="305" t="s">
        <v>115</v>
      </c>
      <c r="K13" s="230" t="s">
        <v>121</v>
      </c>
      <c r="L13" s="171"/>
      <c r="M13" s="531" t="s">
        <v>82</v>
      </c>
      <c r="N13" s="229" t="s">
        <v>782</v>
      </c>
      <c r="O13" s="230" t="s">
        <v>100</v>
      </c>
      <c r="P13" s="545"/>
      <c r="Q13" s="546"/>
      <c r="R13" s="235">
        <f t="shared" si="0"/>
        <v>1</v>
      </c>
      <c r="S13" s="525"/>
      <c r="U13" s="592"/>
      <c r="V13" s="593"/>
      <c r="W13" s="593"/>
      <c r="X13" s="593"/>
      <c r="Y13" s="593"/>
      <c r="Z13" s="594"/>
      <c r="AA13" s="238"/>
    </row>
    <row r="14" spans="1:27" s="237" customFormat="1" ht="27.75" customHeight="1" x14ac:dyDescent="0.15">
      <c r="A14" s="263">
        <v>11</v>
      </c>
      <c r="B14" s="528" t="s">
        <v>1057</v>
      </c>
      <c r="C14" s="604"/>
      <c r="D14" s="605"/>
      <c r="E14" s="529"/>
      <c r="F14" s="5"/>
      <c r="G14" s="229"/>
      <c r="H14" s="229"/>
      <c r="I14" s="230"/>
      <c r="J14" s="243"/>
      <c r="K14" s="230"/>
      <c r="L14" s="530"/>
      <c r="M14" s="532"/>
      <c r="N14" s="279"/>
      <c r="O14" s="229"/>
      <c r="P14" s="533"/>
      <c r="Q14" s="234"/>
      <c r="R14" s="235">
        <f t="shared" si="0"/>
        <v>0</v>
      </c>
      <c r="S14" s="525"/>
      <c r="U14" s="592"/>
      <c r="V14" s="593"/>
      <c r="W14" s="593"/>
      <c r="X14" s="593"/>
      <c r="Y14" s="593"/>
      <c r="Z14" s="594"/>
      <c r="AA14" s="238"/>
    </row>
    <row r="15" spans="1:27" ht="27.95" customHeight="1" x14ac:dyDescent="0.15">
      <c r="A15" s="263">
        <v>12</v>
      </c>
      <c r="B15" s="264" t="s">
        <v>144</v>
      </c>
      <c r="C15" s="598"/>
      <c r="D15" s="599"/>
      <c r="E15" s="229" t="s">
        <v>104</v>
      </c>
      <c r="F15" s="404" t="s">
        <v>1013</v>
      </c>
      <c r="G15" s="241" t="s">
        <v>279</v>
      </c>
      <c r="H15" s="233" t="s">
        <v>272</v>
      </c>
      <c r="I15" s="438" t="s">
        <v>281</v>
      </c>
      <c r="J15" s="230" t="s">
        <v>288</v>
      </c>
      <c r="K15" s="229" t="s">
        <v>724</v>
      </c>
      <c r="L15" s="241"/>
      <c r="M15" s="233" t="s">
        <v>286</v>
      </c>
      <c r="N15" s="241" t="s">
        <v>240</v>
      </c>
      <c r="O15" s="243" t="s">
        <v>314</v>
      </c>
      <c r="P15" s="231" t="s">
        <v>411</v>
      </c>
      <c r="Q15" s="231" t="s">
        <v>281</v>
      </c>
      <c r="R15" s="235">
        <f t="shared" si="0"/>
        <v>1</v>
      </c>
      <c r="S15" s="525"/>
      <c r="T15" s="237"/>
      <c r="U15" s="592"/>
      <c r="V15" s="593"/>
      <c r="W15" s="593"/>
      <c r="X15" s="593"/>
      <c r="Y15" s="593"/>
      <c r="Z15" s="594"/>
    </row>
    <row r="16" spans="1:27" ht="27.95" customHeight="1" thickBot="1" x14ac:dyDescent="0.2">
      <c r="A16" s="258">
        <v>13</v>
      </c>
      <c r="B16" s="265" t="s">
        <v>145</v>
      </c>
      <c r="C16" s="600"/>
      <c r="D16" s="601"/>
      <c r="E16" s="249" t="s">
        <v>677</v>
      </c>
      <c r="F16" s="261" t="s">
        <v>105</v>
      </c>
      <c r="G16" s="241" t="s">
        <v>706</v>
      </c>
      <c r="H16" s="395" t="s">
        <v>800</v>
      </c>
      <c r="I16" s="9" t="s">
        <v>288</v>
      </c>
      <c r="J16" s="249" t="s">
        <v>724</v>
      </c>
      <c r="K16" s="249" t="s">
        <v>756</v>
      </c>
      <c r="L16" s="249"/>
      <c r="M16" s="384" t="s">
        <v>1076</v>
      </c>
      <c r="N16" s="266" t="s">
        <v>146</v>
      </c>
      <c r="O16" s="249" t="s">
        <v>906</v>
      </c>
      <c r="P16" s="249" t="s">
        <v>346</v>
      </c>
      <c r="Q16" s="9" t="s">
        <v>905</v>
      </c>
      <c r="R16" s="235">
        <f t="shared" si="0"/>
        <v>1</v>
      </c>
      <c r="S16" s="525"/>
      <c r="U16" s="592"/>
      <c r="V16" s="593"/>
      <c r="W16" s="593"/>
      <c r="X16" s="593"/>
      <c r="Y16" s="593"/>
      <c r="Z16" s="594"/>
    </row>
    <row r="17" spans="1:28" ht="27" customHeight="1" x14ac:dyDescent="0.15">
      <c r="A17" s="227">
        <v>14</v>
      </c>
      <c r="B17" s="267" t="s">
        <v>21</v>
      </c>
      <c r="C17" s="598"/>
      <c r="D17" s="599"/>
      <c r="E17" s="5" t="s">
        <v>712</v>
      </c>
      <c r="F17" s="177" t="s">
        <v>186</v>
      </c>
      <c r="G17" s="253" t="s">
        <v>473</v>
      </c>
      <c r="H17" s="253" t="s">
        <v>23</v>
      </c>
      <c r="I17" s="522" t="s">
        <v>1052</v>
      </c>
      <c r="J17" s="160" t="s">
        <v>188</v>
      </c>
      <c r="K17" s="231" t="s">
        <v>189</v>
      </c>
      <c r="L17" s="233"/>
      <c r="M17" s="241" t="s">
        <v>190</v>
      </c>
      <c r="N17" s="229" t="s">
        <v>191</v>
      </c>
      <c r="O17" s="522" t="s">
        <v>1024</v>
      </c>
      <c r="P17" s="376" t="s">
        <v>707</v>
      </c>
      <c r="Q17" s="376" t="s">
        <v>953</v>
      </c>
      <c r="R17" s="235">
        <f t="shared" si="0"/>
        <v>1</v>
      </c>
      <c r="S17" s="525"/>
      <c r="U17" s="592"/>
      <c r="V17" s="593"/>
      <c r="W17" s="593"/>
      <c r="X17" s="593"/>
      <c r="Y17" s="593"/>
      <c r="Z17" s="594"/>
    </row>
    <row r="18" spans="1:28" ht="27.95" customHeight="1" thickBot="1" x14ac:dyDescent="0.2">
      <c r="A18" s="227">
        <v>15</v>
      </c>
      <c r="B18" s="267" t="s">
        <v>155</v>
      </c>
      <c r="C18" s="598"/>
      <c r="D18" s="599"/>
      <c r="E18" s="229" t="s">
        <v>156</v>
      </c>
      <c r="F18" s="232" t="s">
        <v>157</v>
      </c>
      <c r="G18" s="229" t="s">
        <v>158</v>
      </c>
      <c r="H18" s="411" t="s">
        <v>1051</v>
      </c>
      <c r="I18" s="241" t="s">
        <v>889</v>
      </c>
      <c r="J18" s="229" t="s">
        <v>159</v>
      </c>
      <c r="K18" s="241" t="s">
        <v>241</v>
      </c>
      <c r="L18" s="229"/>
      <c r="M18" s="17" t="s">
        <v>160</v>
      </c>
      <c r="N18" s="5" t="s">
        <v>161</v>
      </c>
      <c r="O18" s="18" t="s">
        <v>162</v>
      </c>
      <c r="P18" s="229" t="s">
        <v>163</v>
      </c>
      <c r="Q18" s="269" t="s">
        <v>164</v>
      </c>
      <c r="R18" s="235">
        <f t="shared" si="0"/>
        <v>1</v>
      </c>
      <c r="S18" s="525"/>
      <c r="U18" s="595"/>
      <c r="V18" s="596"/>
      <c r="W18" s="596"/>
      <c r="X18" s="596"/>
      <c r="Y18" s="596"/>
      <c r="Z18" s="597"/>
    </row>
    <row r="19" spans="1:28" ht="27.95" customHeight="1" thickBot="1" x14ac:dyDescent="0.2">
      <c r="A19" s="270">
        <v>16</v>
      </c>
      <c r="B19" s="245" t="s">
        <v>193</v>
      </c>
      <c r="C19" s="598"/>
      <c r="D19" s="599"/>
      <c r="E19" s="243" t="s">
        <v>194</v>
      </c>
      <c r="F19" s="5" t="s">
        <v>195</v>
      </c>
      <c r="G19" s="243" t="s">
        <v>495</v>
      </c>
      <c r="H19" s="246" t="s">
        <v>173</v>
      </c>
      <c r="I19" s="243" t="s">
        <v>237</v>
      </c>
      <c r="J19" s="229" t="s">
        <v>952</v>
      </c>
      <c r="K19" s="229" t="s">
        <v>197</v>
      </c>
      <c r="L19" s="229"/>
      <c r="M19" s="241" t="s">
        <v>25</v>
      </c>
      <c r="N19" s="229" t="s">
        <v>244</v>
      </c>
      <c r="O19" s="229" t="s">
        <v>908</v>
      </c>
      <c r="P19" s="243" t="s">
        <v>304</v>
      </c>
      <c r="Q19" s="246" t="s">
        <v>907</v>
      </c>
      <c r="R19" s="371">
        <f t="shared" si="0"/>
        <v>1</v>
      </c>
      <c r="S19" s="525"/>
      <c r="U19" s="547" t="s">
        <v>311</v>
      </c>
      <c r="V19" s="548"/>
      <c r="W19" s="548"/>
      <c r="X19" s="548"/>
      <c r="Y19" s="548"/>
      <c r="Z19" s="549"/>
    </row>
    <row r="20" spans="1:28" s="237" customFormat="1" ht="27.75" customHeight="1" x14ac:dyDescent="0.15">
      <c r="A20" s="239"/>
      <c r="B20" s="242" t="s">
        <v>170</v>
      </c>
      <c r="C20" s="598"/>
      <c r="D20" s="599"/>
      <c r="E20" s="602" t="s">
        <v>20</v>
      </c>
      <c r="F20" s="603"/>
      <c r="G20" s="404" t="s">
        <v>658</v>
      </c>
      <c r="H20" s="229" t="s">
        <v>171</v>
      </c>
      <c r="I20" s="273" t="s">
        <v>172</v>
      </c>
      <c r="J20" s="229" t="s">
        <v>173</v>
      </c>
      <c r="K20" s="243" t="s">
        <v>781</v>
      </c>
      <c r="L20" s="229"/>
      <c r="M20" s="273" t="s">
        <v>174</v>
      </c>
      <c r="N20" s="5" t="s">
        <v>175</v>
      </c>
      <c r="O20" s="246" t="s">
        <v>176</v>
      </c>
      <c r="P20" s="229" t="s">
        <v>152</v>
      </c>
      <c r="Q20" s="231" t="s">
        <v>154</v>
      </c>
      <c r="R20" s="235">
        <f>(COUNTA(G20:Q20))/10</f>
        <v>1</v>
      </c>
      <c r="S20" s="525"/>
      <c r="U20" s="740" t="s">
        <v>1075</v>
      </c>
      <c r="V20" s="741"/>
      <c r="W20" s="741"/>
      <c r="X20" s="741"/>
      <c r="Y20" s="741"/>
      <c r="Z20" s="742"/>
      <c r="AA20" s="238"/>
    </row>
    <row r="21" spans="1:28" ht="27.95" customHeight="1" thickBot="1" x14ac:dyDescent="0.2">
      <c r="A21" s="258"/>
      <c r="B21" s="274" t="s">
        <v>177</v>
      </c>
      <c r="C21" s="600"/>
      <c r="D21" s="601"/>
      <c r="E21" s="471" t="s">
        <v>178</v>
      </c>
      <c r="F21" s="261"/>
      <c r="G21" s="230" t="s">
        <v>179</v>
      </c>
      <c r="H21" s="230" t="s">
        <v>180</v>
      </c>
      <c r="I21" s="249" t="s">
        <v>181</v>
      </c>
      <c r="J21" s="403" t="s">
        <v>1021</v>
      </c>
      <c r="K21" s="249" t="s">
        <v>182</v>
      </c>
      <c r="L21" s="247"/>
      <c r="M21" s="249" t="s">
        <v>183</v>
      </c>
      <c r="N21" s="247" t="s">
        <v>184</v>
      </c>
      <c r="O21" s="249" t="s">
        <v>185</v>
      </c>
      <c r="P21" s="372" t="s">
        <v>153</v>
      </c>
      <c r="Q21" s="526" t="s">
        <v>178</v>
      </c>
      <c r="R21" s="235">
        <f>(COUNTA(F21:P21))/9</f>
        <v>1</v>
      </c>
      <c r="S21" s="525"/>
      <c r="U21" s="743"/>
      <c r="V21" s="744"/>
      <c r="W21" s="744"/>
      <c r="X21" s="744"/>
      <c r="Y21" s="744"/>
      <c r="Z21" s="745"/>
    </row>
    <row r="22" spans="1:28" s="237" customFormat="1" ht="27.95" customHeight="1" x14ac:dyDescent="0.15">
      <c r="A22" s="227">
        <v>17</v>
      </c>
      <c r="B22" s="245" t="s">
        <v>147</v>
      </c>
      <c r="C22" s="255" t="s">
        <v>1042</v>
      </c>
      <c r="D22" s="255" t="s">
        <v>1044</v>
      </c>
      <c r="E22" s="231" t="s">
        <v>251</v>
      </c>
      <c r="F22" s="253" t="s">
        <v>254</v>
      </c>
      <c r="G22" s="277" t="s">
        <v>148</v>
      </c>
      <c r="H22" s="278" t="s">
        <v>149</v>
      </c>
      <c r="I22" s="160" t="s">
        <v>150</v>
      </c>
      <c r="J22" s="253" t="s">
        <v>151</v>
      </c>
      <c r="K22" s="253" t="s">
        <v>18</v>
      </c>
      <c r="L22" s="277"/>
      <c r="M22" s="253" t="s">
        <v>19</v>
      </c>
      <c r="N22" s="279" t="s">
        <v>152</v>
      </c>
      <c r="O22" s="160" t="s">
        <v>997</v>
      </c>
      <c r="P22" s="541"/>
      <c r="Q22" s="542"/>
      <c r="R22" s="235">
        <f>(COUNTA(C22:Q22))/12</f>
        <v>1</v>
      </c>
      <c r="S22" s="525"/>
      <c r="U22" s="743"/>
      <c r="V22" s="744"/>
      <c r="W22" s="744"/>
      <c r="X22" s="744"/>
      <c r="Y22" s="744"/>
      <c r="Z22" s="745"/>
      <c r="AA22" s="238"/>
    </row>
    <row r="23" spans="1:28" ht="27.95" customHeight="1" thickBot="1" x14ac:dyDescent="0.2">
      <c r="A23" s="270">
        <v>18</v>
      </c>
      <c r="B23" s="245" t="s">
        <v>199</v>
      </c>
      <c r="C23" s="268" t="s">
        <v>1045</v>
      </c>
      <c r="D23" s="268" t="s">
        <v>1047</v>
      </c>
      <c r="E23" s="273" t="s">
        <v>200</v>
      </c>
      <c r="F23" s="229" t="s">
        <v>201</v>
      </c>
      <c r="G23" s="5" t="s">
        <v>542</v>
      </c>
      <c r="H23" s="241" t="s">
        <v>241</v>
      </c>
      <c r="I23" s="229" t="s">
        <v>757</v>
      </c>
      <c r="J23" s="229" t="s">
        <v>202</v>
      </c>
      <c r="K23" s="23" t="s">
        <v>203</v>
      </c>
      <c r="L23" s="229"/>
      <c r="M23" s="243" t="s">
        <v>204</v>
      </c>
      <c r="N23" s="411" t="s">
        <v>1017</v>
      </c>
      <c r="O23" s="269" t="s">
        <v>205</v>
      </c>
      <c r="P23" s="543"/>
      <c r="Q23" s="544"/>
      <c r="R23" s="235">
        <f t="shared" ref="R23:R25" si="1">(COUNTA(C23:Q23))/12</f>
        <v>1</v>
      </c>
      <c r="S23" s="525"/>
      <c r="U23" s="746"/>
      <c r="V23" s="747"/>
      <c r="W23" s="747"/>
      <c r="X23" s="747"/>
      <c r="Y23" s="747"/>
      <c r="Z23" s="748"/>
    </row>
    <row r="24" spans="1:28" ht="27.95" customHeight="1" thickBot="1" x14ac:dyDescent="0.2">
      <c r="A24" s="270">
        <v>19</v>
      </c>
      <c r="B24" s="280" t="s">
        <v>27</v>
      </c>
      <c r="C24" s="255" t="s">
        <v>1048</v>
      </c>
      <c r="D24" s="255" t="s">
        <v>1048</v>
      </c>
      <c r="E24" s="406" t="s">
        <v>285</v>
      </c>
      <c r="F24" s="229" t="s">
        <v>707</v>
      </c>
      <c r="G24" s="229" t="s">
        <v>291</v>
      </c>
      <c r="H24" s="16" t="s">
        <v>289</v>
      </c>
      <c r="I24" s="241" t="s">
        <v>707</v>
      </c>
      <c r="J24" s="241" t="s">
        <v>696</v>
      </c>
      <c r="K24" s="411" t="s">
        <v>168</v>
      </c>
      <c r="L24" s="243"/>
      <c r="M24" s="229" t="s">
        <v>352</v>
      </c>
      <c r="N24" s="243" t="s">
        <v>267</v>
      </c>
      <c r="O24" s="234" t="s">
        <v>952</v>
      </c>
      <c r="P24" s="545"/>
      <c r="Q24" s="546"/>
      <c r="R24" s="235">
        <f t="shared" si="1"/>
        <v>1</v>
      </c>
      <c r="S24" s="525"/>
      <c r="U24" s="547" t="s">
        <v>1064</v>
      </c>
      <c r="V24" s="548"/>
      <c r="W24" s="548"/>
      <c r="X24" s="548"/>
      <c r="Y24" s="548"/>
      <c r="Z24" s="549"/>
      <c r="AA24" s="283"/>
    </row>
    <row r="25" spans="1:28" ht="27.95" customHeight="1" thickBot="1" x14ac:dyDescent="0.2">
      <c r="A25" s="239">
        <v>20</v>
      </c>
      <c r="B25" s="284" t="s">
        <v>206</v>
      </c>
      <c r="C25" s="550"/>
      <c r="D25" s="551"/>
      <c r="E25" s="230" t="s">
        <v>207</v>
      </c>
      <c r="F25" s="279" t="s">
        <v>1026</v>
      </c>
      <c r="G25" s="229" t="s">
        <v>267</v>
      </c>
      <c r="H25" s="249" t="s">
        <v>190</v>
      </c>
      <c r="I25" s="249" t="s">
        <v>696</v>
      </c>
      <c r="J25" s="261" t="s">
        <v>208</v>
      </c>
      <c r="K25" s="406" t="s">
        <v>154</v>
      </c>
      <c r="L25" s="248"/>
      <c r="M25" s="246" t="s">
        <v>952</v>
      </c>
      <c r="N25" s="230" t="s">
        <v>560</v>
      </c>
      <c r="O25" s="260" t="s">
        <v>712</v>
      </c>
      <c r="P25" s="243" t="s">
        <v>209</v>
      </c>
      <c r="Q25" s="261" t="s">
        <v>984</v>
      </c>
      <c r="R25" s="235">
        <f t="shared" si="1"/>
        <v>1</v>
      </c>
      <c r="S25" s="525"/>
      <c r="U25" s="565"/>
      <c r="V25" s="566"/>
      <c r="W25" s="566"/>
      <c r="X25" s="566"/>
      <c r="Y25" s="566"/>
      <c r="Z25" s="567"/>
    </row>
    <row r="26" spans="1:28" s="237" customFormat="1" ht="27.75" customHeight="1" x14ac:dyDescent="0.15">
      <c r="A26" s="285" t="s">
        <v>210</v>
      </c>
      <c r="B26" s="286" t="s">
        <v>29</v>
      </c>
      <c r="C26" s="552"/>
      <c r="D26" s="553"/>
      <c r="E26" s="278"/>
      <c r="F26" s="278" t="s">
        <v>305</v>
      </c>
      <c r="G26" s="278" t="s">
        <v>251</v>
      </c>
      <c r="H26" s="229"/>
      <c r="I26" s="254" t="s">
        <v>304</v>
      </c>
      <c r="J26" s="246" t="s">
        <v>30</v>
      </c>
      <c r="K26" s="287"/>
      <c r="L26" s="254"/>
      <c r="M26" s="287"/>
      <c r="N26" s="278" t="s">
        <v>211</v>
      </c>
      <c r="O26" s="278" t="s">
        <v>73</v>
      </c>
      <c r="P26" s="160"/>
      <c r="Q26" s="278" t="s">
        <v>757</v>
      </c>
      <c r="R26" s="235">
        <f>(COUNTA(C26:Q26))/7</f>
        <v>1</v>
      </c>
      <c r="U26" s="568"/>
      <c r="V26" s="569"/>
      <c r="W26" s="569"/>
      <c r="X26" s="569"/>
      <c r="Y26" s="569"/>
      <c r="Z26" s="570"/>
      <c r="AA26" s="238"/>
      <c r="AB26" s="237">
        <v>9</v>
      </c>
    </row>
    <row r="27" spans="1:28" s="291" customFormat="1" ht="27.95" customHeight="1" thickBot="1" x14ac:dyDescent="0.2">
      <c r="A27" s="288"/>
      <c r="B27" s="534" t="s">
        <v>1069</v>
      </c>
      <c r="C27" s="554"/>
      <c r="D27" s="555"/>
      <c r="E27" s="477" t="s">
        <v>1062</v>
      </c>
      <c r="F27" s="535" t="s">
        <v>31</v>
      </c>
      <c r="G27" s="477" t="s">
        <v>767</v>
      </c>
      <c r="H27" s="477" t="s">
        <v>107</v>
      </c>
      <c r="I27" s="536" t="s">
        <v>1067</v>
      </c>
      <c r="J27" s="535" t="s">
        <v>314</v>
      </c>
      <c r="K27" s="439" t="s">
        <v>213</v>
      </c>
      <c r="L27" s="248"/>
      <c r="M27" s="261" t="s">
        <v>255</v>
      </c>
      <c r="N27" s="30" t="s">
        <v>1082</v>
      </c>
      <c r="O27" s="290" t="s">
        <v>1080</v>
      </c>
      <c r="P27" s="247" t="s">
        <v>214</v>
      </c>
      <c r="Q27" s="249" t="s">
        <v>126</v>
      </c>
      <c r="R27" s="235">
        <f>(COUNTA(C27:Q27))/12</f>
        <v>1</v>
      </c>
      <c r="S27" s="525"/>
      <c r="U27" s="568"/>
      <c r="V27" s="569"/>
      <c r="W27" s="569"/>
      <c r="X27" s="569"/>
      <c r="Y27" s="569"/>
      <c r="Z27" s="570"/>
      <c r="AA27" s="292"/>
    </row>
    <row r="28" spans="1:28" s="291" customFormat="1" ht="9.9499999999999993" customHeight="1" thickBot="1" x14ac:dyDescent="0.2">
      <c r="A28" s="293"/>
      <c r="B28" s="294"/>
      <c r="C28" s="295"/>
      <c r="D28" s="296"/>
      <c r="E28" s="297"/>
      <c r="F28" s="298"/>
      <c r="G28" s="297"/>
      <c r="H28" s="297"/>
      <c r="I28" s="297"/>
      <c r="J28" s="80"/>
      <c r="K28" s="297"/>
      <c r="L28" s="298"/>
      <c r="M28" s="299"/>
      <c r="N28" s="82"/>
      <c r="O28" s="300"/>
      <c r="P28" s="244"/>
      <c r="Q28" s="279"/>
      <c r="R28" s="235"/>
      <c r="S28" s="525"/>
      <c r="U28" s="568"/>
      <c r="V28" s="569"/>
      <c r="W28" s="569"/>
      <c r="X28" s="569"/>
      <c r="Y28" s="569"/>
      <c r="Z28" s="570"/>
      <c r="AA28" s="292"/>
    </row>
    <row r="29" spans="1:28" ht="120" customHeight="1" thickBot="1" x14ac:dyDescent="0.2">
      <c r="A29" s="574"/>
      <c r="B29" s="576" t="s">
        <v>216</v>
      </c>
      <c r="C29" s="578"/>
      <c r="D29" s="579"/>
      <c r="E29" s="233" t="s">
        <v>986</v>
      </c>
      <c r="F29" s="231" t="s">
        <v>294</v>
      </c>
      <c r="G29" s="233" t="s">
        <v>259</v>
      </c>
      <c r="H29" s="301" t="s">
        <v>298</v>
      </c>
      <c r="I29" s="231" t="s">
        <v>256</v>
      </c>
      <c r="J29" s="522" t="s">
        <v>1014</v>
      </c>
      <c r="K29" s="253" t="s">
        <v>988</v>
      </c>
      <c r="L29" s="254"/>
      <c r="M29" s="513" t="s">
        <v>1063</v>
      </c>
      <c r="N29" s="253" t="s">
        <v>1065</v>
      </c>
      <c r="O29" s="302" t="s">
        <v>292</v>
      </c>
      <c r="P29" s="278" t="s">
        <v>220</v>
      </c>
      <c r="Q29" s="432" t="s">
        <v>1016</v>
      </c>
      <c r="R29" s="235">
        <f>(COUNTA(C29:Q29))/12</f>
        <v>1</v>
      </c>
      <c r="S29" s="237"/>
      <c r="T29" s="237"/>
      <c r="U29" s="571"/>
      <c r="V29" s="572"/>
      <c r="W29" s="572"/>
      <c r="X29" s="572"/>
      <c r="Y29" s="572"/>
      <c r="Z29" s="573"/>
    </row>
    <row r="30" spans="1:28" ht="120" customHeight="1" x14ac:dyDescent="0.15">
      <c r="A30" s="575"/>
      <c r="B30" s="577"/>
      <c r="C30" s="580"/>
      <c r="D30" s="581"/>
      <c r="E30" s="170" t="s">
        <v>1035</v>
      </c>
      <c r="F30" s="170" t="s">
        <v>1083</v>
      </c>
      <c r="G30" s="170" t="s">
        <v>1028</v>
      </c>
      <c r="H30" s="170" t="s">
        <v>743</v>
      </c>
      <c r="I30" s="170" t="s">
        <v>1072</v>
      </c>
      <c r="J30" s="170" t="s">
        <v>1074</v>
      </c>
      <c r="K30" s="170" t="s">
        <v>1073</v>
      </c>
      <c r="L30" s="171"/>
      <c r="M30" s="170" t="s">
        <v>1022</v>
      </c>
      <c r="N30" s="170" t="s">
        <v>1081</v>
      </c>
      <c r="O30" s="170" t="s">
        <v>1079</v>
      </c>
      <c r="P30" s="170" t="s">
        <v>1009</v>
      </c>
      <c r="Q30" s="170" t="s">
        <v>1015</v>
      </c>
      <c r="R30" s="235"/>
      <c r="S30" s="237"/>
      <c r="T30" s="237"/>
      <c r="U30" s="584" t="s">
        <v>1023</v>
      </c>
      <c r="V30" s="585"/>
      <c r="W30" s="585"/>
      <c r="X30" s="585"/>
      <c r="Y30" s="585"/>
      <c r="Z30" s="586"/>
    </row>
    <row r="31" spans="1:28" ht="120" customHeight="1" thickBot="1" x14ac:dyDescent="0.2">
      <c r="A31" s="303"/>
      <c r="B31" s="304" t="s">
        <v>589</v>
      </c>
      <c r="C31" s="582"/>
      <c r="D31" s="583"/>
      <c r="E31" s="590" t="s">
        <v>178</v>
      </c>
      <c r="F31" s="591"/>
      <c r="G31" s="248" t="s">
        <v>987</v>
      </c>
      <c r="H31" s="249" t="s">
        <v>307</v>
      </c>
      <c r="I31" s="412" t="s">
        <v>1019</v>
      </c>
      <c r="J31" s="230" t="s">
        <v>299</v>
      </c>
      <c r="K31" s="249" t="s">
        <v>595</v>
      </c>
      <c r="L31" s="305"/>
      <c r="M31" s="248" t="s">
        <v>221</v>
      </c>
      <c r="N31" s="412" t="s">
        <v>1066</v>
      </c>
      <c r="O31" s="523" t="s">
        <v>1018</v>
      </c>
      <c r="P31" s="230" t="s">
        <v>599</v>
      </c>
      <c r="Q31" s="249"/>
      <c r="R31" s="235">
        <f>(COUNTA(G31:Q31))/9</f>
        <v>1</v>
      </c>
      <c r="S31" s="237"/>
      <c r="T31" s="237"/>
      <c r="U31" s="587"/>
      <c r="V31" s="588"/>
      <c r="W31" s="588"/>
      <c r="X31" s="588"/>
      <c r="Y31" s="588"/>
      <c r="Z31" s="589"/>
    </row>
    <row r="32" spans="1:28" s="237" customFormat="1" ht="9.9499999999999993" customHeight="1" x14ac:dyDescent="0.15">
      <c r="A32" s="306"/>
      <c r="B32" s="307"/>
      <c r="C32" s="308"/>
      <c r="D32" s="430"/>
      <c r="E32" s="430"/>
      <c r="F32" s="430"/>
      <c r="G32" s="430"/>
      <c r="H32" s="430"/>
      <c r="I32" s="430"/>
      <c r="J32" s="430"/>
      <c r="K32" s="430"/>
      <c r="L32" s="430"/>
      <c r="M32" s="430"/>
      <c r="N32" s="430"/>
      <c r="O32" s="430"/>
      <c r="P32" s="430"/>
      <c r="Q32" s="430"/>
      <c r="R32" s="235"/>
      <c r="U32" s="309"/>
      <c r="V32" s="309"/>
      <c r="W32" s="309"/>
      <c r="X32" s="309"/>
      <c r="Y32" s="309"/>
      <c r="Z32" s="310"/>
      <c r="AA32" s="238"/>
    </row>
    <row r="33" spans="1:27" s="237" customFormat="1" ht="21" customHeight="1" x14ac:dyDescent="0.15">
      <c r="A33" s="311"/>
      <c r="B33" s="312"/>
      <c r="C33" s="313"/>
      <c r="D33" s="314" t="s">
        <v>224</v>
      </c>
      <c r="E33" s="315" t="s">
        <v>35</v>
      </c>
      <c r="F33" s="316" t="s">
        <v>1</v>
      </c>
      <c r="G33" s="316" t="s">
        <v>2</v>
      </c>
      <c r="H33" s="316" t="s">
        <v>36</v>
      </c>
      <c r="I33" s="316" t="s">
        <v>4</v>
      </c>
      <c r="J33" s="316" t="s">
        <v>37</v>
      </c>
      <c r="K33" s="316" t="s">
        <v>38</v>
      </c>
      <c r="L33" s="317" t="s">
        <v>39</v>
      </c>
      <c r="M33" s="316" t="s">
        <v>40</v>
      </c>
      <c r="N33" s="316" t="s">
        <v>9</v>
      </c>
      <c r="O33" s="316" t="s">
        <v>10</v>
      </c>
      <c r="P33" s="316" t="s">
        <v>11</v>
      </c>
      <c r="Q33" s="318" t="s">
        <v>12</v>
      </c>
      <c r="R33" s="319"/>
      <c r="U33" s="309"/>
      <c r="V33" s="309"/>
      <c r="W33" s="309"/>
      <c r="X33" s="309"/>
      <c r="Y33" s="309"/>
      <c r="Z33" s="310"/>
      <c r="AA33" s="238"/>
    </row>
    <row r="34" spans="1:27" s="237" customFormat="1" ht="45.75" customHeight="1" x14ac:dyDescent="0.15">
      <c r="A34" s="217"/>
      <c r="B34" s="320"/>
      <c r="C34" s="320"/>
      <c r="D34" s="537" t="s">
        <v>225</v>
      </c>
      <c r="E34" s="321" t="s">
        <v>1038</v>
      </c>
      <c r="F34" s="321" t="s">
        <v>319</v>
      </c>
      <c r="G34" s="321" t="s">
        <v>226</v>
      </c>
      <c r="H34" s="321" t="s">
        <v>884</v>
      </c>
      <c r="I34" s="321" t="s">
        <v>914</v>
      </c>
      <c r="J34" s="321" t="s">
        <v>989</v>
      </c>
      <c r="K34" s="321" t="s">
        <v>608</v>
      </c>
      <c r="L34" s="322"/>
      <c r="M34" s="321" t="s">
        <v>1039</v>
      </c>
      <c r="N34" s="321" t="s">
        <v>610</v>
      </c>
      <c r="O34" s="321" t="s">
        <v>817</v>
      </c>
      <c r="P34" s="321" t="s">
        <v>990</v>
      </c>
      <c r="Q34" s="321" t="s">
        <v>253</v>
      </c>
      <c r="R34" s="319"/>
      <c r="S34" s="323">
        <v>23</v>
      </c>
      <c r="V34" s="309"/>
      <c r="W34" s="309"/>
      <c r="X34" s="309"/>
      <c r="Y34" s="309"/>
      <c r="Z34" s="310"/>
      <c r="AA34" s="238"/>
    </row>
    <row r="35" spans="1:27" s="237" customFormat="1" ht="45.75" customHeight="1" x14ac:dyDescent="0.15">
      <c r="A35" s="217"/>
      <c r="B35" s="320"/>
      <c r="C35" s="320"/>
      <c r="D35" s="538"/>
      <c r="E35" s="322"/>
      <c r="F35" s="321"/>
      <c r="G35" s="322"/>
      <c r="H35" s="321"/>
      <c r="I35" s="322"/>
      <c r="J35" s="321" t="s">
        <v>615</v>
      </c>
      <c r="K35" s="321"/>
      <c r="L35" s="322"/>
      <c r="M35" s="321" t="s">
        <v>227</v>
      </c>
      <c r="N35" s="322" t="s">
        <v>335</v>
      </c>
      <c r="O35" s="321" t="s">
        <v>228</v>
      </c>
      <c r="P35" s="321"/>
      <c r="Q35" s="321"/>
      <c r="R35" s="325"/>
      <c r="S35" s="326"/>
      <c r="V35" s="309"/>
      <c r="W35" s="309"/>
      <c r="X35" s="309"/>
      <c r="Y35" s="309"/>
      <c r="Z35" s="218"/>
      <c r="AA35" s="238"/>
    </row>
    <row r="36" spans="1:27" ht="27.95" customHeight="1" x14ac:dyDescent="0.15">
      <c r="D36" s="327" t="s">
        <v>229</v>
      </c>
      <c r="E36" s="322" t="s">
        <v>339</v>
      </c>
      <c r="F36" s="322"/>
      <c r="G36" s="322" t="s">
        <v>619</v>
      </c>
      <c r="H36" s="329"/>
      <c r="I36" s="322" t="s">
        <v>230</v>
      </c>
      <c r="J36" s="322"/>
      <c r="K36" s="322"/>
      <c r="L36" s="322"/>
      <c r="M36" s="322"/>
      <c r="N36" s="329"/>
      <c r="O36" s="322"/>
      <c r="P36" s="322"/>
      <c r="Q36" s="322" t="s">
        <v>231</v>
      </c>
      <c r="R36" s="330"/>
      <c r="S36" s="326">
        <v>4</v>
      </c>
      <c r="U36" s="217"/>
      <c r="V36" s="309"/>
      <c r="W36" s="309"/>
      <c r="X36" s="309"/>
      <c r="Y36" s="309"/>
      <c r="Z36" s="310"/>
    </row>
    <row r="37" spans="1:27" s="291" customFormat="1" ht="42" customHeight="1" x14ac:dyDescent="0.15">
      <c r="A37" s="217"/>
      <c r="B37" s="320"/>
      <c r="C37" s="320"/>
      <c r="D37" s="327" t="s">
        <v>232</v>
      </c>
      <c r="E37" s="321" t="s">
        <v>320</v>
      </c>
      <c r="F37" s="321" t="s">
        <v>790</v>
      </c>
      <c r="G37" s="321" t="s">
        <v>301</v>
      </c>
      <c r="H37" s="321" t="s">
        <v>321</v>
      </c>
      <c r="I37" s="321" t="s">
        <v>249</v>
      </c>
      <c r="J37" s="321" t="s">
        <v>626</v>
      </c>
      <c r="K37" s="321" t="s">
        <v>246</v>
      </c>
      <c r="L37" s="322"/>
      <c r="M37" s="321" t="s">
        <v>322</v>
      </c>
      <c r="N37" s="321" t="s">
        <v>323</v>
      </c>
      <c r="O37" s="321" t="s">
        <v>630</v>
      </c>
      <c r="P37" s="331" t="s">
        <v>303</v>
      </c>
      <c r="Q37" s="321" t="s">
        <v>632</v>
      </c>
      <c r="R37" s="330"/>
      <c r="S37" s="332">
        <v>20</v>
      </c>
      <c r="V37" s="309"/>
      <c r="W37" s="309"/>
      <c r="X37" s="309"/>
      <c r="Y37" s="309"/>
      <c r="Z37" s="218"/>
      <c r="AA37" s="292"/>
    </row>
    <row r="38" spans="1:27" ht="42" customHeight="1" x14ac:dyDescent="0.15">
      <c r="D38" s="333" t="s">
        <v>233</v>
      </c>
      <c r="E38" s="324" t="s">
        <v>250</v>
      </c>
      <c r="F38" s="321" t="s">
        <v>245</v>
      </c>
      <c r="G38" s="321" t="s">
        <v>234</v>
      </c>
      <c r="H38" s="321" t="s">
        <v>1043</v>
      </c>
      <c r="I38" s="321" t="s">
        <v>692</v>
      </c>
      <c r="J38" s="321" t="s">
        <v>235</v>
      </c>
      <c r="K38" s="321" t="s">
        <v>882</v>
      </c>
      <c r="L38" s="334"/>
      <c r="M38" s="321" t="s">
        <v>247</v>
      </c>
      <c r="N38" s="321" t="s">
        <v>1041</v>
      </c>
      <c r="O38" s="321" t="s">
        <v>991</v>
      </c>
      <c r="P38" s="321" t="s">
        <v>1046</v>
      </c>
      <c r="Q38" s="321" t="s">
        <v>1050</v>
      </c>
      <c r="R38" s="335"/>
      <c r="S38" s="332">
        <v>22</v>
      </c>
      <c r="U38" s="217"/>
      <c r="V38" s="309"/>
      <c r="W38" s="309"/>
      <c r="X38" s="309"/>
      <c r="Y38" s="309"/>
      <c r="Z38" s="336"/>
    </row>
    <row r="39" spans="1:27" ht="9.9499999999999993" customHeight="1" x14ac:dyDescent="0.15">
      <c r="D39" s="539"/>
      <c r="E39" s="539"/>
      <c r="F39" s="539"/>
      <c r="G39" s="539"/>
      <c r="H39" s="539"/>
      <c r="I39" s="539"/>
      <c r="J39" s="539"/>
      <c r="K39" s="539"/>
      <c r="L39" s="539"/>
      <c r="M39" s="539"/>
      <c r="N39" s="539"/>
      <c r="O39" s="539"/>
      <c r="P39" s="539"/>
      <c r="Q39" s="539"/>
      <c r="R39" s="539"/>
      <c r="S39" s="332">
        <f>S34+S36+S37+S38</f>
        <v>69</v>
      </c>
      <c r="U39" s="217"/>
      <c r="V39" s="309"/>
      <c r="W39" s="309"/>
      <c r="X39" s="309"/>
      <c r="Y39" s="309"/>
    </row>
    <row r="40" spans="1:27" ht="21" customHeight="1" x14ac:dyDescent="0.15">
      <c r="D40" s="337"/>
      <c r="E40" s="338" t="s">
        <v>0</v>
      </c>
      <c r="F40" s="339" t="s">
        <v>1</v>
      </c>
      <c r="G40" s="339" t="s">
        <v>2</v>
      </c>
      <c r="H40" s="340" t="s">
        <v>377</v>
      </c>
      <c r="I40" s="341" t="s">
        <v>645</v>
      </c>
      <c r="J40" s="339" t="s">
        <v>5</v>
      </c>
      <c r="K40" s="339" t="s">
        <v>78</v>
      </c>
      <c r="L40" s="317"/>
      <c r="M40" s="339" t="s">
        <v>8</v>
      </c>
      <c r="N40" s="339" t="s">
        <v>9</v>
      </c>
      <c r="O40" s="341" t="s">
        <v>10</v>
      </c>
      <c r="P40" s="339" t="s">
        <v>11</v>
      </c>
      <c r="Q40" s="339" t="s">
        <v>12</v>
      </c>
      <c r="R40" s="342" t="s">
        <v>48</v>
      </c>
      <c r="S40" s="343" t="s">
        <v>263</v>
      </c>
    </row>
    <row r="41" spans="1:27" ht="39.950000000000003" customHeight="1" x14ac:dyDescent="0.15">
      <c r="D41" s="344" t="s">
        <v>49</v>
      </c>
      <c r="E41" s="345"/>
      <c r="F41" s="346"/>
      <c r="G41" s="346"/>
      <c r="H41" s="347"/>
      <c r="I41" s="348" t="s">
        <v>262</v>
      </c>
      <c r="J41" s="346"/>
      <c r="K41" s="348"/>
      <c r="L41" s="349"/>
      <c r="M41" s="346"/>
      <c r="N41" s="346"/>
      <c r="O41" s="350"/>
      <c r="P41" s="346"/>
      <c r="Q41" s="346"/>
      <c r="R41" s="351"/>
      <c r="S41" s="352"/>
      <c r="U41" s="540" t="s">
        <v>236</v>
      </c>
      <c r="V41" s="540"/>
      <c r="W41" s="540"/>
      <c r="X41" s="525"/>
      <c r="Y41" s="525"/>
      <c r="Z41" s="525"/>
    </row>
    <row r="42" spans="1:27" ht="39.950000000000003" customHeight="1" x14ac:dyDescent="0.15">
      <c r="D42" s="353" t="s">
        <v>50</v>
      </c>
      <c r="E42" s="354"/>
      <c r="F42" s="282"/>
      <c r="G42" s="282"/>
      <c r="H42" s="234"/>
      <c r="I42" s="355" t="s">
        <v>877</v>
      </c>
      <c r="J42" s="234"/>
      <c r="K42" s="282"/>
      <c r="L42" s="322"/>
      <c r="M42" s="355" t="s">
        <v>876</v>
      </c>
      <c r="N42" s="234"/>
      <c r="O42" s="282" t="s">
        <v>261</v>
      </c>
      <c r="P42" s="282"/>
      <c r="Q42" s="234"/>
      <c r="R42" s="356"/>
      <c r="S42" s="357"/>
      <c r="U42" s="525"/>
      <c r="V42" s="525"/>
      <c r="W42" s="525"/>
      <c r="X42" s="525"/>
      <c r="Y42" s="525"/>
      <c r="Z42" s="525"/>
      <c r="AA42" s="358"/>
    </row>
    <row r="43" spans="1:27" ht="39.950000000000003" customHeight="1" x14ac:dyDescent="0.15">
      <c r="D43" s="344" t="s">
        <v>648</v>
      </c>
      <c r="E43" s="354"/>
      <c r="F43" s="234"/>
      <c r="G43" s="282" t="s">
        <v>266</v>
      </c>
      <c r="H43" s="355"/>
      <c r="I43" s="355" t="s">
        <v>306</v>
      </c>
      <c r="J43" s="355" t="s">
        <v>282</v>
      </c>
      <c r="K43" s="355" t="s">
        <v>293</v>
      </c>
      <c r="L43" s="243"/>
      <c r="M43" s="355" t="s">
        <v>883</v>
      </c>
      <c r="N43" s="234" t="s">
        <v>58</v>
      </c>
      <c r="O43" s="282"/>
      <c r="P43" s="234"/>
      <c r="Q43" s="359" t="s">
        <v>652</v>
      </c>
      <c r="R43" s="360"/>
      <c r="S43" s="361"/>
      <c r="U43" s="525"/>
      <c r="V43" s="525"/>
      <c r="W43" s="525"/>
      <c r="X43" s="525"/>
      <c r="Y43" s="525"/>
      <c r="Z43" s="525"/>
      <c r="AA43" s="358"/>
    </row>
    <row r="44" spans="1:27" ht="39.950000000000003" customHeight="1" x14ac:dyDescent="0.15">
      <c r="D44" s="353" t="s">
        <v>52</v>
      </c>
      <c r="E44" s="354"/>
      <c r="F44" s="282"/>
      <c r="G44" s="282"/>
      <c r="H44" s="234"/>
      <c r="I44" s="234"/>
      <c r="J44" s="234"/>
      <c r="K44" s="282"/>
      <c r="L44" s="322"/>
      <c r="M44" s="282" t="s">
        <v>54</v>
      </c>
      <c r="N44" s="282"/>
      <c r="O44" s="282"/>
      <c r="P44" s="282"/>
      <c r="Q44" s="282" t="s">
        <v>264</v>
      </c>
      <c r="R44" s="356"/>
      <c r="S44" s="357"/>
      <c r="U44" s="525"/>
      <c r="V44" s="525"/>
      <c r="W44" s="525"/>
      <c r="X44" s="525"/>
      <c r="Y44" s="525"/>
      <c r="Z44" s="525"/>
      <c r="AA44" s="358"/>
    </row>
    <row r="45" spans="1:27" ht="39.950000000000003" customHeight="1" x14ac:dyDescent="0.15">
      <c r="D45" s="362" t="s">
        <v>653</v>
      </c>
      <c r="E45" s="363"/>
      <c r="F45" s="364"/>
      <c r="G45" s="365"/>
      <c r="H45" s="364"/>
      <c r="I45" s="364"/>
      <c r="J45" s="364"/>
      <c r="K45" s="364"/>
      <c r="L45" s="334"/>
      <c r="M45" s="364"/>
      <c r="N45" s="364"/>
      <c r="O45" s="364"/>
      <c r="P45" s="365"/>
      <c r="Q45" s="364"/>
      <c r="R45" s="366"/>
      <c r="S45" s="367"/>
      <c r="U45" s="525"/>
      <c r="V45" s="525"/>
      <c r="W45" s="525"/>
      <c r="X45" s="525"/>
      <c r="Y45" s="525"/>
      <c r="Z45" s="525"/>
      <c r="AA45" s="358"/>
    </row>
    <row r="46" spans="1:27" ht="27.95" customHeight="1" x14ac:dyDescent="0.15">
      <c r="C46" s="217"/>
      <c r="D46" s="362" t="s">
        <v>874</v>
      </c>
      <c r="E46" s="363"/>
      <c r="F46" s="364"/>
      <c r="G46" s="365" t="s">
        <v>646</v>
      </c>
      <c r="H46" s="364"/>
      <c r="I46" s="364"/>
      <c r="J46" s="364"/>
      <c r="K46" s="364"/>
      <c r="L46" s="334"/>
      <c r="M46" s="364"/>
      <c r="N46" s="364"/>
      <c r="O46" s="364"/>
      <c r="P46" s="365"/>
      <c r="Q46" s="364"/>
      <c r="R46" s="366"/>
      <c r="S46" s="367"/>
      <c r="U46" s="525"/>
      <c r="V46" s="525"/>
      <c r="W46" s="525"/>
      <c r="X46" s="525"/>
      <c r="Y46" s="525"/>
      <c r="Z46" s="525"/>
      <c r="AA46" s="358"/>
    </row>
    <row r="47" spans="1:27" ht="27.95" customHeight="1" x14ac:dyDescent="0.15">
      <c r="R47" s="369"/>
      <c r="S47" s="320"/>
      <c r="AA47" s="358"/>
    </row>
    <row r="48" spans="1:27" ht="16.5" customHeight="1" x14ac:dyDescent="0.15">
      <c r="R48" s="369"/>
    </row>
    <row r="49" spans="1:27" s="329" customFormat="1" ht="16.5" customHeight="1" x14ac:dyDescent="0.15">
      <c r="A49" s="217"/>
      <c r="B49" s="370"/>
      <c r="C49" s="320"/>
      <c r="D49" s="320"/>
      <c r="E49" s="320"/>
      <c r="F49" s="320"/>
      <c r="G49" s="320"/>
      <c r="H49" s="320"/>
      <c r="I49" s="320"/>
      <c r="J49" s="320"/>
      <c r="K49" s="320"/>
      <c r="M49" s="217"/>
      <c r="N49" s="217"/>
      <c r="O49" s="217"/>
      <c r="P49" s="217"/>
      <c r="Q49" s="217"/>
      <c r="R49" s="368"/>
      <c r="S49" s="217"/>
      <c r="T49" s="217"/>
      <c r="U49" s="218"/>
      <c r="V49" s="218"/>
      <c r="W49" s="218"/>
      <c r="X49" s="218"/>
      <c r="Y49" s="218"/>
      <c r="Z49" s="218"/>
      <c r="AA49" s="219"/>
    </row>
    <row r="50" spans="1:27" s="329" customFormat="1" ht="16.5" customHeight="1" x14ac:dyDescent="0.15">
      <c r="A50" s="217"/>
      <c r="B50" s="320"/>
      <c r="C50" s="320"/>
      <c r="D50" s="320"/>
      <c r="E50" s="320"/>
      <c r="F50" s="320"/>
      <c r="G50" s="320"/>
      <c r="H50" s="320"/>
      <c r="I50" s="320"/>
      <c r="J50" s="320"/>
      <c r="K50" s="320"/>
      <c r="M50" s="217"/>
      <c r="N50" s="217"/>
      <c r="O50" s="217"/>
      <c r="P50" s="217"/>
      <c r="Q50" s="217"/>
      <c r="R50" s="368"/>
      <c r="S50" s="217"/>
      <c r="T50" s="217"/>
      <c r="U50" s="218"/>
      <c r="V50" s="218"/>
      <c r="W50" s="218"/>
      <c r="X50" s="218"/>
      <c r="Y50" s="218"/>
      <c r="Z50" s="218"/>
      <c r="AA50" s="219"/>
    </row>
    <row r="51" spans="1:27" s="329" customFormat="1" ht="17.25" customHeight="1" x14ac:dyDescent="0.15">
      <c r="A51" s="217"/>
      <c r="B51" s="320"/>
      <c r="C51" s="320"/>
      <c r="D51" s="320"/>
      <c r="E51" s="320"/>
      <c r="F51" s="320"/>
      <c r="G51" s="320"/>
      <c r="H51" s="320"/>
      <c r="I51" s="320"/>
      <c r="J51" s="320"/>
      <c r="K51" s="320"/>
      <c r="M51" s="217"/>
      <c r="N51" s="217"/>
      <c r="O51" s="217"/>
      <c r="P51" s="217"/>
      <c r="Q51" s="217"/>
      <c r="R51" s="368"/>
      <c r="S51" s="217"/>
      <c r="T51" s="217"/>
      <c r="U51" s="218"/>
      <c r="V51" s="218"/>
      <c r="W51" s="218"/>
      <c r="X51" s="218"/>
      <c r="Y51" s="218"/>
      <c r="Z51" s="218"/>
      <c r="AA51" s="219"/>
    </row>
    <row r="52" spans="1:27" s="329" customFormat="1" x14ac:dyDescent="0.15">
      <c r="A52" s="217"/>
      <c r="B52" s="320"/>
      <c r="C52" s="320"/>
      <c r="D52" s="320"/>
      <c r="E52" s="320"/>
      <c r="F52" s="320"/>
      <c r="G52" s="320"/>
      <c r="H52" s="320"/>
      <c r="I52" s="320"/>
      <c r="J52" s="320"/>
      <c r="K52" s="320"/>
      <c r="M52" s="217"/>
      <c r="N52" s="217"/>
      <c r="O52" s="217"/>
      <c r="P52" s="217"/>
      <c r="Q52" s="217"/>
      <c r="R52" s="368"/>
      <c r="S52" s="217"/>
      <c r="T52" s="217"/>
      <c r="U52" s="218"/>
      <c r="V52" s="218"/>
      <c r="W52" s="218"/>
      <c r="X52" s="218"/>
      <c r="Y52" s="218"/>
      <c r="Z52" s="218"/>
      <c r="AA52" s="219"/>
    </row>
    <row r="53" spans="1:27" s="329" customFormat="1" ht="16.5" customHeight="1" x14ac:dyDescent="0.15">
      <c r="A53" s="217"/>
      <c r="B53" s="320"/>
      <c r="C53" s="320"/>
      <c r="D53" s="320"/>
      <c r="E53" s="320"/>
      <c r="F53" s="320"/>
      <c r="G53" s="320"/>
      <c r="H53" s="320"/>
      <c r="I53" s="320"/>
      <c r="J53" s="320"/>
      <c r="K53" s="320"/>
      <c r="M53" s="217"/>
      <c r="N53" s="217"/>
      <c r="O53" s="217"/>
      <c r="P53" s="217"/>
      <c r="Q53" s="217"/>
      <c r="R53" s="368"/>
      <c r="S53" s="217"/>
      <c r="T53" s="217"/>
      <c r="U53" s="218"/>
      <c r="V53" s="218"/>
      <c r="W53" s="218"/>
      <c r="X53" s="218"/>
      <c r="Y53" s="218"/>
      <c r="Z53" s="218"/>
      <c r="AA53" s="219"/>
    </row>
    <row r="54" spans="1:27" s="329" customFormat="1" x14ac:dyDescent="0.15">
      <c r="A54" s="217"/>
      <c r="B54" s="320"/>
      <c r="C54" s="320"/>
      <c r="D54" s="320"/>
      <c r="E54" s="320"/>
      <c r="F54" s="320"/>
      <c r="G54" s="320"/>
      <c r="H54" s="320"/>
      <c r="I54" s="320"/>
      <c r="J54" s="320"/>
      <c r="K54" s="320"/>
      <c r="M54" s="217"/>
      <c r="N54" s="217"/>
      <c r="O54" s="217"/>
      <c r="P54" s="217"/>
      <c r="Q54" s="217"/>
      <c r="R54" s="368"/>
      <c r="S54" s="217"/>
      <c r="T54" s="217"/>
      <c r="U54" s="218"/>
      <c r="V54" s="218"/>
      <c r="W54" s="218"/>
      <c r="X54" s="218"/>
      <c r="Y54" s="218"/>
      <c r="Z54" s="218"/>
      <c r="AA54" s="219"/>
    </row>
    <row r="55" spans="1:27" s="329" customFormat="1" x14ac:dyDescent="0.15">
      <c r="A55" s="217"/>
      <c r="B55" s="320"/>
      <c r="C55" s="320"/>
      <c r="D55" s="320"/>
      <c r="E55" s="320"/>
      <c r="F55" s="320"/>
      <c r="G55" s="320"/>
      <c r="H55" s="320"/>
      <c r="I55" s="320"/>
      <c r="J55" s="320"/>
      <c r="K55" s="320"/>
      <c r="M55" s="217"/>
      <c r="N55" s="217"/>
      <c r="O55" s="217"/>
      <c r="P55" s="217"/>
      <c r="Q55" s="217"/>
      <c r="R55" s="368"/>
      <c r="S55" s="217"/>
      <c r="T55" s="217"/>
      <c r="U55" s="218"/>
      <c r="V55" s="218"/>
      <c r="W55" s="218"/>
      <c r="X55" s="218"/>
      <c r="Y55" s="218"/>
      <c r="Z55" s="218"/>
      <c r="AA55" s="219"/>
    </row>
    <row r="56" spans="1:27" s="329" customFormat="1" x14ac:dyDescent="0.15">
      <c r="A56" s="217"/>
      <c r="B56" s="320"/>
      <c r="C56" s="320"/>
      <c r="D56" s="320"/>
      <c r="E56" s="320"/>
      <c r="F56" s="320"/>
      <c r="G56" s="320"/>
      <c r="H56" s="320"/>
      <c r="I56" s="320"/>
      <c r="J56" s="320"/>
      <c r="K56" s="320"/>
      <c r="M56" s="217"/>
      <c r="N56" s="217"/>
      <c r="O56" s="217"/>
      <c r="P56" s="217"/>
      <c r="Q56" s="217"/>
      <c r="R56" s="368"/>
      <c r="S56" s="217"/>
      <c r="T56" s="217"/>
      <c r="U56" s="218"/>
      <c r="V56" s="218"/>
      <c r="W56" s="218"/>
      <c r="X56" s="218"/>
      <c r="Y56" s="218"/>
      <c r="Z56" s="218"/>
      <c r="AA56" s="219"/>
    </row>
    <row r="57" spans="1:27" s="329" customFormat="1" ht="16.5" customHeight="1" x14ac:dyDescent="0.15">
      <c r="A57" s="217"/>
      <c r="B57" s="320"/>
      <c r="C57" s="320"/>
      <c r="D57" s="320"/>
      <c r="E57" s="320"/>
      <c r="F57" s="320"/>
      <c r="G57" s="320"/>
      <c r="H57" s="320"/>
      <c r="I57" s="320"/>
      <c r="J57" s="320"/>
      <c r="K57" s="320"/>
      <c r="M57" s="217"/>
      <c r="N57" s="217"/>
      <c r="O57" s="217"/>
      <c r="P57" s="217"/>
      <c r="Q57" s="217"/>
      <c r="R57" s="368"/>
      <c r="S57" s="217"/>
      <c r="T57" s="217"/>
      <c r="U57" s="218"/>
      <c r="V57" s="218"/>
      <c r="W57" s="218"/>
      <c r="X57" s="218"/>
      <c r="Y57" s="218"/>
      <c r="Z57" s="218"/>
      <c r="AA57" s="219"/>
    </row>
    <row r="58" spans="1:27" s="329" customFormat="1" x14ac:dyDescent="0.15">
      <c r="A58" s="217"/>
      <c r="B58" s="320"/>
      <c r="C58" s="320"/>
      <c r="D58" s="320"/>
      <c r="E58" s="320"/>
      <c r="F58" s="320"/>
      <c r="G58" s="320"/>
      <c r="H58" s="320"/>
      <c r="I58" s="320"/>
      <c r="J58" s="320"/>
      <c r="K58" s="320"/>
      <c r="M58" s="217"/>
      <c r="N58" s="217"/>
      <c r="O58" s="217"/>
      <c r="P58" s="217"/>
      <c r="Q58" s="217"/>
      <c r="R58" s="368"/>
      <c r="S58" s="217"/>
      <c r="T58" s="217"/>
      <c r="U58" s="218"/>
      <c r="V58" s="218"/>
      <c r="W58" s="218"/>
      <c r="X58" s="218"/>
      <c r="Y58" s="218"/>
      <c r="Z58" s="218"/>
      <c r="AA58" s="219"/>
    </row>
    <row r="59" spans="1:27" s="329" customFormat="1" x14ac:dyDescent="0.15">
      <c r="A59" s="217"/>
      <c r="B59" s="320"/>
      <c r="C59" s="320"/>
      <c r="D59" s="320"/>
      <c r="E59" s="320"/>
      <c r="F59" s="320"/>
      <c r="G59" s="320"/>
      <c r="H59" s="320"/>
      <c r="I59" s="320"/>
      <c r="J59" s="320"/>
      <c r="K59" s="320"/>
      <c r="M59" s="217"/>
      <c r="N59" s="217"/>
      <c r="O59" s="217"/>
      <c r="P59" s="217"/>
      <c r="Q59" s="217"/>
      <c r="R59" s="368"/>
      <c r="S59" s="217"/>
      <c r="T59" s="217"/>
      <c r="U59" s="218"/>
      <c r="V59" s="218"/>
      <c r="W59" s="218"/>
      <c r="X59" s="218"/>
      <c r="Y59" s="218"/>
      <c r="Z59" s="218"/>
      <c r="AA59" s="219"/>
    </row>
    <row r="60" spans="1:27" s="329" customFormat="1" x14ac:dyDescent="0.15">
      <c r="A60" s="217"/>
      <c r="B60" s="320"/>
      <c r="C60" s="320"/>
      <c r="D60" s="320"/>
      <c r="E60" s="217"/>
      <c r="F60" s="217"/>
      <c r="G60" s="217"/>
      <c r="H60" s="217"/>
      <c r="I60" s="217"/>
      <c r="J60" s="217"/>
      <c r="K60" s="217"/>
      <c r="M60" s="217"/>
      <c r="N60" s="217"/>
      <c r="O60" s="217"/>
      <c r="P60" s="217"/>
      <c r="Q60" s="217"/>
      <c r="R60" s="368"/>
      <c r="S60" s="217"/>
      <c r="T60" s="217"/>
      <c r="U60" s="218"/>
      <c r="V60" s="218"/>
      <c r="W60" s="218"/>
      <c r="X60" s="218"/>
      <c r="Y60" s="218"/>
      <c r="Z60" s="218"/>
      <c r="AA60" s="219"/>
    </row>
    <row r="72" ht="16.5" customHeight="1" x14ac:dyDescent="0.15"/>
    <row r="74" ht="16.5" customHeight="1" x14ac:dyDescent="0.15"/>
    <row r="76" ht="16.5" customHeight="1" x14ac:dyDescent="0.15"/>
    <row r="78" ht="16.5" customHeight="1" x14ac:dyDescent="0.15"/>
  </sheetData>
  <mergeCells count="29">
    <mergeCell ref="U24:Z24"/>
    <mergeCell ref="A1:Q1"/>
    <mergeCell ref="A2:Q2"/>
    <mergeCell ref="U2:Z3"/>
    <mergeCell ref="C4:D8"/>
    <mergeCell ref="U4:Z4"/>
    <mergeCell ref="U5:Z7"/>
    <mergeCell ref="U8:Z8"/>
    <mergeCell ref="A29:A30"/>
    <mergeCell ref="B29:B30"/>
    <mergeCell ref="C29:D31"/>
    <mergeCell ref="U30:Z31"/>
    <mergeCell ref="E31:F31"/>
    <mergeCell ref="D34:D35"/>
    <mergeCell ref="D39:R39"/>
    <mergeCell ref="U41:W41"/>
    <mergeCell ref="C11:D12"/>
    <mergeCell ref="P9:Q10"/>
    <mergeCell ref="P13:Q13"/>
    <mergeCell ref="C25:D25"/>
    <mergeCell ref="U25:Z29"/>
    <mergeCell ref="C26:D27"/>
    <mergeCell ref="U9:Z18"/>
    <mergeCell ref="C14:D16"/>
    <mergeCell ref="C17:D21"/>
    <mergeCell ref="U19:Z19"/>
    <mergeCell ref="E20:F20"/>
    <mergeCell ref="U20:Z23"/>
    <mergeCell ref="P22:Q24"/>
  </mergeCells>
  <phoneticPr fontId="3" type="noConversion"/>
  <conditionalFormatting sqref="O91:O92">
    <cfRule type="uniqueValues" dxfId="2" priority="3"/>
  </conditionalFormatting>
  <conditionalFormatting sqref="M85:M86">
    <cfRule type="uniqueValues" dxfId="1" priority="2"/>
  </conditionalFormatting>
  <conditionalFormatting sqref="N91:N92">
    <cfRule type="uniqueValues" dxfId="0" priority="1"/>
  </conditionalFormatting>
  <printOptions horizontalCentered="1"/>
  <pageMargins left="0" right="0" top="0" bottom="0" header="0" footer="0"/>
  <pageSetup paperSize="9" scale="29" orientation="portrait" horizontalDpi="4294967293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55"/>
  <sheetViews>
    <sheetView zoomScale="70" zoomScaleNormal="70" workbookViewId="0">
      <selection activeCell="B20" sqref="B20:B22"/>
    </sheetView>
  </sheetViews>
  <sheetFormatPr defaultRowHeight="16.5" x14ac:dyDescent="0.15"/>
  <cols>
    <col min="1" max="1" width="4.83203125" style="1" customWidth="1"/>
    <col min="2" max="17" width="14.1640625" style="1" customWidth="1"/>
    <col min="18" max="19" width="4.83203125" style="1" customWidth="1"/>
    <col min="20" max="16384" width="9.33203125" style="1"/>
  </cols>
  <sheetData>
    <row r="1" spans="2:23" ht="17.25" thickBot="1" x14ac:dyDescent="0.2"/>
    <row r="2" spans="2:23" ht="45" customHeight="1" thickBot="1" x14ac:dyDescent="0.2">
      <c r="B2" s="787" t="s">
        <v>1085</v>
      </c>
      <c r="C2" s="788"/>
      <c r="D2" s="788"/>
      <c r="E2" s="788"/>
      <c r="F2" s="788"/>
      <c r="G2" s="788"/>
      <c r="H2" s="788"/>
      <c r="I2" s="788"/>
      <c r="J2" s="788"/>
      <c r="K2" s="788"/>
      <c r="L2" s="788"/>
      <c r="M2" s="788"/>
      <c r="N2" s="788"/>
      <c r="O2" s="788"/>
      <c r="P2" s="788"/>
      <c r="Q2" s="789"/>
    </row>
    <row r="3" spans="2:23" s="29" customFormat="1" ht="6.95" customHeight="1" thickBot="1" x14ac:dyDescent="0.2"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</row>
    <row r="4" spans="2:23" ht="39.950000000000003" customHeight="1" x14ac:dyDescent="0.15">
      <c r="B4" s="790" t="s">
        <v>61</v>
      </c>
      <c r="C4" s="791"/>
      <c r="D4" s="791"/>
      <c r="E4" s="791"/>
      <c r="F4" s="791"/>
      <c r="G4" s="791"/>
      <c r="H4" s="791"/>
      <c r="I4" s="792"/>
      <c r="J4" s="796" t="s">
        <v>62</v>
      </c>
      <c r="K4" s="797"/>
      <c r="L4" s="797"/>
      <c r="M4" s="797"/>
      <c r="N4" s="797"/>
      <c r="O4" s="797"/>
      <c r="P4" s="797"/>
      <c r="Q4" s="798"/>
    </row>
    <row r="5" spans="2:23" ht="24.95" customHeight="1" thickBot="1" x14ac:dyDescent="0.2">
      <c r="B5" s="793"/>
      <c r="C5" s="794"/>
      <c r="D5" s="794"/>
      <c r="E5" s="794"/>
      <c r="F5" s="794"/>
      <c r="G5" s="794"/>
      <c r="H5" s="794"/>
      <c r="I5" s="795"/>
      <c r="J5" s="799"/>
      <c r="K5" s="800"/>
      <c r="L5" s="800"/>
      <c r="M5" s="800"/>
      <c r="N5" s="800"/>
      <c r="O5" s="800"/>
      <c r="P5" s="800"/>
      <c r="Q5" s="801"/>
    </row>
    <row r="6" spans="2:23" ht="35.1" customHeight="1" x14ac:dyDescent="0.15">
      <c r="B6" s="802" t="s">
        <v>63</v>
      </c>
      <c r="C6" s="803"/>
      <c r="D6" s="803"/>
      <c r="E6" s="803"/>
      <c r="F6" s="803"/>
      <c r="G6" s="803"/>
      <c r="H6" s="803"/>
      <c r="I6" s="804"/>
      <c r="J6" s="805"/>
      <c r="K6" s="806"/>
      <c r="L6" s="806"/>
      <c r="M6" s="806"/>
      <c r="N6" s="806"/>
      <c r="O6" s="806"/>
      <c r="P6" s="806"/>
      <c r="Q6" s="807"/>
    </row>
    <row r="7" spans="2:23" ht="35.1" customHeight="1" x14ac:dyDescent="0.15">
      <c r="B7" s="814"/>
      <c r="C7" s="815"/>
      <c r="D7" s="815"/>
      <c r="E7" s="815"/>
      <c r="F7" s="815"/>
      <c r="G7" s="815"/>
      <c r="H7" s="815"/>
      <c r="I7" s="816"/>
      <c r="J7" s="808"/>
      <c r="K7" s="809"/>
      <c r="L7" s="809"/>
      <c r="M7" s="809"/>
      <c r="N7" s="809"/>
      <c r="O7" s="809"/>
      <c r="P7" s="809"/>
      <c r="Q7" s="810"/>
    </row>
    <row r="8" spans="2:23" ht="35.1" customHeight="1" x14ac:dyDescent="0.15">
      <c r="B8" s="814"/>
      <c r="C8" s="815"/>
      <c r="D8" s="815"/>
      <c r="E8" s="815"/>
      <c r="F8" s="815"/>
      <c r="G8" s="815"/>
      <c r="H8" s="815"/>
      <c r="I8" s="816"/>
      <c r="J8" s="808"/>
      <c r="K8" s="809"/>
      <c r="L8" s="809"/>
      <c r="M8" s="809"/>
      <c r="N8" s="809"/>
      <c r="O8" s="809"/>
      <c r="P8" s="809"/>
      <c r="Q8" s="810"/>
    </row>
    <row r="9" spans="2:23" ht="35.1" customHeight="1" x14ac:dyDescent="0.15">
      <c r="B9" s="814"/>
      <c r="C9" s="815"/>
      <c r="D9" s="815"/>
      <c r="E9" s="815"/>
      <c r="F9" s="815"/>
      <c r="G9" s="815"/>
      <c r="H9" s="815"/>
      <c r="I9" s="816"/>
      <c r="J9" s="808"/>
      <c r="K9" s="809"/>
      <c r="L9" s="809"/>
      <c r="M9" s="809"/>
      <c r="N9" s="809"/>
      <c r="O9" s="809"/>
      <c r="P9" s="809"/>
      <c r="Q9" s="810"/>
    </row>
    <row r="10" spans="2:23" ht="35.1" customHeight="1" x14ac:dyDescent="0.15">
      <c r="B10" s="814"/>
      <c r="C10" s="815"/>
      <c r="D10" s="815"/>
      <c r="E10" s="815"/>
      <c r="F10" s="815"/>
      <c r="G10" s="815"/>
      <c r="H10" s="815"/>
      <c r="I10" s="816"/>
      <c r="J10" s="808"/>
      <c r="K10" s="809"/>
      <c r="L10" s="809"/>
      <c r="M10" s="809"/>
      <c r="N10" s="809"/>
      <c r="O10" s="809"/>
      <c r="P10" s="809"/>
      <c r="Q10" s="810"/>
    </row>
    <row r="11" spans="2:23" ht="35.1" customHeight="1" x14ac:dyDescent="0.15">
      <c r="B11" s="814"/>
      <c r="C11" s="815"/>
      <c r="D11" s="815"/>
      <c r="E11" s="815"/>
      <c r="F11" s="815"/>
      <c r="G11" s="815"/>
      <c r="H11" s="815"/>
      <c r="I11" s="816"/>
      <c r="J11" s="808"/>
      <c r="K11" s="809"/>
      <c r="L11" s="809"/>
      <c r="M11" s="809"/>
      <c r="N11" s="809"/>
      <c r="O11" s="809"/>
      <c r="P11" s="809"/>
      <c r="Q11" s="810"/>
    </row>
    <row r="12" spans="2:23" ht="35.1" customHeight="1" x14ac:dyDescent="0.15">
      <c r="B12" s="814" t="s">
        <v>64</v>
      </c>
      <c r="C12" s="815"/>
      <c r="D12" s="815"/>
      <c r="E12" s="815"/>
      <c r="F12" s="815"/>
      <c r="G12" s="815"/>
      <c r="H12" s="815"/>
      <c r="I12" s="816"/>
      <c r="J12" s="808"/>
      <c r="K12" s="809"/>
      <c r="L12" s="809"/>
      <c r="M12" s="809"/>
      <c r="N12" s="809"/>
      <c r="O12" s="809"/>
      <c r="P12" s="809"/>
      <c r="Q12" s="810"/>
    </row>
    <row r="13" spans="2:23" ht="35.1" customHeight="1" x14ac:dyDescent="0.15">
      <c r="B13" s="814"/>
      <c r="C13" s="817"/>
      <c r="D13" s="817"/>
      <c r="E13" s="817"/>
      <c r="F13" s="817"/>
      <c r="G13" s="817"/>
      <c r="H13" s="817"/>
      <c r="I13" s="818"/>
      <c r="J13" s="808"/>
      <c r="K13" s="809"/>
      <c r="L13" s="809"/>
      <c r="M13" s="809"/>
      <c r="N13" s="809"/>
      <c r="O13" s="809"/>
      <c r="P13" s="809"/>
      <c r="Q13" s="810"/>
    </row>
    <row r="14" spans="2:23" ht="35.1" customHeight="1" x14ac:dyDescent="0.15">
      <c r="B14" s="819"/>
      <c r="C14" s="817"/>
      <c r="D14" s="817"/>
      <c r="E14" s="817"/>
      <c r="F14" s="817"/>
      <c r="G14" s="817"/>
      <c r="H14" s="817"/>
      <c r="I14" s="818"/>
      <c r="J14" s="808"/>
      <c r="K14" s="809"/>
      <c r="L14" s="809"/>
      <c r="M14" s="809"/>
      <c r="N14" s="809"/>
      <c r="O14" s="809"/>
      <c r="P14" s="809"/>
      <c r="Q14" s="810"/>
      <c r="W14" s="1" t="s">
        <v>65</v>
      </c>
    </row>
    <row r="15" spans="2:23" ht="35.1" customHeight="1" x14ac:dyDescent="0.15">
      <c r="B15" s="819"/>
      <c r="C15" s="817"/>
      <c r="D15" s="817"/>
      <c r="E15" s="817"/>
      <c r="F15" s="817"/>
      <c r="G15" s="817"/>
      <c r="H15" s="817"/>
      <c r="I15" s="818"/>
      <c r="J15" s="808"/>
      <c r="K15" s="809"/>
      <c r="L15" s="809"/>
      <c r="M15" s="809"/>
      <c r="N15" s="809"/>
      <c r="O15" s="809"/>
      <c r="P15" s="809"/>
      <c r="Q15" s="810"/>
    </row>
    <row r="16" spans="2:23" ht="35.1" customHeight="1" x14ac:dyDescent="0.15">
      <c r="B16" s="819"/>
      <c r="C16" s="817"/>
      <c r="D16" s="817"/>
      <c r="E16" s="817"/>
      <c r="F16" s="817"/>
      <c r="G16" s="817"/>
      <c r="H16" s="817"/>
      <c r="I16" s="818"/>
      <c r="J16" s="808"/>
      <c r="K16" s="809"/>
      <c r="L16" s="809"/>
      <c r="M16" s="809"/>
      <c r="N16" s="809"/>
      <c r="O16" s="809"/>
      <c r="P16" s="809"/>
      <c r="Q16" s="810"/>
    </row>
    <row r="17" spans="2:17" ht="35.1" customHeight="1" x14ac:dyDescent="0.15">
      <c r="B17" s="819"/>
      <c r="C17" s="817"/>
      <c r="D17" s="817"/>
      <c r="E17" s="817"/>
      <c r="F17" s="817"/>
      <c r="G17" s="817"/>
      <c r="H17" s="817"/>
      <c r="I17" s="818"/>
      <c r="J17" s="808"/>
      <c r="K17" s="809"/>
      <c r="L17" s="809"/>
      <c r="M17" s="809"/>
      <c r="N17" s="809"/>
      <c r="O17" s="809"/>
      <c r="P17" s="809"/>
      <c r="Q17" s="810"/>
    </row>
    <row r="18" spans="2:17" ht="35.1" customHeight="1" thickBot="1" x14ac:dyDescent="0.2">
      <c r="B18" s="820"/>
      <c r="C18" s="821"/>
      <c r="D18" s="821"/>
      <c r="E18" s="821"/>
      <c r="F18" s="821"/>
      <c r="G18" s="821"/>
      <c r="H18" s="821"/>
      <c r="I18" s="822"/>
      <c r="J18" s="811"/>
      <c r="K18" s="812"/>
      <c r="L18" s="812"/>
      <c r="M18" s="812"/>
      <c r="N18" s="812"/>
      <c r="O18" s="812"/>
      <c r="P18" s="812"/>
      <c r="Q18" s="813"/>
    </row>
    <row r="19" spans="2:17" ht="45" customHeight="1" thickBot="1" x14ac:dyDescent="0.2">
      <c r="B19" s="787" t="s">
        <v>1086</v>
      </c>
      <c r="C19" s="788"/>
      <c r="D19" s="788"/>
      <c r="E19" s="788"/>
      <c r="F19" s="788"/>
      <c r="G19" s="788"/>
      <c r="H19" s="788"/>
      <c r="I19" s="788"/>
      <c r="J19" s="788"/>
      <c r="K19" s="788"/>
      <c r="L19" s="788"/>
      <c r="M19" s="788"/>
      <c r="N19" s="788"/>
      <c r="O19" s="788"/>
      <c r="P19" s="788"/>
      <c r="Q19" s="789"/>
    </row>
    <row r="20" spans="2:17" ht="24.95" customHeight="1" x14ac:dyDescent="0.15">
      <c r="B20" s="772">
        <v>1</v>
      </c>
      <c r="C20" s="775"/>
      <c r="D20" s="776"/>
      <c r="E20" s="776"/>
      <c r="F20" s="779">
        <v>13</v>
      </c>
      <c r="G20" s="781"/>
      <c r="H20" s="779"/>
      <c r="I20" s="779"/>
      <c r="J20" s="779">
        <v>25</v>
      </c>
      <c r="K20" s="781"/>
      <c r="L20" s="779"/>
      <c r="M20" s="779"/>
      <c r="N20" s="779">
        <v>37</v>
      </c>
      <c r="O20" s="779"/>
      <c r="P20" s="783"/>
      <c r="Q20" s="784"/>
    </row>
    <row r="21" spans="2:17" ht="24.95" customHeight="1" x14ac:dyDescent="0.15">
      <c r="B21" s="773"/>
      <c r="C21" s="777"/>
      <c r="D21" s="778"/>
      <c r="E21" s="778"/>
      <c r="F21" s="780"/>
      <c r="G21" s="782"/>
      <c r="H21" s="780"/>
      <c r="I21" s="780"/>
      <c r="J21" s="780"/>
      <c r="K21" s="782"/>
      <c r="L21" s="780"/>
      <c r="M21" s="780"/>
      <c r="N21" s="780"/>
      <c r="O21" s="780"/>
      <c r="P21" s="785"/>
      <c r="Q21" s="786"/>
    </row>
    <row r="22" spans="2:17" ht="24.95" customHeight="1" x14ac:dyDescent="0.15">
      <c r="B22" s="774"/>
      <c r="C22" s="771"/>
      <c r="D22" s="771"/>
      <c r="E22" s="771"/>
      <c r="F22" s="757"/>
      <c r="G22" s="757"/>
      <c r="H22" s="757"/>
      <c r="I22" s="757"/>
      <c r="J22" s="757"/>
      <c r="K22" s="757"/>
      <c r="L22" s="757"/>
      <c r="M22" s="757"/>
      <c r="N22" s="757"/>
      <c r="O22" s="757"/>
      <c r="P22" s="760"/>
      <c r="Q22" s="761"/>
    </row>
    <row r="23" spans="2:17" ht="24.95" customHeight="1" x14ac:dyDescent="0.15">
      <c r="B23" s="766">
        <v>2</v>
      </c>
      <c r="C23" s="771"/>
      <c r="D23" s="771"/>
      <c r="E23" s="771"/>
      <c r="F23" s="757">
        <v>14</v>
      </c>
      <c r="G23" s="757"/>
      <c r="H23" s="757"/>
      <c r="I23" s="757"/>
      <c r="J23" s="757">
        <v>26</v>
      </c>
      <c r="K23" s="757"/>
      <c r="L23" s="757"/>
      <c r="M23" s="757"/>
      <c r="N23" s="757">
        <v>38</v>
      </c>
      <c r="O23" s="757"/>
      <c r="P23" s="760"/>
      <c r="Q23" s="761"/>
    </row>
    <row r="24" spans="2:17" ht="24.95" customHeight="1" x14ac:dyDescent="0.15">
      <c r="B24" s="766"/>
      <c r="C24" s="771"/>
      <c r="D24" s="771"/>
      <c r="E24" s="771"/>
      <c r="F24" s="757"/>
      <c r="G24" s="757"/>
      <c r="H24" s="757"/>
      <c r="I24" s="757"/>
      <c r="J24" s="757"/>
      <c r="K24" s="757"/>
      <c r="L24" s="757"/>
      <c r="M24" s="757"/>
      <c r="N24" s="757"/>
      <c r="O24" s="757"/>
      <c r="P24" s="760"/>
      <c r="Q24" s="761"/>
    </row>
    <row r="25" spans="2:17" ht="24.95" customHeight="1" x14ac:dyDescent="0.15">
      <c r="B25" s="766"/>
      <c r="C25" s="771"/>
      <c r="D25" s="771"/>
      <c r="E25" s="771"/>
      <c r="F25" s="757"/>
      <c r="G25" s="757"/>
      <c r="H25" s="757"/>
      <c r="I25" s="757"/>
      <c r="J25" s="757"/>
      <c r="K25" s="757"/>
      <c r="L25" s="757"/>
      <c r="M25" s="757"/>
      <c r="N25" s="757"/>
      <c r="O25" s="757"/>
      <c r="P25" s="760"/>
      <c r="Q25" s="761"/>
    </row>
    <row r="26" spans="2:17" ht="24.95" customHeight="1" x14ac:dyDescent="0.15">
      <c r="B26" s="766">
        <v>3</v>
      </c>
      <c r="C26" s="771"/>
      <c r="D26" s="771"/>
      <c r="E26" s="771"/>
      <c r="F26" s="757">
        <v>15</v>
      </c>
      <c r="G26" s="757"/>
      <c r="H26" s="757"/>
      <c r="I26" s="757"/>
      <c r="J26" s="757">
        <v>27</v>
      </c>
      <c r="K26" s="757"/>
      <c r="L26" s="757"/>
      <c r="M26" s="757"/>
      <c r="N26" s="757">
        <v>39</v>
      </c>
      <c r="O26" s="757"/>
      <c r="P26" s="760"/>
      <c r="Q26" s="761"/>
    </row>
    <row r="27" spans="2:17" ht="24.95" customHeight="1" x14ac:dyDescent="0.15">
      <c r="B27" s="766"/>
      <c r="C27" s="771"/>
      <c r="D27" s="771"/>
      <c r="E27" s="771"/>
      <c r="F27" s="757"/>
      <c r="G27" s="757"/>
      <c r="H27" s="757"/>
      <c r="I27" s="757"/>
      <c r="J27" s="757"/>
      <c r="K27" s="757"/>
      <c r="L27" s="757"/>
      <c r="M27" s="757"/>
      <c r="N27" s="757"/>
      <c r="O27" s="757"/>
      <c r="P27" s="760"/>
      <c r="Q27" s="761"/>
    </row>
    <row r="28" spans="2:17" ht="24.95" customHeight="1" x14ac:dyDescent="0.15">
      <c r="B28" s="766"/>
      <c r="C28" s="771"/>
      <c r="D28" s="771"/>
      <c r="E28" s="771"/>
      <c r="F28" s="757"/>
      <c r="G28" s="757"/>
      <c r="H28" s="757"/>
      <c r="I28" s="757"/>
      <c r="J28" s="757"/>
      <c r="K28" s="757"/>
      <c r="L28" s="757"/>
      <c r="M28" s="757"/>
      <c r="N28" s="757"/>
      <c r="O28" s="757"/>
      <c r="P28" s="760"/>
      <c r="Q28" s="761"/>
    </row>
    <row r="29" spans="2:17" ht="24.95" customHeight="1" x14ac:dyDescent="0.15">
      <c r="B29" s="766">
        <v>4</v>
      </c>
      <c r="C29" s="771"/>
      <c r="D29" s="771"/>
      <c r="E29" s="771"/>
      <c r="F29" s="757">
        <v>16</v>
      </c>
      <c r="G29" s="757"/>
      <c r="H29" s="757"/>
      <c r="I29" s="757"/>
      <c r="J29" s="757">
        <v>28</v>
      </c>
      <c r="K29" s="757"/>
      <c r="L29" s="757"/>
      <c r="M29" s="757"/>
      <c r="N29" s="757">
        <v>40</v>
      </c>
      <c r="O29" s="757"/>
      <c r="P29" s="760"/>
      <c r="Q29" s="761"/>
    </row>
    <row r="30" spans="2:17" ht="24.95" customHeight="1" x14ac:dyDescent="0.15">
      <c r="B30" s="766"/>
      <c r="C30" s="771"/>
      <c r="D30" s="771"/>
      <c r="E30" s="771"/>
      <c r="F30" s="757"/>
      <c r="G30" s="757"/>
      <c r="H30" s="757"/>
      <c r="I30" s="757"/>
      <c r="J30" s="757"/>
      <c r="K30" s="757"/>
      <c r="L30" s="757"/>
      <c r="M30" s="757"/>
      <c r="N30" s="757"/>
      <c r="O30" s="757"/>
      <c r="P30" s="760"/>
      <c r="Q30" s="761"/>
    </row>
    <row r="31" spans="2:17" ht="24.95" customHeight="1" x14ac:dyDescent="0.15">
      <c r="B31" s="766"/>
      <c r="C31" s="771"/>
      <c r="D31" s="771"/>
      <c r="E31" s="771"/>
      <c r="F31" s="757"/>
      <c r="G31" s="757"/>
      <c r="H31" s="757"/>
      <c r="I31" s="757"/>
      <c r="J31" s="757"/>
      <c r="K31" s="757"/>
      <c r="L31" s="757"/>
      <c r="M31" s="757"/>
      <c r="N31" s="757"/>
      <c r="O31" s="757"/>
      <c r="P31" s="760"/>
      <c r="Q31" s="761"/>
    </row>
    <row r="32" spans="2:17" ht="24.95" customHeight="1" x14ac:dyDescent="0.15">
      <c r="B32" s="766">
        <v>5</v>
      </c>
      <c r="C32" s="757"/>
      <c r="D32" s="757"/>
      <c r="E32" s="757"/>
      <c r="F32" s="757">
        <v>17</v>
      </c>
      <c r="G32" s="757"/>
      <c r="H32" s="757"/>
      <c r="I32" s="757"/>
      <c r="J32" s="757">
        <v>29</v>
      </c>
      <c r="K32" s="757"/>
      <c r="L32" s="757"/>
      <c r="M32" s="757"/>
      <c r="N32" s="757">
        <v>41</v>
      </c>
      <c r="O32" s="757"/>
      <c r="P32" s="760"/>
      <c r="Q32" s="761"/>
    </row>
    <row r="33" spans="2:17" ht="24.95" customHeight="1" x14ac:dyDescent="0.15">
      <c r="B33" s="766"/>
      <c r="C33" s="757"/>
      <c r="D33" s="757"/>
      <c r="E33" s="757"/>
      <c r="F33" s="757"/>
      <c r="G33" s="757"/>
      <c r="H33" s="757"/>
      <c r="I33" s="757"/>
      <c r="J33" s="757"/>
      <c r="K33" s="757"/>
      <c r="L33" s="757"/>
      <c r="M33" s="757"/>
      <c r="N33" s="757"/>
      <c r="O33" s="757"/>
      <c r="P33" s="760"/>
      <c r="Q33" s="761"/>
    </row>
    <row r="34" spans="2:17" ht="24.95" customHeight="1" x14ac:dyDescent="0.15">
      <c r="B34" s="766"/>
      <c r="C34" s="757"/>
      <c r="D34" s="757"/>
      <c r="E34" s="757"/>
      <c r="F34" s="757"/>
      <c r="G34" s="757"/>
      <c r="H34" s="757"/>
      <c r="I34" s="757"/>
      <c r="J34" s="757"/>
      <c r="K34" s="757"/>
      <c r="L34" s="757"/>
      <c r="M34" s="757"/>
      <c r="N34" s="757"/>
      <c r="O34" s="757"/>
      <c r="P34" s="760"/>
      <c r="Q34" s="761"/>
    </row>
    <row r="35" spans="2:17" ht="24.95" customHeight="1" x14ac:dyDescent="0.15">
      <c r="B35" s="766">
        <v>6</v>
      </c>
      <c r="C35" s="757"/>
      <c r="D35" s="757"/>
      <c r="E35" s="757"/>
      <c r="F35" s="757">
        <v>18</v>
      </c>
      <c r="G35" s="757"/>
      <c r="H35" s="757"/>
      <c r="I35" s="757"/>
      <c r="J35" s="757">
        <v>30</v>
      </c>
      <c r="K35" s="757"/>
      <c r="L35" s="757"/>
      <c r="M35" s="757"/>
      <c r="N35" s="757">
        <v>42</v>
      </c>
      <c r="O35" s="757"/>
      <c r="P35" s="760"/>
      <c r="Q35" s="761"/>
    </row>
    <row r="36" spans="2:17" ht="24.95" customHeight="1" x14ac:dyDescent="0.15">
      <c r="B36" s="766"/>
      <c r="C36" s="757"/>
      <c r="D36" s="757"/>
      <c r="E36" s="757"/>
      <c r="F36" s="757"/>
      <c r="G36" s="757"/>
      <c r="H36" s="757"/>
      <c r="I36" s="757"/>
      <c r="J36" s="757"/>
      <c r="K36" s="757"/>
      <c r="L36" s="757"/>
      <c r="M36" s="757"/>
      <c r="N36" s="757"/>
      <c r="O36" s="757"/>
      <c r="P36" s="760"/>
      <c r="Q36" s="761"/>
    </row>
    <row r="37" spans="2:17" ht="24.95" customHeight="1" x14ac:dyDescent="0.15">
      <c r="B37" s="766"/>
      <c r="C37" s="757"/>
      <c r="D37" s="757"/>
      <c r="E37" s="757"/>
      <c r="F37" s="757"/>
      <c r="G37" s="757"/>
      <c r="H37" s="757"/>
      <c r="I37" s="757"/>
      <c r="J37" s="757"/>
      <c r="K37" s="757"/>
      <c r="L37" s="757"/>
      <c r="M37" s="757"/>
      <c r="N37" s="757"/>
      <c r="O37" s="757"/>
      <c r="P37" s="760"/>
      <c r="Q37" s="761"/>
    </row>
    <row r="38" spans="2:17" ht="24.95" customHeight="1" x14ac:dyDescent="0.15">
      <c r="B38" s="766">
        <v>7</v>
      </c>
      <c r="C38" s="757"/>
      <c r="D38" s="757"/>
      <c r="E38" s="757"/>
      <c r="F38" s="757">
        <v>19</v>
      </c>
      <c r="G38" s="757"/>
      <c r="H38" s="757"/>
      <c r="I38" s="757"/>
      <c r="J38" s="757">
        <v>31</v>
      </c>
      <c r="K38" s="757"/>
      <c r="L38" s="757"/>
      <c r="M38" s="757"/>
      <c r="N38" s="757">
        <v>43</v>
      </c>
      <c r="O38" s="757"/>
      <c r="P38" s="760"/>
      <c r="Q38" s="761"/>
    </row>
    <row r="39" spans="2:17" ht="24.95" customHeight="1" x14ac:dyDescent="0.15">
      <c r="B39" s="766"/>
      <c r="C39" s="757"/>
      <c r="D39" s="757"/>
      <c r="E39" s="757"/>
      <c r="F39" s="757"/>
      <c r="G39" s="757"/>
      <c r="H39" s="757"/>
      <c r="I39" s="757"/>
      <c r="J39" s="757"/>
      <c r="K39" s="757"/>
      <c r="L39" s="757"/>
      <c r="M39" s="757"/>
      <c r="N39" s="757"/>
      <c r="O39" s="757"/>
      <c r="P39" s="760"/>
      <c r="Q39" s="761"/>
    </row>
    <row r="40" spans="2:17" ht="24.95" customHeight="1" x14ac:dyDescent="0.15">
      <c r="B40" s="766"/>
      <c r="C40" s="757"/>
      <c r="D40" s="757"/>
      <c r="E40" s="757"/>
      <c r="F40" s="757"/>
      <c r="G40" s="757"/>
      <c r="H40" s="757"/>
      <c r="I40" s="757"/>
      <c r="J40" s="757"/>
      <c r="K40" s="757"/>
      <c r="L40" s="757"/>
      <c r="M40" s="757"/>
      <c r="N40" s="757"/>
      <c r="O40" s="757"/>
      <c r="P40" s="760"/>
      <c r="Q40" s="761"/>
    </row>
    <row r="41" spans="2:17" ht="24.95" customHeight="1" x14ac:dyDescent="0.15">
      <c r="B41" s="766">
        <v>8</v>
      </c>
      <c r="C41" s="757"/>
      <c r="D41" s="757"/>
      <c r="E41" s="757"/>
      <c r="F41" s="757">
        <v>20</v>
      </c>
      <c r="G41" s="757"/>
      <c r="H41" s="757"/>
      <c r="I41" s="757"/>
      <c r="J41" s="757">
        <v>32</v>
      </c>
      <c r="K41" s="757"/>
      <c r="L41" s="757"/>
      <c r="M41" s="757"/>
      <c r="N41" s="757">
        <v>44</v>
      </c>
      <c r="O41" s="757"/>
      <c r="P41" s="760"/>
      <c r="Q41" s="761"/>
    </row>
    <row r="42" spans="2:17" ht="24.95" customHeight="1" x14ac:dyDescent="0.15">
      <c r="B42" s="766"/>
      <c r="C42" s="757"/>
      <c r="D42" s="757"/>
      <c r="E42" s="757"/>
      <c r="F42" s="757"/>
      <c r="G42" s="757"/>
      <c r="H42" s="757"/>
      <c r="I42" s="757"/>
      <c r="J42" s="757"/>
      <c r="K42" s="757"/>
      <c r="L42" s="757"/>
      <c r="M42" s="757"/>
      <c r="N42" s="757"/>
      <c r="O42" s="757"/>
      <c r="P42" s="760"/>
      <c r="Q42" s="761"/>
    </row>
    <row r="43" spans="2:17" ht="24.95" customHeight="1" x14ac:dyDescent="0.15">
      <c r="B43" s="766"/>
      <c r="C43" s="757"/>
      <c r="D43" s="757"/>
      <c r="E43" s="757"/>
      <c r="F43" s="757"/>
      <c r="G43" s="757"/>
      <c r="H43" s="757"/>
      <c r="I43" s="757"/>
      <c r="J43" s="757"/>
      <c r="K43" s="757"/>
      <c r="L43" s="757"/>
      <c r="M43" s="757"/>
      <c r="N43" s="757"/>
      <c r="O43" s="757"/>
      <c r="P43" s="760"/>
      <c r="Q43" s="761"/>
    </row>
    <row r="44" spans="2:17" ht="24.95" customHeight="1" x14ac:dyDescent="0.15">
      <c r="B44" s="766">
        <v>9</v>
      </c>
      <c r="C44" s="757"/>
      <c r="D44" s="757"/>
      <c r="E44" s="757"/>
      <c r="F44" s="757">
        <v>21</v>
      </c>
      <c r="G44" s="757"/>
      <c r="H44" s="757"/>
      <c r="I44" s="757"/>
      <c r="J44" s="757">
        <v>33</v>
      </c>
      <c r="K44" s="757"/>
      <c r="L44" s="757"/>
      <c r="M44" s="757"/>
      <c r="N44" s="757">
        <v>45</v>
      </c>
      <c r="O44" s="757"/>
      <c r="P44" s="760"/>
      <c r="Q44" s="761"/>
    </row>
    <row r="45" spans="2:17" ht="24.95" customHeight="1" x14ac:dyDescent="0.15">
      <c r="B45" s="766"/>
      <c r="C45" s="757"/>
      <c r="D45" s="757"/>
      <c r="E45" s="757"/>
      <c r="F45" s="757"/>
      <c r="G45" s="757"/>
      <c r="H45" s="757"/>
      <c r="I45" s="757"/>
      <c r="J45" s="757"/>
      <c r="K45" s="757"/>
      <c r="L45" s="757"/>
      <c r="M45" s="757"/>
      <c r="N45" s="757"/>
      <c r="O45" s="757"/>
      <c r="P45" s="760"/>
      <c r="Q45" s="761"/>
    </row>
    <row r="46" spans="2:17" ht="24.95" customHeight="1" x14ac:dyDescent="0.15">
      <c r="B46" s="766"/>
      <c r="C46" s="757"/>
      <c r="D46" s="757"/>
      <c r="E46" s="757"/>
      <c r="F46" s="757"/>
      <c r="G46" s="757"/>
      <c r="H46" s="757"/>
      <c r="I46" s="757"/>
      <c r="J46" s="757"/>
      <c r="K46" s="757"/>
      <c r="L46" s="757"/>
      <c r="M46" s="757"/>
      <c r="N46" s="757"/>
      <c r="O46" s="757"/>
      <c r="P46" s="760"/>
      <c r="Q46" s="761"/>
    </row>
    <row r="47" spans="2:17" ht="24.95" customHeight="1" x14ac:dyDescent="0.15">
      <c r="B47" s="766">
        <v>10</v>
      </c>
      <c r="C47" s="757"/>
      <c r="D47" s="757"/>
      <c r="E47" s="757"/>
      <c r="F47" s="757">
        <v>22</v>
      </c>
      <c r="G47" s="757"/>
      <c r="H47" s="757"/>
      <c r="I47" s="757"/>
      <c r="J47" s="757">
        <v>34</v>
      </c>
      <c r="K47" s="757"/>
      <c r="L47" s="757"/>
      <c r="M47" s="757"/>
      <c r="N47" s="757">
        <v>46</v>
      </c>
      <c r="O47" s="757"/>
      <c r="P47" s="760"/>
      <c r="Q47" s="761"/>
    </row>
    <row r="48" spans="2:17" ht="24.95" customHeight="1" x14ac:dyDescent="0.15">
      <c r="B48" s="766"/>
      <c r="C48" s="757"/>
      <c r="D48" s="757"/>
      <c r="E48" s="757"/>
      <c r="F48" s="757"/>
      <c r="G48" s="757"/>
      <c r="H48" s="757"/>
      <c r="I48" s="757"/>
      <c r="J48" s="757"/>
      <c r="K48" s="757"/>
      <c r="L48" s="757"/>
      <c r="M48" s="757"/>
      <c r="N48" s="757"/>
      <c r="O48" s="757"/>
      <c r="P48" s="760"/>
      <c r="Q48" s="761"/>
    </row>
    <row r="49" spans="2:17" ht="24.95" customHeight="1" x14ac:dyDescent="0.15">
      <c r="B49" s="766"/>
      <c r="C49" s="757"/>
      <c r="D49" s="757"/>
      <c r="E49" s="757"/>
      <c r="F49" s="757"/>
      <c r="G49" s="757"/>
      <c r="H49" s="757"/>
      <c r="I49" s="757"/>
      <c r="J49" s="757"/>
      <c r="K49" s="757"/>
      <c r="L49" s="757"/>
      <c r="M49" s="757"/>
      <c r="N49" s="757"/>
      <c r="O49" s="757"/>
      <c r="P49" s="760"/>
      <c r="Q49" s="761"/>
    </row>
    <row r="50" spans="2:17" ht="24.95" customHeight="1" x14ac:dyDescent="0.15">
      <c r="B50" s="766">
        <v>11</v>
      </c>
      <c r="C50" s="757"/>
      <c r="D50" s="757"/>
      <c r="E50" s="757"/>
      <c r="F50" s="757">
        <v>23</v>
      </c>
      <c r="G50" s="757"/>
      <c r="H50" s="757"/>
      <c r="I50" s="757"/>
      <c r="J50" s="757">
        <v>35</v>
      </c>
      <c r="K50" s="757"/>
      <c r="L50" s="757"/>
      <c r="M50" s="757"/>
      <c r="N50" s="757">
        <v>47</v>
      </c>
      <c r="O50" s="757"/>
      <c r="P50" s="760"/>
      <c r="Q50" s="761"/>
    </row>
    <row r="51" spans="2:17" ht="24.95" customHeight="1" x14ac:dyDescent="0.15">
      <c r="B51" s="766"/>
      <c r="C51" s="757"/>
      <c r="D51" s="757"/>
      <c r="E51" s="757"/>
      <c r="F51" s="757"/>
      <c r="G51" s="757"/>
      <c r="H51" s="757"/>
      <c r="I51" s="757"/>
      <c r="J51" s="757"/>
      <c r="K51" s="757"/>
      <c r="L51" s="757"/>
      <c r="M51" s="757"/>
      <c r="N51" s="757"/>
      <c r="O51" s="757"/>
      <c r="P51" s="760"/>
      <c r="Q51" s="761"/>
    </row>
    <row r="52" spans="2:17" ht="24.95" customHeight="1" x14ac:dyDescent="0.15">
      <c r="B52" s="766"/>
      <c r="C52" s="757"/>
      <c r="D52" s="757"/>
      <c r="E52" s="757"/>
      <c r="F52" s="757"/>
      <c r="G52" s="757"/>
      <c r="H52" s="757"/>
      <c r="I52" s="757"/>
      <c r="J52" s="757"/>
      <c r="K52" s="757"/>
      <c r="L52" s="757"/>
      <c r="M52" s="757"/>
      <c r="N52" s="757"/>
      <c r="O52" s="757"/>
      <c r="P52" s="760"/>
      <c r="Q52" s="761"/>
    </row>
    <row r="53" spans="2:17" ht="24.95" customHeight="1" x14ac:dyDescent="0.15">
      <c r="B53" s="766">
        <v>12</v>
      </c>
      <c r="C53" s="757"/>
      <c r="D53" s="757"/>
      <c r="E53" s="757"/>
      <c r="F53" s="757">
        <v>24</v>
      </c>
      <c r="G53" s="757"/>
      <c r="H53" s="757"/>
      <c r="I53" s="757"/>
      <c r="J53" s="758">
        <v>36</v>
      </c>
      <c r="K53" s="757"/>
      <c r="L53" s="757"/>
      <c r="M53" s="757"/>
      <c r="N53" s="757">
        <v>48</v>
      </c>
      <c r="O53" s="757"/>
      <c r="P53" s="760"/>
      <c r="Q53" s="761"/>
    </row>
    <row r="54" spans="2:17" ht="24.95" customHeight="1" x14ac:dyDescent="0.15">
      <c r="B54" s="767"/>
      <c r="C54" s="758"/>
      <c r="D54" s="758"/>
      <c r="E54" s="758"/>
      <c r="F54" s="758"/>
      <c r="G54" s="758"/>
      <c r="H54" s="758"/>
      <c r="I54" s="758"/>
      <c r="J54" s="769"/>
      <c r="K54" s="758"/>
      <c r="L54" s="758"/>
      <c r="M54" s="758"/>
      <c r="N54" s="758"/>
      <c r="O54" s="758"/>
      <c r="P54" s="762"/>
      <c r="Q54" s="763"/>
    </row>
    <row r="55" spans="2:17" ht="24.95" customHeight="1" thickBot="1" x14ac:dyDescent="0.2">
      <c r="B55" s="768"/>
      <c r="C55" s="759"/>
      <c r="D55" s="759"/>
      <c r="E55" s="759"/>
      <c r="F55" s="759"/>
      <c r="G55" s="759"/>
      <c r="H55" s="759"/>
      <c r="I55" s="759"/>
      <c r="J55" s="770"/>
      <c r="K55" s="759"/>
      <c r="L55" s="759"/>
      <c r="M55" s="759"/>
      <c r="N55" s="759"/>
      <c r="O55" s="759"/>
      <c r="P55" s="764"/>
      <c r="Q55" s="765"/>
    </row>
  </sheetData>
  <mergeCells count="105">
    <mergeCell ref="B2:Q2"/>
    <mergeCell ref="B4:I5"/>
    <mergeCell ref="J4:Q5"/>
    <mergeCell ref="B6:I6"/>
    <mergeCell ref="J6:Q18"/>
    <mergeCell ref="B7:I11"/>
    <mergeCell ref="B12:I12"/>
    <mergeCell ref="B13:I18"/>
    <mergeCell ref="B19:Q19"/>
    <mergeCell ref="B20:B22"/>
    <mergeCell ref="C20:E22"/>
    <mergeCell ref="F20:F22"/>
    <mergeCell ref="G20:I22"/>
    <mergeCell ref="J20:J22"/>
    <mergeCell ref="K20:M22"/>
    <mergeCell ref="N20:N22"/>
    <mergeCell ref="O20:Q22"/>
    <mergeCell ref="N23:N25"/>
    <mergeCell ref="O23:Q25"/>
    <mergeCell ref="B26:B28"/>
    <mergeCell ref="C26:E28"/>
    <mergeCell ref="F26:F28"/>
    <mergeCell ref="G26:I28"/>
    <mergeCell ref="J26:J28"/>
    <mergeCell ref="K26:M28"/>
    <mergeCell ref="N26:N28"/>
    <mergeCell ref="O26:Q28"/>
    <mergeCell ref="B23:B25"/>
    <mergeCell ref="C23:E25"/>
    <mergeCell ref="F23:F25"/>
    <mergeCell ref="G23:I25"/>
    <mergeCell ref="J23:J25"/>
    <mergeCell ref="K23:M25"/>
    <mergeCell ref="N29:N31"/>
    <mergeCell ref="O29:Q31"/>
    <mergeCell ref="B32:B34"/>
    <mergeCell ref="C32:E34"/>
    <mergeCell ref="F32:F34"/>
    <mergeCell ref="G32:I34"/>
    <mergeCell ref="J32:J34"/>
    <mergeCell ref="K32:M34"/>
    <mergeCell ref="N32:N34"/>
    <mergeCell ref="O32:Q34"/>
    <mergeCell ref="B29:B31"/>
    <mergeCell ref="C29:E31"/>
    <mergeCell ref="F29:F31"/>
    <mergeCell ref="G29:I31"/>
    <mergeCell ref="J29:J31"/>
    <mergeCell ref="K29:M31"/>
    <mergeCell ref="N35:N37"/>
    <mergeCell ref="O35:Q37"/>
    <mergeCell ref="B38:B40"/>
    <mergeCell ref="C38:E40"/>
    <mergeCell ref="F38:F40"/>
    <mergeCell ref="G38:I40"/>
    <mergeCell ref="J38:J40"/>
    <mergeCell ref="K38:M40"/>
    <mergeCell ref="N38:N40"/>
    <mergeCell ref="O38:Q40"/>
    <mergeCell ref="B35:B37"/>
    <mergeCell ref="C35:E37"/>
    <mergeCell ref="F35:F37"/>
    <mergeCell ref="G35:I37"/>
    <mergeCell ref="J35:J37"/>
    <mergeCell ref="K35:M37"/>
    <mergeCell ref="N41:N43"/>
    <mergeCell ref="O41:Q43"/>
    <mergeCell ref="B44:B46"/>
    <mergeCell ref="C44:E46"/>
    <mergeCell ref="F44:F46"/>
    <mergeCell ref="G44:I46"/>
    <mergeCell ref="J44:J46"/>
    <mergeCell ref="K44:M46"/>
    <mergeCell ref="N44:N46"/>
    <mergeCell ref="O44:Q46"/>
    <mergeCell ref="B41:B43"/>
    <mergeCell ref="C41:E43"/>
    <mergeCell ref="F41:F43"/>
    <mergeCell ref="G41:I43"/>
    <mergeCell ref="J41:J43"/>
    <mergeCell ref="K41:M43"/>
    <mergeCell ref="N53:N55"/>
    <mergeCell ref="O53:Q55"/>
    <mergeCell ref="B53:B55"/>
    <mergeCell ref="C53:E55"/>
    <mergeCell ref="F53:F55"/>
    <mergeCell ref="G53:I55"/>
    <mergeCell ref="J53:J55"/>
    <mergeCell ref="K53:M55"/>
    <mergeCell ref="N47:N49"/>
    <mergeCell ref="O47:Q49"/>
    <mergeCell ref="B50:B52"/>
    <mergeCell ref="C50:E52"/>
    <mergeCell ref="F50:F52"/>
    <mergeCell ref="G50:I52"/>
    <mergeCell ref="J50:J52"/>
    <mergeCell ref="K50:M52"/>
    <mergeCell ref="N50:N52"/>
    <mergeCell ref="O50:Q52"/>
    <mergeCell ref="B47:B49"/>
    <mergeCell ref="C47:E49"/>
    <mergeCell ref="F47:F49"/>
    <mergeCell ref="G47:I49"/>
    <mergeCell ref="J47:J49"/>
    <mergeCell ref="K47:M49"/>
  </mergeCells>
  <phoneticPr fontId="3" type="noConversion"/>
  <printOptions horizontalCentered="1" verticalCentered="1"/>
  <pageMargins left="0" right="0" top="0" bottom="0" header="0" footer="0"/>
  <pageSetup paperSize="9" scale="35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13</vt:i4>
      </vt:variant>
    </vt:vector>
  </HeadingPairs>
  <TitlesOfParts>
    <vt:vector size="13" baseType="lpstr">
      <vt:lpstr>원본</vt:lpstr>
      <vt:lpstr>11.03</vt:lpstr>
      <vt:lpstr>11.04</vt:lpstr>
      <vt:lpstr>11.05</vt:lpstr>
      <vt:lpstr>11.06</vt:lpstr>
      <vt:lpstr>11.07</vt:lpstr>
      <vt:lpstr>11.10</vt:lpstr>
      <vt:lpstr>11.11</vt:lpstr>
      <vt:lpstr>11.12</vt:lpstr>
      <vt:lpstr>11.13</vt:lpstr>
      <vt:lpstr>11.14</vt:lpstr>
      <vt:lpstr>11.17</vt:lpstr>
      <vt:lpstr>HOLD지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queen</dc:creator>
  <cp:lastModifiedBy>queen</cp:lastModifiedBy>
  <cp:lastPrinted>2025-10-27T23:31:17Z</cp:lastPrinted>
  <dcterms:created xsi:type="dcterms:W3CDTF">2025-09-29T08:10:48Z</dcterms:created>
  <dcterms:modified xsi:type="dcterms:W3CDTF">2025-11-14T06:38:22Z</dcterms:modified>
</cp:coreProperties>
</file>