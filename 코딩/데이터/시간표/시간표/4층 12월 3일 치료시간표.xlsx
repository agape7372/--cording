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queen\Desktop\스케줄\"/>
    </mc:Choice>
  </mc:AlternateContent>
  <bookViews>
    <workbookView xWindow="0" yWindow="0" windowWidth="28800" windowHeight="12285" activeTab="3"/>
  </bookViews>
  <sheets>
    <sheet name="12월" sheetId="60" r:id="rId1"/>
    <sheet name="12.1" sheetId="61" r:id="rId2"/>
    <sheet name="12.2" sheetId="62" r:id="rId3"/>
    <sheet name="12.3" sheetId="63" r:id="rId4"/>
    <sheet name="HOLD지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2" i="63" l="1"/>
  <c r="R30" i="63"/>
  <c r="R28" i="63"/>
  <c r="R27" i="63"/>
  <c r="R26" i="63"/>
  <c r="R25" i="63"/>
  <c r="R24" i="63"/>
  <c r="R23" i="63"/>
  <c r="R22" i="63"/>
  <c r="R21" i="63"/>
  <c r="R20" i="63"/>
  <c r="R19" i="63"/>
  <c r="R18" i="63"/>
  <c r="R17" i="63"/>
  <c r="R16" i="63"/>
  <c r="R15" i="63"/>
  <c r="R14" i="63"/>
  <c r="R13" i="63"/>
  <c r="R12" i="63"/>
  <c r="R11" i="63"/>
  <c r="R10" i="63"/>
  <c r="R9" i="63"/>
  <c r="R8" i="63"/>
  <c r="R7" i="63"/>
  <c r="R6" i="63"/>
  <c r="R5" i="63"/>
  <c r="R4" i="63"/>
  <c r="R3" i="63" l="1"/>
  <c r="R32" i="62"/>
  <c r="R30" i="62"/>
  <c r="R28" i="62"/>
  <c r="R27" i="62"/>
  <c r="R26" i="62"/>
  <c r="R25" i="62"/>
  <c r="R24" i="62"/>
  <c r="R23" i="62"/>
  <c r="R22" i="62"/>
  <c r="R21" i="62"/>
  <c r="R20" i="62"/>
  <c r="R19" i="62"/>
  <c r="R18" i="62"/>
  <c r="R17" i="62"/>
  <c r="R16" i="62"/>
  <c r="R15" i="62"/>
  <c r="R14" i="62"/>
  <c r="R13" i="62"/>
  <c r="R12" i="62"/>
  <c r="R11" i="62"/>
  <c r="R10" i="62"/>
  <c r="R9" i="62"/>
  <c r="R8" i="62"/>
  <c r="R7" i="62"/>
  <c r="R6" i="62"/>
  <c r="R5" i="62"/>
  <c r="R4" i="62"/>
  <c r="R3" i="62" l="1"/>
  <c r="R7" i="60"/>
  <c r="R32" i="61" l="1"/>
  <c r="R30" i="61"/>
  <c r="R28" i="61"/>
  <c r="R27" i="61"/>
  <c r="R26" i="61"/>
  <c r="R25" i="61"/>
  <c r="R24" i="61"/>
  <c r="R23" i="61"/>
  <c r="R22" i="61"/>
  <c r="R21" i="61"/>
  <c r="R20" i="61"/>
  <c r="R19" i="61"/>
  <c r="R18" i="61"/>
  <c r="R17" i="61"/>
  <c r="R16" i="61"/>
  <c r="R15" i="61"/>
  <c r="R14" i="61"/>
  <c r="R13" i="61"/>
  <c r="R12" i="61"/>
  <c r="R11" i="61"/>
  <c r="R10" i="61"/>
  <c r="R9" i="61"/>
  <c r="R8" i="61"/>
  <c r="R7" i="61"/>
  <c r="R6" i="61"/>
  <c r="R5" i="61"/>
  <c r="R4" i="61"/>
  <c r="R3" i="61" l="1"/>
  <c r="R18" i="60"/>
  <c r="R5" i="60"/>
  <c r="R24" i="60"/>
  <c r="R32" i="60" l="1"/>
  <c r="R30" i="60" l="1"/>
  <c r="R28" i="60"/>
  <c r="R27" i="60"/>
  <c r="R26" i="60"/>
  <c r="R25" i="60"/>
  <c r="R23" i="60"/>
  <c r="R22" i="60"/>
  <c r="R21" i="60"/>
  <c r="R20" i="60"/>
  <c r="R19" i="60"/>
  <c r="R17" i="60"/>
  <c r="R16" i="60"/>
  <c r="R15" i="60"/>
  <c r="R14" i="60"/>
  <c r="R13" i="60"/>
  <c r="R12" i="60"/>
  <c r="R11" i="60"/>
  <c r="R10" i="60"/>
  <c r="R9" i="60"/>
  <c r="R8" i="60"/>
  <c r="R6" i="60"/>
  <c r="R4" i="60"/>
  <c r="R3" i="60" l="1"/>
</calcChain>
</file>

<file path=xl/sharedStrings.xml><?xml version="1.0" encoding="utf-8"?>
<sst xmlns="http://schemas.openxmlformats.org/spreadsheetml/2006/main" count="1888" uniqueCount="475">
  <si>
    <t>8:30~
9:00</t>
    <phoneticPr fontId="3" type="noConversion"/>
  </si>
  <si>
    <t>9:05~
9:35</t>
  </si>
  <si>
    <t>9:40~
10:10</t>
  </si>
  <si>
    <t>10:15~
10:45</t>
    <phoneticPr fontId="3" type="noConversion"/>
  </si>
  <si>
    <t>점심</t>
  </si>
  <si>
    <t>13:30~
14:00</t>
    <phoneticPr fontId="3" type="noConversion"/>
  </si>
  <si>
    <t>14:05~
14:35</t>
  </si>
  <si>
    <t>14:40~
15:10</t>
  </si>
  <si>
    <t>15:15~
15:45</t>
  </si>
  <si>
    <t>15:50~
16:20</t>
  </si>
  <si>
    <t>RM정태철</t>
    <phoneticPr fontId="3" type="noConversion"/>
  </si>
  <si>
    <t>N박명숙10</t>
    <phoneticPr fontId="3" type="noConversion"/>
  </si>
  <si>
    <t>N권정숙</t>
    <phoneticPr fontId="3" type="noConversion"/>
  </si>
  <si>
    <t>범성희</t>
    <phoneticPr fontId="3" type="noConversion"/>
  </si>
  <si>
    <t>RA정농숙</t>
    <phoneticPr fontId="3" type="noConversion"/>
  </si>
  <si>
    <t>CA이묘헌</t>
    <phoneticPr fontId="3" type="noConversion"/>
  </si>
  <si>
    <t>CA조희자</t>
    <phoneticPr fontId="3" type="noConversion"/>
  </si>
  <si>
    <t>RA김진권2</t>
    <phoneticPr fontId="3" type="noConversion"/>
  </si>
  <si>
    <t>CA김태수5</t>
    <phoneticPr fontId="3" type="noConversion"/>
  </si>
  <si>
    <t>RA우병주</t>
    <phoneticPr fontId="3" type="noConversion"/>
  </si>
  <si>
    <t>CA우재천</t>
    <phoneticPr fontId="3" type="noConversion"/>
  </si>
  <si>
    <t>CA장현성</t>
    <phoneticPr fontId="3" type="noConversion"/>
  </si>
  <si>
    <t>RA채규칠</t>
    <phoneticPr fontId="3" type="noConversion"/>
  </si>
  <si>
    <t>RD정태철</t>
    <phoneticPr fontId="3" type="noConversion"/>
  </si>
  <si>
    <t>이소미</t>
    <phoneticPr fontId="3" type="noConversion"/>
  </si>
  <si>
    <t>D홍은남</t>
    <phoneticPr fontId="3" type="noConversion"/>
  </si>
  <si>
    <t>CA정상범3</t>
    <phoneticPr fontId="3" type="noConversion"/>
  </si>
  <si>
    <t>D송병태</t>
    <phoneticPr fontId="3" type="noConversion"/>
  </si>
  <si>
    <t>김유나</t>
  </si>
  <si>
    <t>10:15~
10:45</t>
  </si>
  <si>
    <t>10:50~
11:20</t>
  </si>
  <si>
    <t>11:25~
11:55</t>
  </si>
  <si>
    <t>12:00~ 
12:30</t>
  </si>
  <si>
    <t xml:space="preserve"> </t>
  </si>
  <si>
    <t>13:30~
14:00</t>
  </si>
  <si>
    <t>2층 도수</t>
    <phoneticPr fontId="3" type="noConversion"/>
  </si>
  <si>
    <t>시간표 변경사항</t>
    <phoneticPr fontId="3" type="noConversion"/>
  </si>
  <si>
    <t>당일 변경사항</t>
    <phoneticPr fontId="3" type="noConversion"/>
  </si>
  <si>
    <t xml:space="preserve">     * 신환</t>
    <phoneticPr fontId="3" type="noConversion"/>
  </si>
  <si>
    <t xml:space="preserve"> </t>
    <phoneticPr fontId="3" type="noConversion"/>
  </si>
  <si>
    <t xml:space="preserve">    * 변경사항</t>
    <phoneticPr fontId="3" type="noConversion"/>
  </si>
  <si>
    <t>RA신명숙6</t>
    <phoneticPr fontId="3" type="noConversion"/>
  </si>
  <si>
    <t>N김인기3</t>
  </si>
  <si>
    <t>N박창현3</t>
    <phoneticPr fontId="3" type="noConversion"/>
  </si>
  <si>
    <t>CA박창현3</t>
    <phoneticPr fontId="3" type="noConversion"/>
  </si>
  <si>
    <t>RS차미영3</t>
    <phoneticPr fontId="3" type="noConversion"/>
  </si>
  <si>
    <t>RA염재호</t>
    <phoneticPr fontId="3" type="noConversion"/>
  </si>
  <si>
    <t>김진철4
RG2R채규칠</t>
    <phoneticPr fontId="3" type="noConversion"/>
  </si>
  <si>
    <t>CA이경순10</t>
    <phoneticPr fontId="3" type="noConversion"/>
  </si>
  <si>
    <t>N이주민</t>
    <phoneticPr fontId="3" type="noConversion"/>
  </si>
  <si>
    <t>C정상범3</t>
  </si>
  <si>
    <t>C장덕한</t>
  </si>
  <si>
    <t>RN정태철</t>
  </si>
  <si>
    <t>RD정태철</t>
  </si>
  <si>
    <t>전산화인지</t>
    <phoneticPr fontId="3" type="noConversion"/>
  </si>
  <si>
    <t>로봇 /
 RG2-R</t>
    <phoneticPr fontId="3" type="noConversion"/>
  </si>
  <si>
    <t>언어</t>
    <phoneticPr fontId="3" type="noConversion"/>
  </si>
  <si>
    <t>통증</t>
    <phoneticPr fontId="3" type="noConversion"/>
  </si>
  <si>
    <t>16:25~
16:55</t>
    <phoneticPr fontId="3" type="noConversion"/>
  </si>
  <si>
    <t>12:00~
12:30</t>
    <phoneticPr fontId="3" type="noConversion"/>
  </si>
  <si>
    <t>11:25~
11:55</t>
    <phoneticPr fontId="3" type="noConversion"/>
  </si>
  <si>
    <t>10:50~
11:20</t>
    <phoneticPr fontId="3" type="noConversion"/>
  </si>
  <si>
    <t>C</t>
    <phoneticPr fontId="3" type="noConversion"/>
  </si>
  <si>
    <t>D이산옥</t>
    <phoneticPr fontId="3" type="noConversion"/>
  </si>
  <si>
    <t>D</t>
    <phoneticPr fontId="3" type="noConversion"/>
  </si>
  <si>
    <t>CA</t>
    <phoneticPr fontId="3" type="noConversion"/>
  </si>
  <si>
    <t>N이산옥</t>
    <phoneticPr fontId="3" type="noConversion"/>
  </si>
  <si>
    <t>N우재천</t>
    <phoneticPr fontId="3" type="noConversion"/>
  </si>
  <si>
    <t>NDT</t>
    <phoneticPr fontId="3" type="noConversion"/>
  </si>
  <si>
    <t>RD김석기2</t>
    <phoneticPr fontId="3" type="noConversion"/>
  </si>
  <si>
    <t>추가</t>
    <phoneticPr fontId="3" type="noConversion"/>
  </si>
  <si>
    <t xml:space="preserve">
단축근무
</t>
    <phoneticPr fontId="3" type="noConversion"/>
  </si>
  <si>
    <t>단축근무</t>
    <phoneticPr fontId="3" type="noConversion"/>
  </si>
  <si>
    <t>최유진</t>
    <phoneticPr fontId="3" type="noConversion"/>
  </si>
  <si>
    <t>신지아</t>
    <phoneticPr fontId="3" type="noConversion"/>
  </si>
  <si>
    <t>RS김진권2</t>
    <phoneticPr fontId="3" type="noConversion"/>
  </si>
  <si>
    <t>CA김은미11</t>
    <phoneticPr fontId="3" type="noConversion"/>
  </si>
  <si>
    <t>계장</t>
    <phoneticPr fontId="3" type="noConversion"/>
  </si>
  <si>
    <t>RN김진권2</t>
    <phoneticPr fontId="3" type="noConversion"/>
  </si>
  <si>
    <t>RM우병주</t>
    <phoneticPr fontId="3" type="noConversion"/>
  </si>
  <si>
    <t>이송희</t>
    <phoneticPr fontId="3" type="noConversion"/>
  </si>
  <si>
    <t>팀장</t>
    <phoneticPr fontId="3" type="noConversion"/>
  </si>
  <si>
    <t>RA조항만</t>
    <phoneticPr fontId="3" type="noConversion"/>
  </si>
  <si>
    <t>이진주</t>
    <phoneticPr fontId="3" type="noConversion"/>
  </si>
  <si>
    <t>RA곽수열</t>
    <phoneticPr fontId="3" type="noConversion"/>
  </si>
  <si>
    <t>이지원</t>
    <phoneticPr fontId="3" type="noConversion"/>
  </si>
  <si>
    <t>CA장덕한</t>
    <phoneticPr fontId="3" type="noConversion"/>
  </si>
  <si>
    <t>CA권정숙</t>
    <phoneticPr fontId="3" type="noConversion"/>
  </si>
  <si>
    <t>D이주민</t>
    <phoneticPr fontId="3" type="noConversion"/>
  </si>
  <si>
    <t>이현아</t>
    <phoneticPr fontId="3" type="noConversion"/>
  </si>
  <si>
    <t>CA송병태</t>
    <phoneticPr fontId="3" type="noConversion"/>
  </si>
  <si>
    <t>RS조항만</t>
    <phoneticPr fontId="3" type="noConversion"/>
  </si>
  <si>
    <t>정재희</t>
    <phoneticPr fontId="3" type="noConversion"/>
  </si>
  <si>
    <t>CA이주민</t>
    <phoneticPr fontId="3" type="noConversion"/>
  </si>
  <si>
    <t>CA손재영</t>
    <phoneticPr fontId="10" type="noConversion"/>
  </si>
  <si>
    <t>CA고해봉</t>
    <phoneticPr fontId="3" type="noConversion"/>
  </si>
  <si>
    <t>정호용</t>
    <phoneticPr fontId="3" type="noConversion"/>
  </si>
  <si>
    <t>CA박명숙10</t>
    <phoneticPr fontId="3" type="noConversion"/>
  </si>
  <si>
    <t>D이산옥V</t>
    <phoneticPr fontId="3" type="noConversion"/>
  </si>
  <si>
    <t>이수연</t>
    <phoneticPr fontId="3" type="noConversion"/>
  </si>
  <si>
    <t>D손재영</t>
    <phoneticPr fontId="3" type="noConversion"/>
  </si>
  <si>
    <t>H송병태</t>
    <phoneticPr fontId="3" type="noConversion"/>
  </si>
  <si>
    <t>CA김인기3</t>
    <phoneticPr fontId="3" type="noConversion"/>
  </si>
  <si>
    <t>RS우병주</t>
    <phoneticPr fontId="3" type="noConversion"/>
  </si>
  <si>
    <t>유희주</t>
    <phoneticPr fontId="3" type="noConversion"/>
  </si>
  <si>
    <t>간호간병</t>
    <phoneticPr fontId="3" type="noConversion"/>
  </si>
  <si>
    <t>송영규</t>
    <phoneticPr fontId="3" type="noConversion"/>
  </si>
  <si>
    <t>N김은미11</t>
    <phoneticPr fontId="3" type="noConversion"/>
  </si>
  <si>
    <t>유다영</t>
    <phoneticPr fontId="3" type="noConversion"/>
  </si>
  <si>
    <t>N이경순10</t>
    <phoneticPr fontId="3" type="noConversion"/>
  </si>
  <si>
    <t>RM차미영3</t>
    <phoneticPr fontId="3" type="noConversion"/>
  </si>
  <si>
    <t>RN정농숙</t>
    <phoneticPr fontId="3" type="noConversion"/>
  </si>
  <si>
    <t>RN우병주</t>
    <phoneticPr fontId="3" type="noConversion"/>
  </si>
  <si>
    <t>홍민서</t>
    <phoneticPr fontId="3" type="noConversion"/>
  </si>
  <si>
    <t>RM조항만</t>
    <phoneticPr fontId="3" type="noConversion"/>
  </si>
  <si>
    <t>N김태수5</t>
    <phoneticPr fontId="3" type="noConversion"/>
  </si>
  <si>
    <t>N장현성</t>
    <phoneticPr fontId="3" type="noConversion"/>
  </si>
  <si>
    <t>RM정농숙</t>
    <phoneticPr fontId="3" type="noConversion"/>
  </si>
  <si>
    <t>RM김석기2</t>
    <phoneticPr fontId="3" type="noConversion"/>
  </si>
  <si>
    <t>채수현</t>
    <phoneticPr fontId="3" type="noConversion"/>
  </si>
  <si>
    <t>N조희자</t>
    <phoneticPr fontId="3" type="noConversion"/>
  </si>
  <si>
    <t>N장덕한</t>
    <phoneticPr fontId="3" type="noConversion"/>
  </si>
  <si>
    <t>N한정완</t>
    <phoneticPr fontId="3" type="noConversion"/>
  </si>
  <si>
    <t>김용하</t>
    <phoneticPr fontId="3" type="noConversion"/>
  </si>
  <si>
    <t>N송수연2</t>
    <phoneticPr fontId="3" type="noConversion"/>
  </si>
  <si>
    <t>윤영채</t>
    <phoneticPr fontId="3" type="noConversion"/>
  </si>
  <si>
    <t>N홍은남</t>
    <phoneticPr fontId="3" type="noConversion"/>
  </si>
  <si>
    <t>최현수</t>
    <phoneticPr fontId="3" type="noConversion"/>
  </si>
  <si>
    <t>RM채규칠</t>
    <phoneticPr fontId="3" type="noConversion"/>
  </si>
  <si>
    <t>RM곽수열</t>
    <phoneticPr fontId="3" type="noConversion"/>
  </si>
  <si>
    <t>윤다은</t>
    <phoneticPr fontId="3" type="noConversion"/>
  </si>
  <si>
    <t>N김인기3</t>
    <phoneticPr fontId="3" type="noConversion"/>
  </si>
  <si>
    <t>N신봉호</t>
    <phoneticPr fontId="3" type="noConversion"/>
  </si>
  <si>
    <t>N한미송</t>
    <phoneticPr fontId="3" type="noConversion"/>
  </si>
  <si>
    <t>박나은</t>
    <phoneticPr fontId="3" type="noConversion"/>
  </si>
  <si>
    <t>N이묘헌</t>
    <phoneticPr fontId="10" type="noConversion"/>
  </si>
  <si>
    <t>N김진철4</t>
    <phoneticPr fontId="3" type="noConversion"/>
  </si>
  <si>
    <t>N권순예</t>
    <phoneticPr fontId="3" type="noConversion"/>
  </si>
  <si>
    <t>N손재영</t>
    <phoneticPr fontId="3" type="noConversion"/>
  </si>
  <si>
    <t>전진현</t>
    <phoneticPr fontId="3" type="noConversion"/>
  </si>
  <si>
    <t>N정상범3</t>
    <phoneticPr fontId="3" type="noConversion"/>
  </si>
  <si>
    <t>N송병태</t>
    <phoneticPr fontId="3" type="noConversion"/>
  </si>
  <si>
    <t>RN곽수열</t>
    <phoneticPr fontId="3" type="noConversion"/>
  </si>
  <si>
    <t>장희연</t>
    <phoneticPr fontId="3" type="noConversion"/>
  </si>
  <si>
    <t>8:00~
8:30</t>
    <phoneticPr fontId="3" type="noConversion"/>
  </si>
  <si>
    <t>7:30~
8:00</t>
    <phoneticPr fontId="3" type="noConversion"/>
  </si>
  <si>
    <t xml:space="preserve">           시간    치료사</t>
    <phoneticPr fontId="3" type="noConversion"/>
  </si>
  <si>
    <t>재활센터 시간표     2023. 10. 31 (화)</t>
    <phoneticPr fontId="3" type="noConversion"/>
  </si>
  <si>
    <t>RD권영배</t>
  </si>
  <si>
    <t>RA권영배</t>
    <phoneticPr fontId="3" type="noConversion"/>
  </si>
  <si>
    <t>RN권영배</t>
    <phoneticPr fontId="3" type="noConversion"/>
  </si>
  <si>
    <t>RM권영배</t>
    <phoneticPr fontId="3" type="noConversion"/>
  </si>
  <si>
    <t>RM신명숙6</t>
    <phoneticPr fontId="3" type="noConversion"/>
  </si>
  <si>
    <t>RN김을순2</t>
    <phoneticPr fontId="3" type="noConversion"/>
  </si>
  <si>
    <t>RM김을순2</t>
    <phoneticPr fontId="3" type="noConversion"/>
  </si>
  <si>
    <t>RA김을순2</t>
    <phoneticPr fontId="3" type="noConversion"/>
  </si>
  <si>
    <t>RN염재호</t>
    <phoneticPr fontId="3" type="noConversion"/>
  </si>
  <si>
    <t>L7정화구(A)</t>
    <phoneticPr fontId="3" type="noConversion"/>
  </si>
  <si>
    <t>RN김석기2</t>
  </si>
  <si>
    <t>CA정화구</t>
    <phoneticPr fontId="3" type="noConversion"/>
  </si>
  <si>
    <t>N정화구</t>
    <phoneticPr fontId="3" type="noConversion"/>
  </si>
  <si>
    <t>RA김석기2</t>
    <phoneticPr fontId="3" type="noConversion"/>
  </si>
  <si>
    <t>H7정화구(B)</t>
    <phoneticPr fontId="3" type="noConversion"/>
  </si>
  <si>
    <t>N배영수</t>
  </si>
  <si>
    <t>N한미송
N배영수</t>
    <phoneticPr fontId="3" type="noConversion"/>
  </si>
  <si>
    <t>D배영수</t>
  </si>
  <si>
    <t>CA배영수</t>
  </si>
  <si>
    <t>H7맹형열D</t>
  </si>
  <si>
    <t>F김태수5
F이묘헌
F김인기3
F송수연2</t>
    <phoneticPr fontId="3" type="noConversion"/>
  </si>
  <si>
    <t>RS채규칠</t>
  </si>
  <si>
    <r>
      <t xml:space="preserve">C송병태
</t>
    </r>
    <r>
      <rPr>
        <sz val="10"/>
        <color theme="1"/>
        <rFont val="돋움"/>
        <family val="3"/>
        <charset val="129"/>
      </rPr>
      <t>C조희자</t>
    </r>
    <phoneticPr fontId="3" type="noConversion"/>
  </si>
  <si>
    <t>R김남규4(A)
H7김남규4(B)</t>
    <phoneticPr fontId="3" type="noConversion"/>
  </si>
  <si>
    <t>RA김남규4</t>
    <phoneticPr fontId="3" type="noConversion"/>
  </si>
  <si>
    <t>RN김남규4</t>
    <phoneticPr fontId="3" type="noConversion"/>
  </si>
  <si>
    <t>RM김남규4</t>
  </si>
  <si>
    <t>CA오영환3</t>
    <phoneticPr fontId="3" type="noConversion"/>
  </si>
  <si>
    <t>CA홍은남</t>
    <phoneticPr fontId="3" type="noConversion"/>
  </si>
  <si>
    <t>RM목진구</t>
    <phoneticPr fontId="3" type="noConversion"/>
  </si>
  <si>
    <t>RS목진구</t>
    <phoneticPr fontId="3" type="noConversion"/>
  </si>
  <si>
    <t>RA목진구</t>
    <phoneticPr fontId="3" type="noConversion"/>
  </si>
  <si>
    <t>H7맹형열(D)
W배영수님(B)
W정화구(A)</t>
    <phoneticPr fontId="3" type="noConversion"/>
  </si>
  <si>
    <t>RD김남규4</t>
  </si>
  <si>
    <t>M7양덕점D</t>
    <phoneticPr fontId="3" type="noConversion"/>
  </si>
  <si>
    <t>O7양덕점D</t>
    <phoneticPr fontId="3" type="noConversion"/>
  </si>
  <si>
    <t>C김인기3</t>
    <phoneticPr fontId="3" type="noConversion"/>
  </si>
  <si>
    <t>RD김남규4</t>
    <phoneticPr fontId="3" type="noConversion"/>
  </si>
  <si>
    <t>M김인기3C
M장덕한C
M정화구C
M장현성C
M신봉호T</t>
    <phoneticPr fontId="3" type="noConversion"/>
  </si>
  <si>
    <t>C배영수</t>
  </si>
  <si>
    <t>C김태수5</t>
  </si>
  <si>
    <r>
      <rPr>
        <u/>
        <sz val="10"/>
        <color theme="1"/>
        <rFont val="돋움"/>
        <family val="3"/>
        <charset val="129"/>
      </rPr>
      <t>C장현성</t>
    </r>
    <r>
      <rPr>
        <sz val="10"/>
        <color theme="1"/>
        <rFont val="돋움"/>
        <family val="3"/>
        <charset val="129"/>
      </rPr>
      <t xml:space="preserve">
C권정숙</t>
    </r>
    <phoneticPr fontId="3" type="noConversion"/>
  </si>
  <si>
    <t>C장현성</t>
  </si>
  <si>
    <t>C정화구</t>
  </si>
  <si>
    <t>D김인기3</t>
    <phoneticPr fontId="3" type="noConversion"/>
  </si>
  <si>
    <t>RL차미영3</t>
  </si>
  <si>
    <t>RN차미영3</t>
  </si>
  <si>
    <t>RA목진구</t>
  </si>
  <si>
    <t>RN김갑태2</t>
    <phoneticPr fontId="3" type="noConversion"/>
  </si>
  <si>
    <t>RM김갑태2</t>
    <phoneticPr fontId="3" type="noConversion"/>
  </si>
  <si>
    <t>RA김갑태2</t>
    <phoneticPr fontId="3" type="noConversion"/>
  </si>
  <si>
    <t>RS김갑태2</t>
    <phoneticPr fontId="3" type="noConversion"/>
  </si>
  <si>
    <t>RA김진권2</t>
  </si>
  <si>
    <t>RM우병주</t>
    <phoneticPr fontId="3" type="noConversion"/>
  </si>
  <si>
    <t>오성균</t>
    <phoneticPr fontId="3" type="noConversion"/>
  </si>
  <si>
    <t>CA신봉호</t>
    <phoneticPr fontId="3" type="noConversion"/>
  </si>
  <si>
    <t>이유빈</t>
    <phoneticPr fontId="3" type="noConversion"/>
  </si>
  <si>
    <t>D김인기3V</t>
    <phoneticPr fontId="3" type="noConversion"/>
  </si>
  <si>
    <t>CA이산옥</t>
    <phoneticPr fontId="3" type="noConversion"/>
  </si>
  <si>
    <t>RN채규칠</t>
    <phoneticPr fontId="3" type="noConversion"/>
  </si>
  <si>
    <t>N김태수5
N이묘헌
N손재영</t>
    <phoneticPr fontId="3" type="noConversion"/>
  </si>
  <si>
    <t>RG한상진</t>
    <phoneticPr fontId="3" type="noConversion"/>
  </si>
  <si>
    <t>RA한상진</t>
    <phoneticPr fontId="3" type="noConversion"/>
  </si>
  <si>
    <t>M고해봉C
M조희자C
M이경순10C
M우재천S
M홍은남M</t>
    <phoneticPr fontId="3" type="noConversion"/>
  </si>
  <si>
    <t>F손재영</t>
    <phoneticPr fontId="3" type="noConversion"/>
  </si>
  <si>
    <t>이효정</t>
    <phoneticPr fontId="3" type="noConversion"/>
  </si>
  <si>
    <t>이지은</t>
    <phoneticPr fontId="3" type="noConversion"/>
  </si>
  <si>
    <t>RM김진권2</t>
  </si>
  <si>
    <t>M김진철4C
M이산옥C
M한정완C
M박명숙10S
M송수연2T
M오영환3M</t>
    <phoneticPr fontId="3" type="noConversion"/>
  </si>
  <si>
    <t>N우재천
N조희자</t>
    <phoneticPr fontId="3" type="noConversion"/>
  </si>
  <si>
    <t>N정화구
N장덕한</t>
    <phoneticPr fontId="3" type="noConversion"/>
  </si>
  <si>
    <r>
      <rPr>
        <sz val="10"/>
        <color theme="1"/>
        <rFont val="돋움"/>
        <family val="3"/>
        <charset val="129"/>
      </rPr>
      <t>N장현성</t>
    </r>
    <r>
      <rPr>
        <sz val="10"/>
        <rFont val="돋움"/>
        <family val="3"/>
        <charset val="129"/>
      </rPr>
      <t xml:space="preserve">
N김은미11</t>
    </r>
    <phoneticPr fontId="3" type="noConversion"/>
  </si>
  <si>
    <t>RM연미재</t>
  </si>
  <si>
    <t>RN조영란2</t>
    <phoneticPr fontId="3" type="noConversion"/>
  </si>
  <si>
    <t>RN연미재</t>
    <phoneticPr fontId="3" type="noConversion"/>
  </si>
  <si>
    <t>RA연미재</t>
    <phoneticPr fontId="3" type="noConversion"/>
  </si>
  <si>
    <t>RS연미재</t>
    <phoneticPr fontId="3" type="noConversion"/>
  </si>
  <si>
    <t>RA연미재</t>
    <phoneticPr fontId="3" type="noConversion"/>
  </si>
  <si>
    <t>RA조영란2</t>
    <phoneticPr fontId="3" type="noConversion"/>
  </si>
  <si>
    <t>N이경순10</t>
  </si>
  <si>
    <t>N한정완</t>
  </si>
  <si>
    <t>RM염재호</t>
  </si>
  <si>
    <t>RM권영배</t>
  </si>
  <si>
    <t>RS조영란2</t>
    <phoneticPr fontId="3" type="noConversion"/>
  </si>
  <si>
    <t>RA조영란2</t>
    <phoneticPr fontId="3" type="noConversion"/>
  </si>
  <si>
    <t>RD이준구2</t>
    <phoneticPr fontId="3" type="noConversion"/>
  </si>
  <si>
    <t>RA이준구2</t>
    <phoneticPr fontId="3" type="noConversion"/>
  </si>
  <si>
    <t>RN정묘순</t>
    <phoneticPr fontId="3" type="noConversion"/>
  </si>
  <si>
    <t>RM정묘순</t>
    <phoneticPr fontId="3" type="noConversion"/>
  </si>
  <si>
    <t>RD정묘순</t>
    <phoneticPr fontId="3" type="noConversion"/>
  </si>
  <si>
    <t>RA정묘순</t>
    <phoneticPr fontId="3" type="noConversion"/>
  </si>
  <si>
    <t>RM조영란2</t>
  </si>
  <si>
    <t>RS곽수열</t>
  </si>
  <si>
    <t>RS염재호</t>
  </si>
  <si>
    <t>김갑태2</t>
    <phoneticPr fontId="3" type="noConversion"/>
  </si>
  <si>
    <t>RM정농숙</t>
  </si>
  <si>
    <t>RM김갑태2</t>
  </si>
  <si>
    <t>RN조항만</t>
  </si>
  <si>
    <t>N오영환3</t>
  </si>
  <si>
    <t>N오영환3</t>
    <phoneticPr fontId="3" type="noConversion"/>
  </si>
  <si>
    <t>N이산옥
N박명숙10</t>
    <phoneticPr fontId="3" type="noConversion"/>
  </si>
  <si>
    <t>RA김무길</t>
  </si>
  <si>
    <t>RA김무길</t>
    <phoneticPr fontId="3" type="noConversion"/>
  </si>
  <si>
    <t>RG김무길</t>
  </si>
  <si>
    <t>RG김무길</t>
    <phoneticPr fontId="3" type="noConversion"/>
  </si>
  <si>
    <t>RA김무길</t>
    <phoneticPr fontId="3" type="noConversion"/>
  </si>
  <si>
    <t>RG한상진</t>
  </si>
  <si>
    <t>RM차미영3</t>
  </si>
  <si>
    <t>채규칠</t>
    <phoneticPr fontId="3" type="noConversion"/>
  </si>
  <si>
    <t>N고해봉</t>
    <phoneticPr fontId="3" type="noConversion"/>
  </si>
  <si>
    <t>C권순예
C홍은남</t>
    <phoneticPr fontId="3" type="noConversion"/>
  </si>
  <si>
    <t>RM곽수열</t>
  </si>
  <si>
    <t>RG한상진</t>
    <phoneticPr fontId="3" type="noConversion"/>
  </si>
  <si>
    <t>RM이준구2</t>
    <phoneticPr fontId="3" type="noConversion"/>
  </si>
  <si>
    <t>RA한상진</t>
    <phoneticPr fontId="3" type="noConversion"/>
  </si>
  <si>
    <t>RG이태임</t>
    <phoneticPr fontId="3" type="noConversion"/>
  </si>
  <si>
    <t>RA이태임</t>
    <phoneticPr fontId="3" type="noConversion"/>
  </si>
  <si>
    <t>RA이태임</t>
    <phoneticPr fontId="3" type="noConversion"/>
  </si>
  <si>
    <t>D홍은남</t>
    <phoneticPr fontId="3" type="noConversion"/>
  </si>
  <si>
    <t>M손재영C
M정상범3C
M박명숙10C
M김인기3S
M정화구S</t>
    <phoneticPr fontId="3" type="noConversion"/>
  </si>
  <si>
    <t>RA윤충원</t>
    <phoneticPr fontId="3" type="noConversion"/>
  </si>
  <si>
    <t>RN윤충원</t>
    <phoneticPr fontId="3" type="noConversion"/>
  </si>
  <si>
    <t>RM윤충원</t>
    <phoneticPr fontId="3" type="noConversion"/>
  </si>
  <si>
    <t>O7박명숙10A</t>
    <phoneticPr fontId="3" type="noConversion"/>
  </si>
  <si>
    <t>RD윤충원</t>
    <phoneticPr fontId="3" type="noConversion"/>
  </si>
  <si>
    <t>M이묘헌C
M신봉호C
M손재영C
M장덕한C</t>
    <phoneticPr fontId="3" type="noConversion"/>
  </si>
  <si>
    <t xml:space="preserve">
N송병태</t>
    <phoneticPr fontId="3" type="noConversion"/>
  </si>
  <si>
    <t>M한미송C
M이주민C
G양덕점C
M권순예S
M송병태Tt</t>
    <phoneticPr fontId="3" type="noConversion"/>
  </si>
  <si>
    <t xml:space="preserve">
N정상범3</t>
    <phoneticPr fontId="3" type="noConversion"/>
  </si>
  <si>
    <t xml:space="preserve">
C손재영</t>
    <phoneticPr fontId="3" type="noConversion"/>
  </si>
  <si>
    <t>F조희자
F한정완
F정화구
F배영수</t>
    <phoneticPr fontId="3" type="noConversion"/>
  </si>
  <si>
    <t>F신봉호
F김진철4
F정상범3</t>
    <phoneticPr fontId="3" type="noConversion"/>
  </si>
  <si>
    <t>M권순예C
M김태수5S
M이주민T
M배영수Tt</t>
    <phoneticPr fontId="3" type="noConversion"/>
  </si>
  <si>
    <t>RG한상진</t>
    <phoneticPr fontId="3" type="noConversion"/>
  </si>
  <si>
    <t>RN이순선</t>
  </si>
  <si>
    <t>RD이순선</t>
    <phoneticPr fontId="3" type="noConversion"/>
  </si>
  <si>
    <t>RD이순선</t>
    <phoneticPr fontId="3" type="noConversion"/>
  </si>
  <si>
    <t>RM이순선</t>
  </si>
  <si>
    <t>RM이순선</t>
    <phoneticPr fontId="3" type="noConversion"/>
  </si>
  <si>
    <t>CA권순예</t>
  </si>
  <si>
    <t>RS김을순2</t>
  </si>
  <si>
    <t>RS정농숙</t>
  </si>
  <si>
    <t>CA맹형열</t>
    <phoneticPr fontId="3" type="noConversion"/>
  </si>
  <si>
    <t>C이주민
C맹형열</t>
    <phoneticPr fontId="3" type="noConversion"/>
  </si>
  <si>
    <t>N맹형열</t>
    <phoneticPr fontId="3" type="noConversion"/>
  </si>
  <si>
    <t>F우재천
F장현성
F김은미11
F이경순10
F맹형열</t>
    <phoneticPr fontId="3" type="noConversion"/>
  </si>
  <si>
    <t>M우재천C
M박창현3C
M권정숙S
M송병태S
M오영환3M
M맹형열T</t>
    <phoneticPr fontId="3" type="noConversion"/>
  </si>
  <si>
    <t>RA정태철</t>
    <phoneticPr fontId="3" type="noConversion"/>
  </si>
  <si>
    <t>RN김동윤3</t>
    <phoneticPr fontId="3" type="noConversion"/>
  </si>
  <si>
    <t>RM김동윤3</t>
    <phoneticPr fontId="3" type="noConversion"/>
  </si>
  <si>
    <t>RA김동윤3</t>
    <phoneticPr fontId="3" type="noConversion"/>
  </si>
  <si>
    <t>RS김동윤3</t>
  </si>
  <si>
    <t>W김동윤3(B)</t>
    <phoneticPr fontId="3" type="noConversion"/>
  </si>
  <si>
    <t>RA신명숙6</t>
    <phoneticPr fontId="3" type="noConversion"/>
  </si>
  <si>
    <t>RS신명숙6</t>
    <phoneticPr fontId="3" type="noConversion"/>
  </si>
  <si>
    <t>F이산옥
F송병태</t>
    <phoneticPr fontId="3" type="noConversion"/>
  </si>
  <si>
    <t>F권정숙
F장덕한
F박명숙10
F오영환3
F권순예</t>
    <phoneticPr fontId="3" type="noConversion"/>
  </si>
  <si>
    <t>M김은미11C
M권정숙C
M장현성S
Tt배영수Tt</t>
    <phoneticPr fontId="3" type="noConversion"/>
  </si>
  <si>
    <t>F고해봉</t>
    <phoneticPr fontId="3" type="noConversion"/>
  </si>
  <si>
    <t>RA이송자</t>
    <phoneticPr fontId="3" type="noConversion"/>
  </si>
  <si>
    <t>RG이송자</t>
    <phoneticPr fontId="3" type="noConversion"/>
  </si>
  <si>
    <t>RG이송자</t>
    <phoneticPr fontId="3" type="noConversion"/>
  </si>
  <si>
    <t>RG이송자</t>
    <phoneticPr fontId="3" type="noConversion"/>
  </si>
  <si>
    <t>RG2R김을순2</t>
    <phoneticPr fontId="3" type="noConversion"/>
  </si>
  <si>
    <t>윤충원</t>
    <phoneticPr fontId="3" type="noConversion"/>
  </si>
  <si>
    <t>W황춘자(A)
W김남규4(B)
W이순선(A)
W조영란2(B)
RG2R윤충원</t>
    <phoneticPr fontId="3" type="noConversion"/>
  </si>
  <si>
    <t>RG2R신명숙6</t>
    <phoneticPr fontId="3" type="noConversion"/>
  </si>
  <si>
    <t>RG권남산</t>
  </si>
  <si>
    <t>RG권남산</t>
    <phoneticPr fontId="3" type="noConversion"/>
  </si>
  <si>
    <t>RA권남산</t>
    <phoneticPr fontId="3" type="noConversion"/>
  </si>
  <si>
    <t>RA권남산</t>
    <phoneticPr fontId="3" type="noConversion"/>
  </si>
  <si>
    <t>C이경순10
C박창현3</t>
    <phoneticPr fontId="3" type="noConversion"/>
  </si>
  <si>
    <t>N홍은남
N고해봉</t>
    <phoneticPr fontId="3" type="noConversion"/>
  </si>
  <si>
    <t>C김은미11
C고해봉</t>
    <phoneticPr fontId="3" type="noConversion"/>
  </si>
  <si>
    <t>RA박종순13</t>
    <phoneticPr fontId="3" type="noConversion"/>
  </si>
  <si>
    <t>RS박종순13</t>
    <phoneticPr fontId="3" type="noConversion"/>
  </si>
  <si>
    <t>RN박종순13</t>
    <phoneticPr fontId="3" type="noConversion"/>
  </si>
  <si>
    <t>RM박종순13</t>
    <phoneticPr fontId="3" type="noConversion"/>
  </si>
  <si>
    <t>M한미송C
M맹형열C
M김진철4S
M정상범3T</t>
    <phoneticPr fontId="3" type="noConversion"/>
  </si>
  <si>
    <t>4층 재활센터 시간표     2025. 12.  ()</t>
    <phoneticPr fontId="3" type="noConversion"/>
  </si>
  <si>
    <t>D황춘자V</t>
    <phoneticPr fontId="3" type="noConversion"/>
  </si>
  <si>
    <t>N황춘자</t>
    <phoneticPr fontId="3" type="noConversion"/>
  </si>
  <si>
    <t>M김태수5C
M이묘헌C
M박창현3C
M송수연2C
M황춘자C
M김은미11S
M배영수M</t>
    <phoneticPr fontId="3" type="noConversion"/>
  </si>
  <si>
    <t>M조희자C
M한정완C
M고해봉S
M황춘자CPM
M이경순10T</t>
    <phoneticPr fontId="3" type="noConversion"/>
  </si>
  <si>
    <t>F한미송
F박창현3
F이주민
F황춘자</t>
    <phoneticPr fontId="3" type="noConversion"/>
  </si>
  <si>
    <t>N권순예</t>
    <phoneticPr fontId="3" type="noConversion"/>
  </si>
  <si>
    <t>D배영수
D황춘자</t>
    <phoneticPr fontId="3" type="noConversion"/>
  </si>
  <si>
    <t>CA황춘자</t>
    <phoneticPr fontId="3" type="noConversion"/>
  </si>
  <si>
    <t>RN이준구2</t>
  </si>
  <si>
    <t>RA이준구2</t>
    <phoneticPr fontId="3" type="noConversion"/>
  </si>
  <si>
    <t>RA권남산</t>
    <phoneticPr fontId="3" type="noConversion"/>
  </si>
  <si>
    <t>RA이태임</t>
    <phoneticPr fontId="3" type="noConversion"/>
  </si>
  <si>
    <t xml:space="preserve"> * 신환</t>
    <phoneticPr fontId="3" type="noConversion"/>
  </si>
  <si>
    <t xml:space="preserve"> * 변경사항</t>
    <phoneticPr fontId="3" type="noConversion"/>
  </si>
  <si>
    <t xml:space="preserve"> * 퇴원 및 HOLD</t>
    <phoneticPr fontId="3" type="noConversion"/>
  </si>
  <si>
    <t xml:space="preserve"> * 당일시간변경</t>
    <phoneticPr fontId="3" type="noConversion"/>
  </si>
  <si>
    <t>RA김동윤3</t>
    <phoneticPr fontId="3" type="noConversion"/>
  </si>
  <si>
    <t>RA이순선</t>
    <phoneticPr fontId="3" type="noConversion"/>
  </si>
  <si>
    <t>N이주민</t>
  </si>
  <si>
    <t>RN신명숙6</t>
  </si>
  <si>
    <t>RM목진구</t>
  </si>
  <si>
    <t>RM윤충원</t>
  </si>
  <si>
    <t>RA차미영3</t>
  </si>
  <si>
    <t>D손재영V</t>
  </si>
  <si>
    <t>MM목진구C
MM정농숙S
MM박종순13S
MM이태임Tt
MM조영란2C</t>
    <phoneticPr fontId="3" type="noConversion"/>
  </si>
  <si>
    <t>MM곽수열S
MM김을순2S
MM권남산CPM
MM조영란2C</t>
    <phoneticPr fontId="3" type="noConversion"/>
  </si>
  <si>
    <t>RM차미영3</t>
    <phoneticPr fontId="3" type="noConversion"/>
  </si>
  <si>
    <r>
      <t xml:space="preserve">MM정농숙C
MM정묘순Tt
MM김을순2S
</t>
    </r>
    <r>
      <rPr>
        <b/>
        <u/>
        <sz val="10"/>
        <rFont val="돋움"/>
        <family val="3"/>
        <charset val="129"/>
      </rPr>
      <t>MM이송자CPM</t>
    </r>
    <r>
      <rPr>
        <sz val="10"/>
        <rFont val="돋움"/>
        <family val="3"/>
        <charset val="129"/>
      </rPr>
      <t xml:space="preserve">
MM김석기2C</t>
    </r>
    <phoneticPr fontId="3" type="noConversion"/>
  </si>
  <si>
    <t>RG이송자</t>
    <phoneticPr fontId="3" type="noConversion"/>
  </si>
  <si>
    <r>
      <t xml:space="preserve">MM곽수열님C
MM김갑태2M
</t>
    </r>
    <r>
      <rPr>
        <b/>
        <u/>
        <sz val="10"/>
        <rFont val="돋움"/>
        <family val="3"/>
        <charset val="129"/>
      </rPr>
      <t>MM한상진C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MM차미영3T</t>
    </r>
    <r>
      <rPr>
        <sz val="10"/>
        <rFont val="돋움"/>
        <family val="3"/>
        <charset val="129"/>
      </rPr>
      <t xml:space="preserve">
MM이준구2Tt</t>
    </r>
    <phoneticPr fontId="3" type="noConversion"/>
  </si>
  <si>
    <t>RG한상진C</t>
    <phoneticPr fontId="3" type="noConversion"/>
  </si>
  <si>
    <r>
      <rPr>
        <b/>
        <u/>
        <sz val="10"/>
        <color theme="1"/>
        <rFont val="돋움"/>
        <family val="3"/>
        <charset val="129"/>
      </rPr>
      <t>MM우병주S</t>
    </r>
    <r>
      <rPr>
        <sz val="10"/>
        <rFont val="돋움"/>
        <family val="3"/>
        <charset val="129"/>
      </rPr>
      <t xml:space="preserve">
MM김진권2S
MM정태철Tt
MM김동윤3C
MM신명숙6M
MM채규칠T</t>
    </r>
    <phoneticPr fontId="3" type="noConversion"/>
  </si>
  <si>
    <r>
      <rPr>
        <b/>
        <u/>
        <sz val="10"/>
        <color theme="1"/>
        <rFont val="돋움"/>
        <family val="3"/>
        <charset val="129"/>
      </rPr>
      <t>MM우병주C</t>
    </r>
    <r>
      <rPr>
        <sz val="10"/>
        <color theme="1"/>
        <rFont val="돋움"/>
        <family val="3"/>
        <charset val="129"/>
      </rPr>
      <t xml:space="preserve">
MM목진구C
MM김동윤3S
MM김갑태2Tt</t>
    </r>
    <phoneticPr fontId="3" type="noConversion"/>
  </si>
  <si>
    <t>RM우병주</t>
    <phoneticPr fontId="3" type="noConversion"/>
  </si>
  <si>
    <r>
      <rPr>
        <b/>
        <u/>
        <sz val="10"/>
        <rFont val="돋움"/>
        <family val="3"/>
        <charset val="129"/>
      </rPr>
      <t>MM김무길C</t>
    </r>
    <r>
      <rPr>
        <sz val="10"/>
        <rFont val="돋움"/>
        <family val="3"/>
        <charset val="129"/>
      </rPr>
      <t xml:space="preserve">
MM신명숙6S
MM정묘순M
MM윤충원Tt
</t>
    </r>
    <r>
      <rPr>
        <b/>
        <u/>
        <sz val="10"/>
        <rFont val="돋움"/>
        <family val="3"/>
        <charset val="129"/>
      </rPr>
      <t>MM이송자CPM</t>
    </r>
    <r>
      <rPr>
        <sz val="10"/>
        <rFont val="돋움"/>
        <family val="3"/>
        <charset val="129"/>
      </rPr>
      <t xml:space="preserve">
MM김석기2C</t>
    </r>
    <phoneticPr fontId="3" type="noConversion"/>
  </si>
  <si>
    <t>RA김무길님</t>
    <phoneticPr fontId="3" type="noConversion"/>
  </si>
  <si>
    <t>C오영환3
C우재천</t>
    <phoneticPr fontId="3" type="noConversion"/>
  </si>
  <si>
    <r>
      <t xml:space="preserve">C이산옥
</t>
    </r>
    <r>
      <rPr>
        <sz val="10"/>
        <color theme="1"/>
        <rFont val="돋움"/>
        <family val="3"/>
        <charset val="129"/>
      </rPr>
      <t>C이묘헌
C황춘자</t>
    </r>
    <phoneticPr fontId="3" type="noConversion"/>
  </si>
  <si>
    <r>
      <t xml:space="preserve">C박명숙10
</t>
    </r>
    <r>
      <rPr>
        <u/>
        <sz val="10"/>
        <rFont val="돋움"/>
        <family val="3"/>
        <charset val="129"/>
      </rPr>
      <t>C정화구</t>
    </r>
    <phoneticPr fontId="3" type="noConversion"/>
  </si>
  <si>
    <r>
      <rPr>
        <u/>
        <sz val="10"/>
        <rFont val="돋움"/>
        <family val="3"/>
        <charset val="129"/>
      </rPr>
      <t>C장덕한</t>
    </r>
    <r>
      <rPr>
        <sz val="10"/>
        <rFont val="돋움"/>
        <family val="3"/>
        <charset val="129"/>
      </rPr>
      <t xml:space="preserve">
</t>
    </r>
    <r>
      <rPr>
        <u/>
        <sz val="10"/>
        <rFont val="돋움"/>
        <family val="3"/>
        <charset val="129"/>
      </rPr>
      <t>C정상범3</t>
    </r>
    <phoneticPr fontId="3" type="noConversion"/>
  </si>
  <si>
    <t>C배영수</t>
    <phoneticPr fontId="3" type="noConversion"/>
  </si>
  <si>
    <t>C김태수5</t>
    <phoneticPr fontId="3" type="noConversion"/>
  </si>
  <si>
    <t>W김인기3(B)
RG2R박인규4</t>
    <phoneticPr fontId="3" type="noConversion"/>
  </si>
  <si>
    <t>RN박인규4</t>
    <phoneticPr fontId="3" type="noConversion"/>
  </si>
  <si>
    <t>RA박인규4</t>
    <phoneticPr fontId="3" type="noConversion"/>
  </si>
  <si>
    <t>RA김도윤19</t>
  </si>
  <si>
    <t>RA김도윤19</t>
    <phoneticPr fontId="3" type="noConversion"/>
  </si>
  <si>
    <t>RM박인규4</t>
    <phoneticPr fontId="3" type="noConversion"/>
  </si>
  <si>
    <t>RA김도윤19</t>
    <phoneticPr fontId="3" type="noConversion"/>
  </si>
  <si>
    <t>4층
김진철4님 ALL 홀드</t>
    <phoneticPr fontId="3" type="noConversion"/>
  </si>
  <si>
    <t>RG김도윤19</t>
    <phoneticPr fontId="3" type="noConversion"/>
  </si>
  <si>
    <t>RA연미재</t>
    <phoneticPr fontId="3" type="noConversion"/>
  </si>
  <si>
    <t>RG김도윤19</t>
    <phoneticPr fontId="3" type="noConversion"/>
  </si>
  <si>
    <t>MM염재호C
MM이순선S
MM윤충원C
MM김도윤19
CPM</t>
    <phoneticPr fontId="3" type="noConversion"/>
  </si>
  <si>
    <r>
      <t xml:space="preserve">MM김진권2C
MM연미재C
</t>
    </r>
    <r>
      <rPr>
        <b/>
        <u/>
        <sz val="10"/>
        <rFont val="돋움"/>
        <family val="3"/>
        <charset val="129"/>
      </rPr>
      <t>MM한상진C(B)</t>
    </r>
    <r>
      <rPr>
        <sz val="10"/>
        <rFont val="돋움"/>
        <family val="3"/>
        <charset val="129"/>
      </rPr>
      <t xml:space="preserve">
MM조항만S
MM이태임M
MM김도윤19
CPM
</t>
    </r>
    <r>
      <rPr>
        <b/>
        <u/>
        <sz val="10"/>
        <rFont val="돋움"/>
        <family val="3"/>
        <charset val="129"/>
      </rPr>
      <t>MM차미영3C</t>
    </r>
    <phoneticPr fontId="3" type="noConversion"/>
  </si>
  <si>
    <t>RD박인규4</t>
    <phoneticPr fontId="3" type="noConversion"/>
  </si>
  <si>
    <t>RD박인규4</t>
    <phoneticPr fontId="3" type="noConversion"/>
  </si>
  <si>
    <r>
      <rPr>
        <b/>
        <u/>
        <sz val="10"/>
        <rFont val="돋움"/>
        <family val="3"/>
        <charset val="129"/>
      </rPr>
      <t>MM김무길님S</t>
    </r>
    <r>
      <rPr>
        <sz val="10"/>
        <rFont val="돋움"/>
        <family val="3"/>
        <charset val="129"/>
      </rPr>
      <t xml:space="preserve">
MM박인규4C
MM조항만C
MM이순선C
MM김남규4T
</t>
    </r>
    <r>
      <rPr>
        <sz val="10"/>
        <color theme="0" tint="-0.249977111117893"/>
        <rFont val="돋움"/>
        <family val="3"/>
        <charset val="129"/>
      </rPr>
      <t xml:space="preserve">MM권영배Tt
</t>
    </r>
    <r>
      <rPr>
        <sz val="10"/>
        <color theme="1"/>
        <rFont val="돋움"/>
        <family val="3"/>
        <charset val="129"/>
      </rPr>
      <t>MM이준구2M</t>
    </r>
    <phoneticPr fontId="3" type="noConversion"/>
  </si>
  <si>
    <t>MM염재호S
MM권남산CPM
MM정태철Tt</t>
    <phoneticPr fontId="3" type="noConversion"/>
  </si>
  <si>
    <r>
      <t xml:space="preserve">MM연미재Tt
</t>
    </r>
    <r>
      <rPr>
        <sz val="10"/>
        <color theme="0" tint="-0.249977111117893"/>
        <rFont val="돋움"/>
        <family val="3"/>
        <charset val="129"/>
      </rPr>
      <t>MM권영배Tt</t>
    </r>
    <r>
      <rPr>
        <sz val="10"/>
        <color theme="1"/>
        <rFont val="돋움"/>
        <family val="3"/>
        <charset val="129"/>
      </rPr>
      <t xml:space="preserve">
MM김남규4C
MM박종순13C
MM박인규4S
MM채규칠C</t>
    </r>
    <phoneticPr fontId="3" type="noConversion"/>
  </si>
  <si>
    <t>* A : 박명숙10님, 김남규4님
* B : 정화구님, 김남규4님, 한상진(A오후 투석)
* 추가치료 거부 : 신봉호님, 목진구님(기구희망)
* TT2대 : 10:15, 14:05 / S-F 3대 : 11:25, 14:05</t>
    <phoneticPr fontId="3" type="noConversion"/>
  </si>
  <si>
    <r>
      <t>회복기 MM :  정농숙, 우병주,</t>
    </r>
    <r>
      <rPr>
        <sz val="11"/>
        <color theme="0" tint="-0.249977111117893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>맹형열, 김진권2, 조항만, 채규칠, 정태철, 김석기2, 곽수열님, 차미영3, 염재호, 권영배, 김을순2, 김남규4, RG한상진, 
                   조영란2, 염미재, 이준구2, 정묘순, 김무길(RG), 이순선, 김동윤3, 이송자(RG), 권남산(RG), 박종순13, 박인규4님, 김도윤19님(RG)
NDT :  우재천, 김태수5, 조희자, 권순예, 장현성, 이산옥,  권정숙, 신봉호(거부), 홍은남, 송병태, 박명숙10, 김은미11, 이묘헌, 정상범3, 장덕한, 한미송(para), 정화구
          배영수, 오영환3, 손재영, 고해봉
CA : 황춘자님
D :  이산옥, 송병태, 김인기3, 배영수, 손재영, 황춘자님
C : 우재천, 김태수5, 조희자, ,권순예, 이산옥, 권정숙, 장현성, 신봉호(거부), 홍은남, 송병태, 박명숙10, 김은미11, 이묘헌, 정상범3, 장덕한, 정화구, 배영수, 오영환3, 손재영, 고해봉, 황춘자님</t>
    </r>
    <phoneticPr fontId="3" type="noConversion"/>
  </si>
  <si>
    <t>4층 재활센터 시간표     2025. 12. 1 (월)</t>
    <phoneticPr fontId="3" type="noConversion"/>
  </si>
  <si>
    <t>김유나
(연차)</t>
    <phoneticPr fontId="3" type="noConversion"/>
  </si>
  <si>
    <t>최현수
(공가)</t>
    <phoneticPr fontId="3" type="noConversion"/>
  </si>
  <si>
    <r>
      <rPr>
        <b/>
        <u/>
        <sz val="10"/>
        <rFont val="돋움"/>
        <family val="3"/>
        <charset val="129"/>
      </rPr>
      <t>MM김무길님S</t>
    </r>
    <r>
      <rPr>
        <sz val="10"/>
        <rFont val="돋움"/>
        <family val="3"/>
        <charset val="129"/>
      </rPr>
      <t xml:space="preserve">
MM박인규4C
MM조항만C
MM이순선C
MM김남규4T</t>
    </r>
    <r>
      <rPr>
        <sz val="10"/>
        <color theme="0" tint="-0.249977111117893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>MM이준구2M</t>
    </r>
    <phoneticPr fontId="3" type="noConversion"/>
  </si>
  <si>
    <r>
      <t xml:space="preserve">MM목진구C
</t>
    </r>
    <r>
      <rPr>
        <b/>
        <sz val="10"/>
        <color rgb="FFFF0000"/>
        <rFont val="돋움"/>
        <family val="3"/>
        <charset val="129"/>
      </rPr>
      <t>MM정농숙S</t>
    </r>
    <r>
      <rPr>
        <sz val="10"/>
        <rFont val="돋움"/>
        <family val="3"/>
        <charset val="129"/>
      </rPr>
      <t xml:space="preserve">
MM박종순13S
MM이태임Tt
MM조영란2C</t>
    </r>
    <phoneticPr fontId="3" type="noConversion"/>
  </si>
  <si>
    <t>M이산옥C
M한정완C
M박명숙10S
M송수연2T
M오영환3M</t>
    <phoneticPr fontId="3" type="noConversion"/>
  </si>
  <si>
    <t>F신봉호
F정상범3</t>
    <phoneticPr fontId="3" type="noConversion"/>
  </si>
  <si>
    <t>RG2R채규칠</t>
    <phoneticPr fontId="3" type="noConversion"/>
  </si>
  <si>
    <t>M한미송C
M맹형열C
M정상범3T</t>
    <phoneticPr fontId="3" type="noConversion"/>
  </si>
  <si>
    <t>MM박인규4S</t>
  </si>
  <si>
    <r>
      <t xml:space="preserve">MM연미재Tt
MM김남규4C
MM박종순13C
</t>
    </r>
    <r>
      <rPr>
        <b/>
        <sz val="10"/>
        <color rgb="FFFF0000"/>
        <rFont val="돋움"/>
        <family val="3"/>
        <charset val="129"/>
      </rPr>
      <t>MM박인규4S</t>
    </r>
    <r>
      <rPr>
        <sz val="10"/>
        <color theme="1"/>
        <rFont val="돋움"/>
        <family val="3"/>
        <charset val="129"/>
      </rPr>
      <t xml:space="preserve">
MM채규칠C</t>
    </r>
    <phoneticPr fontId="3" type="noConversion"/>
  </si>
  <si>
    <t>N정화구</t>
  </si>
  <si>
    <t>RG이태임</t>
  </si>
  <si>
    <t>RM박종순13</t>
  </si>
  <si>
    <t>RN김진권2</t>
  </si>
  <si>
    <t>김도윤19님 RG4,MM4/RA8
박인규4님 전실. RN2,RM2,MM4/RD4,RA2</t>
    <phoneticPr fontId="3" type="noConversion"/>
  </si>
  <si>
    <t>이혜림T 12월 무급휴직 (주황색바탕환자)
황춘자님. 연하회복기→연하전문변경.N2M2F1/D1V1
한청자2님, 이인기님 퇴원. 스케줄 삭제
조영란2님, 박종순13님, 이준구2님, 목진구님, 권남산님, 이태임님, 연미재님 단위변경. PT2,OT4
곽수열님 14:40↔15:15 시간변경
박명숙10님 통증삭제</t>
    <phoneticPr fontId="3" type="noConversion"/>
  </si>
  <si>
    <t>김도윤19님 12:00→15:50 시간변경(엑스바디)</t>
    <phoneticPr fontId="3" type="noConversion"/>
  </si>
  <si>
    <t>D황춘자V</t>
    <phoneticPr fontId="3" type="noConversion"/>
  </si>
  <si>
    <t>D손재영V</t>
    <phoneticPr fontId="3" type="noConversion"/>
  </si>
  <si>
    <t>MM염재호C
MM이순선S
MM윤충원C</t>
    <phoneticPr fontId="3" type="noConversion"/>
  </si>
  <si>
    <r>
      <rPr>
        <b/>
        <u/>
        <sz val="10"/>
        <color theme="1"/>
        <rFont val="돋움"/>
        <family val="3"/>
        <charset val="129"/>
      </rPr>
      <t>MM우병주C</t>
    </r>
    <r>
      <rPr>
        <sz val="10"/>
        <color theme="1"/>
        <rFont val="돋움"/>
        <family val="3"/>
        <charset val="129"/>
      </rPr>
      <t xml:space="preserve">
MM목진구C
MM김동윤3S
MM김갑태2Tt</t>
    </r>
    <phoneticPr fontId="3" type="noConversion"/>
  </si>
  <si>
    <t>4층
김태수5님 오후 홀드
권남산님 오전 홀드
조항만님 16:00~이후 홀드</t>
    <phoneticPr fontId="3" type="noConversion"/>
  </si>
  <si>
    <t>W김인기3(B)</t>
    <phoneticPr fontId="3" type="noConversion"/>
  </si>
  <si>
    <t>RD박인규4</t>
    <phoneticPr fontId="3" type="noConversion"/>
  </si>
  <si>
    <t>회복기 MM :  정농숙, 우병주, 김진권2, 조항만, 채규칠, 정태철, 김석기2, 곽수열님, 차미영3, 염재호, 권영배, 김을순2, 김남규4, RG한상진,  조영란2, 염미재, 이준구2, 
                   정묘순, 김무길(RG), 이순선, 김동윤3, 이송자(RG), 권남산(RG), 박종순13, 박인규4님, 김도윤19님(RG), 목진구님, 김갑태2님, 윤충원님, 신명숙6님, 이태임님
NDT :  우재천, 김태수5, 조희자, 권순예, 장현성, 이산옥,  권정숙, 신봉호(거부), 홍은남, 송병태, 박명숙10, 김은미11, 이묘헌, 정상범3, 장덕한, 한미송(para), 정화구
          배영수, 오영환3, 손재영, 고해봉, 김진철4(para)
CA : 황춘자님
D :  이산옥, 송병태, 김인기3, 배영수, 손재영, 황춘자님
C : 우재천, 김태수5, 조희자, ,권순예, 이산옥, 권정숙, 장현성, 신봉호(거부), 홍은남, 송병태, 박명숙10, 김은미11, 이묘헌, 정상범3, 장덕한, 정화구, 배영수, 오영환3, 손재영, 고해봉, 황춘자님</t>
    <phoneticPr fontId="3" type="noConversion"/>
  </si>
  <si>
    <r>
      <rPr>
        <sz val="10"/>
        <color theme="1"/>
        <rFont val="돋움"/>
        <family val="3"/>
        <charset val="129"/>
      </rPr>
      <t>N장현성</t>
    </r>
    <r>
      <rPr>
        <sz val="10"/>
        <rFont val="돋움"/>
        <family val="3"/>
        <charset val="129"/>
      </rPr>
      <t xml:space="preserve">
N김은미11
N김진철4</t>
    </r>
    <phoneticPr fontId="3" type="noConversion"/>
  </si>
  <si>
    <t>N정상범3</t>
    <phoneticPr fontId="3" type="noConversion"/>
  </si>
  <si>
    <r>
      <rPr>
        <b/>
        <u/>
        <sz val="10"/>
        <rFont val="돋움"/>
        <family val="3"/>
        <charset val="129"/>
      </rPr>
      <t>MM김무길C</t>
    </r>
    <r>
      <rPr>
        <sz val="10"/>
        <rFont val="돋움"/>
        <family val="3"/>
        <charset val="129"/>
      </rPr>
      <t xml:space="preserve">
MM신명숙6Tt
MM정묘순M
MM윤충원Tt
</t>
    </r>
    <r>
      <rPr>
        <b/>
        <u/>
        <sz val="10"/>
        <rFont val="돋움"/>
        <family val="3"/>
        <charset val="129"/>
      </rPr>
      <t>MM이송자CPM</t>
    </r>
    <r>
      <rPr>
        <sz val="10"/>
        <rFont val="돋움"/>
        <family val="3"/>
        <charset val="129"/>
      </rPr>
      <t xml:space="preserve">
MM김석기2C</t>
    </r>
    <phoneticPr fontId="3" type="noConversion"/>
  </si>
  <si>
    <t>* A : 박명숙10님, 김남규4님
* B : 정화구님, 김남규4님, 한상진(A오후 투석)
* 김도윤19님 : 컨저로 당분간 기구 MM 홀드
* 추가치료 거부 : 신봉호님, 목진구님(기구희망)
* TT2대 : 10:15, 14:05, 15:15 / S-F 3대 : 11:25, 14:05</t>
    <phoneticPr fontId="3" type="noConversion"/>
  </si>
  <si>
    <t>4층 재활센터 시간표     2025. 12. 2 (화)</t>
    <phoneticPr fontId="3" type="noConversion"/>
  </si>
  <si>
    <t>최현수
(연차)</t>
    <phoneticPr fontId="3" type="noConversion"/>
  </si>
  <si>
    <t>송영규
(연차)</t>
    <phoneticPr fontId="3" type="noConversion"/>
  </si>
  <si>
    <t>M권순예C
M이주민T
M배영수Tt</t>
    <phoneticPr fontId="3" type="noConversion"/>
  </si>
  <si>
    <t>MM염재호S
MM정태철Tt</t>
    <phoneticPr fontId="3" type="noConversion"/>
  </si>
  <si>
    <r>
      <rPr>
        <b/>
        <u/>
        <sz val="10"/>
        <rFont val="돋움"/>
        <family val="3"/>
        <charset val="129"/>
      </rPr>
      <t>MM김무길님S</t>
    </r>
    <r>
      <rPr>
        <sz val="10"/>
        <rFont val="돋움"/>
        <family val="3"/>
        <charset val="129"/>
      </rPr>
      <t xml:space="preserve">
MM박인규4C
MM조항만C
MM이순선C
MM김남규4T</t>
    </r>
    <r>
      <rPr>
        <sz val="10"/>
        <color theme="0" tint="-0.249977111117893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>MM이준구2M</t>
    </r>
    <phoneticPr fontId="3" type="noConversion"/>
  </si>
  <si>
    <r>
      <rPr>
        <b/>
        <u/>
        <sz val="10"/>
        <rFont val="돋움"/>
        <family val="3"/>
        <charset val="129"/>
      </rPr>
      <t>MM김무길C</t>
    </r>
    <r>
      <rPr>
        <sz val="10"/>
        <rFont val="돋움"/>
        <family val="3"/>
        <charset val="129"/>
      </rPr>
      <t xml:space="preserve">
MM신명숙6Tt
MM정묘순M
</t>
    </r>
    <r>
      <rPr>
        <b/>
        <sz val="10"/>
        <color rgb="FFFF0000"/>
        <rFont val="돋움"/>
        <family val="3"/>
        <charset val="129"/>
      </rPr>
      <t>MM윤충원Tt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MM이송자CPM</t>
    </r>
    <r>
      <rPr>
        <sz val="10"/>
        <rFont val="돋움"/>
        <family val="3"/>
        <charset val="129"/>
      </rPr>
      <t xml:space="preserve">
MM김석기2C</t>
    </r>
    <phoneticPr fontId="3" type="noConversion"/>
  </si>
  <si>
    <r>
      <t xml:space="preserve">MM목진구C
MM정농숙S
</t>
    </r>
    <r>
      <rPr>
        <b/>
        <sz val="10"/>
        <color rgb="FFFF0000"/>
        <rFont val="돋움"/>
        <family val="3"/>
        <charset val="129"/>
      </rPr>
      <t>MM박종순13S</t>
    </r>
    <r>
      <rPr>
        <sz val="10"/>
        <rFont val="돋움"/>
        <family val="3"/>
        <charset val="129"/>
      </rPr>
      <t xml:space="preserve">
MM이태임Tt
MM조영란2C</t>
    </r>
    <phoneticPr fontId="3" type="noConversion"/>
  </si>
  <si>
    <r>
      <t xml:space="preserve">MM연미재Tt
MM김남규4C
MM박종순13C
</t>
    </r>
    <r>
      <rPr>
        <b/>
        <sz val="10"/>
        <color rgb="FFFF0000"/>
        <rFont val="돋움"/>
        <family val="3"/>
        <charset val="129"/>
      </rPr>
      <t>MM박인규4S</t>
    </r>
    <r>
      <rPr>
        <sz val="10"/>
        <color theme="1"/>
        <rFont val="돋움"/>
        <family val="3"/>
        <charset val="129"/>
      </rPr>
      <t xml:space="preserve">
MM채규칠C</t>
    </r>
    <phoneticPr fontId="3" type="noConversion"/>
  </si>
  <si>
    <t>H7김남규4</t>
    <phoneticPr fontId="3" type="noConversion"/>
  </si>
  <si>
    <t>H7정화구</t>
    <phoneticPr fontId="3" type="noConversion"/>
  </si>
  <si>
    <r>
      <t>MM김진권2C
MM연미재C</t>
    </r>
    <r>
      <rPr>
        <sz val="10"/>
        <rFont val="돋움"/>
        <family val="3"/>
        <charset val="129"/>
      </rPr>
      <t xml:space="preserve">
MM조항만S
MM이태임M
</t>
    </r>
    <r>
      <rPr>
        <b/>
        <u/>
        <sz val="10"/>
        <rFont val="돋움"/>
        <family val="3"/>
        <charset val="129"/>
      </rPr>
      <t>MM차미영3C</t>
    </r>
    <phoneticPr fontId="3" type="noConversion"/>
  </si>
  <si>
    <t>MM염재호C
MM윤충원C</t>
    <phoneticPr fontId="3" type="noConversion"/>
  </si>
  <si>
    <t>이순선</t>
    <phoneticPr fontId="3" type="noConversion"/>
  </si>
  <si>
    <t>RN박인규4</t>
    <phoneticPr fontId="3" type="noConversion"/>
  </si>
  <si>
    <t>김도윤19님 MM4단위 기구삭제(주치의 지시)
박인규4님 RG2R 삭제, 일대일 추가
김진철4님 1년 경과, N1개 삭제
신명숙6님 동일시간 오후기구 변경
이순선님. 2주간 통증추가</t>
    <phoneticPr fontId="3" type="noConversion"/>
  </si>
  <si>
    <t>한상진님 13:30 기구홀드(근전도)
이순선님 9:05→15:50 시간변경, 9:40 기구홀드(근전도)</t>
    <phoneticPr fontId="3" type="noConversion"/>
  </si>
  <si>
    <t>RG한상진</t>
    <phoneticPr fontId="3" type="noConversion"/>
  </si>
  <si>
    <t>M맹형열C
M김진철4S
M정상범3T</t>
    <phoneticPr fontId="3" type="noConversion"/>
  </si>
  <si>
    <t>N배영수</t>
    <phoneticPr fontId="3" type="noConversion"/>
  </si>
  <si>
    <t>회복기 MM :  정농숙, 우병주, 김진권2, 조항만, 채규칠, 정태철, 김석기2, 곽수열님, 차미영3, 염재호, 권영배, 김을순2, 김남규4, RG한상진,  조영란2, 염미재, 이준구2, 
                   정묘순, 김무길(RG), 이순선, 김동윤3, 이송자(RG), 권남산(RG), 박종순13, 박인규4님, 김도윤19님(RG), 목진구님, 김갑태2님, 윤충원님, 신명숙6님, 이태임님
NDT :  우재천, 김태수5, 조희자, 권순예, 장현성, 이산옥,  권정숙, 신봉호(거부), 홍은남, 송병태, 박명숙10, 김은미11, 이묘헌, 정상범3, 장덕한, 정화구
          배영수, 오영환3, 손재영, 고해봉, 김진철4(para)
CA : 황춘자님
D :  이산옥, 송병태, 김인기3, 배영수, 손재영, 황춘자님
C : 우재천, 김태수5, 조희자, ,권순예, 이산옥, 권정숙, 장현성, 신봉호(거부), 홍은남, 송병태, 박명숙10, 김은미11, 이묘헌, 정상범3, 장덕한, 정화구, 배영수, 오영환3, 손재영, 고해봉, 황춘자님</t>
    <phoneticPr fontId="3" type="noConversion"/>
  </si>
  <si>
    <t>12.3 (수) 스케줄 변경사항</t>
    <phoneticPr fontId="3" type="noConversion"/>
  </si>
  <si>
    <t>12.3 (수) HOLD</t>
    <phoneticPr fontId="3" type="noConversion"/>
  </si>
  <si>
    <t>신현임2님. N2M2F1 / C2A</t>
    <phoneticPr fontId="3" type="noConversion"/>
  </si>
  <si>
    <t>N신현임2</t>
    <phoneticPr fontId="3" type="noConversion"/>
  </si>
  <si>
    <t>C신현임2</t>
    <phoneticPr fontId="3" type="noConversion"/>
  </si>
  <si>
    <t>CA신현임2</t>
    <phoneticPr fontId="3" type="noConversion"/>
  </si>
  <si>
    <t>F박창현3
F이주민
F황춘자
F신현임2</t>
    <phoneticPr fontId="3" type="noConversion"/>
  </si>
  <si>
    <t>M이주민C
G양덕점C
M신현임2C
M권순예S
M신현임
M송병태Tt</t>
    <phoneticPr fontId="3" type="noConversion"/>
  </si>
  <si>
    <r>
      <t xml:space="preserve">MM김진권2C
MM연미재C
</t>
    </r>
    <r>
      <rPr>
        <b/>
        <u/>
        <sz val="10"/>
        <rFont val="돋움"/>
        <family val="3"/>
        <charset val="129"/>
      </rPr>
      <t>MM한상진C(B)</t>
    </r>
    <r>
      <rPr>
        <sz val="10"/>
        <rFont val="돋움"/>
        <family val="3"/>
        <charset val="129"/>
      </rPr>
      <t xml:space="preserve">
MM조항만S
MM이태임M
</t>
    </r>
    <r>
      <rPr>
        <b/>
        <u/>
        <sz val="10"/>
        <rFont val="돋움"/>
        <family val="3"/>
        <charset val="129"/>
      </rPr>
      <t>MM차미영3C</t>
    </r>
    <phoneticPr fontId="3" type="noConversion"/>
  </si>
  <si>
    <t>M권순예C
M김태수5S
M신현임2S
M이주민T
M배영수Tt</t>
    <phoneticPr fontId="3" type="noConversion"/>
  </si>
  <si>
    <t>* A : 박명숙10님, 김남규4님
* B : 정화구님, 김남규4님, 한상진(A오후 투석)
* 김도윤19님 : 컨저로 당분간 기구 MM 홀드
* 추가치료 거부 : 신봉호님, 목진구님(기구희망)
* TT2대 : 10:15, 14:05, 15:15 / S-F 3대 : 11:25, 13:30, 14:05</t>
    <phoneticPr fontId="3" type="noConversion"/>
  </si>
  <si>
    <t>송수연2</t>
    <phoneticPr fontId="3" type="noConversion"/>
  </si>
  <si>
    <t>4층
한미송님 퇴원. 스케줄 삭제
차미영3님 외박 ALL 홀드
신봉호님 외진 오후 홀드
장덕한님 검진 오전 홀드</t>
    <phoneticPr fontId="3" type="noConversion"/>
  </si>
  <si>
    <t>한미송님 퇴원. 스케줄 삭제
송수연2님, 이순선님 2주간 통증추가</t>
    <phoneticPr fontId="3" type="noConversion"/>
  </si>
  <si>
    <t>이송희
(공가)</t>
    <phoneticPr fontId="3" type="noConversion"/>
  </si>
  <si>
    <t>윤영채
(연차)</t>
    <phoneticPr fontId="3" type="noConversion"/>
  </si>
  <si>
    <r>
      <rPr>
        <sz val="10"/>
        <color theme="1"/>
        <rFont val="돋움"/>
        <family val="3"/>
        <charset val="129"/>
      </rPr>
      <t>MM우병주S</t>
    </r>
    <r>
      <rPr>
        <sz val="10"/>
        <rFont val="돋움"/>
        <family val="3"/>
        <charset val="129"/>
      </rPr>
      <t xml:space="preserve">
MM김진권2S
MM정태철Tt
MM김동윤3C
MM신명숙6M
MM채규칠T</t>
    </r>
    <phoneticPr fontId="3" type="noConversion"/>
  </si>
  <si>
    <t>MM우병주C
MM목진구C
MM김동윤3S
MM김갑태2Tt</t>
    <phoneticPr fontId="3" type="noConversion"/>
  </si>
  <si>
    <t>정재희
(연차)</t>
    <phoneticPr fontId="3" type="noConversion"/>
  </si>
  <si>
    <t>이순선</t>
    <phoneticPr fontId="3" type="noConversion"/>
  </si>
  <si>
    <r>
      <t xml:space="preserve">MM곽수열님C
MM김갑태2M
</t>
    </r>
    <r>
      <rPr>
        <b/>
        <u/>
        <sz val="10"/>
        <rFont val="돋움"/>
        <family val="3"/>
        <charset val="129"/>
      </rPr>
      <t>MM한상진C</t>
    </r>
    <r>
      <rPr>
        <sz val="10"/>
        <rFont val="돋움"/>
        <family val="3"/>
        <charset val="129"/>
      </rPr>
      <t xml:space="preserve">
MM이준구2Tt</t>
    </r>
    <phoneticPr fontId="3" type="noConversion"/>
  </si>
  <si>
    <r>
      <t xml:space="preserve">MM김진권2C
MM연미재C
</t>
    </r>
    <r>
      <rPr>
        <b/>
        <u/>
        <sz val="10"/>
        <rFont val="돋움"/>
        <family val="3"/>
        <charset val="129"/>
      </rPr>
      <t>MM한상진C(B)</t>
    </r>
    <r>
      <rPr>
        <sz val="10"/>
        <rFont val="돋움"/>
        <family val="3"/>
        <charset val="129"/>
      </rPr>
      <t xml:space="preserve">
MM조항만S
MM이태임M</t>
    </r>
    <phoneticPr fontId="3" type="noConversion"/>
  </si>
  <si>
    <t>M김인기3C
M장덕한C
M정화구C
M장현성C</t>
    <phoneticPr fontId="3" type="noConversion"/>
  </si>
  <si>
    <t>F김진철4
F정상범3</t>
    <phoneticPr fontId="3" type="noConversion"/>
  </si>
  <si>
    <t>F권정숙
F박명숙10
F오영환3
F권순예</t>
    <phoneticPr fontId="3" type="noConversion"/>
  </si>
  <si>
    <t>M이묘헌C
M신봉호C
M손재영C</t>
    <phoneticPr fontId="3" type="noConversion"/>
  </si>
  <si>
    <t>C정상범3</t>
    <phoneticPr fontId="3" type="noConversion"/>
  </si>
  <si>
    <t>RS김동윤3</t>
    <phoneticPr fontId="3" type="noConversion"/>
  </si>
  <si>
    <t>RM김동윤3</t>
  </si>
  <si>
    <t>김동윤3님 8:30→15:50 시간변경(SNSB)</t>
    <phoneticPr fontId="3" type="noConversion"/>
  </si>
  <si>
    <t>신현임2님. N2M2F1 / C2A</t>
    <phoneticPr fontId="3" type="noConversion"/>
  </si>
  <si>
    <t>한미송님 퇴원. 스케줄 삭제
송수연2님, 이순선님 2주간 통증추가</t>
    <phoneticPr fontId="3" type="noConversion"/>
  </si>
  <si>
    <t>한미송님 퇴원. 스케줄 삭제
송수연2님, 이순선님 2주간 통증추가</t>
    <phoneticPr fontId="3" type="noConversion"/>
  </si>
  <si>
    <t>김동윤3님 8:30→15:50 시간변경(SNSB)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</si>
</sst>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3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.5"/>
      <color rgb="FF000000"/>
      <name val="돋움"/>
      <family val="3"/>
      <charset val="129"/>
    </font>
    <font>
      <sz val="8.5"/>
      <name val="돋움"/>
      <family val="3"/>
      <charset val="129"/>
    </font>
    <font>
      <sz val="11"/>
      <color rgb="FFFF0000"/>
      <name val="돋움"/>
      <family val="3"/>
      <charset val="129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b/>
      <u/>
      <sz val="10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u/>
      <sz val="10"/>
      <name val="돋움"/>
      <family val="3"/>
      <charset val="129"/>
    </font>
    <font>
      <sz val="10"/>
      <color theme="0" tint="-0.249977111117893"/>
      <name val="돋움"/>
      <family val="3"/>
      <charset val="129"/>
    </font>
    <font>
      <b/>
      <u/>
      <sz val="10"/>
      <color theme="1"/>
      <name val="돋움"/>
      <family val="3"/>
      <charset val="129"/>
    </font>
    <font>
      <sz val="10"/>
      <color theme="0"/>
      <name val="돋움"/>
      <family val="3"/>
      <charset val="129"/>
    </font>
    <font>
      <sz val="11"/>
      <name val="맑은 고딕"/>
      <family val="2"/>
      <charset val="129"/>
      <scheme val="minor"/>
    </font>
    <font>
      <sz val="12"/>
      <name val="돋움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sz val="11"/>
      <name val="돋움"/>
      <family val="3"/>
      <charset val="129"/>
    </font>
    <font>
      <sz val="11"/>
      <color theme="0" tint="-0.249977111117893"/>
      <name val="돋움"/>
      <family val="3"/>
      <charset val="129"/>
    </font>
    <font>
      <u/>
      <sz val="10"/>
      <color theme="1"/>
      <name val="돋움"/>
      <family val="3"/>
      <charset val="129"/>
    </font>
    <font>
      <u/>
      <sz val="10"/>
      <name val="돋움"/>
      <family val="3"/>
      <charset val="129"/>
    </font>
    <font>
      <sz val="10"/>
      <color theme="1"/>
      <name val="돋움"/>
      <family val="2"/>
      <charset val="129"/>
    </font>
    <font>
      <sz val="10"/>
      <color rgb="FF00B050"/>
      <name val="돋움"/>
      <family val="3"/>
      <charset val="129"/>
    </font>
    <font>
      <sz val="10"/>
      <color rgb="FFFF0000"/>
      <name val="돋움"/>
      <family val="3"/>
      <charset val="129"/>
    </font>
    <font>
      <b/>
      <sz val="10"/>
      <color rgb="FFFF0000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9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1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06">
    <xf numFmtId="0" fontId="0" fillId="0" borderId="0" xfId="0">
      <alignment vertical="center"/>
    </xf>
    <xf numFmtId="0" fontId="9" fillId="0" borderId="7" xfId="2" applyFont="1" applyFill="1" applyBorder="1" applyAlignment="1">
      <alignment horizontal="center" vertical="center" wrapText="1"/>
    </xf>
    <xf numFmtId="0" fontId="9" fillId="0" borderId="3" xfId="2" applyFont="1" applyFill="1" applyBorder="1" applyAlignment="1">
      <alignment horizontal="center" vertical="center" wrapText="1"/>
    </xf>
    <xf numFmtId="0" fontId="9" fillId="0" borderId="6" xfId="2" applyFont="1" applyFill="1" applyBorder="1" applyAlignment="1">
      <alignment horizontal="center" vertical="center" wrapText="1"/>
    </xf>
    <xf numFmtId="0" fontId="9" fillId="0" borderId="34" xfId="2" applyFont="1" applyFill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24" fillId="0" borderId="0" xfId="1" applyFont="1" applyFill="1" applyBorder="1" applyAlignment="1">
      <alignment horizontal="center" vertical="center" wrapText="1"/>
    </xf>
    <xf numFmtId="0" fontId="28" fillId="0" borderId="0" xfId="1" applyFont="1" applyFill="1" applyBorder="1" applyAlignment="1">
      <alignment horizontal="center" vertical="center" wrapText="1"/>
    </xf>
    <xf numFmtId="0" fontId="9" fillId="0" borderId="20" xfId="2" applyFont="1" applyFill="1" applyBorder="1" applyAlignment="1">
      <alignment horizontal="center" vertical="center"/>
    </xf>
    <xf numFmtId="0" fontId="9" fillId="0" borderId="25" xfId="2" applyFont="1" applyFill="1" applyBorder="1" applyAlignment="1">
      <alignment horizontal="center" vertical="center" wrapText="1"/>
    </xf>
    <xf numFmtId="0" fontId="14" fillId="3" borderId="7" xfId="2" applyFont="1" applyFill="1" applyBorder="1" applyAlignment="1">
      <alignment horizontal="center" vertical="center" wrapText="1"/>
    </xf>
    <xf numFmtId="0" fontId="14" fillId="0" borderId="6" xfId="2" applyFont="1" applyFill="1" applyBorder="1" applyAlignment="1">
      <alignment horizontal="center" vertical="center" wrapText="1"/>
    </xf>
    <xf numFmtId="0" fontId="2" fillId="0" borderId="2" xfId="7" applyNumberFormat="1" applyFont="1" applyFill="1" applyBorder="1" applyAlignment="1" applyProtection="1">
      <alignment horizontal="center" vertical="center"/>
    </xf>
    <xf numFmtId="0" fontId="1" fillId="0" borderId="0" xfId="6">
      <alignment vertical="center"/>
    </xf>
    <xf numFmtId="0" fontId="2" fillId="0" borderId="0" xfId="7" applyNumberFormat="1" applyFont="1" applyFill="1" applyBorder="1" applyAlignment="1" applyProtection="1">
      <alignment horizontal="center" vertical="center"/>
    </xf>
    <xf numFmtId="0" fontId="1" fillId="0" borderId="0" xfId="6" applyFill="1">
      <alignment vertical="center"/>
    </xf>
    <xf numFmtId="0" fontId="5" fillId="2" borderId="3" xfId="6" applyNumberFormat="1" applyFont="1" applyFill="1" applyBorder="1" applyAlignment="1" applyProtection="1">
      <alignment horizontal="center" vertical="center"/>
    </xf>
    <xf numFmtId="0" fontId="5" fillId="2" borderId="3" xfId="6" applyNumberFormat="1" applyFont="1" applyFill="1" applyBorder="1" applyAlignment="1" applyProtection="1">
      <alignment horizontal="left" vertical="center" wrapText="1"/>
    </xf>
    <xf numFmtId="0" fontId="5" fillId="2" borderId="3" xfId="6" applyNumberFormat="1" applyFont="1" applyFill="1" applyBorder="1" applyAlignment="1" applyProtection="1">
      <alignment horizontal="center" vertical="center" wrapText="1"/>
    </xf>
    <xf numFmtId="0" fontId="6" fillId="2" borderId="3" xfId="6" applyNumberFormat="1" applyFont="1" applyFill="1" applyBorder="1" applyAlignment="1" applyProtection="1">
      <alignment horizontal="center" vertical="center"/>
    </xf>
    <xf numFmtId="176" fontId="30" fillId="0" borderId="0" xfId="8" applyNumberFormat="1" applyFont="1" applyFill="1" applyBorder="1" applyAlignment="1" applyProtection="1">
      <alignment horizontal="center" vertical="center" wrapText="1"/>
    </xf>
    <xf numFmtId="0" fontId="7" fillId="0" borderId="0" xfId="6" applyFont="1" applyAlignment="1">
      <alignment vertical="top" wrapText="1"/>
    </xf>
    <xf numFmtId="0" fontId="14" fillId="0" borderId="0" xfId="6" applyFont="1" applyFill="1" applyAlignment="1">
      <alignment horizontal="center" vertical="center"/>
    </xf>
    <xf numFmtId="0" fontId="5" fillId="0" borderId="3" xfId="6" applyFont="1" applyBorder="1" applyAlignment="1">
      <alignment horizontal="center" vertical="center"/>
    </xf>
    <xf numFmtId="0" fontId="8" fillId="0" borderId="3" xfId="6" applyFont="1" applyFill="1" applyBorder="1" applyAlignment="1">
      <alignment horizontal="center" vertical="center" wrapText="1"/>
    </xf>
    <xf numFmtId="0" fontId="9" fillId="0" borderId="3" xfId="6" applyNumberFormat="1" applyFont="1" applyFill="1" applyBorder="1" applyAlignment="1" applyProtection="1">
      <alignment horizontal="center" vertical="center" wrapText="1"/>
    </xf>
    <xf numFmtId="0" fontId="9" fillId="0" borderId="6" xfId="6" applyNumberFormat="1" applyFont="1" applyFill="1" applyBorder="1" applyAlignment="1" applyProtection="1">
      <alignment horizontal="center" vertical="center" wrapText="1"/>
    </xf>
    <xf numFmtId="0" fontId="9" fillId="0" borderId="6" xfId="6" applyFont="1" applyFill="1" applyBorder="1" applyAlignment="1">
      <alignment horizontal="center" vertical="center"/>
    </xf>
    <xf numFmtId="0" fontId="9" fillId="0" borderId="6" xfId="6" applyFont="1" applyFill="1" applyBorder="1" applyAlignment="1">
      <alignment horizontal="center" vertical="center" wrapText="1"/>
    </xf>
    <xf numFmtId="0" fontId="9" fillId="0" borderId="3" xfId="6" applyFont="1" applyFill="1" applyBorder="1" applyAlignment="1">
      <alignment horizontal="center" vertical="center" wrapText="1"/>
    </xf>
    <xf numFmtId="9" fontId="30" fillId="0" borderId="0" xfId="9" applyFont="1" applyFill="1" applyBorder="1" applyAlignment="1" applyProtection="1">
      <alignment horizontal="center" vertical="center" wrapText="1"/>
    </xf>
    <xf numFmtId="0" fontId="9" fillId="0" borderId="13" xfId="6" applyNumberFormat="1" applyFont="1" applyFill="1" applyBorder="1" applyAlignment="1" applyProtection="1">
      <alignment horizontal="center" vertical="center" wrapText="1"/>
    </xf>
    <xf numFmtId="0" fontId="9" fillId="3" borderId="3" xfId="6" applyFont="1" applyFill="1" applyBorder="1" applyAlignment="1">
      <alignment horizontal="center" vertical="center" wrapText="1"/>
    </xf>
    <xf numFmtId="0" fontId="8" fillId="0" borderId="6" xfId="6" applyNumberFormat="1" applyFont="1" applyFill="1" applyBorder="1" applyAlignment="1" applyProtection="1">
      <alignment horizontal="center" vertical="center" wrapText="1"/>
    </xf>
    <xf numFmtId="0" fontId="9" fillId="0" borderId="3" xfId="6" applyFont="1" applyFill="1" applyBorder="1" applyAlignment="1">
      <alignment horizontal="center" vertical="center"/>
    </xf>
    <xf numFmtId="0" fontId="4" fillId="0" borderId="6" xfId="6" applyNumberFormat="1" applyFont="1" applyFill="1" applyBorder="1" applyAlignment="1" applyProtection="1">
      <alignment horizontal="center" vertical="center" wrapText="1"/>
    </xf>
    <xf numFmtId="0" fontId="9" fillId="0" borderId="20" xfId="6" applyNumberFormat="1" applyFont="1" applyFill="1" applyBorder="1" applyAlignment="1" applyProtection="1">
      <alignment horizontal="center" vertical="center" wrapText="1"/>
    </xf>
    <xf numFmtId="0" fontId="9" fillId="0" borderId="21" xfId="6" applyFont="1" applyFill="1" applyBorder="1" applyAlignment="1">
      <alignment horizontal="center" vertical="center"/>
    </xf>
    <xf numFmtId="0" fontId="9" fillId="0" borderId="20" xfId="6" applyFont="1" applyFill="1" applyBorder="1" applyAlignment="1">
      <alignment horizontal="center" vertical="center" wrapText="1"/>
    </xf>
    <xf numFmtId="0" fontId="17" fillId="0" borderId="32" xfId="6" applyFont="1" applyFill="1" applyBorder="1" applyAlignment="1">
      <alignment horizontal="center" vertical="center" wrapText="1"/>
    </xf>
    <xf numFmtId="0" fontId="14" fillId="0" borderId="6" xfId="6" applyFont="1" applyFill="1" applyBorder="1" applyAlignment="1">
      <alignment horizontal="center" vertical="center"/>
    </xf>
    <xf numFmtId="0" fontId="0" fillId="0" borderId="0" xfId="6" applyFont="1" applyFill="1">
      <alignment vertical="center"/>
    </xf>
    <xf numFmtId="0" fontId="9" fillId="0" borderId="25" xfId="6" applyNumberFormat="1" applyFont="1" applyFill="1" applyBorder="1" applyAlignment="1" applyProtection="1">
      <alignment horizontal="center" vertical="center" wrapText="1"/>
    </xf>
    <xf numFmtId="0" fontId="9" fillId="0" borderId="31" xfId="6" applyFont="1" applyFill="1" applyBorder="1" applyAlignment="1">
      <alignment horizontal="center" vertical="center"/>
    </xf>
    <xf numFmtId="0" fontId="8" fillId="0" borderId="20" xfId="6" applyFont="1" applyFill="1" applyBorder="1" applyAlignment="1">
      <alignment horizontal="center" vertical="center" wrapText="1"/>
    </xf>
    <xf numFmtId="0" fontId="14" fillId="0" borderId="20" xfId="6" applyFont="1" applyFill="1" applyBorder="1" applyAlignment="1">
      <alignment horizontal="center" vertical="center"/>
    </xf>
    <xf numFmtId="0" fontId="9" fillId="0" borderId="20" xfId="6" applyFont="1" applyFill="1" applyBorder="1" applyAlignment="1">
      <alignment horizontal="center" vertical="center"/>
    </xf>
    <xf numFmtId="0" fontId="1" fillId="0" borderId="0" xfId="6" applyFill="1" applyBorder="1">
      <alignment vertical="center"/>
    </xf>
    <xf numFmtId="0" fontId="8" fillId="0" borderId="3" xfId="6" applyNumberFormat="1" applyFont="1" applyFill="1" applyBorder="1" applyAlignment="1" applyProtection="1">
      <alignment horizontal="center" vertical="center" wrapText="1"/>
    </xf>
    <xf numFmtId="0" fontId="14" fillId="0" borderId="3" xfId="6" applyFont="1" applyFill="1" applyBorder="1" applyAlignment="1">
      <alignment horizontal="center" vertical="center" wrapText="1"/>
    </xf>
    <xf numFmtId="0" fontId="8" fillId="0" borderId="6" xfId="6" applyFont="1" applyFill="1" applyBorder="1" applyAlignment="1">
      <alignment horizontal="center" vertical="center" wrapText="1"/>
    </xf>
    <xf numFmtId="0" fontId="9" fillId="4" borderId="3" xfId="6" applyFont="1" applyFill="1" applyBorder="1" applyAlignment="1">
      <alignment horizontal="center" vertical="center" wrapText="1"/>
    </xf>
    <xf numFmtId="0" fontId="14" fillId="0" borderId="3" xfId="6" applyFont="1" applyFill="1" applyBorder="1" applyAlignment="1">
      <alignment horizontal="center" vertical="center"/>
    </xf>
    <xf numFmtId="0" fontId="8" fillId="0" borderId="7" xfId="6" applyNumberFormat="1" applyFont="1" applyFill="1" applyBorder="1" applyAlignment="1" applyProtection="1">
      <alignment horizontal="center" vertical="center" wrapText="1"/>
    </xf>
    <xf numFmtId="0" fontId="9" fillId="5" borderId="6" xfId="6" applyNumberFormat="1" applyFont="1" applyFill="1" applyBorder="1" applyAlignment="1" applyProtection="1">
      <alignment horizontal="center" vertical="center" wrapText="1"/>
    </xf>
    <xf numFmtId="0" fontId="9" fillId="0" borderId="7" xfId="6" applyFont="1" applyFill="1" applyBorder="1" applyAlignment="1">
      <alignment horizontal="center" vertical="center" wrapText="1"/>
    </xf>
    <xf numFmtId="0" fontId="4" fillId="0" borderId="25" xfId="6" applyNumberFormat="1" applyFont="1" applyFill="1" applyBorder="1" applyAlignment="1" applyProtection="1">
      <alignment horizontal="center" vertical="center" wrapText="1"/>
    </xf>
    <xf numFmtId="0" fontId="9" fillId="0" borderId="25" xfId="6" applyFont="1" applyFill="1" applyBorder="1" applyAlignment="1">
      <alignment horizontal="center" vertical="center" wrapText="1"/>
    </xf>
    <xf numFmtId="0" fontId="8" fillId="0" borderId="20" xfId="6" applyNumberFormat="1" applyFont="1" applyFill="1" applyBorder="1" applyAlignment="1" applyProtection="1">
      <alignment horizontal="center" vertical="center" wrapText="1"/>
    </xf>
    <xf numFmtId="0" fontId="14" fillId="0" borderId="18" xfId="6" applyFont="1" applyFill="1" applyBorder="1" applyAlignment="1">
      <alignment horizontal="center" vertical="center"/>
    </xf>
    <xf numFmtId="0" fontId="17" fillId="4" borderId="32" xfId="6" applyFont="1" applyFill="1" applyBorder="1" applyAlignment="1">
      <alignment horizontal="center" vertical="center" wrapText="1"/>
    </xf>
    <xf numFmtId="0" fontId="9" fillId="0" borderId="44" xfId="6" applyNumberFormat="1" applyFont="1" applyFill="1" applyBorder="1" applyAlignment="1" applyProtection="1">
      <alignment horizontal="center" vertical="center" wrapText="1"/>
    </xf>
    <xf numFmtId="0" fontId="9" fillId="0" borderId="6" xfId="6" applyNumberFormat="1" applyFont="1" applyFill="1" applyBorder="1" applyAlignment="1" applyProtection="1">
      <alignment horizontal="center" vertical="center"/>
    </xf>
    <xf numFmtId="0" fontId="17" fillId="4" borderId="3" xfId="6" applyFont="1" applyFill="1" applyBorder="1" applyAlignment="1">
      <alignment horizontal="center" vertical="center" wrapText="1"/>
    </xf>
    <xf numFmtId="0" fontId="17" fillId="4" borderId="25" xfId="6" applyFont="1" applyFill="1" applyBorder="1" applyAlignment="1">
      <alignment horizontal="center" vertical="center" wrapText="1"/>
    </xf>
    <xf numFmtId="0" fontId="5" fillId="0" borderId="32" xfId="6" applyFont="1" applyBorder="1" applyAlignment="1">
      <alignment horizontal="center" vertical="center"/>
    </xf>
    <xf numFmtId="0" fontId="4" fillId="0" borderId="33" xfId="6" applyNumberFormat="1" applyFont="1" applyFill="1" applyBorder="1" applyAlignment="1" applyProtection="1">
      <alignment horizontal="center" vertical="center" wrapText="1"/>
    </xf>
    <xf numFmtId="0" fontId="9" fillId="0" borderId="32" xfId="6" applyNumberFormat="1" applyFont="1" applyFill="1" applyBorder="1" applyAlignment="1" applyProtection="1">
      <alignment horizontal="center" vertical="center" wrapText="1"/>
    </xf>
    <xf numFmtId="0" fontId="9" fillId="0" borderId="33" xfId="6" applyFont="1" applyFill="1" applyBorder="1" applyAlignment="1">
      <alignment horizontal="center" vertical="center" wrapText="1"/>
    </xf>
    <xf numFmtId="0" fontId="14" fillId="0" borderId="6" xfId="6" applyFont="1" applyFill="1" applyBorder="1" applyAlignment="1">
      <alignment horizontal="center" vertical="center" wrapText="1"/>
    </xf>
    <xf numFmtId="0" fontId="5" fillId="0" borderId="6" xfId="6" applyNumberFormat="1" applyFont="1" applyFill="1" applyBorder="1" applyAlignment="1" applyProtection="1">
      <alignment horizontal="center" vertical="center"/>
    </xf>
    <xf numFmtId="0" fontId="8" fillId="0" borderId="33" xfId="6" applyFont="1" applyFill="1" applyBorder="1" applyAlignment="1">
      <alignment horizontal="center" vertical="center" wrapText="1"/>
    </xf>
    <xf numFmtId="0" fontId="9" fillId="0" borderId="0" xfId="6" applyFont="1" applyFill="1" applyBorder="1" applyAlignment="1">
      <alignment horizontal="center" vertical="center"/>
    </xf>
    <xf numFmtId="0" fontId="5" fillId="0" borderId="34" xfId="6" applyFont="1" applyBorder="1" applyAlignment="1">
      <alignment horizontal="center" vertical="center"/>
    </xf>
    <xf numFmtId="0" fontId="8" fillId="0" borderId="34" xfId="6" applyFont="1" applyFill="1" applyBorder="1" applyAlignment="1">
      <alignment horizontal="center" vertical="center" wrapText="1"/>
    </xf>
    <xf numFmtId="0" fontId="9" fillId="0" borderId="34" xfId="6" applyFont="1" applyFill="1" applyBorder="1" applyAlignment="1">
      <alignment horizontal="center" vertical="center" wrapText="1"/>
    </xf>
    <xf numFmtId="0" fontId="9" fillId="0" borderId="34" xfId="6" applyNumberFormat="1" applyFont="1" applyFill="1" applyBorder="1" applyAlignment="1" applyProtection="1">
      <alignment horizontal="center" vertical="center" wrapText="1"/>
    </xf>
    <xf numFmtId="0" fontId="9" fillId="0" borderId="34" xfId="6" applyFont="1" applyFill="1" applyBorder="1" applyAlignment="1">
      <alignment horizontal="center" vertical="center"/>
    </xf>
    <xf numFmtId="0" fontId="12" fillId="0" borderId="0" xfId="7" applyFont="1" applyFill="1" applyBorder="1" applyAlignment="1">
      <alignment horizontal="center" vertical="center" wrapText="1"/>
    </xf>
    <xf numFmtId="0" fontId="9" fillId="0" borderId="16" xfId="6" applyNumberFormat="1" applyFont="1" applyFill="1" applyBorder="1" applyAlignment="1" applyProtection="1">
      <alignment horizontal="center" vertical="center" wrapText="1"/>
    </xf>
    <xf numFmtId="0" fontId="14" fillId="0" borderId="6" xfId="6" applyNumberFormat="1" applyFont="1" applyFill="1" applyBorder="1" applyAlignment="1" applyProtection="1">
      <alignment horizontal="center" vertical="center" wrapText="1"/>
    </xf>
    <xf numFmtId="0" fontId="14" fillId="0" borderId="30" xfId="6" applyNumberFormat="1" applyFont="1" applyFill="1" applyBorder="1" applyAlignment="1" applyProtection="1">
      <alignment horizontal="center" vertical="center" wrapText="1"/>
    </xf>
    <xf numFmtId="0" fontId="5" fillId="0" borderId="25" xfId="6" applyFont="1" applyBorder="1" applyAlignment="1">
      <alignment horizontal="center" vertical="center"/>
    </xf>
    <xf numFmtId="0" fontId="20" fillId="6" borderId="25" xfId="6" applyFont="1" applyFill="1" applyBorder="1" applyAlignment="1">
      <alignment horizontal="center" vertical="center" wrapText="1"/>
    </xf>
    <xf numFmtId="0" fontId="9" fillId="0" borderId="25" xfId="6" applyFont="1" applyFill="1" applyBorder="1" applyAlignment="1">
      <alignment horizontal="center" vertical="center"/>
    </xf>
    <xf numFmtId="0" fontId="20" fillId="6" borderId="31" xfId="6" applyNumberFormat="1" applyFont="1" applyFill="1" applyBorder="1" applyAlignment="1" applyProtection="1">
      <alignment horizontal="center" vertical="center" wrapText="1"/>
    </xf>
    <xf numFmtId="0" fontId="1" fillId="0" borderId="35" xfId="6" applyBorder="1" applyAlignment="1">
      <alignment vertical="center"/>
    </xf>
    <xf numFmtId="0" fontId="1" fillId="0" borderId="0" xfId="6" applyBorder="1" applyAlignment="1">
      <alignment vertical="center"/>
    </xf>
    <xf numFmtId="0" fontId="21" fillId="0" borderId="0" xfId="6" applyFont="1">
      <alignment vertical="center"/>
    </xf>
    <xf numFmtId="0" fontId="0" fillId="0" borderId="0" xfId="6" applyFont="1" applyAlignment="1">
      <alignment vertical="center" wrapText="1"/>
    </xf>
    <xf numFmtId="0" fontId="1" fillId="0" borderId="0" xfId="7" applyFill="1" applyAlignment="1">
      <alignment horizontal="center" vertical="center"/>
    </xf>
    <xf numFmtId="0" fontId="1" fillId="0" borderId="0" xfId="6" applyAlignment="1">
      <alignment vertical="center"/>
    </xf>
    <xf numFmtId="0" fontId="5" fillId="2" borderId="39" xfId="6" applyNumberFormat="1" applyFont="1" applyFill="1" applyBorder="1" applyAlignment="1" applyProtection="1">
      <alignment horizontal="center" vertical="center" wrapText="1"/>
    </xf>
    <xf numFmtId="0" fontId="5" fillId="2" borderId="40" xfId="6" applyNumberFormat="1" applyFont="1" applyFill="1" applyBorder="1" applyAlignment="1" applyProtection="1">
      <alignment horizontal="center" vertical="center" wrapText="1"/>
    </xf>
    <xf numFmtId="0" fontId="6" fillId="2" borderId="40" xfId="6" applyNumberFormat="1" applyFont="1" applyFill="1" applyBorder="1" applyAlignment="1" applyProtection="1">
      <alignment horizontal="center" vertical="center"/>
    </xf>
    <xf numFmtId="0" fontId="5" fillId="2" borderId="41" xfId="6" applyNumberFormat="1" applyFont="1" applyFill="1" applyBorder="1" applyAlignment="1" applyProtection="1">
      <alignment horizontal="center" vertical="center" wrapText="1"/>
    </xf>
    <xf numFmtId="0" fontId="1" fillId="0" borderId="0" xfId="7" applyAlignment="1">
      <alignment horizontal="center" vertical="center"/>
    </xf>
    <xf numFmtId="0" fontId="0" fillId="0" borderId="0" xfId="6" applyFont="1" applyFill="1" applyAlignment="1">
      <alignment vertical="center" wrapText="1"/>
    </xf>
    <xf numFmtId="0" fontId="1" fillId="0" borderId="0" xfId="6" applyFill="1" applyAlignment="1">
      <alignment vertical="center"/>
    </xf>
    <xf numFmtId="0" fontId="9" fillId="4" borderId="42" xfId="6" applyFont="1" applyFill="1" applyBorder="1" applyAlignment="1">
      <alignment horizontal="center" vertical="center" wrapText="1"/>
    </xf>
    <xf numFmtId="0" fontId="9" fillId="4" borderId="3" xfId="6" applyNumberFormat="1" applyFont="1" applyFill="1" applyBorder="1" applyAlignment="1" applyProtection="1">
      <alignment horizontal="center" vertical="center" wrapText="1"/>
    </xf>
    <xf numFmtId="0" fontId="9" fillId="0" borderId="43" xfId="6" applyNumberFormat="1" applyFont="1" applyFill="1" applyBorder="1" applyAlignment="1" applyProtection="1">
      <alignment horizontal="center" vertical="center" wrapText="1"/>
    </xf>
    <xf numFmtId="0" fontId="18" fillId="4" borderId="3" xfId="6" applyFont="1" applyFill="1" applyBorder="1" applyAlignment="1">
      <alignment horizontal="center" vertical="center" wrapText="1"/>
    </xf>
    <xf numFmtId="0" fontId="9" fillId="4" borderId="43" xfId="6" applyFont="1" applyFill="1" applyBorder="1" applyAlignment="1">
      <alignment horizontal="center" vertical="center" wrapText="1"/>
    </xf>
    <xf numFmtId="0" fontId="9" fillId="0" borderId="44" xfId="6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/>
    </xf>
    <xf numFmtId="0" fontId="9" fillId="4" borderId="45" xfId="6" applyFont="1" applyFill="1" applyBorder="1" applyAlignment="1">
      <alignment horizontal="center" vertical="center" wrapText="1"/>
    </xf>
    <xf numFmtId="0" fontId="9" fillId="4" borderId="46" xfId="6" applyFont="1" applyFill="1" applyBorder="1" applyAlignment="1">
      <alignment horizontal="center" vertical="center" wrapText="1"/>
    </xf>
    <xf numFmtId="0" fontId="14" fillId="0" borderId="46" xfId="6" applyFont="1" applyFill="1" applyBorder="1" applyAlignment="1">
      <alignment horizontal="center" vertical="center" wrapText="1"/>
    </xf>
    <xf numFmtId="0" fontId="9" fillId="0" borderId="46" xfId="6" applyFont="1" applyFill="1" applyBorder="1" applyAlignment="1">
      <alignment horizontal="center" vertical="center" wrapText="1"/>
    </xf>
    <xf numFmtId="0" fontId="14" fillId="4" borderId="47" xfId="6" applyFont="1" applyFill="1" applyBorder="1" applyAlignment="1">
      <alignment horizontal="center" vertical="center" wrapText="1"/>
    </xf>
    <xf numFmtId="0" fontId="1" fillId="0" borderId="0" xfId="6" applyAlignment="1">
      <alignment vertical="center" wrapText="1"/>
    </xf>
    <xf numFmtId="0" fontId="22" fillId="0" borderId="0" xfId="6" applyFont="1" applyFill="1" applyBorder="1" applyAlignment="1">
      <alignment vertical="center" wrapText="1"/>
    </xf>
    <xf numFmtId="0" fontId="14" fillId="0" borderId="39" xfId="6" applyFont="1" applyBorder="1" applyAlignment="1">
      <alignment vertical="center" wrapText="1"/>
    </xf>
    <xf numFmtId="0" fontId="30" fillId="2" borderId="84" xfId="6" applyNumberFormat="1" applyFont="1" applyFill="1" applyBorder="1" applyAlignment="1" applyProtection="1">
      <alignment horizontal="center" vertical="center" wrapText="1"/>
    </xf>
    <xf numFmtId="0" fontId="30" fillId="2" borderId="57" xfId="6" applyNumberFormat="1" applyFont="1" applyFill="1" applyBorder="1" applyAlignment="1" applyProtection="1">
      <alignment horizontal="center" vertical="center" wrapText="1"/>
    </xf>
    <xf numFmtId="0" fontId="9" fillId="2" borderId="57" xfId="6" applyNumberFormat="1" applyFont="1" applyFill="1" applyBorder="1" applyAlignment="1" applyProtection="1">
      <alignment horizontal="center" vertical="center"/>
    </xf>
    <xf numFmtId="0" fontId="30" fillId="2" borderId="83" xfId="6" applyNumberFormat="1" applyFont="1" applyFill="1" applyBorder="1" applyAlignment="1" applyProtection="1">
      <alignment horizontal="center" vertical="center" wrapText="1"/>
    </xf>
    <xf numFmtId="0" fontId="30" fillId="2" borderId="58" xfId="7" applyNumberFormat="1" applyFont="1" applyFill="1" applyBorder="1" applyAlignment="1" applyProtection="1">
      <alignment horizontal="center" vertical="center" wrapText="1"/>
    </xf>
    <xf numFmtId="0" fontId="14" fillId="0" borderId="42" xfId="6" applyFont="1" applyBorder="1" applyAlignment="1">
      <alignment horizontal="center" vertical="center" wrapText="1"/>
    </xf>
    <xf numFmtId="0" fontId="14" fillId="0" borderId="44" xfId="6" applyFont="1" applyFill="1" applyBorder="1" applyAlignment="1">
      <alignment horizontal="center" vertical="center" wrapText="1"/>
    </xf>
    <xf numFmtId="0" fontId="14" fillId="0" borderId="81" xfId="7" applyFont="1" applyFill="1" applyBorder="1" applyAlignment="1">
      <alignment horizontal="center" vertical="center"/>
    </xf>
    <xf numFmtId="0" fontId="14" fillId="0" borderId="80" xfId="6" applyFont="1" applyBorder="1" applyAlignment="1">
      <alignment horizontal="center" vertical="center" wrapText="1"/>
    </xf>
    <xf numFmtId="0" fontId="14" fillId="0" borderId="13" xfId="6" applyFont="1" applyBorder="1" applyAlignment="1">
      <alignment horizontal="center" vertical="center"/>
    </xf>
    <xf numFmtId="0" fontId="14" fillId="0" borderId="3" xfId="6" applyFont="1" applyBorder="1" applyAlignment="1">
      <alignment horizontal="center" vertical="center"/>
    </xf>
    <xf numFmtId="0" fontId="14" fillId="0" borderId="43" xfId="7" applyFont="1" applyFill="1" applyBorder="1" applyAlignment="1">
      <alignment horizontal="center" vertical="center"/>
    </xf>
    <xf numFmtId="0" fontId="14" fillId="0" borderId="82" xfId="6" applyFont="1" applyBorder="1" applyAlignment="1">
      <alignment horizontal="center" vertical="center" wrapText="1"/>
    </xf>
    <xf numFmtId="0" fontId="14" fillId="0" borderId="43" xfId="7" applyFont="1" applyFill="1" applyBorder="1" applyAlignment="1">
      <alignment horizontal="center" vertical="center" wrapText="1"/>
    </xf>
    <xf numFmtId="0" fontId="14" fillId="0" borderId="45" xfId="6" applyFont="1" applyBorder="1" applyAlignment="1">
      <alignment horizontal="center" vertical="center" wrapText="1"/>
    </xf>
    <xf numFmtId="0" fontId="14" fillId="0" borderId="79" xfId="6" applyFont="1" applyBorder="1">
      <alignment vertical="center"/>
    </xf>
    <xf numFmtId="0" fontId="14" fillId="0" borderId="46" xfId="6" applyFont="1" applyBorder="1">
      <alignment vertical="center"/>
    </xf>
    <xf numFmtId="0" fontId="14" fillId="0" borderId="46" xfId="6" applyFont="1" applyFill="1" applyBorder="1" applyAlignment="1">
      <alignment horizontal="center" vertical="center"/>
    </xf>
    <xf numFmtId="0" fontId="9" fillId="0" borderId="46" xfId="6" applyFont="1" applyBorder="1">
      <alignment vertical="center"/>
    </xf>
    <xf numFmtId="0" fontId="14" fillId="0" borderId="47" xfId="7" applyFont="1" applyFill="1" applyBorder="1" applyAlignment="1">
      <alignment horizontal="center" vertical="center"/>
    </xf>
    <xf numFmtId="0" fontId="4" fillId="0" borderId="13" xfId="6" applyNumberFormat="1" applyFont="1" applyFill="1" applyBorder="1" applyAlignment="1" applyProtection="1">
      <alignment horizontal="center" vertical="center" wrapText="1"/>
    </xf>
    <xf numFmtId="0" fontId="8" fillId="0" borderId="44" xfId="6" applyFont="1" applyFill="1" applyBorder="1" applyAlignment="1">
      <alignment horizontal="center" vertical="center" wrapText="1"/>
    </xf>
    <xf numFmtId="0" fontId="34" fillId="4" borderId="46" xfId="6" applyFont="1" applyFill="1" applyBorder="1" applyAlignment="1">
      <alignment horizontal="center" vertical="center" wrapText="1"/>
    </xf>
    <xf numFmtId="0" fontId="14" fillId="0" borderId="7" xfId="2" applyFont="1" applyFill="1" applyBorder="1" applyAlignment="1">
      <alignment horizontal="center" vertical="center" wrapText="1"/>
    </xf>
    <xf numFmtId="0" fontId="14" fillId="0" borderId="3" xfId="6" applyNumberFormat="1" applyFont="1" applyFill="1" applyBorder="1" applyAlignment="1" applyProtection="1">
      <alignment horizontal="center" vertical="center" wrapText="1"/>
    </xf>
    <xf numFmtId="0" fontId="9" fillId="3" borderId="46" xfId="6" applyFont="1" applyFill="1" applyBorder="1" applyAlignment="1">
      <alignment horizontal="center" vertical="center" wrapText="1"/>
    </xf>
    <xf numFmtId="0" fontId="9" fillId="3" borderId="3" xfId="6" applyNumberFormat="1" applyFont="1" applyFill="1" applyBorder="1" applyAlignment="1" applyProtection="1">
      <alignment horizontal="center" vertical="center" wrapText="1"/>
    </xf>
    <xf numFmtId="0" fontId="14" fillId="0" borderId="88" xfId="6" applyFont="1" applyBorder="1" applyAlignment="1">
      <alignment vertical="center" wrapText="1"/>
    </xf>
    <xf numFmtId="0" fontId="0" fillId="0" borderId="42" xfId="6" applyFont="1" applyBorder="1" applyAlignment="1">
      <alignment horizontal="center" vertical="center" wrapText="1"/>
    </xf>
    <xf numFmtId="0" fontId="1" fillId="0" borderId="3" xfId="6" applyBorder="1">
      <alignment vertical="center"/>
    </xf>
    <xf numFmtId="0" fontId="21" fillId="0" borderId="3" xfId="6" applyFont="1" applyBorder="1">
      <alignment vertical="center"/>
    </xf>
    <xf numFmtId="0" fontId="1" fillId="0" borderId="43" xfId="7" applyFill="1" applyBorder="1" applyAlignment="1">
      <alignment horizontal="center" vertical="center"/>
    </xf>
    <xf numFmtId="0" fontId="1" fillId="0" borderId="45" xfId="6" applyBorder="1" applyAlignment="1">
      <alignment vertical="center" wrapText="1"/>
    </xf>
    <xf numFmtId="0" fontId="1" fillId="0" borderId="46" xfId="6" applyBorder="1">
      <alignment vertical="center"/>
    </xf>
    <xf numFmtId="0" fontId="21" fillId="0" borderId="46" xfId="6" applyFont="1" applyBorder="1">
      <alignment vertical="center"/>
    </xf>
    <xf numFmtId="0" fontId="1" fillId="0" borderId="47" xfId="7" applyFill="1" applyBorder="1" applyAlignment="1">
      <alignment horizontal="center" vertical="center"/>
    </xf>
    <xf numFmtId="0" fontId="18" fillId="0" borderId="3" xfId="6" applyFont="1" applyFill="1" applyBorder="1" applyAlignment="1">
      <alignment horizontal="center" vertical="center"/>
    </xf>
    <xf numFmtId="0" fontId="9" fillId="0" borderId="0" xfId="6" applyFont="1" applyFill="1" applyAlignment="1">
      <alignment horizontal="center" vertical="center"/>
    </xf>
    <xf numFmtId="0" fontId="33" fillId="0" borderId="46" xfId="6" applyFont="1" applyFill="1" applyBorder="1" applyAlignment="1">
      <alignment horizontal="center" vertical="center" wrapText="1"/>
    </xf>
    <xf numFmtId="0" fontId="0" fillId="0" borderId="3" xfId="6" applyFont="1" applyFill="1" applyBorder="1" applyAlignment="1">
      <alignment horizontal="center" vertical="center"/>
    </xf>
    <xf numFmtId="0" fontId="1" fillId="0" borderId="3" xfId="6" applyFill="1" applyBorder="1">
      <alignment vertical="center"/>
    </xf>
    <xf numFmtId="0" fontId="0" fillId="0" borderId="46" xfId="6" applyFont="1" applyFill="1" applyBorder="1" applyAlignment="1">
      <alignment horizontal="center" vertical="center"/>
    </xf>
    <xf numFmtId="0" fontId="9" fillId="3" borderId="6" xfId="6" applyNumberFormat="1" applyFont="1" applyFill="1" applyBorder="1" applyAlignment="1" applyProtection="1">
      <alignment horizontal="center" vertical="center" wrapText="1"/>
    </xf>
    <xf numFmtId="0" fontId="17" fillId="0" borderId="3" xfId="6" applyFont="1" applyFill="1" applyBorder="1" applyAlignment="1">
      <alignment horizontal="center" vertical="center" wrapText="1"/>
    </xf>
    <xf numFmtId="0" fontId="17" fillId="0" borderId="25" xfId="6" applyFont="1" applyFill="1" applyBorder="1" applyAlignment="1">
      <alignment horizontal="center" vertical="center" wrapText="1"/>
    </xf>
    <xf numFmtId="0" fontId="14" fillId="3" borderId="6" xfId="6" applyFont="1" applyFill="1" applyBorder="1" applyAlignment="1">
      <alignment horizontal="center" vertical="center" wrapText="1"/>
    </xf>
    <xf numFmtId="0" fontId="14" fillId="0" borderId="13" xfId="6" applyFont="1" applyFill="1" applyBorder="1" applyAlignment="1">
      <alignment horizontal="center" vertical="center"/>
    </xf>
    <xf numFmtId="0" fontId="9" fillId="3" borderId="25" xfId="6" applyNumberFormat="1" applyFont="1" applyFill="1" applyBorder="1" applyAlignment="1" applyProtection="1">
      <alignment horizontal="center" vertical="center" wrapText="1"/>
    </xf>
    <xf numFmtId="0" fontId="9" fillId="3" borderId="20" xfId="6" applyFont="1" applyFill="1" applyBorder="1" applyAlignment="1">
      <alignment horizontal="center" vertical="center" wrapText="1"/>
    </xf>
    <xf numFmtId="0" fontId="9" fillId="3" borderId="6" xfId="6" applyFont="1" applyFill="1" applyBorder="1" applyAlignment="1">
      <alignment horizontal="center" vertical="center"/>
    </xf>
    <xf numFmtId="0" fontId="0" fillId="0" borderId="46" xfId="6" applyFont="1" applyFill="1" applyBorder="1">
      <alignment vertical="center"/>
    </xf>
    <xf numFmtId="0" fontId="16" fillId="0" borderId="35" xfId="6" applyFont="1" applyFill="1" applyBorder="1" applyAlignment="1">
      <alignment horizontal="left" vertical="center" wrapText="1"/>
    </xf>
    <xf numFmtId="0" fontId="9" fillId="3" borderId="6" xfId="6" applyFont="1" applyFill="1" applyBorder="1" applyAlignment="1">
      <alignment horizontal="center" vertical="center" wrapText="1"/>
    </xf>
    <xf numFmtId="0" fontId="9" fillId="3" borderId="20" xfId="6" applyNumberFormat="1" applyFont="1" applyFill="1" applyBorder="1" applyAlignment="1" applyProtection="1">
      <alignment horizontal="center" vertical="center" wrapText="1"/>
    </xf>
    <xf numFmtId="0" fontId="14" fillId="0" borderId="25" xfId="6" applyFont="1" applyFill="1" applyBorder="1" applyAlignment="1">
      <alignment horizontal="center" vertical="center"/>
    </xf>
    <xf numFmtId="0" fontId="4" fillId="0" borderId="20" xfId="6" applyNumberFormat="1" applyFont="1" applyFill="1" applyBorder="1" applyAlignment="1" applyProtection="1">
      <alignment horizontal="center" vertical="center" wrapText="1"/>
    </xf>
    <xf numFmtId="0" fontId="9" fillId="3" borderId="20" xfId="6" applyFont="1" applyFill="1" applyBorder="1" applyAlignment="1">
      <alignment horizontal="center" vertical="center"/>
    </xf>
    <xf numFmtId="0" fontId="9" fillId="3" borderId="16" xfId="6" applyNumberFormat="1" applyFont="1" applyFill="1" applyBorder="1" applyAlignment="1" applyProtection="1">
      <alignment horizontal="center" vertical="center" wrapText="1"/>
    </xf>
    <xf numFmtId="0" fontId="14" fillId="3" borderId="20" xfId="6" applyNumberFormat="1" applyFont="1" applyFill="1" applyBorder="1" applyAlignment="1" applyProtection="1">
      <alignment horizontal="center" vertical="center" wrapText="1"/>
    </xf>
    <xf numFmtId="0" fontId="9" fillId="3" borderId="43" xfId="6" applyFont="1" applyFill="1" applyBorder="1" applyAlignment="1">
      <alignment horizontal="center" vertical="center" wrapText="1"/>
    </xf>
    <xf numFmtId="0" fontId="16" fillId="0" borderId="35" xfId="6" applyFont="1" applyFill="1" applyBorder="1" applyAlignment="1">
      <alignment horizontal="left" vertical="center" wrapText="1"/>
    </xf>
    <xf numFmtId="0" fontId="9" fillId="5" borderId="3" xfId="6" applyFont="1" applyFill="1" applyBorder="1" applyAlignment="1">
      <alignment horizontal="center" vertical="center" wrapText="1"/>
    </xf>
    <xf numFmtId="0" fontId="9" fillId="0" borderId="89" xfId="6" applyFont="1" applyFill="1" applyBorder="1" applyAlignment="1">
      <alignment horizontal="center" vertical="center" wrapText="1"/>
    </xf>
    <xf numFmtId="0" fontId="9" fillId="4" borderId="25" xfId="6" applyFont="1" applyFill="1" applyBorder="1" applyAlignment="1">
      <alignment horizontal="center" vertical="center" wrapText="1"/>
    </xf>
    <xf numFmtId="0" fontId="14" fillId="0" borderId="32" xfId="6" applyFont="1" applyFill="1" applyBorder="1" applyAlignment="1">
      <alignment horizontal="center" vertical="center"/>
    </xf>
    <xf numFmtId="0" fontId="14" fillId="3" borderId="13" xfId="6" applyFont="1" applyFill="1" applyBorder="1" applyAlignment="1">
      <alignment horizontal="center" vertical="center" wrapText="1"/>
    </xf>
    <xf numFmtId="0" fontId="14" fillId="3" borderId="31" xfId="6" applyFont="1" applyFill="1" applyBorder="1" applyAlignment="1">
      <alignment horizontal="center" vertical="center"/>
    </xf>
    <xf numFmtId="0" fontId="14" fillId="3" borderId="20" xfId="6" applyFont="1" applyFill="1" applyBorder="1" applyAlignment="1">
      <alignment horizontal="center" vertical="center"/>
    </xf>
    <xf numFmtId="0" fontId="9" fillId="3" borderId="25" xfId="6" applyFont="1" applyFill="1" applyBorder="1" applyAlignment="1">
      <alignment horizontal="center" vertical="center" wrapText="1"/>
    </xf>
    <xf numFmtId="0" fontId="14" fillId="3" borderId="13" xfId="6" applyNumberFormat="1" applyFont="1" applyFill="1" applyBorder="1" applyAlignment="1" applyProtection="1">
      <alignment horizontal="center" vertical="center" wrapText="1"/>
    </xf>
    <xf numFmtId="0" fontId="14" fillId="3" borderId="30" xfId="6" applyNumberFormat="1" applyFont="1" applyFill="1" applyBorder="1" applyAlignment="1" applyProtection="1">
      <alignment horizontal="center" vertical="center" wrapText="1"/>
    </xf>
    <xf numFmtId="0" fontId="4" fillId="0" borderId="3" xfId="6" applyNumberFormat="1" applyFont="1" applyFill="1" applyBorder="1" applyAlignment="1" applyProtection="1">
      <alignment horizontal="center" vertical="center" wrapText="1"/>
    </xf>
    <xf numFmtId="0" fontId="4" fillId="0" borderId="85" xfId="6" applyNumberFormat="1" applyFont="1" applyFill="1" applyBorder="1" applyAlignment="1" applyProtection="1">
      <alignment horizontal="center" vertical="center" wrapText="1"/>
    </xf>
    <xf numFmtId="0" fontId="8" fillId="0" borderId="25" xfId="6" applyNumberFormat="1" applyFont="1" applyFill="1" applyBorder="1" applyAlignment="1" applyProtection="1">
      <alignment horizontal="center" vertical="center" wrapText="1"/>
    </xf>
    <xf numFmtId="0" fontId="8" fillId="7" borderId="33" xfId="6" applyFont="1" applyFill="1" applyBorder="1" applyAlignment="1">
      <alignment horizontal="center" vertical="center" wrapText="1"/>
    </xf>
    <xf numFmtId="0" fontId="4" fillId="7" borderId="20" xfId="6" applyNumberFormat="1" applyFont="1" applyFill="1" applyBorder="1" applyAlignment="1" applyProtection="1">
      <alignment horizontal="center" vertical="center" wrapText="1"/>
    </xf>
    <xf numFmtId="0" fontId="36" fillId="7" borderId="25" xfId="6" applyNumberFormat="1" applyFont="1" applyFill="1" applyBorder="1" applyAlignment="1" applyProtection="1">
      <alignment horizontal="center" vertical="center" wrapText="1"/>
    </xf>
    <xf numFmtId="0" fontId="36" fillId="7" borderId="25" xfId="2" applyFont="1" applyFill="1" applyBorder="1" applyAlignment="1">
      <alignment horizontal="center" vertical="center" wrapText="1"/>
    </xf>
    <xf numFmtId="0" fontId="36" fillId="7" borderId="31" xfId="6" applyFont="1" applyFill="1" applyBorder="1" applyAlignment="1">
      <alignment horizontal="center" vertical="center"/>
    </xf>
    <xf numFmtId="0" fontId="36" fillId="7" borderId="20" xfId="6" applyFont="1" applyFill="1" applyBorder="1" applyAlignment="1">
      <alignment horizontal="center" vertical="center" wrapText="1"/>
    </xf>
    <xf numFmtId="0" fontId="36" fillId="7" borderId="25" xfId="6" applyFont="1" applyFill="1" applyBorder="1" applyAlignment="1">
      <alignment horizontal="center" vertical="center" wrapText="1"/>
    </xf>
    <xf numFmtId="0" fontId="36" fillId="7" borderId="6" xfId="6" applyNumberFormat="1" applyFont="1" applyFill="1" applyBorder="1" applyAlignment="1" applyProtection="1">
      <alignment horizontal="center" vertical="center" wrapText="1"/>
    </xf>
    <xf numFmtId="0" fontId="36" fillId="7" borderId="25" xfId="6" applyFont="1" applyFill="1" applyBorder="1" applyAlignment="1">
      <alignment horizontal="center" vertical="center"/>
    </xf>
    <xf numFmtId="0" fontId="36" fillId="7" borderId="0" xfId="6" applyFont="1" applyFill="1" applyBorder="1" applyAlignment="1">
      <alignment horizontal="center" vertical="center"/>
    </xf>
    <xf numFmtId="0" fontId="36" fillId="7" borderId="3" xfId="6" applyNumberFormat="1" applyFont="1" applyFill="1" applyBorder="1" applyAlignment="1" applyProtection="1">
      <alignment horizontal="center" vertical="center" wrapText="1"/>
    </xf>
    <xf numFmtId="0" fontId="36" fillId="0" borderId="6" xfId="6" applyNumberFormat="1" applyFont="1" applyFill="1" applyBorder="1" applyAlignment="1" applyProtection="1">
      <alignment horizontal="center" vertical="center" wrapText="1"/>
    </xf>
    <xf numFmtId="0" fontId="36" fillId="0" borderId="6" xfId="6" applyFont="1" applyFill="1" applyBorder="1" applyAlignment="1">
      <alignment horizontal="center" vertical="center" wrapText="1"/>
    </xf>
    <xf numFmtId="0" fontId="36" fillId="0" borderId="6" xfId="2" applyFont="1" applyFill="1" applyBorder="1" applyAlignment="1">
      <alignment horizontal="center" vertical="center" wrapText="1"/>
    </xf>
    <xf numFmtId="0" fontId="36" fillId="0" borderId="89" xfId="6" applyFont="1" applyFill="1" applyBorder="1" applyAlignment="1">
      <alignment horizontal="center" vertical="center" wrapText="1"/>
    </xf>
    <xf numFmtId="0" fontId="36" fillId="8" borderId="3" xfId="6" applyFont="1" applyFill="1" applyBorder="1" applyAlignment="1">
      <alignment horizontal="center" vertical="center" wrapText="1"/>
    </xf>
    <xf numFmtId="0" fontId="14" fillId="3" borderId="3" xfId="6" applyNumberFormat="1" applyFont="1" applyFill="1" applyBorder="1" applyAlignment="1" applyProtection="1">
      <alignment horizontal="center" vertical="center" wrapText="1"/>
    </xf>
    <xf numFmtId="0" fontId="37" fillId="0" borderId="3" xfId="6" applyNumberFormat="1" applyFont="1" applyFill="1" applyBorder="1" applyAlignment="1" applyProtection="1">
      <alignment horizontal="center" vertical="center" wrapText="1"/>
    </xf>
    <xf numFmtId="0" fontId="36" fillId="0" borderId="3" xfId="6" applyNumberFormat="1" applyFont="1" applyFill="1" applyBorder="1" applyAlignment="1" applyProtection="1">
      <alignment horizontal="center" vertical="center" wrapText="1"/>
    </xf>
    <xf numFmtId="0" fontId="36" fillId="0" borderId="3" xfId="6" applyFont="1" applyFill="1" applyBorder="1" applyAlignment="1">
      <alignment horizontal="center" vertical="center"/>
    </xf>
    <xf numFmtId="0" fontId="36" fillId="0" borderId="20" xfId="6" applyNumberFormat="1" applyFont="1" applyFill="1" applyBorder="1" applyAlignment="1" applyProtection="1">
      <alignment horizontal="center" vertical="center" wrapText="1"/>
    </xf>
    <xf numFmtId="0" fontId="16" fillId="0" borderId="35" xfId="6" applyFont="1" applyFill="1" applyBorder="1" applyAlignment="1">
      <alignment horizontal="left" vertical="center" wrapText="1"/>
    </xf>
    <xf numFmtId="0" fontId="14" fillId="0" borderId="13" xfId="6" applyNumberFormat="1" applyFont="1" applyFill="1" applyBorder="1" applyAlignment="1" applyProtection="1">
      <alignment horizontal="center" vertical="center" wrapText="1"/>
    </xf>
    <xf numFmtId="0" fontId="14" fillId="0" borderId="31" xfId="6" applyFont="1" applyFill="1" applyBorder="1" applyAlignment="1">
      <alignment horizontal="center" vertical="center"/>
    </xf>
    <xf numFmtId="0" fontId="14" fillId="0" borderId="20" xfId="6" applyNumberFormat="1" applyFont="1" applyFill="1" applyBorder="1" applyAlignment="1" applyProtection="1">
      <alignment horizontal="center" vertical="center" wrapText="1"/>
    </xf>
    <xf numFmtId="0" fontId="18" fillId="0" borderId="3" xfId="6" applyFont="1" applyFill="1" applyBorder="1" applyAlignment="1">
      <alignment horizontal="center" vertical="center" wrapText="1"/>
    </xf>
    <xf numFmtId="0" fontId="9" fillId="0" borderId="43" xfId="6" applyFont="1" applyFill="1" applyBorder="1" applyAlignment="1">
      <alignment horizontal="center" vertical="center" wrapText="1"/>
    </xf>
    <xf numFmtId="0" fontId="14" fillId="0" borderId="47" xfId="6" applyFont="1" applyFill="1" applyBorder="1" applyAlignment="1">
      <alignment horizontal="center" vertical="center" wrapText="1"/>
    </xf>
    <xf numFmtId="0" fontId="14" fillId="0" borderId="13" xfId="6" applyFont="1" applyFill="1" applyBorder="1" applyAlignment="1">
      <alignment horizontal="center" vertical="center" wrapText="1"/>
    </xf>
    <xf numFmtId="0" fontId="9" fillId="3" borderId="13" xfId="6" applyNumberFormat="1" applyFont="1" applyFill="1" applyBorder="1" applyAlignment="1" applyProtection="1">
      <alignment horizontal="center" vertical="center" wrapText="1"/>
    </xf>
    <xf numFmtId="0" fontId="8" fillId="7" borderId="20" xfId="6" applyFont="1" applyFill="1" applyBorder="1" applyAlignment="1">
      <alignment horizontal="center" vertical="center" wrapText="1"/>
    </xf>
    <xf numFmtId="0" fontId="36" fillId="7" borderId="20" xfId="6" applyFont="1" applyFill="1" applyBorder="1" applyAlignment="1">
      <alignment horizontal="center" vertical="center"/>
    </xf>
    <xf numFmtId="0" fontId="36" fillId="7" borderId="20" xfId="6" applyNumberFormat="1" applyFont="1" applyFill="1" applyBorder="1" applyAlignment="1" applyProtection="1">
      <alignment horizontal="center" vertical="center" wrapText="1"/>
    </xf>
    <xf numFmtId="0" fontId="36" fillId="7" borderId="34" xfId="6" applyNumberFormat="1" applyFont="1" applyFill="1" applyBorder="1" applyAlignment="1" applyProtection="1">
      <alignment horizontal="center" vertical="center" wrapText="1"/>
    </xf>
    <xf numFmtId="0" fontId="36" fillId="8" borderId="32" xfId="6" applyNumberFormat="1" applyFont="1" applyFill="1" applyBorder="1" applyAlignment="1" applyProtection="1">
      <alignment horizontal="center" vertical="center" wrapText="1"/>
    </xf>
    <xf numFmtId="0" fontId="14" fillId="3" borderId="6" xfId="6" applyFont="1" applyFill="1" applyBorder="1" applyAlignment="1">
      <alignment horizontal="center" vertical="center"/>
    </xf>
    <xf numFmtId="0" fontId="36" fillId="0" borderId="3" xfId="6" applyFont="1" applyFill="1" applyBorder="1" applyAlignment="1">
      <alignment horizontal="center" vertical="center" wrapText="1"/>
    </xf>
    <xf numFmtId="0" fontId="16" fillId="0" borderId="35" xfId="6" applyFont="1" applyFill="1" applyBorder="1" applyAlignment="1">
      <alignment horizontal="left" vertical="center" wrapText="1"/>
    </xf>
    <xf numFmtId="0" fontId="9" fillId="3" borderId="3" xfId="2" applyFont="1" applyFill="1" applyBorder="1" applyAlignment="1">
      <alignment horizontal="center" vertical="center" wrapText="1"/>
    </xf>
    <xf numFmtId="0" fontId="31" fillId="0" borderId="48" xfId="6" applyFont="1" applyFill="1" applyBorder="1" applyAlignment="1">
      <alignment horizontal="left" vertical="center" wrapText="1"/>
    </xf>
    <xf numFmtId="0" fontId="31" fillId="0" borderId="12" xfId="6" applyFont="1" applyFill="1" applyBorder="1" applyAlignment="1">
      <alignment horizontal="left" vertical="center" wrapText="1"/>
    </xf>
    <xf numFmtId="0" fontId="31" fillId="0" borderId="49" xfId="6" applyFont="1" applyFill="1" applyBorder="1" applyAlignment="1">
      <alignment horizontal="left" vertical="center" wrapText="1"/>
    </xf>
    <xf numFmtId="0" fontId="31" fillId="0" borderId="50" xfId="6" applyFont="1" applyFill="1" applyBorder="1" applyAlignment="1">
      <alignment horizontal="left" vertical="center" wrapText="1"/>
    </xf>
    <xf numFmtId="0" fontId="31" fillId="0" borderId="0" xfId="6" applyFont="1" applyFill="1" applyBorder="1" applyAlignment="1">
      <alignment horizontal="left" vertical="center" wrapText="1"/>
    </xf>
    <xf numFmtId="0" fontId="31" fillId="0" borderId="51" xfId="6" applyFont="1" applyFill="1" applyBorder="1" applyAlignment="1">
      <alignment horizontal="left" vertical="center" wrapText="1"/>
    </xf>
    <xf numFmtId="0" fontId="31" fillId="0" borderId="52" xfId="6" applyFont="1" applyFill="1" applyBorder="1" applyAlignment="1">
      <alignment horizontal="left" vertical="center" wrapText="1"/>
    </xf>
    <xf numFmtId="0" fontId="31" fillId="0" borderId="26" xfId="6" applyFont="1" applyFill="1" applyBorder="1" applyAlignment="1">
      <alignment horizontal="left" vertical="center" wrapText="1"/>
    </xf>
    <xf numFmtId="0" fontId="31" fillId="0" borderId="53" xfId="6" applyFont="1" applyFill="1" applyBorder="1" applyAlignment="1">
      <alignment horizontal="left" vertical="center" wrapText="1"/>
    </xf>
    <xf numFmtId="0" fontId="13" fillId="0" borderId="36" xfId="10" applyFont="1" applyBorder="1" applyAlignment="1">
      <alignment horizontal="left" vertical="center" wrapText="1"/>
    </xf>
    <xf numFmtId="0" fontId="13" fillId="0" borderId="37" xfId="10" applyFont="1" applyBorder="1" applyAlignment="1">
      <alignment horizontal="left" vertical="center" wrapText="1"/>
    </xf>
    <xf numFmtId="0" fontId="13" fillId="0" borderId="38" xfId="10" applyFont="1" applyBorder="1" applyAlignment="1">
      <alignment horizontal="left" vertical="center" wrapText="1"/>
    </xf>
    <xf numFmtId="0" fontId="15" fillId="4" borderId="2" xfId="6" applyNumberFormat="1" applyFont="1" applyFill="1" applyBorder="1" applyAlignment="1" applyProtection="1">
      <alignment horizontal="center" vertical="center" wrapText="1"/>
    </xf>
    <xf numFmtId="0" fontId="15" fillId="4" borderId="11" xfId="6" applyNumberFormat="1" applyFont="1" applyFill="1" applyBorder="1" applyAlignment="1" applyProtection="1">
      <alignment horizontal="center" vertical="center" wrapText="1"/>
    </xf>
    <xf numFmtId="0" fontId="5" fillId="0" borderId="16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0" fontId="8" fillId="0" borderId="16" xfId="2" applyNumberFormat="1" applyFont="1" applyFill="1" applyBorder="1" applyAlignment="1" applyProtection="1">
      <alignment horizontal="center" vertical="center" wrapText="1"/>
    </xf>
    <xf numFmtId="0" fontId="8" fillId="0" borderId="6" xfId="2" applyNumberFormat="1" applyFont="1" applyFill="1" applyBorder="1" applyAlignment="1" applyProtection="1">
      <alignment horizontal="center" vertical="center" wrapText="1"/>
    </xf>
    <xf numFmtId="0" fontId="8" fillId="0" borderId="23" xfId="2" applyNumberFormat="1" applyFont="1" applyFill="1" applyBorder="1" applyAlignment="1" applyProtection="1">
      <alignment horizontal="center" vertical="center" wrapText="1"/>
    </xf>
    <xf numFmtId="0" fontId="8" fillId="0" borderId="24" xfId="2" applyNumberFormat="1" applyFont="1" applyFill="1" applyBorder="1" applyAlignment="1" applyProtection="1">
      <alignment horizontal="center" vertical="center" wrapText="1"/>
    </xf>
    <xf numFmtId="0" fontId="8" fillId="0" borderId="2" xfId="2" applyNumberFormat="1" applyFont="1" applyFill="1" applyBorder="1" applyAlignment="1" applyProtection="1">
      <alignment horizontal="center" vertical="center" wrapText="1"/>
    </xf>
    <xf numFmtId="0" fontId="8" fillId="0" borderId="11" xfId="2" applyNumberFormat="1" applyFont="1" applyFill="1" applyBorder="1" applyAlignment="1" applyProtection="1">
      <alignment horizontal="center" vertical="center" wrapText="1"/>
    </xf>
    <xf numFmtId="0" fontId="8" fillId="0" borderId="21" xfId="2" applyNumberFormat="1" applyFont="1" applyFill="1" applyBorder="1" applyAlignment="1" applyProtection="1">
      <alignment horizontal="center" vertical="center" wrapText="1"/>
    </xf>
    <xf numFmtId="0" fontId="8" fillId="0" borderId="22" xfId="2" applyNumberFormat="1" applyFont="1" applyFill="1" applyBorder="1" applyAlignment="1" applyProtection="1">
      <alignment horizontal="center" vertical="center" wrapText="1"/>
    </xf>
    <xf numFmtId="0" fontId="16" fillId="0" borderId="65" xfId="6" applyFont="1" applyFill="1" applyBorder="1" applyAlignment="1">
      <alignment horizontal="left" vertical="center" wrapText="1"/>
    </xf>
    <xf numFmtId="0" fontId="16" fillId="0" borderId="35" xfId="6" applyFont="1" applyFill="1" applyBorder="1" applyAlignment="1">
      <alignment horizontal="left" vertical="center" wrapText="1"/>
    </xf>
    <xf numFmtId="0" fontId="16" fillId="0" borderId="66" xfId="6" applyFont="1" applyFill="1" applyBorder="1" applyAlignment="1">
      <alignment horizontal="left" vertical="center" wrapText="1"/>
    </xf>
    <xf numFmtId="0" fontId="16" fillId="0" borderId="14" xfId="6" applyFont="1" applyFill="1" applyBorder="1" applyAlignment="1">
      <alignment horizontal="left" vertical="center" wrapText="1"/>
    </xf>
    <xf numFmtId="0" fontId="16" fillId="0" borderId="0" xfId="6" applyFont="1" applyFill="1" applyBorder="1" applyAlignment="1">
      <alignment horizontal="left" vertical="center" wrapText="1"/>
    </xf>
    <xf numFmtId="0" fontId="16" fillId="0" borderId="15" xfId="6" applyFont="1" applyFill="1" applyBorder="1" applyAlignment="1">
      <alignment horizontal="left" vertical="center" wrapText="1"/>
    </xf>
    <xf numFmtId="0" fontId="16" fillId="0" borderId="17" xfId="6" applyFont="1" applyFill="1" applyBorder="1" applyAlignment="1">
      <alignment horizontal="left" vertical="center" wrapText="1"/>
    </xf>
    <xf numFmtId="0" fontId="16" fillId="0" borderId="18" xfId="6" applyFont="1" applyFill="1" applyBorder="1" applyAlignment="1">
      <alignment horizontal="left" vertical="center" wrapText="1"/>
    </xf>
    <xf numFmtId="0" fontId="16" fillId="0" borderId="19" xfId="6" applyFont="1" applyFill="1" applyBorder="1" applyAlignment="1">
      <alignment horizontal="left" vertical="center" wrapText="1"/>
    </xf>
    <xf numFmtId="0" fontId="17" fillId="0" borderId="87" xfId="6" applyFont="1" applyFill="1" applyBorder="1" applyAlignment="1">
      <alignment horizontal="center" vertical="center" wrapText="1"/>
    </xf>
    <xf numFmtId="0" fontId="17" fillId="0" borderId="86" xfId="6" applyFont="1" applyFill="1" applyBorder="1" applyAlignment="1">
      <alignment horizontal="center" vertical="center" wrapText="1"/>
    </xf>
    <xf numFmtId="0" fontId="17" fillId="4" borderId="23" xfId="6" applyFont="1" applyFill="1" applyBorder="1" applyAlignment="1">
      <alignment horizontal="center" vertical="center" wrapText="1"/>
    </xf>
    <xf numFmtId="0" fontId="17" fillId="4" borderId="24" xfId="6" applyFont="1" applyFill="1" applyBorder="1" applyAlignment="1">
      <alignment horizontal="center" vertical="center" wrapText="1"/>
    </xf>
    <xf numFmtId="0" fontId="17" fillId="4" borderId="2" xfId="6" applyFont="1" applyFill="1" applyBorder="1" applyAlignment="1">
      <alignment horizontal="center" vertical="center" wrapText="1"/>
    </xf>
    <xf numFmtId="0" fontId="17" fillId="4" borderId="11" xfId="6" applyFont="1" applyFill="1" applyBorder="1" applyAlignment="1">
      <alignment horizontal="center" vertical="center" wrapText="1"/>
    </xf>
    <xf numFmtId="0" fontId="17" fillId="4" borderId="21" xfId="6" applyFont="1" applyFill="1" applyBorder="1" applyAlignment="1">
      <alignment horizontal="center" vertical="center" wrapText="1"/>
    </xf>
    <xf numFmtId="0" fontId="17" fillId="4" borderId="22" xfId="6" applyFont="1" applyFill="1" applyBorder="1" applyAlignment="1">
      <alignment horizontal="center" vertical="center" wrapText="1"/>
    </xf>
    <xf numFmtId="0" fontId="17" fillId="4" borderId="87" xfId="6" applyFont="1" applyFill="1" applyBorder="1" applyAlignment="1">
      <alignment horizontal="center" vertical="center" wrapText="1"/>
    </xf>
    <xf numFmtId="0" fontId="17" fillId="4" borderId="86" xfId="6" applyFont="1" applyFill="1" applyBorder="1" applyAlignment="1">
      <alignment horizontal="center" vertical="center" wrapText="1"/>
    </xf>
    <xf numFmtId="0" fontId="13" fillId="0" borderId="65" xfId="10" applyFont="1" applyBorder="1" applyAlignment="1">
      <alignment horizontal="left" vertical="top" wrapText="1"/>
    </xf>
    <xf numFmtId="0" fontId="13" fillId="0" borderId="35" xfId="10" applyFont="1" applyBorder="1" applyAlignment="1">
      <alignment horizontal="left" vertical="top" wrapText="1"/>
    </xf>
    <xf numFmtId="0" fontId="13" fillId="0" borderId="66" xfId="10" applyFont="1" applyBorder="1" applyAlignment="1">
      <alignment horizontal="left" vertical="top" wrapText="1"/>
    </xf>
    <xf numFmtId="0" fontId="13" fillId="0" borderId="14" xfId="10" applyFont="1" applyBorder="1" applyAlignment="1">
      <alignment horizontal="left" vertical="top" wrapText="1"/>
    </xf>
    <xf numFmtId="0" fontId="13" fillId="0" borderId="0" xfId="10" applyFont="1" applyBorder="1" applyAlignment="1">
      <alignment horizontal="left" vertical="top" wrapText="1"/>
    </xf>
    <xf numFmtId="0" fontId="13" fillId="0" borderId="15" xfId="10" applyFont="1" applyBorder="1" applyAlignment="1">
      <alignment horizontal="left" vertical="top" wrapText="1"/>
    </xf>
    <xf numFmtId="0" fontId="13" fillId="0" borderId="17" xfId="10" applyFont="1" applyBorder="1" applyAlignment="1">
      <alignment horizontal="left" vertical="top" wrapText="1"/>
    </xf>
    <xf numFmtId="0" fontId="13" fillId="0" borderId="18" xfId="10" applyFont="1" applyBorder="1" applyAlignment="1">
      <alignment horizontal="left" vertical="top" wrapText="1"/>
    </xf>
    <xf numFmtId="0" fontId="13" fillId="0" borderId="19" xfId="10" applyFont="1" applyBorder="1" applyAlignment="1">
      <alignment horizontal="left" vertical="top" wrapText="1"/>
    </xf>
    <xf numFmtId="0" fontId="16" fillId="0" borderId="14" xfId="10" applyFont="1" applyBorder="1" applyAlignment="1">
      <alignment horizontal="left" vertical="center" wrapText="1"/>
    </xf>
    <xf numFmtId="0" fontId="16" fillId="0" borderId="0" xfId="10" applyFont="1" applyBorder="1" applyAlignment="1">
      <alignment horizontal="left" vertical="center" wrapText="1"/>
    </xf>
    <xf numFmtId="0" fontId="16" fillId="0" borderId="15" xfId="10" applyFont="1" applyBorder="1" applyAlignment="1">
      <alignment horizontal="left" vertical="center" wrapText="1"/>
    </xf>
    <xf numFmtId="0" fontId="16" fillId="0" borderId="17" xfId="10" applyFont="1" applyBorder="1" applyAlignment="1">
      <alignment horizontal="left" vertical="center" wrapText="1"/>
    </xf>
    <xf numFmtId="0" fontId="16" fillId="0" borderId="18" xfId="10" applyFont="1" applyBorder="1" applyAlignment="1">
      <alignment horizontal="left" vertical="center" wrapText="1"/>
    </xf>
    <xf numFmtId="0" fontId="16" fillId="0" borderId="19" xfId="10" applyFont="1" applyBorder="1" applyAlignment="1">
      <alignment horizontal="left" vertical="center" wrapText="1"/>
    </xf>
    <xf numFmtId="0" fontId="13" fillId="0" borderId="17" xfId="10" applyFont="1" applyBorder="1" applyAlignment="1">
      <alignment vertical="center" wrapText="1"/>
    </xf>
    <xf numFmtId="0" fontId="13" fillId="0" borderId="18" xfId="10" applyFont="1" applyBorder="1" applyAlignment="1">
      <alignment vertical="center" wrapText="1"/>
    </xf>
    <xf numFmtId="0" fontId="13" fillId="0" borderId="19" xfId="10" applyFont="1" applyBorder="1" applyAlignment="1">
      <alignment vertical="center" wrapText="1"/>
    </xf>
    <xf numFmtId="0" fontId="16" fillId="0" borderId="65" xfId="10" applyFont="1" applyBorder="1" applyAlignment="1">
      <alignment horizontal="left" vertical="center" wrapText="1"/>
    </xf>
    <xf numFmtId="0" fontId="16" fillId="0" borderId="35" xfId="10" applyFont="1" applyBorder="1" applyAlignment="1">
      <alignment horizontal="left" vertical="center" wrapText="1"/>
    </xf>
    <xf numFmtId="0" fontId="16" fillId="0" borderId="66" xfId="10" applyFont="1" applyBorder="1" applyAlignment="1">
      <alignment horizontal="left" vertical="center" wrapText="1"/>
    </xf>
    <xf numFmtId="0" fontId="9" fillId="0" borderId="23" xfId="6" applyNumberFormat="1" applyFont="1" applyFill="1" applyBorder="1" applyAlignment="1" applyProtection="1">
      <alignment horizontal="center" vertical="center" wrapText="1"/>
    </xf>
    <xf numFmtId="0" fontId="9" fillId="0" borderId="24" xfId="6" applyNumberFormat="1" applyFont="1" applyFill="1" applyBorder="1" applyAlignment="1" applyProtection="1">
      <alignment horizontal="center" vertical="center" wrapText="1"/>
    </xf>
    <xf numFmtId="0" fontId="9" fillId="0" borderId="2" xfId="6" applyNumberFormat="1" applyFont="1" applyFill="1" applyBorder="1" applyAlignment="1" applyProtection="1">
      <alignment horizontal="center" vertical="center" wrapText="1"/>
    </xf>
    <xf numFmtId="0" fontId="9" fillId="0" borderId="11" xfId="6" applyNumberFormat="1" applyFont="1" applyFill="1" applyBorder="1" applyAlignment="1" applyProtection="1">
      <alignment horizontal="center" vertical="center" wrapText="1"/>
    </xf>
    <xf numFmtId="0" fontId="9" fillId="0" borderId="21" xfId="6" applyNumberFormat="1" applyFont="1" applyFill="1" applyBorder="1" applyAlignment="1" applyProtection="1">
      <alignment horizontal="center" vertical="center" wrapText="1"/>
    </xf>
    <xf numFmtId="0" fontId="9" fillId="0" borderId="22" xfId="6" applyNumberFormat="1" applyFont="1" applyFill="1" applyBorder="1" applyAlignment="1" applyProtection="1">
      <alignment horizontal="center" vertical="center" wrapText="1"/>
    </xf>
    <xf numFmtId="0" fontId="9" fillId="0" borderId="23" xfId="6" applyFont="1" applyFill="1" applyBorder="1" applyAlignment="1">
      <alignment horizontal="center" vertical="center" wrapText="1"/>
    </xf>
    <xf numFmtId="0" fontId="9" fillId="0" borderId="24" xfId="6" applyFont="1" applyFill="1" applyBorder="1" applyAlignment="1">
      <alignment horizontal="center" vertical="center" wrapText="1"/>
    </xf>
    <xf numFmtId="0" fontId="9" fillId="0" borderId="2" xfId="6" applyFont="1" applyFill="1" applyBorder="1" applyAlignment="1">
      <alignment horizontal="center" vertical="center" wrapText="1"/>
    </xf>
    <xf numFmtId="0" fontId="9" fillId="0" borderId="11" xfId="6" applyFont="1" applyFill="1" applyBorder="1" applyAlignment="1">
      <alignment horizontal="center" vertical="center" wrapText="1"/>
    </xf>
    <xf numFmtId="0" fontId="9" fillId="0" borderId="21" xfId="6" applyFont="1" applyFill="1" applyBorder="1" applyAlignment="1">
      <alignment horizontal="center" vertical="center" wrapText="1"/>
    </xf>
    <xf numFmtId="0" fontId="9" fillId="0" borderId="22" xfId="6" applyFont="1" applyFill="1" applyBorder="1" applyAlignment="1">
      <alignment horizontal="center" vertical="center" wrapText="1"/>
    </xf>
    <xf numFmtId="0" fontId="2" fillId="0" borderId="1" xfId="6" applyNumberFormat="1" applyFont="1" applyFill="1" applyBorder="1" applyAlignment="1" applyProtection="1">
      <alignment horizontal="center" vertical="center"/>
    </xf>
    <xf numFmtId="0" fontId="4" fillId="0" borderId="1" xfId="6" applyNumberFormat="1" applyFont="1" applyFill="1" applyBorder="1" applyAlignment="1" applyProtection="1">
      <alignment horizontal="center" vertical="center"/>
    </xf>
    <xf numFmtId="0" fontId="2" fillId="0" borderId="3" xfId="6" applyNumberFormat="1" applyFont="1" applyFill="1" applyBorder="1" applyAlignment="1" applyProtection="1">
      <alignment horizontal="center" vertical="center"/>
    </xf>
    <xf numFmtId="0" fontId="4" fillId="0" borderId="3" xfId="6" applyNumberFormat="1" applyFont="1" applyFill="1" applyBorder="1" applyAlignment="1" applyProtection="1">
      <alignment horizontal="center" vertical="center"/>
    </xf>
    <xf numFmtId="0" fontId="13" fillId="0" borderId="59" xfId="10" applyFont="1" applyBorder="1" applyAlignment="1">
      <alignment horizontal="left" vertical="center" wrapText="1"/>
    </xf>
    <xf numFmtId="0" fontId="13" fillId="0" borderId="60" xfId="10" applyFont="1" applyBorder="1" applyAlignment="1">
      <alignment horizontal="left" vertical="center" wrapText="1"/>
    </xf>
    <xf numFmtId="0" fontId="13" fillId="0" borderId="61" xfId="10" applyFont="1" applyBorder="1" applyAlignment="1">
      <alignment horizontal="left" vertical="center" wrapText="1"/>
    </xf>
    <xf numFmtId="0" fontId="8" fillId="0" borderId="4" xfId="6" applyFont="1" applyFill="1" applyBorder="1" applyAlignment="1">
      <alignment horizontal="center" vertical="center" wrapText="1"/>
    </xf>
    <xf numFmtId="0" fontId="8" fillId="0" borderId="5" xfId="6" applyFont="1" applyFill="1" applyBorder="1" applyAlignment="1">
      <alignment horizontal="center" vertical="center" wrapText="1"/>
    </xf>
    <xf numFmtId="0" fontId="8" fillId="0" borderId="2" xfId="6" applyFont="1" applyFill="1" applyBorder="1" applyAlignment="1">
      <alignment horizontal="center" vertical="center" wrapText="1"/>
    </xf>
    <xf numFmtId="0" fontId="8" fillId="0" borderId="11" xfId="6" applyFont="1" applyFill="1" applyBorder="1" applyAlignment="1">
      <alignment horizontal="center" vertical="center" wrapText="1"/>
    </xf>
    <xf numFmtId="0" fontId="8" fillId="0" borderId="21" xfId="6" applyFont="1" applyFill="1" applyBorder="1" applyAlignment="1">
      <alignment horizontal="center" vertical="center" wrapText="1"/>
    </xf>
    <xf numFmtId="0" fontId="8" fillId="0" borderId="22" xfId="6" applyFont="1" applyFill="1" applyBorder="1" applyAlignment="1">
      <alignment horizontal="center" vertical="center" wrapText="1"/>
    </xf>
    <xf numFmtId="0" fontId="13" fillId="0" borderId="35" xfId="10" applyFont="1" applyBorder="1" applyAlignment="1">
      <alignment horizontal="left" vertical="center" wrapText="1"/>
    </xf>
    <xf numFmtId="0" fontId="13" fillId="0" borderId="66" xfId="10" applyFont="1" applyBorder="1" applyAlignment="1">
      <alignment horizontal="left" vertical="center" wrapText="1"/>
    </xf>
    <xf numFmtId="0" fontId="13" fillId="0" borderId="14" xfId="10" applyFont="1" applyBorder="1" applyAlignment="1">
      <alignment horizontal="left" vertical="center" wrapText="1"/>
    </xf>
    <xf numFmtId="0" fontId="13" fillId="0" borderId="0" xfId="10" applyFont="1" applyBorder="1" applyAlignment="1">
      <alignment horizontal="left" vertical="center" wrapText="1"/>
    </xf>
    <xf numFmtId="0" fontId="13" fillId="0" borderId="15" xfId="10" applyFont="1" applyBorder="1" applyAlignment="1">
      <alignment horizontal="left" vertical="center" wrapText="1"/>
    </xf>
    <xf numFmtId="0" fontId="13" fillId="0" borderId="17" xfId="10" applyFont="1" applyBorder="1" applyAlignment="1">
      <alignment horizontal="left" vertical="center" wrapText="1"/>
    </xf>
    <xf numFmtId="0" fontId="13" fillId="0" borderId="18" xfId="10" applyFont="1" applyBorder="1" applyAlignment="1">
      <alignment horizontal="left" vertical="center" wrapText="1"/>
    </xf>
    <xf numFmtId="0" fontId="13" fillId="0" borderId="19" xfId="10" applyFont="1" applyBorder="1" applyAlignment="1">
      <alignment horizontal="left" vertical="center" wrapText="1"/>
    </xf>
    <xf numFmtId="0" fontId="24" fillId="0" borderId="59" xfId="0" applyFont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0" fontId="24" fillId="0" borderId="61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63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64" xfId="0" applyFont="1" applyBorder="1" applyAlignment="1">
      <alignment horizontal="center" vertical="center"/>
    </xf>
    <xf numFmtId="0" fontId="26" fillId="0" borderId="62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left" vertical="center" wrapText="1"/>
    </xf>
    <xf numFmtId="0" fontId="27" fillId="0" borderId="35" xfId="0" applyFont="1" applyBorder="1" applyAlignment="1">
      <alignment horizontal="left" vertical="center" wrapText="1"/>
    </xf>
    <xf numFmtId="0" fontId="27" fillId="0" borderId="66" xfId="0" applyFont="1" applyBorder="1" applyAlignment="1">
      <alignment horizontal="left" vertical="center" wrapText="1"/>
    </xf>
    <xf numFmtId="0" fontId="23" fillId="0" borderId="62" xfId="0" applyFont="1" applyBorder="1" applyAlignment="1">
      <alignment vertical="center" wrapText="1"/>
    </xf>
    <xf numFmtId="0" fontId="23" fillId="0" borderId="9" xfId="0" applyFont="1" applyBorder="1" applyAlignment="1">
      <alignment vertical="center" wrapText="1"/>
    </xf>
    <xf numFmtId="0" fontId="23" fillId="0" borderId="10" xfId="0" applyFont="1" applyBorder="1" applyAlignment="1">
      <alignment vertical="center" wrapText="1"/>
    </xf>
    <xf numFmtId="0" fontId="23" fillId="0" borderId="67" xfId="0" applyFont="1" applyBorder="1" applyAlignment="1">
      <alignment vertical="center" wrapText="1"/>
    </xf>
    <xf numFmtId="0" fontId="23" fillId="0" borderId="54" xfId="0" applyFont="1" applyBorder="1" applyAlignment="1">
      <alignment vertical="center" wrapText="1"/>
    </xf>
    <xf numFmtId="0" fontId="23" fillId="0" borderId="68" xfId="0" applyFont="1" applyBorder="1" applyAlignment="1">
      <alignment vertical="center" wrapText="1"/>
    </xf>
    <xf numFmtId="0" fontId="23" fillId="0" borderId="69" xfId="0" applyFont="1" applyBorder="1" applyAlignment="1">
      <alignment vertical="center" wrapText="1"/>
    </xf>
    <xf numFmtId="0" fontId="23" fillId="0" borderId="70" xfId="0" applyFont="1" applyBorder="1" applyAlignment="1">
      <alignment vertical="center" wrapText="1"/>
    </xf>
    <xf numFmtId="0" fontId="23" fillId="0" borderId="71" xfId="0" applyFont="1" applyBorder="1" applyAlignment="1">
      <alignment vertical="center" wrapText="1"/>
    </xf>
    <xf numFmtId="0" fontId="27" fillId="0" borderId="14" xfId="0" applyFont="1" applyBorder="1" applyAlignment="1">
      <alignment vertical="center" wrapText="1"/>
    </xf>
    <xf numFmtId="0" fontId="27" fillId="0" borderId="0" xfId="0" applyFont="1" applyBorder="1" applyAlignment="1">
      <alignment vertical="center" wrapText="1"/>
    </xf>
    <xf numFmtId="0" fontId="27" fillId="0" borderId="15" xfId="0" applyFont="1" applyBorder="1" applyAlignment="1">
      <alignment vertical="center" wrapText="1"/>
    </xf>
    <xf numFmtId="0" fontId="27" fillId="0" borderId="0" xfId="0" applyFont="1" applyBorder="1" applyAlignment="1">
      <alignment vertical="center"/>
    </xf>
    <xf numFmtId="0" fontId="27" fillId="0" borderId="15" xfId="0" applyFont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27" fillId="0" borderId="17" xfId="0" applyFont="1" applyBorder="1" applyAlignment="1">
      <alignment vertical="center"/>
    </xf>
    <xf numFmtId="0" fontId="27" fillId="0" borderId="18" xfId="0" applyFont="1" applyBorder="1" applyAlignment="1">
      <alignment vertical="center"/>
    </xf>
    <xf numFmtId="0" fontId="27" fillId="0" borderId="19" xfId="0" applyFont="1" applyBorder="1" applyAlignment="1">
      <alignment vertical="center"/>
    </xf>
    <xf numFmtId="0" fontId="24" fillId="0" borderId="59" xfId="1" applyFont="1" applyFill="1" applyBorder="1" applyAlignment="1">
      <alignment horizontal="center" vertical="center" wrapText="1"/>
    </xf>
    <xf numFmtId="0" fontId="28" fillId="0" borderId="60" xfId="1" applyFont="1" applyFill="1" applyBorder="1" applyAlignment="1">
      <alignment horizontal="center" vertical="center" wrapText="1"/>
    </xf>
    <xf numFmtId="0" fontId="28" fillId="0" borderId="72" xfId="1" applyFont="1" applyFill="1" applyBorder="1" applyAlignment="1">
      <alignment horizontal="center" vertical="center" wrapText="1"/>
    </xf>
    <xf numFmtId="0" fontId="28" fillId="0" borderId="61" xfId="1" applyFont="1" applyFill="1" applyBorder="1" applyAlignment="1">
      <alignment horizontal="center" vertical="center" wrapText="1"/>
    </xf>
    <xf numFmtId="0" fontId="29" fillId="0" borderId="8" xfId="1" applyFont="1" applyFill="1" applyBorder="1" applyAlignment="1">
      <alignment horizontal="center" vertical="center" wrapText="1"/>
    </xf>
    <xf numFmtId="0" fontId="29" fillId="0" borderId="27" xfId="1" applyFont="1" applyFill="1" applyBorder="1" applyAlignment="1">
      <alignment horizontal="center" vertical="center" wrapText="1"/>
    </xf>
    <xf numFmtId="0" fontId="29" fillId="0" borderId="74" xfId="1" applyFont="1" applyFill="1" applyBorder="1" applyAlignment="1">
      <alignment horizontal="center" vertical="center" wrapText="1"/>
    </xf>
    <xf numFmtId="0" fontId="29" fillId="0" borderId="9" xfId="1" applyFont="1" applyFill="1" applyBorder="1" applyAlignment="1">
      <alignment horizontal="left" vertical="center" wrapText="1"/>
    </xf>
    <xf numFmtId="0" fontId="29" fillId="0" borderId="9" xfId="1" applyFont="1" applyFill="1" applyBorder="1" applyAlignment="1">
      <alignment horizontal="left" vertical="center"/>
    </xf>
    <xf numFmtId="0" fontId="29" fillId="0" borderId="28" xfId="1" applyFont="1" applyFill="1" applyBorder="1" applyAlignment="1">
      <alignment horizontal="left" vertical="center" wrapText="1"/>
    </xf>
    <xf numFmtId="0" fontId="29" fillId="0" borderId="28" xfId="1" applyFont="1" applyFill="1" applyBorder="1" applyAlignment="1">
      <alignment horizontal="left" vertical="center"/>
    </xf>
    <xf numFmtId="0" fontId="29" fillId="0" borderId="54" xfId="1" applyFont="1" applyFill="1" applyBorder="1" applyAlignment="1">
      <alignment horizontal="left" vertical="center"/>
    </xf>
    <xf numFmtId="0" fontId="29" fillId="0" borderId="9" xfId="1" applyFont="1" applyFill="1" applyBorder="1" applyAlignment="1">
      <alignment horizontal="center" vertical="center"/>
    </xf>
    <xf numFmtId="0" fontId="29" fillId="0" borderId="28" xfId="1" applyFont="1" applyFill="1" applyBorder="1" applyAlignment="1">
      <alignment horizontal="center" vertical="center"/>
    </xf>
    <xf numFmtId="0" fontId="29" fillId="0" borderId="54" xfId="1" applyFont="1" applyFill="1" applyBorder="1" applyAlignment="1">
      <alignment horizontal="center" vertical="center"/>
    </xf>
    <xf numFmtId="0" fontId="29" fillId="0" borderId="9" xfId="1" applyFont="1" applyFill="1" applyBorder="1" applyAlignment="1">
      <alignment horizontal="center" vertical="center" wrapText="1"/>
    </xf>
    <xf numFmtId="0" fontId="29" fillId="0" borderId="28" xfId="1" applyFont="1" applyFill="1" applyBorder="1" applyAlignment="1">
      <alignment horizontal="center" vertical="center" wrapText="1"/>
    </xf>
    <xf numFmtId="0" fontId="29" fillId="0" borderId="73" xfId="1" applyFont="1" applyFill="1" applyBorder="1" applyAlignment="1">
      <alignment horizontal="center" vertical="center"/>
    </xf>
    <xf numFmtId="0" fontId="29" fillId="0" borderId="10" xfId="1" applyFont="1" applyFill="1" applyBorder="1" applyAlignment="1">
      <alignment horizontal="center" vertical="center"/>
    </xf>
    <xf numFmtId="0" fontId="29" fillId="0" borderId="52" xfId="1" applyFont="1" applyFill="1" applyBorder="1" applyAlignment="1">
      <alignment horizontal="center" vertical="center"/>
    </xf>
    <xf numFmtId="0" fontId="29" fillId="0" borderId="29" xfId="1" applyFont="1" applyFill="1" applyBorder="1" applyAlignment="1">
      <alignment horizontal="center" vertical="center"/>
    </xf>
    <xf numFmtId="0" fontId="29" fillId="0" borderId="56" xfId="1" applyFont="1" applyFill="1" applyBorder="1" applyAlignment="1">
      <alignment horizontal="center" vertical="center"/>
    </xf>
    <xf numFmtId="0" fontId="29" fillId="0" borderId="68" xfId="1" applyFont="1" applyFill="1" applyBorder="1" applyAlignment="1">
      <alignment horizontal="center" vertical="center"/>
    </xf>
    <xf numFmtId="0" fontId="29" fillId="0" borderId="74" xfId="1" applyFont="1" applyFill="1" applyBorder="1" applyAlignment="1">
      <alignment horizontal="center" vertical="center"/>
    </xf>
    <xf numFmtId="0" fontId="29" fillId="0" borderId="55" xfId="1" applyFont="1" applyFill="1" applyBorder="1" applyAlignment="1">
      <alignment horizontal="center" vertical="center"/>
    </xf>
    <xf numFmtId="0" fontId="29" fillId="0" borderId="70" xfId="1" applyFont="1" applyFill="1" applyBorder="1" applyAlignment="1">
      <alignment horizontal="center" vertical="center"/>
    </xf>
    <xf numFmtId="0" fontId="29" fillId="0" borderId="48" xfId="1" applyFont="1" applyFill="1" applyBorder="1" applyAlignment="1">
      <alignment horizontal="center" vertical="center"/>
    </xf>
    <xf numFmtId="0" fontId="29" fillId="0" borderId="64" xfId="1" applyFont="1" applyFill="1" applyBorder="1" applyAlignment="1">
      <alignment horizontal="center" vertical="center"/>
    </xf>
    <xf numFmtId="0" fontId="29" fillId="0" borderId="78" xfId="1" applyFont="1" applyFill="1" applyBorder="1" applyAlignment="1">
      <alignment horizontal="center" vertical="center"/>
    </xf>
    <xf numFmtId="0" fontId="29" fillId="0" borderId="71" xfId="1" applyFont="1" applyFill="1" applyBorder="1" applyAlignment="1">
      <alignment horizontal="center" vertical="center"/>
    </xf>
    <xf numFmtId="0" fontId="29" fillId="0" borderId="63" xfId="1" applyFont="1" applyFill="1" applyBorder="1" applyAlignment="1">
      <alignment horizontal="center" vertical="center"/>
    </xf>
    <xf numFmtId="0" fontId="29" fillId="0" borderId="76" xfId="1" applyFont="1" applyFill="1" applyBorder="1" applyAlignment="1">
      <alignment horizontal="center" vertical="center"/>
    </xf>
    <xf numFmtId="0" fontId="29" fillId="0" borderId="75" xfId="1" applyFont="1" applyFill="1" applyBorder="1" applyAlignment="1">
      <alignment horizontal="center" vertical="center"/>
    </xf>
    <xf numFmtId="0" fontId="29" fillId="0" borderId="77" xfId="1" applyFont="1" applyFill="1" applyBorder="1" applyAlignment="1">
      <alignment horizontal="center" vertical="center"/>
    </xf>
    <xf numFmtId="0" fontId="4" fillId="7" borderId="33" xfId="6" applyNumberFormat="1" applyFont="1" applyFill="1" applyBorder="1" applyAlignment="1" applyProtection="1">
      <alignment horizontal="center" vertical="center" wrapText="1"/>
    </xf>
    <xf numFmtId="0" fontId="36" fillId="7" borderId="6" xfId="2" applyFont="1" applyFill="1" applyBorder="1" applyAlignment="1">
      <alignment horizontal="center" vertical="center" wrapText="1"/>
    </xf>
    <xf numFmtId="0" fontId="36" fillId="7" borderId="6" xfId="6" applyFont="1" applyFill="1" applyBorder="1" applyAlignment="1">
      <alignment horizontal="center" vertical="center" wrapText="1"/>
    </xf>
    <xf numFmtId="0" fontId="36" fillId="7" borderId="89" xfId="6" applyFont="1" applyFill="1" applyBorder="1" applyAlignment="1">
      <alignment horizontal="center" vertical="center" wrapText="1"/>
    </xf>
    <xf numFmtId="0" fontId="36" fillId="7" borderId="33" xfId="6" applyFont="1" applyFill="1" applyBorder="1" applyAlignment="1">
      <alignment horizontal="center" vertical="center" wrapText="1"/>
    </xf>
    <xf numFmtId="0" fontId="36" fillId="7" borderId="21" xfId="6" applyFont="1" applyFill="1" applyBorder="1" applyAlignment="1">
      <alignment horizontal="center" vertical="center"/>
    </xf>
    <xf numFmtId="0" fontId="36" fillId="7" borderId="20" xfId="2" applyFont="1" applyFill="1" applyBorder="1" applyAlignment="1">
      <alignment horizontal="center" vertical="center"/>
    </xf>
    <xf numFmtId="0" fontId="4" fillId="7" borderId="25" xfId="6" applyNumberFormat="1" applyFont="1" applyFill="1" applyBorder="1" applyAlignment="1" applyProtection="1">
      <alignment horizontal="center" vertical="center" wrapText="1"/>
    </xf>
    <xf numFmtId="0" fontId="36" fillId="0" borderId="25" xfId="6" applyFont="1" applyFill="1" applyBorder="1" applyAlignment="1">
      <alignment horizontal="center" vertical="center"/>
    </xf>
    <xf numFmtId="0" fontId="36" fillId="0" borderId="0" xfId="6" applyFont="1" applyFill="1" applyBorder="1" applyAlignment="1">
      <alignment horizontal="center" vertical="center"/>
    </xf>
    <xf numFmtId="0" fontId="34" fillId="0" borderId="46" xfId="6" applyFont="1" applyFill="1" applyBorder="1" applyAlignment="1">
      <alignment horizontal="center" vertical="center" wrapText="1"/>
    </xf>
  </cellXfs>
  <cellStyles count="11">
    <cellStyle name="백분율 2" xfId="9"/>
    <cellStyle name="표준" xfId="0" builtinId="0"/>
    <cellStyle name="표준 2" xfId="1"/>
    <cellStyle name="표준 2 10" xfId="4"/>
    <cellStyle name="표준 2 10 17" xfId="8"/>
    <cellStyle name="표준 2 10 18" xfId="7"/>
    <cellStyle name="표준 2 10 20" xfId="6"/>
    <cellStyle name="표준 2 2" xfId="2"/>
    <cellStyle name="표준 2 3" xfId="3"/>
    <cellStyle name="표준 2 3 6" xfId="5"/>
    <cellStyle name="표준 2 3 6 20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63"/>
  <sheetViews>
    <sheetView topLeftCell="A2" zoomScale="85" zoomScaleNormal="85" workbookViewId="0">
      <selection activeCell="I53" sqref="I53"/>
    </sheetView>
  </sheetViews>
  <sheetFormatPr defaultRowHeight="16.5"/>
  <cols>
    <col min="1" max="1" width="3.25" style="14" customWidth="1"/>
    <col min="2" max="2" width="10" style="112" customWidth="1"/>
    <col min="3" max="4" width="11.875" style="112" customWidth="1"/>
    <col min="5" max="11" width="11.875" style="14" customWidth="1"/>
    <col min="12" max="12" width="2.625" style="89" customWidth="1"/>
    <col min="13" max="17" width="11.875" style="14" customWidth="1"/>
    <col min="18" max="18" width="11.875" style="91" customWidth="1"/>
    <col min="19" max="19" width="6.125" style="14" customWidth="1"/>
    <col min="20" max="25" width="8.125" style="14" customWidth="1"/>
    <col min="26" max="16384" width="9" style="14"/>
  </cols>
  <sheetData>
    <row r="1" spans="1:30" ht="16.5" hidden="1" customHeight="1">
      <c r="A1" s="304" t="s">
        <v>147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13"/>
    </row>
    <row r="2" spans="1:30" ht="18" customHeight="1">
      <c r="A2" s="306" t="s">
        <v>327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15"/>
      <c r="T2" s="16"/>
      <c r="U2" s="16"/>
      <c r="V2" s="16"/>
      <c r="W2" s="16"/>
      <c r="X2" s="16"/>
      <c r="Y2" s="16"/>
      <c r="AA2" s="16"/>
      <c r="AB2" s="16"/>
      <c r="AC2" s="16"/>
      <c r="AD2" s="16"/>
    </row>
    <row r="3" spans="1:30" ht="21" customHeight="1" thickBot="1">
      <c r="A3" s="17"/>
      <c r="B3" s="18" t="s">
        <v>146</v>
      </c>
      <c r="C3" s="19" t="s">
        <v>145</v>
      </c>
      <c r="D3" s="19" t="s">
        <v>144</v>
      </c>
      <c r="E3" s="19" t="s">
        <v>0</v>
      </c>
      <c r="F3" s="19" t="s">
        <v>1</v>
      </c>
      <c r="G3" s="19" t="s">
        <v>2</v>
      </c>
      <c r="H3" s="19" t="s">
        <v>3</v>
      </c>
      <c r="I3" s="19" t="s">
        <v>61</v>
      </c>
      <c r="J3" s="19" t="s">
        <v>60</v>
      </c>
      <c r="K3" s="19" t="s">
        <v>59</v>
      </c>
      <c r="L3" s="20" t="s">
        <v>4</v>
      </c>
      <c r="M3" s="19" t="s">
        <v>5</v>
      </c>
      <c r="N3" s="19" t="s">
        <v>6</v>
      </c>
      <c r="O3" s="19" t="s">
        <v>7</v>
      </c>
      <c r="P3" s="19" t="s">
        <v>8</v>
      </c>
      <c r="Q3" s="19" t="s">
        <v>9</v>
      </c>
      <c r="R3" s="21">
        <f>AVERAGE(R4:R32)</f>
        <v>0.98544973544973546</v>
      </c>
      <c r="S3" s="22"/>
      <c r="T3" s="16"/>
      <c r="U3" s="16"/>
      <c r="V3" s="16"/>
      <c r="W3" s="16"/>
      <c r="X3" s="16"/>
      <c r="Y3" s="16"/>
      <c r="Z3" s="23"/>
      <c r="AA3" s="16"/>
      <c r="AB3" s="16"/>
      <c r="AC3" s="16"/>
      <c r="AD3" s="16"/>
    </row>
    <row r="4" spans="1:30" s="16" customFormat="1" ht="27.95" customHeight="1" thickBot="1">
      <c r="A4" s="24">
        <v>1</v>
      </c>
      <c r="B4" s="25" t="s">
        <v>143</v>
      </c>
      <c r="C4" s="311"/>
      <c r="D4" s="312"/>
      <c r="E4" s="139" t="s">
        <v>254</v>
      </c>
      <c r="F4" s="211" t="s">
        <v>215</v>
      </c>
      <c r="G4" s="2" t="s">
        <v>109</v>
      </c>
      <c r="H4" s="27" t="s">
        <v>136</v>
      </c>
      <c r="I4" s="27" t="s">
        <v>296</v>
      </c>
      <c r="J4" s="28" t="s">
        <v>142</v>
      </c>
      <c r="K4" s="27" t="s">
        <v>141</v>
      </c>
      <c r="L4" s="29"/>
      <c r="M4" s="27" t="s">
        <v>67</v>
      </c>
      <c r="N4" s="26" t="s">
        <v>310</v>
      </c>
      <c r="O4" s="27" t="s">
        <v>173</v>
      </c>
      <c r="P4" s="30" t="s">
        <v>43</v>
      </c>
      <c r="Q4" s="1" t="s">
        <v>140</v>
      </c>
      <c r="R4" s="31">
        <f>(COUNTA(G4:Q4))/10</f>
        <v>1</v>
      </c>
      <c r="S4" s="22"/>
      <c r="T4" s="308" t="s">
        <v>340</v>
      </c>
      <c r="U4" s="309"/>
      <c r="V4" s="309"/>
      <c r="W4" s="309"/>
      <c r="X4" s="309"/>
      <c r="Y4" s="310"/>
    </row>
    <row r="5" spans="1:30" s="16" customFormat="1" ht="27.95" customHeight="1">
      <c r="A5" s="24">
        <v>2</v>
      </c>
      <c r="B5" s="36" t="s">
        <v>108</v>
      </c>
      <c r="C5" s="313"/>
      <c r="D5" s="314"/>
      <c r="E5" s="30" t="s">
        <v>66</v>
      </c>
      <c r="F5" s="23" t="s">
        <v>79</v>
      </c>
      <c r="G5" s="27" t="s">
        <v>107</v>
      </c>
      <c r="H5" s="29" t="s">
        <v>196</v>
      </c>
      <c r="I5" s="27" t="s">
        <v>128</v>
      </c>
      <c r="J5" s="27" t="s">
        <v>336</v>
      </c>
      <c r="K5" s="27" t="s">
        <v>110</v>
      </c>
      <c r="L5" s="28"/>
      <c r="M5" s="27" t="s">
        <v>252</v>
      </c>
      <c r="N5" s="41" t="s">
        <v>182</v>
      </c>
      <c r="O5" s="29" t="s">
        <v>315</v>
      </c>
      <c r="P5" s="26" t="s">
        <v>220</v>
      </c>
      <c r="Q5" s="26" t="s">
        <v>347</v>
      </c>
      <c r="R5" s="31">
        <f>(COUNTA(C5:Q5))/12</f>
        <v>1</v>
      </c>
      <c r="S5" s="22"/>
      <c r="T5" s="289" t="s">
        <v>443</v>
      </c>
      <c r="U5" s="317"/>
      <c r="V5" s="317"/>
      <c r="W5" s="317"/>
      <c r="X5" s="317"/>
      <c r="Y5" s="318"/>
    </row>
    <row r="6" spans="1:30" s="16" customFormat="1" ht="27.95" customHeight="1">
      <c r="A6" s="24">
        <v>3</v>
      </c>
      <c r="B6" s="51" t="s">
        <v>139</v>
      </c>
      <c r="C6" s="313"/>
      <c r="D6" s="314"/>
      <c r="E6" s="28" t="s">
        <v>129</v>
      </c>
      <c r="F6" s="30" t="s">
        <v>163</v>
      </c>
      <c r="G6" s="26" t="s">
        <v>138</v>
      </c>
      <c r="H6" s="30" t="s">
        <v>324</v>
      </c>
      <c r="I6" s="30" t="s">
        <v>137</v>
      </c>
      <c r="J6" s="27" t="s">
        <v>255</v>
      </c>
      <c r="K6" s="26" t="s">
        <v>154</v>
      </c>
      <c r="L6" s="30"/>
      <c r="M6" s="26" t="s">
        <v>174</v>
      </c>
      <c r="N6" s="26"/>
      <c r="O6" s="27" t="s">
        <v>135</v>
      </c>
      <c r="P6" s="26" t="s">
        <v>348</v>
      </c>
      <c r="Q6" s="26" t="s">
        <v>229</v>
      </c>
      <c r="R6" s="31">
        <f>(COUNTA(C6:Q6))/12</f>
        <v>0.91666666666666663</v>
      </c>
      <c r="S6" s="22"/>
      <c r="T6" s="319"/>
      <c r="U6" s="320"/>
      <c r="V6" s="320"/>
      <c r="W6" s="320"/>
      <c r="X6" s="320"/>
      <c r="Y6" s="321"/>
    </row>
    <row r="7" spans="1:30" s="16" customFormat="1" ht="27.95" customHeight="1">
      <c r="A7" s="24">
        <v>3</v>
      </c>
      <c r="B7" s="25" t="s">
        <v>134</v>
      </c>
      <c r="C7" s="313"/>
      <c r="D7" s="314"/>
      <c r="E7" s="227" t="s">
        <v>444</v>
      </c>
      <c r="F7" s="26" t="s">
        <v>132</v>
      </c>
      <c r="G7" s="26" t="s">
        <v>209</v>
      </c>
      <c r="H7" s="26" t="s">
        <v>79</v>
      </c>
      <c r="I7" s="27" t="s">
        <v>252</v>
      </c>
      <c r="J7" s="3" t="s">
        <v>131</v>
      </c>
      <c r="K7" s="26" t="s">
        <v>263</v>
      </c>
      <c r="L7" s="30"/>
      <c r="M7" s="30" t="s">
        <v>122</v>
      </c>
      <c r="N7" s="27" t="s">
        <v>227</v>
      </c>
      <c r="O7" s="26" t="s">
        <v>194</v>
      </c>
      <c r="P7" s="30" t="s">
        <v>346</v>
      </c>
      <c r="Q7" s="138" t="s">
        <v>349</v>
      </c>
      <c r="R7" s="31">
        <f>(COUNTA(C7:Q7))/12</f>
        <v>1</v>
      </c>
      <c r="S7" s="22"/>
      <c r="T7" s="319"/>
      <c r="U7" s="320"/>
      <c r="V7" s="320"/>
      <c r="W7" s="320"/>
      <c r="X7" s="320"/>
      <c r="Y7" s="321"/>
    </row>
    <row r="8" spans="1:30" s="16" customFormat="1" ht="27.95" customHeight="1">
      <c r="A8" s="24">
        <v>5</v>
      </c>
      <c r="B8" s="34" t="s">
        <v>214</v>
      </c>
      <c r="C8" s="313"/>
      <c r="D8" s="314"/>
      <c r="E8" s="26" t="s">
        <v>297</v>
      </c>
      <c r="F8" s="26" t="s">
        <v>229</v>
      </c>
      <c r="G8" s="26" t="s">
        <v>308</v>
      </c>
      <c r="H8" s="26" t="s">
        <v>243</v>
      </c>
      <c r="I8" s="26" t="s">
        <v>245</v>
      </c>
      <c r="J8" s="26" t="s">
        <v>174</v>
      </c>
      <c r="K8" s="30" t="s">
        <v>120</v>
      </c>
      <c r="L8" s="26"/>
      <c r="M8" s="26" t="s">
        <v>270</v>
      </c>
      <c r="N8" s="35" t="s">
        <v>215</v>
      </c>
      <c r="O8" s="53" t="s">
        <v>325</v>
      </c>
      <c r="P8" s="30" t="s">
        <v>151</v>
      </c>
      <c r="Q8" s="138" t="s">
        <v>244</v>
      </c>
      <c r="R8" s="31">
        <f t="shared" ref="R8:R25" si="0">(COUNTA(C8:Q8))/12</f>
        <v>1</v>
      </c>
      <c r="S8" s="22"/>
      <c r="T8" s="319"/>
      <c r="U8" s="320"/>
      <c r="V8" s="320"/>
      <c r="W8" s="320"/>
      <c r="X8" s="320"/>
      <c r="Y8" s="321"/>
    </row>
    <row r="9" spans="1:30" s="16" customFormat="1" ht="27.95" customHeight="1" thickBot="1">
      <c r="A9" s="24">
        <v>6</v>
      </c>
      <c r="B9" s="170" t="s">
        <v>127</v>
      </c>
      <c r="C9" s="315"/>
      <c r="D9" s="316"/>
      <c r="E9" s="43" t="s">
        <v>126</v>
      </c>
      <c r="F9" s="43" t="s">
        <v>371</v>
      </c>
      <c r="G9" s="43" t="s">
        <v>153</v>
      </c>
      <c r="H9" s="43" t="s">
        <v>160</v>
      </c>
      <c r="I9" s="43" t="s">
        <v>177</v>
      </c>
      <c r="J9" s="43" t="s">
        <v>380</v>
      </c>
      <c r="K9" s="10" t="s">
        <v>246</v>
      </c>
      <c r="L9" s="43"/>
      <c r="M9" s="43" t="s">
        <v>150</v>
      </c>
      <c r="N9" s="44" t="s">
        <v>269</v>
      </c>
      <c r="O9" s="39" t="s">
        <v>42</v>
      </c>
      <c r="P9" s="227" t="s">
        <v>444</v>
      </c>
      <c r="Q9" s="43" t="s">
        <v>230</v>
      </c>
      <c r="R9" s="31">
        <f t="shared" si="0"/>
        <v>1</v>
      </c>
      <c r="S9" s="22"/>
      <c r="T9" s="322"/>
      <c r="U9" s="323"/>
      <c r="V9" s="323"/>
      <c r="W9" s="323"/>
      <c r="X9" s="323"/>
      <c r="Y9" s="324"/>
    </row>
    <row r="10" spans="1:30" s="16" customFormat="1" ht="27.95" customHeight="1" thickBot="1">
      <c r="A10" s="24">
        <v>7</v>
      </c>
      <c r="B10" s="34" t="s">
        <v>119</v>
      </c>
      <c r="C10" s="40" t="s">
        <v>354</v>
      </c>
      <c r="D10" s="40" t="s">
        <v>354</v>
      </c>
      <c r="E10" s="26" t="s">
        <v>117</v>
      </c>
      <c r="F10" s="26" t="s">
        <v>118</v>
      </c>
      <c r="G10" s="26" t="s">
        <v>11</v>
      </c>
      <c r="H10" s="26" t="s">
        <v>228</v>
      </c>
      <c r="I10" s="26" t="s">
        <v>375</v>
      </c>
      <c r="J10" s="26" t="s">
        <v>156</v>
      </c>
      <c r="K10" s="2" t="s">
        <v>116</v>
      </c>
      <c r="L10" s="26"/>
      <c r="M10" s="26" t="s">
        <v>10</v>
      </c>
      <c r="N10" s="35" t="s">
        <v>115</v>
      </c>
      <c r="O10" s="179" t="s">
        <v>114</v>
      </c>
      <c r="P10" s="292"/>
      <c r="Q10" s="293"/>
      <c r="R10" s="31">
        <f t="shared" si="0"/>
        <v>1</v>
      </c>
      <c r="S10" s="22"/>
      <c r="T10" s="237" t="s">
        <v>341</v>
      </c>
      <c r="U10" s="238"/>
      <c r="V10" s="238"/>
      <c r="W10" s="238"/>
      <c r="X10" s="238"/>
      <c r="Y10" s="239"/>
    </row>
    <row r="11" spans="1:30" s="16" customFormat="1" ht="27.95" customHeight="1">
      <c r="A11" s="24">
        <v>8</v>
      </c>
      <c r="B11" s="186" t="s">
        <v>113</v>
      </c>
      <c r="C11" s="158" t="s">
        <v>356</v>
      </c>
      <c r="D11" s="158" t="s">
        <v>356</v>
      </c>
      <c r="E11" s="2" t="s">
        <v>118</v>
      </c>
      <c r="F11" s="30" t="s">
        <v>282</v>
      </c>
      <c r="G11" s="26" t="s">
        <v>197</v>
      </c>
      <c r="H11" s="26" t="s">
        <v>229</v>
      </c>
      <c r="I11" s="2" t="s">
        <v>10</v>
      </c>
      <c r="J11" s="26" t="s">
        <v>235</v>
      </c>
      <c r="K11" s="26" t="s">
        <v>292</v>
      </c>
      <c r="L11" s="26"/>
      <c r="M11" s="26" t="s">
        <v>12</v>
      </c>
      <c r="N11" s="30" t="s">
        <v>112</v>
      </c>
      <c r="O11" s="29" t="s">
        <v>111</v>
      </c>
      <c r="P11" s="294"/>
      <c r="Q11" s="295"/>
      <c r="R11" s="31">
        <f t="shared" si="0"/>
        <v>1</v>
      </c>
      <c r="S11" s="22"/>
      <c r="T11" s="280" t="s">
        <v>454</v>
      </c>
      <c r="U11" s="281"/>
      <c r="V11" s="281"/>
      <c r="W11" s="281"/>
      <c r="X11" s="281"/>
      <c r="Y11" s="282"/>
      <c r="Z11" s="42"/>
    </row>
    <row r="12" spans="1:30" s="16" customFormat="1" ht="27.95" customHeight="1">
      <c r="A12" s="24">
        <v>9</v>
      </c>
      <c r="B12" s="36" t="s">
        <v>130</v>
      </c>
      <c r="C12" s="158" t="s">
        <v>209</v>
      </c>
      <c r="D12" s="158" t="s">
        <v>437</v>
      </c>
      <c r="E12" s="26" t="s">
        <v>49</v>
      </c>
      <c r="F12" s="26" t="s">
        <v>124</v>
      </c>
      <c r="G12" s="28" t="s">
        <v>129</v>
      </c>
      <c r="H12" s="26" t="s">
        <v>128</v>
      </c>
      <c r="I12" s="26" t="s">
        <v>121</v>
      </c>
      <c r="J12" s="30" t="s">
        <v>286</v>
      </c>
      <c r="K12" s="23" t="s">
        <v>182</v>
      </c>
      <c r="L12" s="26"/>
      <c r="M12" s="29" t="s">
        <v>329</v>
      </c>
      <c r="N12" s="30" t="s">
        <v>263</v>
      </c>
      <c r="O12" s="2" t="s">
        <v>236</v>
      </c>
      <c r="P12" s="294"/>
      <c r="Q12" s="295"/>
      <c r="R12" s="31">
        <f t="shared" si="0"/>
        <v>1</v>
      </c>
      <c r="S12" s="22"/>
      <c r="T12" s="280"/>
      <c r="U12" s="281"/>
      <c r="V12" s="281"/>
      <c r="W12" s="281"/>
      <c r="X12" s="281"/>
      <c r="Y12" s="282"/>
    </row>
    <row r="13" spans="1:30" s="16" customFormat="1" ht="27.95" customHeight="1" thickBot="1">
      <c r="A13" s="24">
        <v>10</v>
      </c>
      <c r="B13" s="170" t="s">
        <v>125</v>
      </c>
      <c r="C13" s="159" t="s">
        <v>361</v>
      </c>
      <c r="D13" s="159" t="s">
        <v>361</v>
      </c>
      <c r="E13" s="37" t="s">
        <v>114</v>
      </c>
      <c r="F13" s="38" t="s">
        <v>251</v>
      </c>
      <c r="G13" s="37" t="s">
        <v>152</v>
      </c>
      <c r="H13" s="37" t="s">
        <v>124</v>
      </c>
      <c r="I13" s="39" t="s">
        <v>239</v>
      </c>
      <c r="J13" s="37" t="s">
        <v>297</v>
      </c>
      <c r="K13" s="37" t="s">
        <v>43</v>
      </c>
      <c r="L13" s="9"/>
      <c r="M13" s="37" t="s">
        <v>292</v>
      </c>
      <c r="N13" s="37" t="s">
        <v>154</v>
      </c>
      <c r="O13" s="37" t="s">
        <v>259</v>
      </c>
      <c r="P13" s="296"/>
      <c r="Q13" s="297"/>
      <c r="R13" s="31">
        <f t="shared" si="0"/>
        <v>1</v>
      </c>
      <c r="S13" s="22"/>
      <c r="T13" s="280"/>
      <c r="U13" s="281"/>
      <c r="V13" s="281"/>
      <c r="W13" s="281"/>
      <c r="X13" s="281"/>
      <c r="Y13" s="282"/>
    </row>
    <row r="14" spans="1:30" s="48" customFormat="1" ht="27.95" customHeight="1" thickBot="1">
      <c r="A14" s="24">
        <v>11</v>
      </c>
      <c r="B14" s="45" t="s">
        <v>106</v>
      </c>
      <c r="C14" s="261"/>
      <c r="D14" s="262"/>
      <c r="E14" s="39" t="s">
        <v>105</v>
      </c>
      <c r="F14" s="46" t="s">
        <v>182</v>
      </c>
      <c r="G14" s="47" t="s">
        <v>329</v>
      </c>
      <c r="H14" s="46" t="s">
        <v>52</v>
      </c>
      <c r="I14" s="39" t="s">
        <v>261</v>
      </c>
      <c r="J14" s="37" t="s">
        <v>260</v>
      </c>
      <c r="K14" s="37" t="s">
        <v>309</v>
      </c>
      <c r="L14" s="39"/>
      <c r="M14" s="37" t="s">
        <v>285</v>
      </c>
      <c r="N14" s="77" t="s">
        <v>257</v>
      </c>
      <c r="O14" s="37" t="s">
        <v>378</v>
      </c>
      <c r="P14" s="39" t="s">
        <v>221</v>
      </c>
      <c r="Q14" s="39" t="s">
        <v>236</v>
      </c>
      <c r="R14" s="31">
        <f t="shared" si="0"/>
        <v>1</v>
      </c>
      <c r="S14" s="22"/>
      <c r="T14" s="280"/>
      <c r="U14" s="281"/>
      <c r="V14" s="281"/>
      <c r="W14" s="281"/>
      <c r="X14" s="281"/>
      <c r="Y14" s="282"/>
    </row>
    <row r="15" spans="1:30" s="48" customFormat="1" ht="27.95" customHeight="1">
      <c r="A15" s="24">
        <v>12</v>
      </c>
      <c r="B15" s="34" t="s">
        <v>13</v>
      </c>
      <c r="C15" s="263"/>
      <c r="D15" s="264"/>
      <c r="E15" s="27" t="s">
        <v>149</v>
      </c>
      <c r="F15" s="29" t="s">
        <v>322</v>
      </c>
      <c r="G15" s="29" t="s">
        <v>14</v>
      </c>
      <c r="H15" s="29" t="s">
        <v>48</v>
      </c>
      <c r="I15" s="27" t="s">
        <v>45</v>
      </c>
      <c r="J15" s="29" t="s">
        <v>15</v>
      </c>
      <c r="K15" s="27" t="s">
        <v>46</v>
      </c>
      <c r="L15" s="29"/>
      <c r="M15" s="27" t="s">
        <v>16</v>
      </c>
      <c r="N15" s="27" t="s">
        <v>23</v>
      </c>
      <c r="O15" s="29" t="s">
        <v>307</v>
      </c>
      <c r="P15" s="30" t="s">
        <v>21</v>
      </c>
      <c r="Q15" s="68" t="s">
        <v>271</v>
      </c>
      <c r="R15" s="31">
        <f t="shared" si="0"/>
        <v>1</v>
      </c>
      <c r="S15" s="22"/>
      <c r="T15" s="280"/>
      <c r="U15" s="281"/>
      <c r="V15" s="281"/>
      <c r="W15" s="281"/>
      <c r="X15" s="281"/>
      <c r="Y15" s="282"/>
    </row>
    <row r="16" spans="1:30" s="48" customFormat="1" ht="27.95" customHeight="1">
      <c r="A16" s="24">
        <v>13</v>
      </c>
      <c r="B16" s="49" t="s">
        <v>89</v>
      </c>
      <c r="C16" s="265"/>
      <c r="D16" s="266"/>
      <c r="E16" s="27" t="s">
        <v>250</v>
      </c>
      <c r="F16" s="29" t="s">
        <v>18</v>
      </c>
      <c r="G16" s="27" t="s">
        <v>233</v>
      </c>
      <c r="H16" s="27" t="s">
        <v>238</v>
      </c>
      <c r="I16" s="29" t="s">
        <v>88</v>
      </c>
      <c r="J16" s="50" t="s">
        <v>167</v>
      </c>
      <c r="K16" s="29" t="s">
        <v>87</v>
      </c>
      <c r="L16" s="28"/>
      <c r="M16" s="12" t="s">
        <v>184</v>
      </c>
      <c r="N16" s="28" t="s">
        <v>86</v>
      </c>
      <c r="O16" s="26" t="s">
        <v>225</v>
      </c>
      <c r="P16" s="30" t="s">
        <v>338</v>
      </c>
      <c r="Q16" s="27" t="s">
        <v>383</v>
      </c>
      <c r="R16" s="31">
        <f t="shared" si="0"/>
        <v>1</v>
      </c>
      <c r="S16" s="22"/>
      <c r="T16" s="280"/>
      <c r="U16" s="281"/>
      <c r="V16" s="281"/>
      <c r="W16" s="281"/>
      <c r="X16" s="281"/>
      <c r="Y16" s="282"/>
    </row>
    <row r="17" spans="1:31" s="48" customFormat="1" ht="27.95" customHeight="1" thickBot="1">
      <c r="A17" s="24">
        <v>14</v>
      </c>
      <c r="B17" s="49" t="s">
        <v>85</v>
      </c>
      <c r="C17" s="265"/>
      <c r="D17" s="266"/>
      <c r="E17" s="30" t="s">
        <v>20</v>
      </c>
      <c r="F17" s="26" t="s">
        <v>317</v>
      </c>
      <c r="G17" s="26" t="s">
        <v>264</v>
      </c>
      <c r="H17" s="30" t="s">
        <v>231</v>
      </c>
      <c r="I17" s="30" t="s">
        <v>183</v>
      </c>
      <c r="J17" s="27" t="s">
        <v>288</v>
      </c>
      <c r="K17" s="28" t="s">
        <v>84</v>
      </c>
      <c r="L17" s="30"/>
      <c r="M17" s="2" t="s">
        <v>161</v>
      </c>
      <c r="N17" s="53" t="s">
        <v>82</v>
      </c>
      <c r="O17" s="29" t="s">
        <v>291</v>
      </c>
      <c r="P17" s="30" t="s">
        <v>384</v>
      </c>
      <c r="Q17" s="30" t="s">
        <v>295</v>
      </c>
      <c r="R17" s="31">
        <f t="shared" si="0"/>
        <v>1</v>
      </c>
      <c r="S17" s="22"/>
      <c r="T17" s="283"/>
      <c r="U17" s="284"/>
      <c r="V17" s="284"/>
      <c r="W17" s="284"/>
      <c r="X17" s="284"/>
      <c r="Y17" s="285"/>
    </row>
    <row r="18" spans="1:31" s="16" customFormat="1" ht="27.95" customHeight="1" thickBot="1">
      <c r="A18" s="24">
        <v>15</v>
      </c>
      <c r="B18" s="135" t="s">
        <v>202</v>
      </c>
      <c r="C18" s="265"/>
      <c r="D18" s="266"/>
      <c r="E18" s="62" t="s">
        <v>264</v>
      </c>
      <c r="F18" s="26" t="s">
        <v>224</v>
      </c>
      <c r="G18" s="3" t="s">
        <v>323</v>
      </c>
      <c r="H18" s="27" t="s">
        <v>203</v>
      </c>
      <c r="I18" s="30" t="s">
        <v>165</v>
      </c>
      <c r="J18" s="55" t="s">
        <v>408</v>
      </c>
      <c r="K18" s="26" t="s">
        <v>179</v>
      </c>
      <c r="L18" s="35"/>
      <c r="M18" s="30" t="s">
        <v>27</v>
      </c>
      <c r="N18" s="2" t="s">
        <v>237</v>
      </c>
      <c r="O18" s="30" t="s">
        <v>345</v>
      </c>
      <c r="P18" s="55" t="s">
        <v>409</v>
      </c>
      <c r="Q18" s="33" t="s">
        <v>446</v>
      </c>
      <c r="R18" s="31">
        <f t="shared" ref="R18" si="1">(COUNTA(C18:Q18))/12</f>
        <v>1</v>
      </c>
      <c r="S18" s="22"/>
      <c r="T18" s="286" t="s">
        <v>342</v>
      </c>
      <c r="U18" s="287"/>
      <c r="V18" s="287"/>
      <c r="W18" s="287"/>
      <c r="X18" s="287"/>
      <c r="Y18" s="288"/>
    </row>
    <row r="19" spans="1:31" s="16" customFormat="1" ht="27.95" customHeight="1">
      <c r="A19" s="24">
        <v>16</v>
      </c>
      <c r="B19" s="136" t="s">
        <v>99</v>
      </c>
      <c r="C19" s="265"/>
      <c r="D19" s="266"/>
      <c r="E19" s="62" t="s">
        <v>198</v>
      </c>
      <c r="F19" s="55" t="s">
        <v>98</v>
      </c>
      <c r="G19" s="27" t="s">
        <v>185</v>
      </c>
      <c r="H19" s="27" t="s">
        <v>97</v>
      </c>
      <c r="I19" s="27" t="s">
        <v>17</v>
      </c>
      <c r="J19" s="27" t="s">
        <v>41</v>
      </c>
      <c r="K19" s="29" t="s">
        <v>374</v>
      </c>
      <c r="L19" s="29"/>
      <c r="M19" s="27" t="s">
        <v>159</v>
      </c>
      <c r="N19" s="29" t="s">
        <v>344</v>
      </c>
      <c r="O19" s="41" t="s">
        <v>233</v>
      </c>
      <c r="P19" s="30" t="s">
        <v>350</v>
      </c>
      <c r="Q19" s="26" t="s">
        <v>178</v>
      </c>
      <c r="R19" s="31">
        <f t="shared" si="0"/>
        <v>1</v>
      </c>
      <c r="S19" s="22"/>
      <c r="T19" s="289" t="s">
        <v>453</v>
      </c>
      <c r="U19" s="290"/>
      <c r="V19" s="290"/>
      <c r="W19" s="290"/>
      <c r="X19" s="290"/>
      <c r="Y19" s="291"/>
    </row>
    <row r="20" spans="1:31" s="16" customFormat="1" ht="27.95" customHeight="1">
      <c r="A20" s="24">
        <v>17</v>
      </c>
      <c r="B20" s="54" t="s">
        <v>213</v>
      </c>
      <c r="C20" s="265"/>
      <c r="D20" s="266"/>
      <c r="E20" s="30" t="s">
        <v>200</v>
      </c>
      <c r="F20" s="26" t="s">
        <v>289</v>
      </c>
      <c r="G20" s="26" t="s">
        <v>317</v>
      </c>
      <c r="H20" s="30" t="s">
        <v>287</v>
      </c>
      <c r="I20" s="30" t="s">
        <v>241</v>
      </c>
      <c r="J20" s="27" t="s">
        <v>249</v>
      </c>
      <c r="K20" s="28" t="s">
        <v>322</v>
      </c>
      <c r="L20" s="30"/>
      <c r="M20" s="2" t="s">
        <v>322</v>
      </c>
      <c r="N20" s="29" t="s">
        <v>374</v>
      </c>
      <c r="O20" s="167" t="s">
        <v>445</v>
      </c>
      <c r="P20" s="29" t="s">
        <v>240</v>
      </c>
      <c r="Q20" s="56" t="s">
        <v>181</v>
      </c>
      <c r="R20" s="31">
        <f t="shared" si="0"/>
        <v>1</v>
      </c>
      <c r="S20" s="22"/>
      <c r="T20" s="280"/>
      <c r="U20" s="281"/>
      <c r="V20" s="281"/>
      <c r="W20" s="281"/>
      <c r="X20" s="281"/>
      <c r="Y20" s="282"/>
    </row>
    <row r="21" spans="1:31" s="16" customFormat="1" ht="27.95" customHeight="1" thickBot="1">
      <c r="A21" s="24">
        <v>18</v>
      </c>
      <c r="B21" s="57" t="s">
        <v>92</v>
      </c>
      <c r="C21" s="267"/>
      <c r="D21" s="268"/>
      <c r="E21" s="212" t="s">
        <v>374</v>
      </c>
      <c r="F21" s="58" t="s">
        <v>148</v>
      </c>
      <c r="G21" s="10" t="s">
        <v>299</v>
      </c>
      <c r="H21" s="43" t="s">
        <v>301</v>
      </c>
      <c r="I21" s="43" t="s">
        <v>176</v>
      </c>
      <c r="J21" s="58" t="s">
        <v>379</v>
      </c>
      <c r="K21" s="43" t="s">
        <v>199</v>
      </c>
      <c r="L21" s="85"/>
      <c r="M21" s="58" t="s">
        <v>195</v>
      </c>
      <c r="N21" s="43" t="s">
        <v>337</v>
      </c>
      <c r="O21" s="43" t="s">
        <v>226</v>
      </c>
      <c r="P21" s="58" t="s">
        <v>91</v>
      </c>
      <c r="Q21" s="43" t="s">
        <v>90</v>
      </c>
      <c r="R21" s="31">
        <f t="shared" si="0"/>
        <v>1</v>
      </c>
      <c r="S21" s="22"/>
      <c r="T21" s="280"/>
      <c r="U21" s="281"/>
      <c r="V21" s="281"/>
      <c r="W21" s="281"/>
      <c r="X21" s="281"/>
      <c r="Y21" s="282"/>
    </row>
    <row r="22" spans="1:31" s="16" customFormat="1" ht="27.95" customHeight="1" thickBot="1">
      <c r="A22" s="24">
        <v>19</v>
      </c>
      <c r="B22" s="59" t="s">
        <v>83</v>
      </c>
      <c r="C22" s="269"/>
      <c r="D22" s="270"/>
      <c r="E22" s="37" t="s">
        <v>179</v>
      </c>
      <c r="F22" s="37" t="s">
        <v>232</v>
      </c>
      <c r="G22" s="60" t="s">
        <v>166</v>
      </c>
      <c r="H22" s="37" t="s">
        <v>318</v>
      </c>
      <c r="I22" s="37" t="s">
        <v>302</v>
      </c>
      <c r="J22" s="37" t="s">
        <v>53</v>
      </c>
      <c r="K22" s="46" t="s">
        <v>82</v>
      </c>
      <c r="L22" s="46"/>
      <c r="M22" s="46" t="s">
        <v>372</v>
      </c>
      <c r="N22" s="39" t="s">
        <v>198</v>
      </c>
      <c r="O22" s="47"/>
      <c r="P22" s="39" t="s">
        <v>284</v>
      </c>
      <c r="Q22" s="37" t="s">
        <v>339</v>
      </c>
      <c r="R22" s="31">
        <f t="shared" si="0"/>
        <v>0.91666666666666663</v>
      </c>
      <c r="S22" s="22"/>
      <c r="T22" s="283"/>
      <c r="U22" s="284"/>
      <c r="V22" s="284"/>
      <c r="W22" s="284"/>
      <c r="X22" s="284"/>
      <c r="Y22" s="285"/>
    </row>
    <row r="23" spans="1:31" s="16" customFormat="1" ht="27.95" customHeight="1" thickBot="1">
      <c r="A23" s="24">
        <v>20</v>
      </c>
      <c r="B23" s="187" t="s">
        <v>24</v>
      </c>
      <c r="C23" s="61" t="s">
        <v>363</v>
      </c>
      <c r="D23" s="61" t="s">
        <v>363</v>
      </c>
      <c r="E23" s="62" t="s">
        <v>172</v>
      </c>
      <c r="F23" s="62" t="s">
        <v>265</v>
      </c>
      <c r="G23" s="29" t="s">
        <v>44</v>
      </c>
      <c r="H23" s="3" t="s">
        <v>26</v>
      </c>
      <c r="I23" s="27" t="s">
        <v>262</v>
      </c>
      <c r="J23" s="27" t="s">
        <v>183</v>
      </c>
      <c r="K23" s="27" t="s">
        <v>266</v>
      </c>
      <c r="L23" s="63"/>
      <c r="M23" s="41" t="s">
        <v>234</v>
      </c>
      <c r="N23" s="27" t="s">
        <v>253</v>
      </c>
      <c r="O23" s="3" t="s">
        <v>22</v>
      </c>
      <c r="P23" s="298"/>
      <c r="Q23" s="299"/>
      <c r="R23" s="31">
        <f t="shared" si="0"/>
        <v>1</v>
      </c>
      <c r="S23" s="22"/>
      <c r="T23" s="237" t="s">
        <v>343</v>
      </c>
      <c r="U23" s="238"/>
      <c r="V23" s="238"/>
      <c r="W23" s="238"/>
      <c r="X23" s="238"/>
      <c r="Y23" s="239"/>
    </row>
    <row r="24" spans="1:31" s="16" customFormat="1" ht="27.95" customHeight="1">
      <c r="A24" s="24">
        <v>21</v>
      </c>
      <c r="B24" s="51" t="s">
        <v>104</v>
      </c>
      <c r="C24" s="64" t="s">
        <v>191</v>
      </c>
      <c r="D24" s="64" t="s">
        <v>50</v>
      </c>
      <c r="E24" s="2" t="s">
        <v>175</v>
      </c>
      <c r="F24" s="50" t="s">
        <v>171</v>
      </c>
      <c r="G24" s="27" t="s">
        <v>69</v>
      </c>
      <c r="H24" s="26" t="s">
        <v>272</v>
      </c>
      <c r="I24" s="2" t="s">
        <v>162</v>
      </c>
      <c r="J24" s="27" t="s">
        <v>103</v>
      </c>
      <c r="K24" s="30" t="s">
        <v>210</v>
      </c>
      <c r="L24" s="30"/>
      <c r="M24" s="27" t="s">
        <v>183</v>
      </c>
      <c r="N24" s="27" t="s">
        <v>102</v>
      </c>
      <c r="O24" s="26" t="s">
        <v>101</v>
      </c>
      <c r="P24" s="300"/>
      <c r="Q24" s="301"/>
      <c r="R24" s="31">
        <f t="shared" ref="R24" si="2">(COUNTA(C24:Q24))/12</f>
        <v>1</v>
      </c>
      <c r="S24" s="22"/>
      <c r="T24" s="271"/>
      <c r="U24" s="272"/>
      <c r="V24" s="272"/>
      <c r="W24" s="272"/>
      <c r="X24" s="272"/>
      <c r="Y24" s="273"/>
    </row>
    <row r="25" spans="1:31" s="16" customFormat="1" ht="27.95" customHeight="1">
      <c r="A25" s="24">
        <v>22</v>
      </c>
      <c r="B25" s="186" t="s">
        <v>204</v>
      </c>
      <c r="C25" s="64" t="s">
        <v>51</v>
      </c>
      <c r="D25" s="64" t="s">
        <v>187</v>
      </c>
      <c r="E25" s="32" t="s">
        <v>268</v>
      </c>
      <c r="F25" s="30" t="s">
        <v>376</v>
      </c>
      <c r="G25" s="2" t="s">
        <v>149</v>
      </c>
      <c r="H25" s="30" t="s">
        <v>290</v>
      </c>
      <c r="I25" s="176" t="s">
        <v>205</v>
      </c>
      <c r="J25" s="101" t="s">
        <v>206</v>
      </c>
      <c r="K25" s="30" t="s">
        <v>414</v>
      </c>
      <c r="L25" s="101"/>
      <c r="M25" s="30" t="s">
        <v>19</v>
      </c>
      <c r="N25" s="26" t="s">
        <v>283</v>
      </c>
      <c r="O25" s="2" t="s">
        <v>155</v>
      </c>
      <c r="P25" s="300"/>
      <c r="Q25" s="301"/>
      <c r="R25" s="31">
        <f t="shared" si="0"/>
        <v>1</v>
      </c>
      <c r="S25" s="22"/>
      <c r="T25" s="274"/>
      <c r="U25" s="275"/>
      <c r="V25" s="275"/>
      <c r="W25" s="275"/>
      <c r="X25" s="275"/>
      <c r="Y25" s="276"/>
    </row>
    <row r="26" spans="1:31" s="16" customFormat="1" ht="27.95" customHeight="1" thickBot="1">
      <c r="A26" s="24">
        <v>23</v>
      </c>
      <c r="B26" s="188" t="s">
        <v>96</v>
      </c>
      <c r="C26" s="65" t="s">
        <v>188</v>
      </c>
      <c r="D26" s="65" t="s">
        <v>190</v>
      </c>
      <c r="E26" s="43" t="s">
        <v>169</v>
      </c>
      <c r="F26" s="43" t="s">
        <v>298</v>
      </c>
      <c r="G26" s="43" t="s">
        <v>226</v>
      </c>
      <c r="H26" s="58" t="s">
        <v>307</v>
      </c>
      <c r="I26" s="43" t="s">
        <v>95</v>
      </c>
      <c r="J26" s="43" t="s">
        <v>94</v>
      </c>
      <c r="K26" s="43" t="s">
        <v>237</v>
      </c>
      <c r="L26" s="178"/>
      <c r="M26" s="58" t="s">
        <v>319</v>
      </c>
      <c r="N26" s="10" t="s">
        <v>93</v>
      </c>
      <c r="O26" s="37"/>
      <c r="P26" s="302"/>
      <c r="Q26" s="303"/>
      <c r="R26" s="31">
        <f>(COUNTA(C26:Q26))/12</f>
        <v>0.91666666666666663</v>
      </c>
      <c r="S26" s="22"/>
      <c r="T26" s="274"/>
      <c r="U26" s="275"/>
      <c r="V26" s="275"/>
      <c r="W26" s="275"/>
      <c r="X26" s="275"/>
      <c r="Y26" s="276"/>
    </row>
    <row r="27" spans="1:31" s="16" customFormat="1" ht="27.95" customHeight="1">
      <c r="A27" s="66" t="s">
        <v>81</v>
      </c>
      <c r="B27" s="67" t="s">
        <v>80</v>
      </c>
      <c r="C27" s="240"/>
      <c r="D27" s="241"/>
      <c r="E27" s="3"/>
      <c r="F27" s="27"/>
      <c r="G27" s="27" t="s">
        <v>222</v>
      </c>
      <c r="H27" s="29" t="s">
        <v>158</v>
      </c>
      <c r="I27" s="27" t="s">
        <v>201</v>
      </c>
      <c r="J27" s="3" t="s">
        <v>207</v>
      </c>
      <c r="K27" s="3"/>
      <c r="L27" s="177"/>
      <c r="M27" s="27"/>
      <c r="N27" s="27" t="s">
        <v>316</v>
      </c>
      <c r="O27" s="27" t="s">
        <v>78</v>
      </c>
      <c r="P27" s="69"/>
      <c r="Q27" s="70"/>
      <c r="R27" s="31">
        <f>(COUNTA(C27:Q27))/6</f>
        <v>1</v>
      </c>
      <c r="S27" s="22"/>
      <c r="T27" s="274"/>
      <c r="U27" s="275"/>
      <c r="V27" s="275"/>
      <c r="W27" s="275"/>
      <c r="X27" s="275"/>
      <c r="Y27" s="276"/>
    </row>
    <row r="28" spans="1:31" s="16" customFormat="1" ht="27.95" customHeight="1" thickBot="1">
      <c r="A28" s="71" t="s">
        <v>77</v>
      </c>
      <c r="B28" s="72" t="s">
        <v>28</v>
      </c>
      <c r="C28" s="240"/>
      <c r="D28" s="241"/>
      <c r="E28" s="27" t="s">
        <v>223</v>
      </c>
      <c r="F28" s="27" t="s">
        <v>76</v>
      </c>
      <c r="G28" s="27"/>
      <c r="H28" s="27"/>
      <c r="I28" s="27"/>
      <c r="J28" s="27" t="s">
        <v>307</v>
      </c>
      <c r="K28" s="169"/>
      <c r="L28" s="73"/>
      <c r="M28" s="27"/>
      <c r="N28" s="27"/>
      <c r="O28" s="27" t="s">
        <v>69</v>
      </c>
      <c r="P28" s="26" t="s">
        <v>14</v>
      </c>
      <c r="Q28" s="27" t="s">
        <v>75</v>
      </c>
      <c r="R28" s="31">
        <f>(COUNTA(C28:Q28))/7</f>
        <v>0.8571428571428571</v>
      </c>
      <c r="S28" s="22"/>
      <c r="T28" s="277"/>
      <c r="U28" s="278"/>
      <c r="V28" s="278"/>
      <c r="W28" s="278"/>
      <c r="X28" s="278"/>
      <c r="Y28" s="279"/>
    </row>
    <row r="29" spans="1:31" s="16" customFormat="1" ht="9.9499999999999993" customHeight="1" thickBot="1">
      <c r="A29" s="74"/>
      <c r="B29" s="75"/>
      <c r="C29" s="75"/>
      <c r="D29" s="75"/>
      <c r="E29" s="4"/>
      <c r="F29" s="76"/>
      <c r="G29" s="77"/>
      <c r="H29" s="77"/>
      <c r="I29" s="77"/>
      <c r="J29" s="77"/>
      <c r="K29" s="4"/>
      <c r="L29" s="76"/>
      <c r="M29" s="4"/>
      <c r="N29" s="77"/>
      <c r="O29" s="76"/>
      <c r="P29" s="76"/>
      <c r="Q29" s="78"/>
      <c r="R29" s="79"/>
      <c r="S29" s="22"/>
      <c r="T29" s="166"/>
      <c r="U29" s="166"/>
      <c r="V29" s="166"/>
      <c r="W29" s="166"/>
      <c r="X29" s="166"/>
      <c r="Y29" s="166"/>
    </row>
    <row r="30" spans="1:31" s="16" customFormat="1" ht="109.5" customHeight="1">
      <c r="A30" s="242"/>
      <c r="B30" s="244" t="s">
        <v>74</v>
      </c>
      <c r="C30" s="246"/>
      <c r="D30" s="247"/>
      <c r="E30" s="70" t="s">
        <v>330</v>
      </c>
      <c r="F30" s="80" t="s">
        <v>267</v>
      </c>
      <c r="G30" s="160" t="s">
        <v>448</v>
      </c>
      <c r="H30" s="70" t="s">
        <v>305</v>
      </c>
      <c r="I30" s="27" t="s">
        <v>216</v>
      </c>
      <c r="J30" s="29" t="s">
        <v>211</v>
      </c>
      <c r="K30" s="27" t="s">
        <v>273</v>
      </c>
      <c r="L30" s="28"/>
      <c r="M30" s="167" t="s">
        <v>450</v>
      </c>
      <c r="N30" s="81" t="s">
        <v>294</v>
      </c>
      <c r="O30" s="80" t="s">
        <v>331</v>
      </c>
      <c r="P30" s="81" t="s">
        <v>438</v>
      </c>
      <c r="Q30" s="27" t="s">
        <v>186</v>
      </c>
      <c r="R30" s="31">
        <f>(COUNTA(C30:Q30))/12</f>
        <v>1</v>
      </c>
      <c r="S30" s="22"/>
      <c r="T30" s="252" t="s">
        <v>451</v>
      </c>
      <c r="U30" s="253"/>
      <c r="V30" s="253"/>
      <c r="W30" s="253"/>
      <c r="X30" s="253"/>
      <c r="Y30" s="254"/>
    </row>
    <row r="31" spans="1:31" s="16" customFormat="1" ht="129.94999999999999" customHeight="1">
      <c r="A31" s="243"/>
      <c r="B31" s="245"/>
      <c r="C31" s="248"/>
      <c r="D31" s="249"/>
      <c r="E31" s="82" t="s">
        <v>386</v>
      </c>
      <c r="F31" s="26" t="s">
        <v>357</v>
      </c>
      <c r="G31" s="211" t="s">
        <v>410</v>
      </c>
      <c r="H31" s="26" t="s">
        <v>385</v>
      </c>
      <c r="I31" s="30" t="s">
        <v>355</v>
      </c>
      <c r="J31" s="26" t="s">
        <v>352</v>
      </c>
      <c r="K31" s="26" t="s">
        <v>359</v>
      </c>
      <c r="L31" s="26"/>
      <c r="M31" s="26" t="s">
        <v>449</v>
      </c>
      <c r="N31" s="82" t="s">
        <v>387</v>
      </c>
      <c r="O31" s="139" t="s">
        <v>411</v>
      </c>
      <c r="P31" s="32" t="s">
        <v>418</v>
      </c>
      <c r="Q31" s="26" t="s">
        <v>353</v>
      </c>
      <c r="R31" s="79"/>
      <c r="S31" s="22"/>
      <c r="T31" s="255"/>
      <c r="U31" s="256"/>
      <c r="V31" s="256"/>
      <c r="W31" s="256"/>
      <c r="X31" s="256"/>
      <c r="Y31" s="257"/>
    </row>
    <row r="32" spans="1:31" s="16" customFormat="1" ht="69.95" customHeight="1" thickBot="1">
      <c r="A32" s="83"/>
      <c r="B32" s="57" t="s">
        <v>73</v>
      </c>
      <c r="C32" s="250"/>
      <c r="D32" s="251"/>
      <c r="E32" s="84" t="s">
        <v>72</v>
      </c>
      <c r="F32" s="173" t="s">
        <v>447</v>
      </c>
      <c r="G32" s="58" t="s">
        <v>168</v>
      </c>
      <c r="H32" s="58" t="s">
        <v>303</v>
      </c>
      <c r="I32" s="43" t="s">
        <v>293</v>
      </c>
      <c r="J32" s="58" t="s">
        <v>304</v>
      </c>
      <c r="K32" s="58" t="s">
        <v>306</v>
      </c>
      <c r="L32" s="85"/>
      <c r="M32" s="58" t="s">
        <v>212</v>
      </c>
      <c r="N32" s="43" t="s">
        <v>278</v>
      </c>
      <c r="O32" s="37" t="s">
        <v>279</v>
      </c>
      <c r="P32" s="86" t="s">
        <v>71</v>
      </c>
      <c r="Q32" s="86" t="s">
        <v>71</v>
      </c>
      <c r="R32" s="31">
        <f>(COUNTA(F32:P32))/10</f>
        <v>1</v>
      </c>
      <c r="S32" s="22"/>
      <c r="T32" s="258"/>
      <c r="U32" s="259"/>
      <c r="V32" s="259"/>
      <c r="W32" s="259"/>
      <c r="X32" s="259"/>
      <c r="Y32" s="260"/>
      <c r="AB32" s="14"/>
      <c r="AC32" s="14"/>
      <c r="AD32" s="14"/>
      <c r="AE32" s="14"/>
    </row>
    <row r="33" spans="1:27" ht="9.9499999999999993" customHeight="1">
      <c r="A33" s="87"/>
      <c r="B33" s="87"/>
      <c r="C33" s="88"/>
      <c r="D33" s="88"/>
      <c r="O33" s="90"/>
      <c r="S33" s="22"/>
      <c r="AA33" s="16"/>
    </row>
    <row r="34" spans="1:27" ht="21" customHeight="1">
      <c r="B34" s="92"/>
      <c r="C34" s="92"/>
      <c r="D34" s="93" t="s">
        <v>70</v>
      </c>
      <c r="E34" s="94" t="s">
        <v>0</v>
      </c>
      <c r="F34" s="94" t="s">
        <v>1</v>
      </c>
      <c r="G34" s="94" t="s">
        <v>2</v>
      </c>
      <c r="H34" s="94" t="s">
        <v>29</v>
      </c>
      <c r="I34" s="94" t="s">
        <v>30</v>
      </c>
      <c r="J34" s="94" t="s">
        <v>31</v>
      </c>
      <c r="K34" s="94" t="s">
        <v>32</v>
      </c>
      <c r="L34" s="95" t="s">
        <v>33</v>
      </c>
      <c r="M34" s="94" t="s">
        <v>34</v>
      </c>
      <c r="N34" s="94" t="s">
        <v>6</v>
      </c>
      <c r="O34" s="94" t="s">
        <v>7</v>
      </c>
      <c r="P34" s="94" t="s">
        <v>8</v>
      </c>
      <c r="Q34" s="96" t="s">
        <v>9</v>
      </c>
      <c r="R34" s="97"/>
      <c r="T34" s="98"/>
      <c r="U34" s="99"/>
      <c r="V34" s="99"/>
      <c r="W34" s="99"/>
      <c r="X34" s="99"/>
      <c r="AA34" s="16"/>
    </row>
    <row r="35" spans="1:27" ht="45.75" customHeight="1">
      <c r="B35" s="92"/>
      <c r="C35" s="92"/>
      <c r="D35" s="100" t="s">
        <v>68</v>
      </c>
      <c r="E35" s="52" t="s">
        <v>274</v>
      </c>
      <c r="F35" s="52" t="s">
        <v>217</v>
      </c>
      <c r="G35" s="30" t="s">
        <v>320</v>
      </c>
      <c r="H35" s="30" t="s">
        <v>208</v>
      </c>
      <c r="I35" s="30" t="s">
        <v>12</v>
      </c>
      <c r="J35" s="30" t="s">
        <v>417</v>
      </c>
      <c r="K35" s="30" t="s">
        <v>248</v>
      </c>
      <c r="L35" s="30"/>
      <c r="M35" s="139" t="s">
        <v>439</v>
      </c>
      <c r="N35" s="26" t="s">
        <v>416</v>
      </c>
      <c r="O35" s="26" t="s">
        <v>247</v>
      </c>
      <c r="P35" s="50" t="s">
        <v>218</v>
      </c>
      <c r="Q35" s="102" t="s">
        <v>333</v>
      </c>
      <c r="R35" s="97"/>
      <c r="T35" s="99"/>
      <c r="U35" s="99"/>
      <c r="V35" s="99"/>
      <c r="W35" s="99"/>
      <c r="X35" s="99"/>
      <c r="AA35" s="16"/>
    </row>
    <row r="36" spans="1:27" ht="27.95" customHeight="1">
      <c r="B36" s="92"/>
      <c r="C36" s="92"/>
      <c r="D36" s="100" t="s">
        <v>65</v>
      </c>
      <c r="E36" s="52"/>
      <c r="F36" s="52"/>
      <c r="G36" s="30"/>
      <c r="H36" s="30"/>
      <c r="I36" s="30"/>
      <c r="J36" s="30"/>
      <c r="K36" s="30"/>
      <c r="L36" s="30"/>
      <c r="M36" s="30"/>
      <c r="N36" s="30"/>
      <c r="O36" s="214"/>
      <c r="P36" s="30" t="s">
        <v>335</v>
      </c>
      <c r="Q36" s="215"/>
      <c r="R36" s="97"/>
      <c r="T36" s="99"/>
      <c r="U36" s="99"/>
      <c r="V36" s="99"/>
      <c r="W36" s="99"/>
      <c r="X36" s="99"/>
    </row>
    <row r="37" spans="1:27" ht="27.95" customHeight="1">
      <c r="B37" s="92"/>
      <c r="C37" s="92"/>
      <c r="D37" s="100" t="s">
        <v>64</v>
      </c>
      <c r="E37" s="30"/>
      <c r="F37" s="105"/>
      <c r="G37" s="30"/>
      <c r="H37" s="30" t="s">
        <v>192</v>
      </c>
      <c r="I37" s="151"/>
      <c r="J37" s="35" t="s">
        <v>27</v>
      </c>
      <c r="K37" s="152" t="s">
        <v>88</v>
      </c>
      <c r="L37" s="30"/>
      <c r="M37" s="30" t="s">
        <v>25</v>
      </c>
      <c r="N37" s="50" t="s">
        <v>100</v>
      </c>
      <c r="O37" s="35" t="s">
        <v>63</v>
      </c>
      <c r="P37" s="30"/>
      <c r="Q37" s="215" t="s">
        <v>334</v>
      </c>
      <c r="R37" s="97"/>
      <c r="T37" s="99"/>
      <c r="U37" s="99"/>
      <c r="V37" s="99"/>
      <c r="W37" s="99"/>
      <c r="X37" s="99"/>
    </row>
    <row r="38" spans="1:27" ht="42" customHeight="1">
      <c r="B38" s="14"/>
      <c r="C38" s="14"/>
      <c r="D38" s="107" t="s">
        <v>62</v>
      </c>
      <c r="E38" s="137" t="s">
        <v>368</v>
      </c>
      <c r="F38" s="108"/>
      <c r="G38" s="110" t="s">
        <v>367</v>
      </c>
      <c r="H38" s="110" t="s">
        <v>364</v>
      </c>
      <c r="I38" s="110" t="s">
        <v>277</v>
      </c>
      <c r="J38" s="153" t="s">
        <v>369</v>
      </c>
      <c r="K38" s="110" t="s">
        <v>258</v>
      </c>
      <c r="L38" s="110"/>
      <c r="M38" s="109" t="s">
        <v>321</v>
      </c>
      <c r="N38" s="110" t="s">
        <v>365</v>
      </c>
      <c r="O38" s="110" t="s">
        <v>366</v>
      </c>
      <c r="P38" s="110" t="s">
        <v>170</v>
      </c>
      <c r="Q38" s="216" t="s">
        <v>189</v>
      </c>
    </row>
    <row r="39" spans="1:27" ht="9.9499999999999993" customHeight="1">
      <c r="E39" s="89"/>
      <c r="F39" s="89"/>
      <c r="G39" s="89"/>
      <c r="H39" s="89"/>
      <c r="I39" s="89"/>
      <c r="J39" s="89"/>
      <c r="K39" s="89"/>
      <c r="M39" s="89"/>
      <c r="N39" s="89"/>
      <c r="O39" s="89"/>
    </row>
    <row r="40" spans="1:27" ht="27.95" customHeight="1">
      <c r="A40" s="113"/>
      <c r="B40" s="113"/>
      <c r="C40" s="113"/>
      <c r="D40" s="228" t="s">
        <v>440</v>
      </c>
      <c r="E40" s="229"/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30"/>
      <c r="R40" s="97"/>
    </row>
    <row r="41" spans="1:27" ht="27.95" customHeight="1">
      <c r="A41" s="113"/>
      <c r="B41" s="113"/>
      <c r="C41" s="113"/>
      <c r="D41" s="231"/>
      <c r="E41" s="232"/>
      <c r="F41" s="232"/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33"/>
      <c r="R41" s="97"/>
    </row>
    <row r="42" spans="1:27" ht="27.95" customHeight="1">
      <c r="A42" s="113"/>
      <c r="B42" s="113"/>
      <c r="C42" s="113"/>
      <c r="D42" s="231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3"/>
      <c r="R42" s="97"/>
    </row>
    <row r="43" spans="1:27" ht="27.95" customHeight="1">
      <c r="A43" s="113"/>
      <c r="B43" s="113"/>
      <c r="C43" s="113"/>
      <c r="D43" s="231"/>
      <c r="E43" s="232"/>
      <c r="F43" s="232"/>
      <c r="G43" s="232"/>
      <c r="H43" s="232"/>
      <c r="I43" s="232"/>
      <c r="J43" s="232"/>
      <c r="K43" s="232"/>
      <c r="L43" s="232"/>
      <c r="M43" s="232"/>
      <c r="N43" s="232"/>
      <c r="O43" s="232"/>
      <c r="P43" s="232"/>
      <c r="Q43" s="233"/>
      <c r="R43" s="97"/>
    </row>
    <row r="44" spans="1:27" ht="27.95" customHeight="1">
      <c r="A44" s="113"/>
      <c r="B44" s="113"/>
      <c r="C44" s="113"/>
      <c r="D44" s="231"/>
      <c r="E44" s="232"/>
      <c r="F44" s="232"/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33"/>
      <c r="R44" s="97"/>
    </row>
    <row r="45" spans="1:27">
      <c r="A45" s="113"/>
      <c r="B45" s="113"/>
      <c r="C45" s="113"/>
      <c r="D45" s="231"/>
      <c r="E45" s="232"/>
      <c r="F45" s="232"/>
      <c r="G45" s="232"/>
      <c r="H45" s="232"/>
      <c r="I45" s="232"/>
      <c r="J45" s="232"/>
      <c r="K45" s="232"/>
      <c r="L45" s="232"/>
      <c r="M45" s="232"/>
      <c r="N45" s="232"/>
      <c r="O45" s="232"/>
      <c r="P45" s="232"/>
      <c r="Q45" s="233"/>
      <c r="R45" s="97"/>
    </row>
    <row r="46" spans="1:27">
      <c r="A46" s="113"/>
      <c r="B46" s="113"/>
      <c r="C46" s="113"/>
      <c r="D46" s="231"/>
      <c r="E46" s="232"/>
      <c r="F46" s="232"/>
      <c r="G46" s="232"/>
      <c r="H46" s="232"/>
      <c r="I46" s="232"/>
      <c r="J46" s="232"/>
      <c r="K46" s="232"/>
      <c r="L46" s="232"/>
      <c r="M46" s="232"/>
      <c r="N46" s="232"/>
      <c r="O46" s="232"/>
      <c r="P46" s="232"/>
      <c r="Q46" s="233"/>
      <c r="R46" s="97"/>
    </row>
    <row r="47" spans="1:27">
      <c r="A47" s="113"/>
      <c r="B47" s="113"/>
      <c r="C47" s="113"/>
      <c r="D47" s="231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232"/>
      <c r="Q47" s="233"/>
      <c r="R47" s="97"/>
    </row>
    <row r="48" spans="1:27">
      <c r="A48" s="113"/>
      <c r="B48" s="113"/>
      <c r="C48" s="113"/>
      <c r="D48" s="231"/>
      <c r="E48" s="232"/>
      <c r="F48" s="232"/>
      <c r="G48" s="232"/>
      <c r="H48" s="232"/>
      <c r="I48" s="232"/>
      <c r="J48" s="232"/>
      <c r="K48" s="232"/>
      <c r="L48" s="232"/>
      <c r="M48" s="232"/>
      <c r="N48" s="232"/>
      <c r="O48" s="232"/>
      <c r="P48" s="232"/>
      <c r="Q48" s="233"/>
      <c r="R48" s="97"/>
    </row>
    <row r="49" spans="1:18">
      <c r="A49" s="113"/>
      <c r="B49" s="113"/>
      <c r="C49" s="113"/>
      <c r="D49" s="231"/>
      <c r="E49" s="232"/>
      <c r="F49" s="232"/>
      <c r="G49" s="232"/>
      <c r="H49" s="232"/>
      <c r="I49" s="232"/>
      <c r="J49" s="232"/>
      <c r="K49" s="232"/>
      <c r="L49" s="232"/>
      <c r="M49" s="232"/>
      <c r="N49" s="232"/>
      <c r="O49" s="232"/>
      <c r="P49" s="232"/>
      <c r="Q49" s="233"/>
      <c r="R49" s="97"/>
    </row>
    <row r="50" spans="1:18">
      <c r="A50" s="113"/>
      <c r="B50" s="113"/>
      <c r="C50" s="113"/>
      <c r="D50" s="234"/>
      <c r="E50" s="235"/>
      <c r="F50" s="235"/>
      <c r="G50" s="235"/>
      <c r="H50" s="235"/>
      <c r="I50" s="235"/>
      <c r="J50" s="235"/>
      <c r="K50" s="235"/>
      <c r="L50" s="235"/>
      <c r="M50" s="235"/>
      <c r="N50" s="235"/>
      <c r="O50" s="235"/>
      <c r="P50" s="235"/>
      <c r="Q50" s="236"/>
      <c r="R50" s="97"/>
    </row>
    <row r="51" spans="1:18" ht="9.9499999999999993" customHeight="1"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7"/>
    </row>
    <row r="52" spans="1:18" ht="24">
      <c r="D52" s="114"/>
      <c r="E52" s="115" t="s">
        <v>0</v>
      </c>
      <c r="F52" s="116" t="s">
        <v>1</v>
      </c>
      <c r="G52" s="116" t="s">
        <v>2</v>
      </c>
      <c r="H52" s="116" t="s">
        <v>3</v>
      </c>
      <c r="I52" s="116" t="s">
        <v>61</v>
      </c>
      <c r="J52" s="116" t="s">
        <v>60</v>
      </c>
      <c r="K52" s="116" t="s">
        <v>59</v>
      </c>
      <c r="L52" s="117"/>
      <c r="M52" s="116" t="s">
        <v>5</v>
      </c>
      <c r="N52" s="116" t="s">
        <v>6</v>
      </c>
      <c r="O52" s="116" t="s">
        <v>7</v>
      </c>
      <c r="P52" s="116" t="s">
        <v>8</v>
      </c>
      <c r="Q52" s="118" t="s">
        <v>9</v>
      </c>
      <c r="R52" s="119" t="s">
        <v>58</v>
      </c>
    </row>
    <row r="53" spans="1:18" ht="30" customHeight="1">
      <c r="D53" s="120" t="s">
        <v>57</v>
      </c>
      <c r="E53" s="121"/>
      <c r="F53" s="41" t="s">
        <v>312</v>
      </c>
      <c r="G53" s="70"/>
      <c r="H53" s="41"/>
      <c r="I53" s="224" t="s">
        <v>460</v>
      </c>
      <c r="J53" s="41" t="s">
        <v>242</v>
      </c>
      <c r="K53" s="41"/>
      <c r="L53" s="28"/>
      <c r="M53" s="164" t="s">
        <v>452</v>
      </c>
      <c r="N53" s="41"/>
      <c r="O53" s="41"/>
      <c r="P53" s="41"/>
      <c r="Q53" s="41"/>
      <c r="R53" s="122"/>
    </row>
    <row r="54" spans="1:18" ht="30" customHeight="1">
      <c r="D54" s="123" t="s">
        <v>56</v>
      </c>
      <c r="E54" s="161"/>
      <c r="F54" s="53"/>
      <c r="G54" s="53" t="s">
        <v>193</v>
      </c>
      <c r="H54" s="53"/>
      <c r="I54" s="50"/>
      <c r="J54" s="53"/>
      <c r="K54" s="53" t="s">
        <v>157</v>
      </c>
      <c r="L54" s="35"/>
      <c r="M54" s="53"/>
      <c r="N54" s="53"/>
      <c r="O54" s="53"/>
      <c r="P54" s="125"/>
      <c r="Q54" s="53"/>
      <c r="R54" s="126"/>
    </row>
    <row r="55" spans="1:18" ht="69.95" customHeight="1">
      <c r="D55" s="127" t="s">
        <v>55</v>
      </c>
      <c r="E55" s="217" t="s">
        <v>413</v>
      </c>
      <c r="F55" s="50" t="s">
        <v>171</v>
      </c>
      <c r="G55" s="50" t="s">
        <v>47</v>
      </c>
      <c r="H55" s="50" t="s">
        <v>300</v>
      </c>
      <c r="I55" s="53" t="s">
        <v>162</v>
      </c>
      <c r="J55" s="50" t="s">
        <v>180</v>
      </c>
      <c r="K55" s="50" t="s">
        <v>313</v>
      </c>
      <c r="L55" s="35"/>
      <c r="M55" s="50"/>
      <c r="N55" s="53"/>
      <c r="O55" s="53" t="s">
        <v>314</v>
      </c>
      <c r="P55" s="53"/>
      <c r="Q55" s="53"/>
      <c r="R55" s="128" t="s">
        <v>311</v>
      </c>
    </row>
    <row r="56" spans="1:18" ht="30" customHeight="1">
      <c r="D56" s="120" t="s">
        <v>35</v>
      </c>
      <c r="E56" s="124"/>
      <c r="F56" s="125"/>
      <c r="G56" s="53"/>
      <c r="H56" s="53"/>
      <c r="I56" s="53"/>
      <c r="J56" s="53"/>
      <c r="K56" s="53"/>
      <c r="L56" s="106"/>
      <c r="M56" s="125"/>
      <c r="N56" s="125"/>
      <c r="O56" s="125"/>
      <c r="P56" s="125"/>
      <c r="Q56" s="125"/>
      <c r="R56" s="126"/>
    </row>
    <row r="57" spans="1:18" ht="30" customHeight="1">
      <c r="D57" s="129" t="s">
        <v>54</v>
      </c>
      <c r="E57" s="130"/>
      <c r="F57" s="131"/>
      <c r="G57" s="132"/>
      <c r="H57" s="131"/>
      <c r="I57" s="131"/>
      <c r="J57" s="131"/>
      <c r="K57" s="131"/>
      <c r="L57" s="133"/>
      <c r="M57" s="131"/>
      <c r="N57" s="131"/>
      <c r="O57" s="132" t="s">
        <v>22</v>
      </c>
      <c r="P57" s="132"/>
      <c r="Q57" s="131"/>
      <c r="R57" s="134"/>
    </row>
    <row r="60" spans="1:18" ht="24">
      <c r="D60" s="142"/>
      <c r="E60" s="116" t="s">
        <v>0</v>
      </c>
      <c r="F60" s="116" t="s">
        <v>1</v>
      </c>
      <c r="G60" s="116" t="s">
        <v>2</v>
      </c>
      <c r="H60" s="116" t="s">
        <v>3</v>
      </c>
      <c r="I60" s="116" t="s">
        <v>61</v>
      </c>
      <c r="J60" s="116" t="s">
        <v>60</v>
      </c>
      <c r="K60" s="116" t="s">
        <v>59</v>
      </c>
      <c r="L60" s="117"/>
      <c r="M60" s="116" t="s">
        <v>5</v>
      </c>
      <c r="N60" s="116" t="s">
        <v>6</v>
      </c>
      <c r="O60" s="116" t="s">
        <v>7</v>
      </c>
      <c r="P60" s="116" t="s">
        <v>8</v>
      </c>
      <c r="Q60" s="116" t="s">
        <v>9</v>
      </c>
      <c r="R60" s="119" t="s">
        <v>58</v>
      </c>
    </row>
    <row r="61" spans="1:18">
      <c r="D61" s="143" t="s">
        <v>123</v>
      </c>
      <c r="E61" s="144"/>
      <c r="F61" s="144"/>
      <c r="G61" s="144"/>
      <c r="H61" s="154" t="s">
        <v>281</v>
      </c>
      <c r="I61" s="155"/>
      <c r="J61" s="155"/>
      <c r="K61" s="144"/>
      <c r="L61" s="145"/>
      <c r="M61" s="144"/>
      <c r="N61" s="144"/>
      <c r="O61" s="144"/>
      <c r="P61" s="144"/>
      <c r="Q61" s="144"/>
      <c r="R61" s="146"/>
    </row>
    <row r="62" spans="1:18">
      <c r="D62" s="147"/>
      <c r="E62" s="148"/>
      <c r="F62" s="148"/>
      <c r="G62" s="148"/>
      <c r="H62" s="165"/>
      <c r="I62" s="156"/>
      <c r="J62" s="156"/>
      <c r="K62" s="148"/>
      <c r="L62" s="149"/>
      <c r="M62" s="148"/>
      <c r="N62" s="148"/>
      <c r="O62" s="148"/>
      <c r="P62" s="148"/>
      <c r="Q62" s="148"/>
      <c r="R62" s="150"/>
    </row>
    <row r="63" spans="1:18">
      <c r="H63" s="16"/>
      <c r="I63" s="16"/>
      <c r="J63" s="16"/>
    </row>
  </sheetData>
  <mergeCells count="22">
    <mergeCell ref="A1:Q1"/>
    <mergeCell ref="A2:Q2"/>
    <mergeCell ref="T4:Y4"/>
    <mergeCell ref="C4:D9"/>
    <mergeCell ref="T5:Y9"/>
    <mergeCell ref="C14:D14"/>
    <mergeCell ref="C15:D21"/>
    <mergeCell ref="C22:D22"/>
    <mergeCell ref="T24:Y28"/>
    <mergeCell ref="T11:Y17"/>
    <mergeCell ref="T18:Y18"/>
    <mergeCell ref="T19:Y22"/>
    <mergeCell ref="P10:Q13"/>
    <mergeCell ref="P23:Q26"/>
    <mergeCell ref="T10:Y10"/>
    <mergeCell ref="D40:Q50"/>
    <mergeCell ref="T23:Y23"/>
    <mergeCell ref="C27:D28"/>
    <mergeCell ref="A30:A31"/>
    <mergeCell ref="B30:B31"/>
    <mergeCell ref="C30:D32"/>
    <mergeCell ref="T30:Y32"/>
  </mergeCells>
  <phoneticPr fontId="3" type="noConversion"/>
  <pageMargins left="0.7" right="0.7" top="0.75" bottom="0.75" header="0.3" footer="0.3"/>
  <pageSetup paperSize="9" scale="32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63"/>
  <sheetViews>
    <sheetView topLeftCell="A2" zoomScale="85" zoomScaleNormal="85" workbookViewId="0">
      <selection activeCell="N11" sqref="N11"/>
    </sheetView>
  </sheetViews>
  <sheetFormatPr defaultRowHeight="16.5"/>
  <cols>
    <col min="1" max="1" width="3.25" style="14" customWidth="1"/>
    <col min="2" max="2" width="10" style="112" customWidth="1"/>
    <col min="3" max="4" width="11.875" style="112" customWidth="1"/>
    <col min="5" max="11" width="11.875" style="14" customWidth="1"/>
    <col min="12" max="12" width="2.625" style="89" customWidth="1"/>
    <col min="13" max="17" width="11.875" style="14" customWidth="1"/>
    <col min="18" max="18" width="11.875" style="91" customWidth="1"/>
    <col min="19" max="19" width="6.125" style="14" customWidth="1"/>
    <col min="20" max="25" width="8.125" style="14" customWidth="1"/>
    <col min="26" max="16384" width="9" style="14"/>
  </cols>
  <sheetData>
    <row r="1" spans="1:30" ht="16.5" hidden="1" customHeight="1">
      <c r="A1" s="304" t="s">
        <v>147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13"/>
    </row>
    <row r="2" spans="1:30" ht="18" customHeight="1">
      <c r="A2" s="306" t="s">
        <v>390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15"/>
      <c r="T2" s="16"/>
      <c r="U2" s="16"/>
      <c r="V2" s="16"/>
      <c r="W2" s="16"/>
      <c r="X2" s="16"/>
      <c r="Y2" s="16"/>
      <c r="AA2" s="16"/>
      <c r="AB2" s="16"/>
      <c r="AC2" s="16"/>
      <c r="AD2" s="16"/>
    </row>
    <row r="3" spans="1:30" ht="21" customHeight="1" thickBot="1">
      <c r="A3" s="17"/>
      <c r="B3" s="18" t="s">
        <v>146</v>
      </c>
      <c r="C3" s="19" t="s">
        <v>145</v>
      </c>
      <c r="D3" s="19" t="s">
        <v>144</v>
      </c>
      <c r="E3" s="19" t="s">
        <v>0</v>
      </c>
      <c r="F3" s="19" t="s">
        <v>1</v>
      </c>
      <c r="G3" s="19" t="s">
        <v>2</v>
      </c>
      <c r="H3" s="19" t="s">
        <v>3</v>
      </c>
      <c r="I3" s="19" t="s">
        <v>61</v>
      </c>
      <c r="J3" s="19" t="s">
        <v>60</v>
      </c>
      <c r="K3" s="19" t="s">
        <v>59</v>
      </c>
      <c r="L3" s="20" t="s">
        <v>4</v>
      </c>
      <c r="M3" s="19" t="s">
        <v>5</v>
      </c>
      <c r="N3" s="19" t="s">
        <v>6</v>
      </c>
      <c r="O3" s="19" t="s">
        <v>7</v>
      </c>
      <c r="P3" s="19" t="s">
        <v>8</v>
      </c>
      <c r="Q3" s="19" t="s">
        <v>9</v>
      </c>
      <c r="R3" s="21">
        <f>AVERAGE(R4:R32)</f>
        <v>0.97742504409171083</v>
      </c>
      <c r="S3" s="22"/>
      <c r="T3" s="16"/>
      <c r="U3" s="16"/>
      <c r="V3" s="16"/>
      <c r="W3" s="16"/>
      <c r="X3" s="16"/>
      <c r="Y3" s="16"/>
      <c r="Z3" s="23"/>
      <c r="AA3" s="16"/>
      <c r="AB3" s="16"/>
      <c r="AC3" s="16"/>
      <c r="AD3" s="16"/>
    </row>
    <row r="4" spans="1:30" s="16" customFormat="1" ht="27.95" customHeight="1" thickBot="1">
      <c r="A4" s="24">
        <v>1</v>
      </c>
      <c r="B4" s="25" t="s">
        <v>143</v>
      </c>
      <c r="C4" s="311"/>
      <c r="D4" s="312"/>
      <c r="E4" s="205" t="s">
        <v>254</v>
      </c>
      <c r="F4" s="184" t="s">
        <v>215</v>
      </c>
      <c r="G4" s="2" t="s">
        <v>109</v>
      </c>
      <c r="H4" s="200" t="s">
        <v>401</v>
      </c>
      <c r="I4" s="27" t="s">
        <v>296</v>
      </c>
      <c r="J4" s="28" t="s">
        <v>142</v>
      </c>
      <c r="K4" s="27" t="s">
        <v>141</v>
      </c>
      <c r="L4" s="29"/>
      <c r="M4" s="27" t="s">
        <v>67</v>
      </c>
      <c r="N4" s="26" t="s">
        <v>308</v>
      </c>
      <c r="O4" s="27" t="s">
        <v>173</v>
      </c>
      <c r="P4" s="30" t="s">
        <v>43</v>
      </c>
      <c r="Q4" s="1" t="s">
        <v>140</v>
      </c>
      <c r="R4" s="31">
        <f>(COUNTA(G4:Q4))/10</f>
        <v>1</v>
      </c>
      <c r="S4" s="22"/>
      <c r="T4" s="308" t="s">
        <v>340</v>
      </c>
      <c r="U4" s="309"/>
      <c r="V4" s="309"/>
      <c r="W4" s="309"/>
      <c r="X4" s="309"/>
      <c r="Y4" s="310"/>
    </row>
    <row r="5" spans="1:30" s="16" customFormat="1" ht="27.95" customHeight="1">
      <c r="A5" s="24">
        <v>2</v>
      </c>
      <c r="B5" s="36" t="s">
        <v>108</v>
      </c>
      <c r="C5" s="313"/>
      <c r="D5" s="314"/>
      <c r="E5" s="30" t="s">
        <v>66</v>
      </c>
      <c r="F5" s="23" t="s">
        <v>79</v>
      </c>
      <c r="G5" s="27" t="s">
        <v>107</v>
      </c>
      <c r="H5" s="29" t="s">
        <v>196</v>
      </c>
      <c r="I5" s="27" t="s">
        <v>128</v>
      </c>
      <c r="J5" s="157" t="s">
        <v>336</v>
      </c>
      <c r="K5" s="27" t="s">
        <v>110</v>
      </c>
      <c r="L5" s="28"/>
      <c r="M5" s="27" t="s">
        <v>252</v>
      </c>
      <c r="N5" s="41" t="s">
        <v>182</v>
      </c>
      <c r="O5" s="29" t="s">
        <v>315</v>
      </c>
      <c r="P5" s="141" t="s">
        <v>220</v>
      </c>
      <c r="Q5" s="141" t="s">
        <v>347</v>
      </c>
      <c r="R5" s="31">
        <f>(COUNTA(C5:Q5))/12</f>
        <v>1</v>
      </c>
      <c r="S5" s="22"/>
      <c r="T5" s="289" t="s">
        <v>405</v>
      </c>
      <c r="U5" s="317"/>
      <c r="V5" s="317"/>
      <c r="W5" s="317"/>
      <c r="X5" s="317"/>
      <c r="Y5" s="318"/>
    </row>
    <row r="6" spans="1:30" s="16" customFormat="1" ht="27.95" customHeight="1">
      <c r="A6" s="24">
        <v>3</v>
      </c>
      <c r="B6" s="51" t="s">
        <v>139</v>
      </c>
      <c r="C6" s="313"/>
      <c r="D6" s="314"/>
      <c r="E6" s="28" t="s">
        <v>129</v>
      </c>
      <c r="F6" s="30" t="s">
        <v>163</v>
      </c>
      <c r="G6" s="26" t="s">
        <v>138</v>
      </c>
      <c r="H6" s="30" t="s">
        <v>324</v>
      </c>
      <c r="I6" s="30" t="s">
        <v>137</v>
      </c>
      <c r="J6" s="157" t="s">
        <v>255</v>
      </c>
      <c r="K6" s="26" t="s">
        <v>154</v>
      </c>
      <c r="L6" s="30"/>
      <c r="M6" s="26" t="s">
        <v>174</v>
      </c>
      <c r="N6" s="206" t="s">
        <v>399</v>
      </c>
      <c r="O6" s="27" t="s">
        <v>135</v>
      </c>
      <c r="P6" s="141" t="s">
        <v>348</v>
      </c>
      <c r="Q6" s="141" t="s">
        <v>229</v>
      </c>
      <c r="R6" s="31">
        <f>(COUNTA(C6:Q6))/12</f>
        <v>1</v>
      </c>
      <c r="S6" s="22"/>
      <c r="T6" s="319"/>
      <c r="U6" s="320"/>
      <c r="V6" s="320"/>
      <c r="W6" s="320"/>
      <c r="X6" s="320"/>
      <c r="Y6" s="321"/>
    </row>
    <row r="7" spans="1:30" s="16" customFormat="1" ht="27.95" customHeight="1">
      <c r="A7" s="24">
        <v>4</v>
      </c>
      <c r="B7" s="25" t="s">
        <v>134</v>
      </c>
      <c r="C7" s="313"/>
      <c r="D7" s="314"/>
      <c r="E7" s="2" t="s">
        <v>133</v>
      </c>
      <c r="F7" s="26" t="s">
        <v>132</v>
      </c>
      <c r="G7" s="26" t="s">
        <v>209</v>
      </c>
      <c r="H7" s="26" t="s">
        <v>79</v>
      </c>
      <c r="I7" s="27" t="s">
        <v>252</v>
      </c>
      <c r="J7" s="3" t="s">
        <v>131</v>
      </c>
      <c r="K7" s="207" t="s">
        <v>246</v>
      </c>
      <c r="L7" s="30"/>
      <c r="M7" s="30" t="s">
        <v>122</v>
      </c>
      <c r="N7" s="157" t="s">
        <v>227</v>
      </c>
      <c r="O7" s="26" t="s">
        <v>194</v>
      </c>
      <c r="P7" s="33" t="s">
        <v>346</v>
      </c>
      <c r="Q7" s="11" t="s">
        <v>349</v>
      </c>
      <c r="R7" s="31">
        <f>(COUNTA(C7:Q7))/10</f>
        <v>1.2</v>
      </c>
      <c r="S7" s="22"/>
      <c r="T7" s="319"/>
      <c r="U7" s="320"/>
      <c r="V7" s="320"/>
      <c r="W7" s="320"/>
      <c r="X7" s="320"/>
      <c r="Y7" s="321"/>
    </row>
    <row r="8" spans="1:30" s="16" customFormat="1" ht="27.95" customHeight="1">
      <c r="A8" s="24">
        <v>5</v>
      </c>
      <c r="B8" s="34" t="s">
        <v>214</v>
      </c>
      <c r="C8" s="313"/>
      <c r="D8" s="314"/>
      <c r="E8" s="26" t="s">
        <v>297</v>
      </c>
      <c r="F8" s="26" t="s">
        <v>229</v>
      </c>
      <c r="G8" s="26" t="s">
        <v>308</v>
      </c>
      <c r="H8" s="26" t="s">
        <v>243</v>
      </c>
      <c r="I8" s="26" t="s">
        <v>245</v>
      </c>
      <c r="J8" s="26" t="s">
        <v>174</v>
      </c>
      <c r="K8" s="30" t="s">
        <v>120</v>
      </c>
      <c r="L8" s="26"/>
      <c r="M8" s="26" t="s">
        <v>270</v>
      </c>
      <c r="N8" s="35" t="s">
        <v>215</v>
      </c>
      <c r="O8" s="208" t="s">
        <v>42</v>
      </c>
      <c r="P8" s="30" t="s">
        <v>151</v>
      </c>
      <c r="Q8" s="138" t="s">
        <v>244</v>
      </c>
      <c r="R8" s="31">
        <f t="shared" ref="R8:R25" si="0">(COUNTA(C8:Q8))/12</f>
        <v>1</v>
      </c>
      <c r="S8" s="22"/>
      <c r="T8" s="319"/>
      <c r="U8" s="320"/>
      <c r="V8" s="320"/>
      <c r="W8" s="320"/>
      <c r="X8" s="320"/>
      <c r="Y8" s="321"/>
    </row>
    <row r="9" spans="1:30" s="16" customFormat="1" ht="27.95" customHeight="1" thickBot="1">
      <c r="A9" s="24">
        <v>6</v>
      </c>
      <c r="B9" s="190" t="s">
        <v>392</v>
      </c>
      <c r="C9" s="315"/>
      <c r="D9" s="316"/>
      <c r="E9" s="191" t="s">
        <v>126</v>
      </c>
      <c r="F9" s="191" t="s">
        <v>371</v>
      </c>
      <c r="G9" s="191" t="s">
        <v>153</v>
      </c>
      <c r="H9" s="191"/>
      <c r="I9" s="191" t="s">
        <v>177</v>
      </c>
      <c r="J9" s="191" t="s">
        <v>380</v>
      </c>
      <c r="K9" s="192"/>
      <c r="L9" s="191"/>
      <c r="M9" s="191" t="s">
        <v>150</v>
      </c>
      <c r="N9" s="193" t="s">
        <v>269</v>
      </c>
      <c r="O9" s="194"/>
      <c r="P9" s="195"/>
      <c r="Q9" s="191" t="s">
        <v>230</v>
      </c>
      <c r="R9" s="31">
        <f t="shared" si="0"/>
        <v>0.66666666666666663</v>
      </c>
      <c r="S9" s="22"/>
      <c r="T9" s="322"/>
      <c r="U9" s="323"/>
      <c r="V9" s="323"/>
      <c r="W9" s="323"/>
      <c r="X9" s="323"/>
      <c r="Y9" s="324"/>
    </row>
    <row r="10" spans="1:30" s="16" customFormat="1" ht="27.95" customHeight="1" thickBot="1">
      <c r="A10" s="24">
        <v>7</v>
      </c>
      <c r="B10" s="34" t="s">
        <v>119</v>
      </c>
      <c r="C10" s="40" t="s">
        <v>110</v>
      </c>
      <c r="D10" s="40" t="s">
        <v>110</v>
      </c>
      <c r="E10" s="26" t="s">
        <v>117</v>
      </c>
      <c r="F10" s="26" t="s">
        <v>118</v>
      </c>
      <c r="G10" s="26" t="s">
        <v>11</v>
      </c>
      <c r="H10" s="26" t="s">
        <v>228</v>
      </c>
      <c r="I10" s="141" t="s">
        <v>375</v>
      </c>
      <c r="J10" s="26" t="s">
        <v>156</v>
      </c>
      <c r="K10" s="2" t="s">
        <v>116</v>
      </c>
      <c r="L10" s="26"/>
      <c r="M10" s="26" t="s">
        <v>10</v>
      </c>
      <c r="N10" s="35" t="s">
        <v>115</v>
      </c>
      <c r="O10" s="179" t="s">
        <v>114</v>
      </c>
      <c r="P10" s="292"/>
      <c r="Q10" s="293"/>
      <c r="R10" s="31">
        <f t="shared" si="0"/>
        <v>1</v>
      </c>
      <c r="S10" s="22"/>
      <c r="T10" s="237" t="s">
        <v>341</v>
      </c>
      <c r="U10" s="238"/>
      <c r="V10" s="238"/>
      <c r="W10" s="238"/>
      <c r="X10" s="238"/>
      <c r="Y10" s="239"/>
    </row>
    <row r="11" spans="1:30" s="16" customFormat="1" ht="27.95" customHeight="1">
      <c r="A11" s="24">
        <v>8</v>
      </c>
      <c r="B11" s="186" t="s">
        <v>113</v>
      </c>
      <c r="C11" s="158" t="s">
        <v>308</v>
      </c>
      <c r="D11" s="158" t="s">
        <v>308</v>
      </c>
      <c r="E11" s="2" t="s">
        <v>118</v>
      </c>
      <c r="F11" s="30" t="s">
        <v>282</v>
      </c>
      <c r="G11" s="26" t="s">
        <v>197</v>
      </c>
      <c r="H11" s="141" t="s">
        <v>229</v>
      </c>
      <c r="I11" s="2" t="s">
        <v>10</v>
      </c>
      <c r="J11" s="26" t="s">
        <v>235</v>
      </c>
      <c r="K11" s="26" t="s">
        <v>292</v>
      </c>
      <c r="L11" s="26"/>
      <c r="M11" s="26" t="s">
        <v>12</v>
      </c>
      <c r="N11" s="30" t="s">
        <v>112</v>
      </c>
      <c r="O11" s="29" t="s">
        <v>111</v>
      </c>
      <c r="P11" s="294"/>
      <c r="Q11" s="295"/>
      <c r="R11" s="31">
        <f t="shared" si="0"/>
        <v>1</v>
      </c>
      <c r="S11" s="22"/>
      <c r="T11" s="280" t="s">
        <v>406</v>
      </c>
      <c r="U11" s="281"/>
      <c r="V11" s="281"/>
      <c r="W11" s="281"/>
      <c r="X11" s="281"/>
      <c r="Y11" s="282"/>
      <c r="Z11" s="42"/>
    </row>
    <row r="12" spans="1:30" s="16" customFormat="1" ht="27.95" customHeight="1">
      <c r="A12" s="24">
        <v>9</v>
      </c>
      <c r="B12" s="36" t="s">
        <v>130</v>
      </c>
      <c r="C12" s="158" t="s">
        <v>358</v>
      </c>
      <c r="D12" s="158" t="s">
        <v>358</v>
      </c>
      <c r="E12" s="26" t="s">
        <v>49</v>
      </c>
      <c r="F12" s="26" t="s">
        <v>124</v>
      </c>
      <c r="G12" s="28" t="s">
        <v>129</v>
      </c>
      <c r="H12" s="26" t="s">
        <v>128</v>
      </c>
      <c r="I12" s="26" t="s">
        <v>121</v>
      </c>
      <c r="J12" s="30" t="s">
        <v>286</v>
      </c>
      <c r="K12" s="23" t="s">
        <v>182</v>
      </c>
      <c r="L12" s="26"/>
      <c r="M12" s="167" t="s">
        <v>329</v>
      </c>
      <c r="N12" s="30" t="s">
        <v>263</v>
      </c>
      <c r="O12" s="2" t="s">
        <v>236</v>
      </c>
      <c r="P12" s="294"/>
      <c r="Q12" s="295"/>
      <c r="R12" s="31">
        <f t="shared" si="0"/>
        <v>1</v>
      </c>
      <c r="S12" s="22"/>
      <c r="T12" s="280"/>
      <c r="U12" s="281"/>
      <c r="V12" s="281"/>
      <c r="W12" s="281"/>
      <c r="X12" s="281"/>
      <c r="Y12" s="282"/>
    </row>
    <row r="13" spans="1:30" s="16" customFormat="1" ht="27.95" customHeight="1" thickBot="1">
      <c r="A13" s="24">
        <v>10</v>
      </c>
      <c r="B13" s="170" t="s">
        <v>125</v>
      </c>
      <c r="C13" s="159" t="s">
        <v>79</v>
      </c>
      <c r="D13" s="159" t="s">
        <v>79</v>
      </c>
      <c r="E13" s="37" t="s">
        <v>114</v>
      </c>
      <c r="F13" s="38" t="s">
        <v>251</v>
      </c>
      <c r="G13" s="37" t="s">
        <v>152</v>
      </c>
      <c r="H13" s="37" t="s">
        <v>124</v>
      </c>
      <c r="I13" s="39" t="s">
        <v>239</v>
      </c>
      <c r="J13" s="37" t="s">
        <v>297</v>
      </c>
      <c r="K13" s="37" t="s">
        <v>43</v>
      </c>
      <c r="L13" s="9"/>
      <c r="M13" s="37" t="s">
        <v>292</v>
      </c>
      <c r="N13" s="37" t="s">
        <v>154</v>
      </c>
      <c r="O13" s="168" t="s">
        <v>259</v>
      </c>
      <c r="P13" s="296"/>
      <c r="Q13" s="297"/>
      <c r="R13" s="31">
        <f t="shared" si="0"/>
        <v>1</v>
      </c>
      <c r="S13" s="22"/>
      <c r="T13" s="280"/>
      <c r="U13" s="281"/>
      <c r="V13" s="281"/>
      <c r="W13" s="281"/>
      <c r="X13" s="281"/>
      <c r="Y13" s="282"/>
    </row>
    <row r="14" spans="1:30" s="48" customFormat="1" ht="27.95" customHeight="1" thickBot="1">
      <c r="A14" s="24">
        <v>11</v>
      </c>
      <c r="B14" s="45" t="s">
        <v>106</v>
      </c>
      <c r="C14" s="261"/>
      <c r="D14" s="262"/>
      <c r="E14" s="39" t="s">
        <v>105</v>
      </c>
      <c r="F14" s="46" t="s">
        <v>182</v>
      </c>
      <c r="G14" s="171" t="s">
        <v>329</v>
      </c>
      <c r="H14" s="46" t="s">
        <v>52</v>
      </c>
      <c r="I14" s="39" t="s">
        <v>261</v>
      </c>
      <c r="J14" s="37" t="s">
        <v>209</v>
      </c>
      <c r="K14" s="37" t="s">
        <v>308</v>
      </c>
      <c r="L14" s="39"/>
      <c r="M14" s="37" t="s">
        <v>285</v>
      </c>
      <c r="N14" s="77" t="s">
        <v>257</v>
      </c>
      <c r="O14" s="168" t="s">
        <v>378</v>
      </c>
      <c r="P14" s="163" t="s">
        <v>221</v>
      </c>
      <c r="Q14" s="39" t="s">
        <v>236</v>
      </c>
      <c r="R14" s="31">
        <f t="shared" si="0"/>
        <v>1</v>
      </c>
      <c r="S14" s="22"/>
      <c r="T14" s="280"/>
      <c r="U14" s="281"/>
      <c r="V14" s="281"/>
      <c r="W14" s="281"/>
      <c r="X14" s="281"/>
      <c r="Y14" s="282"/>
    </row>
    <row r="15" spans="1:30" s="48" customFormat="1" ht="27.95" customHeight="1">
      <c r="A15" s="24">
        <v>12</v>
      </c>
      <c r="B15" s="34" t="s">
        <v>13</v>
      </c>
      <c r="C15" s="263"/>
      <c r="D15" s="264"/>
      <c r="E15" s="27" t="s">
        <v>149</v>
      </c>
      <c r="F15" s="29" t="s">
        <v>322</v>
      </c>
      <c r="G15" s="29" t="s">
        <v>14</v>
      </c>
      <c r="H15" s="29" t="s">
        <v>48</v>
      </c>
      <c r="I15" s="27" t="s">
        <v>45</v>
      </c>
      <c r="J15" s="29" t="s">
        <v>15</v>
      </c>
      <c r="K15" s="27" t="s">
        <v>46</v>
      </c>
      <c r="L15" s="29"/>
      <c r="M15" s="27" t="s">
        <v>16</v>
      </c>
      <c r="N15" s="27" t="s">
        <v>23</v>
      </c>
      <c r="O15" s="29" t="s">
        <v>307</v>
      </c>
      <c r="P15" s="30" t="s">
        <v>21</v>
      </c>
      <c r="Q15" s="68" t="s">
        <v>271</v>
      </c>
      <c r="R15" s="31">
        <f t="shared" si="0"/>
        <v>1</v>
      </c>
      <c r="S15" s="22"/>
      <c r="T15" s="280"/>
      <c r="U15" s="281"/>
      <c r="V15" s="281"/>
      <c r="W15" s="281"/>
      <c r="X15" s="281"/>
      <c r="Y15" s="282"/>
    </row>
    <row r="16" spans="1:30" s="48" customFormat="1" ht="27.95" customHeight="1">
      <c r="A16" s="24">
        <v>13</v>
      </c>
      <c r="B16" s="49" t="s">
        <v>89</v>
      </c>
      <c r="C16" s="265"/>
      <c r="D16" s="266"/>
      <c r="E16" s="27" t="s">
        <v>250</v>
      </c>
      <c r="F16" s="29" t="s">
        <v>18</v>
      </c>
      <c r="G16" s="27" t="s">
        <v>233</v>
      </c>
      <c r="H16" s="27" t="s">
        <v>238</v>
      </c>
      <c r="I16" s="29" t="s">
        <v>88</v>
      </c>
      <c r="J16" s="50" t="s">
        <v>167</v>
      </c>
      <c r="K16" s="29" t="s">
        <v>87</v>
      </c>
      <c r="L16" s="28"/>
      <c r="M16" s="12" t="s">
        <v>184</v>
      </c>
      <c r="N16" s="28" t="s">
        <v>86</v>
      </c>
      <c r="O16" s="26" t="s">
        <v>223</v>
      </c>
      <c r="P16" s="33" t="s">
        <v>317</v>
      </c>
      <c r="Q16" s="157" t="s">
        <v>383</v>
      </c>
      <c r="R16" s="31">
        <f t="shared" si="0"/>
        <v>1</v>
      </c>
      <c r="S16" s="22"/>
      <c r="T16" s="280"/>
      <c r="U16" s="281"/>
      <c r="V16" s="281"/>
      <c r="W16" s="281"/>
      <c r="X16" s="281"/>
      <c r="Y16" s="282"/>
    </row>
    <row r="17" spans="1:31" s="48" customFormat="1" ht="27.95" customHeight="1" thickBot="1">
      <c r="A17" s="24">
        <v>14</v>
      </c>
      <c r="B17" s="49" t="s">
        <v>85</v>
      </c>
      <c r="C17" s="265"/>
      <c r="D17" s="266"/>
      <c r="E17" s="30" t="s">
        <v>20</v>
      </c>
      <c r="F17" s="26" t="s">
        <v>317</v>
      </c>
      <c r="G17" s="26" t="s">
        <v>264</v>
      </c>
      <c r="H17" s="30" t="s">
        <v>231</v>
      </c>
      <c r="I17" s="30" t="s">
        <v>183</v>
      </c>
      <c r="J17" s="27" t="s">
        <v>288</v>
      </c>
      <c r="K17" s="28" t="s">
        <v>84</v>
      </c>
      <c r="L17" s="30"/>
      <c r="M17" s="2" t="s">
        <v>161</v>
      </c>
      <c r="N17" s="53" t="s">
        <v>82</v>
      </c>
      <c r="O17" s="29" t="s">
        <v>291</v>
      </c>
      <c r="P17" s="33" t="s">
        <v>384</v>
      </c>
      <c r="Q17" s="30" t="s">
        <v>295</v>
      </c>
      <c r="R17" s="31">
        <f t="shared" si="0"/>
        <v>1</v>
      </c>
      <c r="S17" s="22"/>
      <c r="T17" s="283"/>
      <c r="U17" s="284"/>
      <c r="V17" s="284"/>
      <c r="W17" s="284"/>
      <c r="X17" s="284"/>
      <c r="Y17" s="285"/>
    </row>
    <row r="18" spans="1:31" s="16" customFormat="1" ht="27.95" customHeight="1" thickBot="1">
      <c r="A18" s="24">
        <v>15</v>
      </c>
      <c r="B18" s="135" t="s">
        <v>202</v>
      </c>
      <c r="C18" s="265"/>
      <c r="D18" s="266"/>
      <c r="E18" s="62" t="s">
        <v>264</v>
      </c>
      <c r="F18" s="26" t="s">
        <v>224</v>
      </c>
      <c r="G18" s="3" t="s">
        <v>323</v>
      </c>
      <c r="H18" s="27" t="s">
        <v>203</v>
      </c>
      <c r="I18" s="30" t="s">
        <v>165</v>
      </c>
      <c r="J18" s="33" t="s">
        <v>328</v>
      </c>
      <c r="K18" s="26" t="s">
        <v>179</v>
      </c>
      <c r="L18" s="35"/>
      <c r="M18" s="30" t="s">
        <v>27</v>
      </c>
      <c r="N18" s="2" t="s">
        <v>237</v>
      </c>
      <c r="O18" s="30" t="s">
        <v>345</v>
      </c>
      <c r="P18" s="33" t="s">
        <v>351</v>
      </c>
      <c r="Q18" s="204" t="s">
        <v>373</v>
      </c>
      <c r="R18" s="31">
        <f t="shared" si="0"/>
        <v>1</v>
      </c>
      <c r="S18" s="22"/>
      <c r="T18" s="286" t="s">
        <v>342</v>
      </c>
      <c r="U18" s="287"/>
      <c r="V18" s="287"/>
      <c r="W18" s="287"/>
      <c r="X18" s="287"/>
      <c r="Y18" s="288"/>
    </row>
    <row r="19" spans="1:31" s="16" customFormat="1" ht="27.95" customHeight="1">
      <c r="A19" s="24">
        <v>16</v>
      </c>
      <c r="B19" s="136" t="s">
        <v>99</v>
      </c>
      <c r="C19" s="265"/>
      <c r="D19" s="266"/>
      <c r="E19" s="62" t="s">
        <v>198</v>
      </c>
      <c r="F19" s="55" t="s">
        <v>98</v>
      </c>
      <c r="G19" s="27" t="s">
        <v>185</v>
      </c>
      <c r="H19" s="27" t="s">
        <v>97</v>
      </c>
      <c r="I19" s="27" t="s">
        <v>17</v>
      </c>
      <c r="J19" s="27" t="s">
        <v>41</v>
      </c>
      <c r="K19" s="201" t="s">
        <v>402</v>
      </c>
      <c r="L19" s="29"/>
      <c r="M19" s="27" t="s">
        <v>159</v>
      </c>
      <c r="N19" s="29" t="s">
        <v>298</v>
      </c>
      <c r="O19" s="41" t="s">
        <v>233</v>
      </c>
      <c r="P19" s="33" t="s">
        <v>350</v>
      </c>
      <c r="Q19" s="141" t="s">
        <v>178</v>
      </c>
      <c r="R19" s="31">
        <f t="shared" si="0"/>
        <v>1</v>
      </c>
      <c r="S19" s="22"/>
      <c r="T19" s="289" t="s">
        <v>377</v>
      </c>
      <c r="U19" s="290"/>
      <c r="V19" s="290"/>
      <c r="W19" s="290"/>
      <c r="X19" s="290"/>
      <c r="Y19" s="291"/>
    </row>
    <row r="20" spans="1:31" s="16" customFormat="1" ht="27.95" customHeight="1">
      <c r="A20" s="24">
        <v>17</v>
      </c>
      <c r="B20" s="54" t="s">
        <v>213</v>
      </c>
      <c r="C20" s="265"/>
      <c r="D20" s="266"/>
      <c r="E20" s="30" t="s">
        <v>200</v>
      </c>
      <c r="F20" s="26" t="s">
        <v>289</v>
      </c>
      <c r="G20" s="26" t="s">
        <v>317</v>
      </c>
      <c r="H20" s="30" t="s">
        <v>287</v>
      </c>
      <c r="I20" s="30" t="s">
        <v>241</v>
      </c>
      <c r="J20" s="27" t="s">
        <v>249</v>
      </c>
      <c r="K20" s="164" t="s">
        <v>322</v>
      </c>
      <c r="L20" s="30"/>
      <c r="M20" s="2" t="s">
        <v>322</v>
      </c>
      <c r="N20" s="167" t="s">
        <v>374</v>
      </c>
      <c r="O20" s="201" t="s">
        <v>403</v>
      </c>
      <c r="P20" s="167" t="s">
        <v>240</v>
      </c>
      <c r="Q20" s="56" t="s">
        <v>181</v>
      </c>
      <c r="R20" s="31">
        <f t="shared" si="0"/>
        <v>1</v>
      </c>
      <c r="S20" s="22"/>
      <c r="T20" s="280"/>
      <c r="U20" s="281"/>
      <c r="V20" s="281"/>
      <c r="W20" s="281"/>
      <c r="X20" s="281"/>
      <c r="Y20" s="282"/>
    </row>
    <row r="21" spans="1:31" s="16" customFormat="1" ht="27.95" customHeight="1" thickBot="1">
      <c r="A21" s="24">
        <v>18</v>
      </c>
      <c r="B21" s="57" t="s">
        <v>92</v>
      </c>
      <c r="C21" s="267"/>
      <c r="D21" s="268"/>
      <c r="E21" s="181" t="s">
        <v>374</v>
      </c>
      <c r="F21" s="58" t="s">
        <v>148</v>
      </c>
      <c r="G21" s="10" t="s">
        <v>299</v>
      </c>
      <c r="H21" s="43" t="s">
        <v>41</v>
      </c>
      <c r="I21" s="43" t="s">
        <v>176</v>
      </c>
      <c r="J21" s="183" t="s">
        <v>379</v>
      </c>
      <c r="K21" s="43" t="s">
        <v>199</v>
      </c>
      <c r="L21" s="85"/>
      <c r="M21" s="183" t="s">
        <v>195</v>
      </c>
      <c r="N21" s="162" t="s">
        <v>234</v>
      </c>
      <c r="O21" s="43" t="s">
        <v>226</v>
      </c>
      <c r="P21" s="58" t="s">
        <v>91</v>
      </c>
      <c r="Q21" s="43" t="s">
        <v>90</v>
      </c>
      <c r="R21" s="31">
        <f t="shared" si="0"/>
        <v>1</v>
      </c>
      <c r="S21" s="22"/>
      <c r="T21" s="280"/>
      <c r="U21" s="281"/>
      <c r="V21" s="281"/>
      <c r="W21" s="281"/>
      <c r="X21" s="281"/>
      <c r="Y21" s="282"/>
    </row>
    <row r="22" spans="1:31" s="16" customFormat="1" ht="27.95" customHeight="1" thickBot="1">
      <c r="A22" s="24">
        <v>19</v>
      </c>
      <c r="B22" s="59" t="s">
        <v>83</v>
      </c>
      <c r="C22" s="269"/>
      <c r="D22" s="270"/>
      <c r="E22" s="37" t="s">
        <v>179</v>
      </c>
      <c r="F22" s="37" t="s">
        <v>226</v>
      </c>
      <c r="G22" s="60" t="s">
        <v>166</v>
      </c>
      <c r="H22" s="37" t="s">
        <v>317</v>
      </c>
      <c r="I22" s="37" t="s">
        <v>302</v>
      </c>
      <c r="J22" s="37" t="s">
        <v>53</v>
      </c>
      <c r="K22" s="46" t="s">
        <v>82</v>
      </c>
      <c r="L22" s="46"/>
      <c r="M22" s="182" t="s">
        <v>372</v>
      </c>
      <c r="N22" s="39" t="s">
        <v>198</v>
      </c>
      <c r="O22" s="47"/>
      <c r="P22" s="39" t="s">
        <v>283</v>
      </c>
      <c r="Q22" s="168" t="s">
        <v>264</v>
      </c>
      <c r="R22" s="31">
        <f t="shared" si="0"/>
        <v>0.91666666666666663</v>
      </c>
      <c r="S22" s="22"/>
      <c r="T22" s="283"/>
      <c r="U22" s="284"/>
      <c r="V22" s="284"/>
      <c r="W22" s="284"/>
      <c r="X22" s="284"/>
      <c r="Y22" s="285"/>
    </row>
    <row r="23" spans="1:31" s="16" customFormat="1" ht="27.95" customHeight="1" thickBot="1">
      <c r="A23" s="24">
        <v>20</v>
      </c>
      <c r="B23" s="187" t="s">
        <v>24</v>
      </c>
      <c r="C23" s="61" t="s">
        <v>363</v>
      </c>
      <c r="D23" s="61" t="s">
        <v>363</v>
      </c>
      <c r="E23" s="62" t="s">
        <v>172</v>
      </c>
      <c r="F23" s="62" t="s">
        <v>264</v>
      </c>
      <c r="G23" s="29" t="s">
        <v>44</v>
      </c>
      <c r="H23" s="3" t="s">
        <v>26</v>
      </c>
      <c r="I23" s="27" t="s">
        <v>210</v>
      </c>
      <c r="J23" s="27" t="s">
        <v>183</v>
      </c>
      <c r="K23" s="27" t="s">
        <v>25</v>
      </c>
      <c r="L23" s="63"/>
      <c r="M23" s="41" t="s">
        <v>234</v>
      </c>
      <c r="N23" s="27" t="s">
        <v>250</v>
      </c>
      <c r="O23" s="3" t="s">
        <v>22</v>
      </c>
      <c r="P23" s="298"/>
      <c r="Q23" s="299"/>
      <c r="R23" s="31">
        <f t="shared" si="0"/>
        <v>1</v>
      </c>
      <c r="S23" s="22"/>
      <c r="T23" s="237" t="s">
        <v>343</v>
      </c>
      <c r="U23" s="238"/>
      <c r="V23" s="238"/>
      <c r="W23" s="238"/>
      <c r="X23" s="238"/>
      <c r="Y23" s="239"/>
    </row>
    <row r="24" spans="1:31" s="16" customFormat="1" ht="27.95" customHeight="1">
      <c r="A24" s="24">
        <v>21</v>
      </c>
      <c r="B24" s="51" t="s">
        <v>104</v>
      </c>
      <c r="C24" s="64" t="s">
        <v>191</v>
      </c>
      <c r="D24" s="64" t="s">
        <v>50</v>
      </c>
      <c r="E24" s="2" t="s">
        <v>175</v>
      </c>
      <c r="F24" s="50" t="s">
        <v>171</v>
      </c>
      <c r="G24" s="27" t="s">
        <v>69</v>
      </c>
      <c r="H24" s="26" t="s">
        <v>272</v>
      </c>
      <c r="I24" s="2" t="s">
        <v>162</v>
      </c>
      <c r="J24" s="27" t="s">
        <v>103</v>
      </c>
      <c r="K24" s="30" t="s">
        <v>210</v>
      </c>
      <c r="L24" s="30"/>
      <c r="M24" s="27" t="s">
        <v>183</v>
      </c>
      <c r="N24" s="27" t="s">
        <v>102</v>
      </c>
      <c r="O24" s="26" t="s">
        <v>101</v>
      </c>
      <c r="P24" s="300"/>
      <c r="Q24" s="301"/>
      <c r="R24" s="31">
        <f t="shared" si="0"/>
        <v>1</v>
      </c>
      <c r="S24" s="22"/>
      <c r="T24" s="289" t="s">
        <v>407</v>
      </c>
      <c r="U24" s="290"/>
      <c r="V24" s="290"/>
      <c r="W24" s="290"/>
      <c r="X24" s="290"/>
      <c r="Y24" s="291"/>
    </row>
    <row r="25" spans="1:31" s="16" customFormat="1" ht="27.95" customHeight="1">
      <c r="A25" s="24">
        <v>22</v>
      </c>
      <c r="B25" s="186" t="s">
        <v>204</v>
      </c>
      <c r="C25" s="64" t="s">
        <v>51</v>
      </c>
      <c r="D25" s="64" t="s">
        <v>187</v>
      </c>
      <c r="E25" s="32" t="s">
        <v>268</v>
      </c>
      <c r="F25" s="33" t="s">
        <v>376</v>
      </c>
      <c r="G25" s="2" t="s">
        <v>149</v>
      </c>
      <c r="H25" s="30" t="s">
        <v>290</v>
      </c>
      <c r="I25" s="176" t="s">
        <v>205</v>
      </c>
      <c r="J25" s="101" t="s">
        <v>206</v>
      </c>
      <c r="K25" s="30"/>
      <c r="L25" s="101"/>
      <c r="M25" s="30" t="s">
        <v>19</v>
      </c>
      <c r="N25" s="26" t="s">
        <v>283</v>
      </c>
      <c r="O25" s="2" t="s">
        <v>155</v>
      </c>
      <c r="P25" s="300"/>
      <c r="Q25" s="301"/>
      <c r="R25" s="31">
        <f t="shared" si="0"/>
        <v>0.91666666666666663</v>
      </c>
      <c r="S25" s="22"/>
      <c r="T25" s="280"/>
      <c r="U25" s="281"/>
      <c r="V25" s="281"/>
      <c r="W25" s="281"/>
      <c r="X25" s="281"/>
      <c r="Y25" s="282"/>
    </row>
    <row r="26" spans="1:31" s="16" customFormat="1" ht="27.95" customHeight="1" thickBot="1">
      <c r="A26" s="24">
        <v>23</v>
      </c>
      <c r="B26" s="188" t="s">
        <v>96</v>
      </c>
      <c r="C26" s="65" t="s">
        <v>188</v>
      </c>
      <c r="D26" s="65" t="s">
        <v>190</v>
      </c>
      <c r="E26" s="43" t="s">
        <v>169</v>
      </c>
      <c r="F26" s="43" t="s">
        <v>298</v>
      </c>
      <c r="G26" s="162" t="s">
        <v>226</v>
      </c>
      <c r="H26" s="58" t="s">
        <v>307</v>
      </c>
      <c r="I26" s="43" t="s">
        <v>95</v>
      </c>
      <c r="J26" s="43" t="s">
        <v>94</v>
      </c>
      <c r="K26" s="43" t="s">
        <v>237</v>
      </c>
      <c r="L26" s="178"/>
      <c r="M26" s="58" t="s">
        <v>319</v>
      </c>
      <c r="N26" s="10" t="s">
        <v>93</v>
      </c>
      <c r="O26" s="209" t="s">
        <v>404</v>
      </c>
      <c r="P26" s="302"/>
      <c r="Q26" s="303"/>
      <c r="R26" s="31">
        <f>(COUNTA(C26:Q26))/12</f>
        <v>1</v>
      </c>
      <c r="S26" s="22"/>
      <c r="T26" s="280"/>
      <c r="U26" s="281"/>
      <c r="V26" s="281"/>
      <c r="W26" s="281"/>
      <c r="X26" s="281"/>
      <c r="Y26" s="282"/>
    </row>
    <row r="27" spans="1:31" s="16" customFormat="1" ht="27.95" customHeight="1">
      <c r="A27" s="66" t="s">
        <v>81</v>
      </c>
      <c r="B27" s="67" t="s">
        <v>80</v>
      </c>
      <c r="C27" s="240"/>
      <c r="D27" s="241"/>
      <c r="E27" s="3"/>
      <c r="F27" s="27"/>
      <c r="G27" s="200" t="s">
        <v>222</v>
      </c>
      <c r="H27" s="201" t="s">
        <v>158</v>
      </c>
      <c r="I27" s="200" t="s">
        <v>79</v>
      </c>
      <c r="J27" s="202" t="s">
        <v>207</v>
      </c>
      <c r="K27" s="202"/>
      <c r="L27" s="203"/>
      <c r="M27" s="200"/>
      <c r="N27" s="200" t="s">
        <v>316</v>
      </c>
      <c r="O27" s="200"/>
      <c r="P27" s="69"/>
      <c r="Q27" s="70"/>
      <c r="R27" s="31">
        <f>(COUNTA(C27:Q27))/6</f>
        <v>0.83333333333333337</v>
      </c>
      <c r="S27" s="22"/>
      <c r="T27" s="280"/>
      <c r="U27" s="281"/>
      <c r="V27" s="281"/>
      <c r="W27" s="281"/>
      <c r="X27" s="281"/>
      <c r="Y27" s="282"/>
    </row>
    <row r="28" spans="1:31" s="16" customFormat="1" ht="27.95" customHeight="1" thickBot="1">
      <c r="A28" s="71" t="s">
        <v>77</v>
      </c>
      <c r="B28" s="189" t="s">
        <v>391</v>
      </c>
      <c r="C28" s="240"/>
      <c r="D28" s="241"/>
      <c r="E28" s="196" t="s">
        <v>223</v>
      </c>
      <c r="F28" s="196" t="s">
        <v>76</v>
      </c>
      <c r="G28" s="196"/>
      <c r="H28" s="196"/>
      <c r="I28" s="196"/>
      <c r="J28" s="196" t="s">
        <v>307</v>
      </c>
      <c r="K28" s="197"/>
      <c r="L28" s="198"/>
      <c r="M28" s="196"/>
      <c r="N28" s="196"/>
      <c r="O28" s="196" t="s">
        <v>69</v>
      </c>
      <c r="P28" s="199" t="s">
        <v>14</v>
      </c>
      <c r="Q28" s="196" t="s">
        <v>75</v>
      </c>
      <c r="R28" s="31">
        <f>(COUNTA(C28:Q28))/7</f>
        <v>0.8571428571428571</v>
      </c>
      <c r="S28" s="22"/>
      <c r="T28" s="283"/>
      <c r="U28" s="284"/>
      <c r="V28" s="284"/>
      <c r="W28" s="284"/>
      <c r="X28" s="284"/>
      <c r="Y28" s="285"/>
    </row>
    <row r="29" spans="1:31" s="16" customFormat="1" ht="9.9499999999999993" customHeight="1" thickBot="1">
      <c r="A29" s="74"/>
      <c r="B29" s="75"/>
      <c r="C29" s="75"/>
      <c r="D29" s="75"/>
      <c r="E29" s="4"/>
      <c r="F29" s="76"/>
      <c r="G29" s="77"/>
      <c r="H29" s="77"/>
      <c r="I29" s="77"/>
      <c r="J29" s="77"/>
      <c r="K29" s="4"/>
      <c r="L29" s="76"/>
      <c r="M29" s="4"/>
      <c r="N29" s="77"/>
      <c r="O29" s="76"/>
      <c r="P29" s="76"/>
      <c r="Q29" s="78"/>
      <c r="R29" s="79"/>
      <c r="S29" s="22"/>
      <c r="T29" s="175"/>
      <c r="U29" s="175"/>
      <c r="V29" s="175"/>
      <c r="W29" s="175"/>
      <c r="X29" s="175"/>
      <c r="Y29" s="175"/>
    </row>
    <row r="30" spans="1:31" s="16" customFormat="1" ht="109.5" customHeight="1">
      <c r="A30" s="242"/>
      <c r="B30" s="244" t="s">
        <v>74</v>
      </c>
      <c r="C30" s="246"/>
      <c r="D30" s="247"/>
      <c r="E30" s="160" t="s">
        <v>330</v>
      </c>
      <c r="F30" s="80" t="s">
        <v>267</v>
      </c>
      <c r="G30" s="70" t="s">
        <v>275</v>
      </c>
      <c r="H30" s="70" t="s">
        <v>305</v>
      </c>
      <c r="I30" s="27" t="s">
        <v>395</v>
      </c>
      <c r="J30" s="29" t="s">
        <v>211</v>
      </c>
      <c r="K30" s="27" t="s">
        <v>273</v>
      </c>
      <c r="L30" s="28"/>
      <c r="M30" s="29" t="s">
        <v>280</v>
      </c>
      <c r="N30" s="81" t="s">
        <v>294</v>
      </c>
      <c r="O30" s="172" t="s">
        <v>331</v>
      </c>
      <c r="P30" s="81" t="s">
        <v>398</v>
      </c>
      <c r="Q30" s="27" t="s">
        <v>186</v>
      </c>
      <c r="R30" s="31">
        <f>(COUNTA(C30:Q30))/12</f>
        <v>1</v>
      </c>
      <c r="S30" s="22"/>
      <c r="T30" s="252" t="s">
        <v>388</v>
      </c>
      <c r="U30" s="253"/>
      <c r="V30" s="253"/>
      <c r="W30" s="253"/>
      <c r="X30" s="253"/>
      <c r="Y30" s="254"/>
    </row>
    <row r="31" spans="1:31" s="16" customFormat="1" ht="129.94999999999999" customHeight="1">
      <c r="A31" s="243"/>
      <c r="B31" s="245"/>
      <c r="C31" s="248"/>
      <c r="D31" s="249"/>
      <c r="E31" s="82" t="s">
        <v>386</v>
      </c>
      <c r="F31" s="26" t="s">
        <v>357</v>
      </c>
      <c r="G31" s="184" t="s">
        <v>381</v>
      </c>
      <c r="H31" s="141" t="s">
        <v>393</v>
      </c>
      <c r="I31" s="30" t="s">
        <v>355</v>
      </c>
      <c r="J31" s="26" t="s">
        <v>394</v>
      </c>
      <c r="K31" s="26" t="s">
        <v>359</v>
      </c>
      <c r="L31" s="26"/>
      <c r="M31" s="141" t="s">
        <v>382</v>
      </c>
      <c r="N31" s="185" t="s">
        <v>400</v>
      </c>
      <c r="O31" s="139" t="s">
        <v>360</v>
      </c>
      <c r="P31" s="32" t="s">
        <v>362</v>
      </c>
      <c r="Q31" s="26" t="s">
        <v>353</v>
      </c>
      <c r="R31" s="79"/>
      <c r="S31" s="22"/>
      <c r="T31" s="255"/>
      <c r="U31" s="256"/>
      <c r="V31" s="256"/>
      <c r="W31" s="256"/>
      <c r="X31" s="256"/>
      <c r="Y31" s="257"/>
    </row>
    <row r="32" spans="1:31" s="16" customFormat="1" ht="69.95" customHeight="1" thickBot="1">
      <c r="A32" s="83"/>
      <c r="B32" s="57" t="s">
        <v>73</v>
      </c>
      <c r="C32" s="250"/>
      <c r="D32" s="251"/>
      <c r="E32" s="84" t="s">
        <v>72</v>
      </c>
      <c r="F32" s="173" t="s">
        <v>332</v>
      </c>
      <c r="G32" s="58" t="s">
        <v>168</v>
      </c>
      <c r="H32" s="58" t="s">
        <v>303</v>
      </c>
      <c r="I32" s="43" t="s">
        <v>293</v>
      </c>
      <c r="J32" s="58" t="s">
        <v>304</v>
      </c>
      <c r="K32" s="58" t="s">
        <v>306</v>
      </c>
      <c r="L32" s="85"/>
      <c r="M32" s="58" t="s">
        <v>212</v>
      </c>
      <c r="N32" s="43" t="s">
        <v>278</v>
      </c>
      <c r="O32" s="37" t="s">
        <v>396</v>
      </c>
      <c r="P32" s="86" t="s">
        <v>71</v>
      </c>
      <c r="Q32" s="86" t="s">
        <v>71</v>
      </c>
      <c r="R32" s="31">
        <f>(COUNTA(F32:P32))/10</f>
        <v>1</v>
      </c>
      <c r="S32" s="22"/>
      <c r="T32" s="258"/>
      <c r="U32" s="259"/>
      <c r="V32" s="259"/>
      <c r="W32" s="259"/>
      <c r="X32" s="259"/>
      <c r="Y32" s="260"/>
      <c r="AB32" s="14"/>
      <c r="AC32" s="14"/>
      <c r="AD32" s="14"/>
      <c r="AE32" s="14"/>
    </row>
    <row r="33" spans="1:27" ht="9.9499999999999993" customHeight="1">
      <c r="A33" s="87"/>
      <c r="B33" s="87"/>
      <c r="C33" s="88"/>
      <c r="D33" s="88"/>
      <c r="O33" s="90"/>
      <c r="S33" s="22"/>
      <c r="AA33" s="16"/>
    </row>
    <row r="34" spans="1:27" ht="21" customHeight="1">
      <c r="B34" s="92"/>
      <c r="C34" s="92"/>
      <c r="D34" s="93" t="s">
        <v>70</v>
      </c>
      <c r="E34" s="94" t="s">
        <v>0</v>
      </c>
      <c r="F34" s="94" t="s">
        <v>1</v>
      </c>
      <c r="G34" s="94" t="s">
        <v>2</v>
      </c>
      <c r="H34" s="94" t="s">
        <v>29</v>
      </c>
      <c r="I34" s="94" t="s">
        <v>30</v>
      </c>
      <c r="J34" s="94" t="s">
        <v>31</v>
      </c>
      <c r="K34" s="94" t="s">
        <v>32</v>
      </c>
      <c r="L34" s="95" t="s">
        <v>33</v>
      </c>
      <c r="M34" s="94" t="s">
        <v>34</v>
      </c>
      <c r="N34" s="94" t="s">
        <v>6</v>
      </c>
      <c r="O34" s="94" t="s">
        <v>7</v>
      </c>
      <c r="P34" s="94" t="s">
        <v>8</v>
      </c>
      <c r="Q34" s="96" t="s">
        <v>9</v>
      </c>
      <c r="R34" s="97"/>
      <c r="T34" s="98"/>
      <c r="U34" s="99"/>
      <c r="V34" s="99"/>
      <c r="W34" s="99"/>
      <c r="X34" s="99"/>
      <c r="AA34" s="16"/>
    </row>
    <row r="35" spans="1:27" ht="45.75" customHeight="1">
      <c r="B35" s="92"/>
      <c r="C35" s="92"/>
      <c r="D35" s="100" t="s">
        <v>68</v>
      </c>
      <c r="E35" s="52" t="s">
        <v>274</v>
      </c>
      <c r="F35" s="52" t="s">
        <v>217</v>
      </c>
      <c r="G35" s="30" t="s">
        <v>320</v>
      </c>
      <c r="H35" s="30" t="s">
        <v>208</v>
      </c>
      <c r="I35" s="30" t="s">
        <v>12</v>
      </c>
      <c r="J35" s="30" t="s">
        <v>276</v>
      </c>
      <c r="K35" s="30" t="s">
        <v>248</v>
      </c>
      <c r="L35" s="30"/>
      <c r="M35" s="139" t="s">
        <v>164</v>
      </c>
      <c r="N35" s="26" t="s">
        <v>219</v>
      </c>
      <c r="O35" s="101" t="s">
        <v>247</v>
      </c>
      <c r="P35" s="50" t="s">
        <v>218</v>
      </c>
      <c r="Q35" s="102" t="s">
        <v>137</v>
      </c>
      <c r="R35" s="97"/>
      <c r="T35" s="99"/>
      <c r="U35" s="99"/>
      <c r="V35" s="99"/>
      <c r="W35" s="99"/>
      <c r="X35" s="99"/>
      <c r="AA35" s="16"/>
    </row>
    <row r="36" spans="1:27" ht="27.95" customHeight="1">
      <c r="B36" s="92"/>
      <c r="C36" s="92"/>
      <c r="D36" s="100" t="s">
        <v>65</v>
      </c>
      <c r="E36" s="52"/>
      <c r="F36" s="52"/>
      <c r="G36" s="30"/>
      <c r="H36" s="30"/>
      <c r="I36" s="30"/>
      <c r="J36" s="30"/>
      <c r="K36" s="30"/>
      <c r="L36" s="30"/>
      <c r="M36" s="30"/>
      <c r="N36" s="30"/>
      <c r="O36" s="103"/>
      <c r="P36" s="33" t="s">
        <v>335</v>
      </c>
      <c r="Q36" s="104"/>
      <c r="R36" s="97"/>
      <c r="T36" s="99"/>
      <c r="U36" s="99"/>
      <c r="V36" s="99"/>
      <c r="W36" s="99"/>
      <c r="X36" s="99"/>
    </row>
    <row r="37" spans="1:27" ht="27.95" customHeight="1">
      <c r="B37" s="92"/>
      <c r="C37" s="92"/>
      <c r="D37" s="100" t="s">
        <v>64</v>
      </c>
      <c r="E37" s="30"/>
      <c r="F37" s="105"/>
      <c r="G37" s="30"/>
      <c r="H37" s="30" t="s">
        <v>192</v>
      </c>
      <c r="I37" s="151"/>
      <c r="J37" s="35" t="s">
        <v>27</v>
      </c>
      <c r="K37" s="152" t="s">
        <v>88</v>
      </c>
      <c r="L37" s="30"/>
      <c r="M37" s="30" t="s">
        <v>25</v>
      </c>
      <c r="N37" s="50" t="s">
        <v>100</v>
      </c>
      <c r="O37" s="106" t="s">
        <v>63</v>
      </c>
      <c r="P37" s="52"/>
      <c r="Q37" s="174" t="s">
        <v>334</v>
      </c>
      <c r="R37" s="97"/>
      <c r="T37" s="99"/>
      <c r="U37" s="99"/>
      <c r="V37" s="99"/>
      <c r="W37" s="99"/>
      <c r="X37" s="99"/>
    </row>
    <row r="38" spans="1:27" ht="42" customHeight="1">
      <c r="B38" s="14"/>
      <c r="C38" s="14"/>
      <c r="D38" s="107" t="s">
        <v>62</v>
      </c>
      <c r="E38" s="137" t="s">
        <v>368</v>
      </c>
      <c r="F38" s="108"/>
      <c r="G38" s="110" t="s">
        <v>367</v>
      </c>
      <c r="H38" s="110" t="s">
        <v>364</v>
      </c>
      <c r="I38" s="110" t="s">
        <v>277</v>
      </c>
      <c r="J38" s="153" t="s">
        <v>369</v>
      </c>
      <c r="K38" s="110" t="s">
        <v>258</v>
      </c>
      <c r="L38" s="110"/>
      <c r="M38" s="109" t="s">
        <v>321</v>
      </c>
      <c r="N38" s="140" t="s">
        <v>365</v>
      </c>
      <c r="O38" s="110" t="s">
        <v>366</v>
      </c>
      <c r="P38" s="108" t="s">
        <v>170</v>
      </c>
      <c r="Q38" s="111" t="s">
        <v>189</v>
      </c>
    </row>
    <row r="39" spans="1:27" ht="9.9499999999999993" customHeight="1">
      <c r="E39" s="89"/>
      <c r="F39" s="89"/>
      <c r="G39" s="89"/>
      <c r="H39" s="89"/>
      <c r="I39" s="89"/>
      <c r="J39" s="89"/>
      <c r="K39" s="89"/>
      <c r="M39" s="89"/>
      <c r="N39" s="89"/>
      <c r="O39" s="89"/>
    </row>
    <row r="40" spans="1:27" ht="27.95" customHeight="1">
      <c r="A40" s="113"/>
      <c r="B40" s="113"/>
      <c r="C40" s="113"/>
      <c r="D40" s="228" t="s">
        <v>389</v>
      </c>
      <c r="E40" s="229"/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30"/>
      <c r="R40" s="97"/>
    </row>
    <row r="41" spans="1:27" ht="27.95" customHeight="1">
      <c r="A41" s="113"/>
      <c r="B41" s="113"/>
      <c r="C41" s="113"/>
      <c r="D41" s="231"/>
      <c r="E41" s="232"/>
      <c r="F41" s="232"/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33"/>
      <c r="R41" s="97"/>
    </row>
    <row r="42" spans="1:27" ht="27.95" customHeight="1">
      <c r="A42" s="113"/>
      <c r="B42" s="113"/>
      <c r="C42" s="113"/>
      <c r="D42" s="231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3"/>
      <c r="R42" s="97"/>
    </row>
    <row r="43" spans="1:27" ht="27.95" customHeight="1">
      <c r="A43" s="113"/>
      <c r="B43" s="113"/>
      <c r="C43" s="113"/>
      <c r="D43" s="231"/>
      <c r="E43" s="232"/>
      <c r="F43" s="232"/>
      <c r="G43" s="232"/>
      <c r="H43" s="232"/>
      <c r="I43" s="232"/>
      <c r="J43" s="232"/>
      <c r="K43" s="232"/>
      <c r="L43" s="232"/>
      <c r="M43" s="232"/>
      <c r="N43" s="232"/>
      <c r="O43" s="232"/>
      <c r="P43" s="232"/>
      <c r="Q43" s="233"/>
      <c r="R43" s="97"/>
    </row>
    <row r="44" spans="1:27" ht="27.95" customHeight="1">
      <c r="A44" s="113"/>
      <c r="B44" s="113"/>
      <c r="C44" s="113"/>
      <c r="D44" s="231"/>
      <c r="E44" s="232"/>
      <c r="F44" s="232"/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33"/>
      <c r="R44" s="97"/>
    </row>
    <row r="45" spans="1:27">
      <c r="A45" s="113"/>
      <c r="B45" s="113"/>
      <c r="C45" s="113"/>
      <c r="D45" s="231"/>
      <c r="E45" s="232"/>
      <c r="F45" s="232"/>
      <c r="G45" s="232"/>
      <c r="H45" s="232"/>
      <c r="I45" s="232"/>
      <c r="J45" s="232"/>
      <c r="K45" s="232"/>
      <c r="L45" s="232"/>
      <c r="M45" s="232"/>
      <c r="N45" s="232"/>
      <c r="O45" s="232"/>
      <c r="P45" s="232"/>
      <c r="Q45" s="233"/>
      <c r="R45" s="97"/>
    </row>
    <row r="46" spans="1:27">
      <c r="A46" s="113"/>
      <c r="B46" s="113"/>
      <c r="C46" s="113"/>
      <c r="D46" s="231"/>
      <c r="E46" s="232"/>
      <c r="F46" s="232"/>
      <c r="G46" s="232"/>
      <c r="H46" s="232"/>
      <c r="I46" s="232"/>
      <c r="J46" s="232"/>
      <c r="K46" s="232"/>
      <c r="L46" s="232"/>
      <c r="M46" s="232"/>
      <c r="N46" s="232"/>
      <c r="O46" s="232"/>
      <c r="P46" s="232"/>
      <c r="Q46" s="233"/>
      <c r="R46" s="97"/>
    </row>
    <row r="47" spans="1:27">
      <c r="A47" s="113"/>
      <c r="B47" s="113"/>
      <c r="C47" s="113"/>
      <c r="D47" s="231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232"/>
      <c r="Q47" s="233"/>
      <c r="R47" s="97"/>
    </row>
    <row r="48" spans="1:27">
      <c r="A48" s="113"/>
      <c r="B48" s="113"/>
      <c r="C48" s="113"/>
      <c r="D48" s="231"/>
      <c r="E48" s="232"/>
      <c r="F48" s="232"/>
      <c r="G48" s="232"/>
      <c r="H48" s="232"/>
      <c r="I48" s="232"/>
      <c r="J48" s="232"/>
      <c r="K48" s="232"/>
      <c r="L48" s="232"/>
      <c r="M48" s="232"/>
      <c r="N48" s="232"/>
      <c r="O48" s="232"/>
      <c r="P48" s="232"/>
      <c r="Q48" s="233"/>
      <c r="R48" s="97"/>
    </row>
    <row r="49" spans="1:18">
      <c r="A49" s="113"/>
      <c r="B49" s="113"/>
      <c r="C49" s="113"/>
      <c r="D49" s="231"/>
      <c r="E49" s="232"/>
      <c r="F49" s="232"/>
      <c r="G49" s="232"/>
      <c r="H49" s="232"/>
      <c r="I49" s="232"/>
      <c r="J49" s="232"/>
      <c r="K49" s="232"/>
      <c r="L49" s="232"/>
      <c r="M49" s="232"/>
      <c r="N49" s="232"/>
      <c r="O49" s="232"/>
      <c r="P49" s="232"/>
      <c r="Q49" s="233"/>
      <c r="R49" s="97"/>
    </row>
    <row r="50" spans="1:18">
      <c r="A50" s="113"/>
      <c r="B50" s="113"/>
      <c r="C50" s="113"/>
      <c r="D50" s="234"/>
      <c r="E50" s="235"/>
      <c r="F50" s="235"/>
      <c r="G50" s="235"/>
      <c r="H50" s="235"/>
      <c r="I50" s="235"/>
      <c r="J50" s="235"/>
      <c r="K50" s="235"/>
      <c r="L50" s="235"/>
      <c r="M50" s="235"/>
      <c r="N50" s="235"/>
      <c r="O50" s="235"/>
      <c r="P50" s="235"/>
      <c r="Q50" s="236"/>
      <c r="R50" s="97"/>
    </row>
    <row r="51" spans="1:18" ht="9.9499999999999993" customHeight="1"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7"/>
    </row>
    <row r="52" spans="1:18" ht="24">
      <c r="D52" s="114"/>
      <c r="E52" s="115" t="s">
        <v>0</v>
      </c>
      <c r="F52" s="116" t="s">
        <v>1</v>
      </c>
      <c r="G52" s="116" t="s">
        <v>2</v>
      </c>
      <c r="H52" s="116" t="s">
        <v>3</v>
      </c>
      <c r="I52" s="116" t="s">
        <v>61</v>
      </c>
      <c r="J52" s="116" t="s">
        <v>60</v>
      </c>
      <c r="K52" s="116" t="s">
        <v>59</v>
      </c>
      <c r="L52" s="117"/>
      <c r="M52" s="116" t="s">
        <v>5</v>
      </c>
      <c r="N52" s="116" t="s">
        <v>6</v>
      </c>
      <c r="O52" s="116" t="s">
        <v>7</v>
      </c>
      <c r="P52" s="116" t="s">
        <v>8</v>
      </c>
      <c r="Q52" s="118" t="s">
        <v>9</v>
      </c>
      <c r="R52" s="119" t="s">
        <v>58</v>
      </c>
    </row>
    <row r="53" spans="1:18" ht="30" customHeight="1">
      <c r="D53" s="120" t="s">
        <v>57</v>
      </c>
      <c r="E53" s="121"/>
      <c r="F53" s="41" t="s">
        <v>312</v>
      </c>
      <c r="G53" s="70"/>
      <c r="H53" s="41"/>
      <c r="I53" s="41"/>
      <c r="J53" s="41" t="s">
        <v>242</v>
      </c>
      <c r="K53" s="41"/>
      <c r="L53" s="28"/>
      <c r="M53" s="28" t="s">
        <v>256</v>
      </c>
      <c r="N53" s="41"/>
      <c r="O53" s="41"/>
      <c r="P53" s="41"/>
      <c r="Q53" s="41"/>
      <c r="R53" s="122"/>
    </row>
    <row r="54" spans="1:18" ht="30" customHeight="1">
      <c r="D54" s="123" t="s">
        <v>56</v>
      </c>
      <c r="E54" s="161"/>
      <c r="F54" s="53"/>
      <c r="G54" s="53" t="s">
        <v>193</v>
      </c>
      <c r="H54" s="53"/>
      <c r="I54" s="50"/>
      <c r="J54" s="53"/>
      <c r="K54" s="53" t="s">
        <v>157</v>
      </c>
      <c r="L54" s="35"/>
      <c r="M54" s="53"/>
      <c r="N54" s="53"/>
      <c r="O54" s="53"/>
      <c r="P54" s="125"/>
      <c r="Q54" s="53"/>
      <c r="R54" s="126"/>
    </row>
    <row r="55" spans="1:18" ht="69.95" customHeight="1">
      <c r="D55" s="127" t="s">
        <v>55</v>
      </c>
      <c r="E55" s="180" t="s">
        <v>370</v>
      </c>
      <c r="F55" s="50" t="s">
        <v>171</v>
      </c>
      <c r="G55" s="50" t="s">
        <v>397</v>
      </c>
      <c r="H55" s="50" t="s">
        <v>300</v>
      </c>
      <c r="I55" s="53" t="s">
        <v>162</v>
      </c>
      <c r="J55" s="50" t="s">
        <v>180</v>
      </c>
      <c r="K55" s="50" t="s">
        <v>313</v>
      </c>
      <c r="L55" s="35"/>
      <c r="M55" s="50"/>
      <c r="N55" s="53"/>
      <c r="O55" s="53" t="s">
        <v>314</v>
      </c>
      <c r="P55" s="53"/>
      <c r="Q55" s="53"/>
      <c r="R55" s="128" t="s">
        <v>311</v>
      </c>
    </row>
    <row r="56" spans="1:18" ht="30" customHeight="1">
      <c r="D56" s="120" t="s">
        <v>35</v>
      </c>
      <c r="E56" s="124"/>
      <c r="F56" s="125"/>
      <c r="G56" s="53"/>
      <c r="H56" s="53"/>
      <c r="I56" s="53"/>
      <c r="J56" s="53"/>
      <c r="K56" s="53"/>
      <c r="L56" s="106"/>
      <c r="M56" s="125"/>
      <c r="N56" s="125"/>
      <c r="O56" s="125"/>
      <c r="P56" s="125"/>
      <c r="Q56" s="125"/>
      <c r="R56" s="126"/>
    </row>
    <row r="57" spans="1:18" ht="30" customHeight="1">
      <c r="D57" s="129" t="s">
        <v>54</v>
      </c>
      <c r="E57" s="130"/>
      <c r="F57" s="131"/>
      <c r="G57" s="132"/>
      <c r="H57" s="131"/>
      <c r="I57" s="131"/>
      <c r="J57" s="131"/>
      <c r="K57" s="131"/>
      <c r="L57" s="133"/>
      <c r="M57" s="131"/>
      <c r="N57" s="131"/>
      <c r="O57" s="132" t="s">
        <v>22</v>
      </c>
      <c r="P57" s="132"/>
      <c r="Q57" s="131"/>
      <c r="R57" s="134"/>
    </row>
    <row r="60" spans="1:18" ht="24">
      <c r="D60" s="142"/>
      <c r="E60" s="116" t="s">
        <v>0</v>
      </c>
      <c r="F60" s="116" t="s">
        <v>1</v>
      </c>
      <c r="G60" s="116" t="s">
        <v>2</v>
      </c>
      <c r="H60" s="116" t="s">
        <v>3</v>
      </c>
      <c r="I60" s="116" t="s">
        <v>61</v>
      </c>
      <c r="J60" s="116" t="s">
        <v>60</v>
      </c>
      <c r="K60" s="116" t="s">
        <v>59</v>
      </c>
      <c r="L60" s="117"/>
      <c r="M60" s="116" t="s">
        <v>5</v>
      </c>
      <c r="N60" s="116" t="s">
        <v>6</v>
      </c>
      <c r="O60" s="116" t="s">
        <v>7</v>
      </c>
      <c r="P60" s="116" t="s">
        <v>8</v>
      </c>
      <c r="Q60" s="116" t="s">
        <v>9</v>
      </c>
      <c r="R60" s="119" t="s">
        <v>58</v>
      </c>
    </row>
    <row r="61" spans="1:18">
      <c r="D61" s="143" t="s">
        <v>123</v>
      </c>
      <c r="E61" s="144"/>
      <c r="F61" s="144"/>
      <c r="G61" s="144"/>
      <c r="H61" s="154" t="s">
        <v>209</v>
      </c>
      <c r="I61" s="155"/>
      <c r="J61" s="155"/>
      <c r="K61" s="144"/>
      <c r="L61" s="145"/>
      <c r="M61" s="144"/>
      <c r="N61" s="144"/>
      <c r="O61" s="144"/>
      <c r="P61" s="144"/>
      <c r="Q61" s="144"/>
      <c r="R61" s="146"/>
    </row>
    <row r="62" spans="1:18">
      <c r="D62" s="147"/>
      <c r="E62" s="148"/>
      <c r="F62" s="148"/>
      <c r="G62" s="148"/>
      <c r="H62" s="165"/>
      <c r="I62" s="156"/>
      <c r="J62" s="156"/>
      <c r="K62" s="148"/>
      <c r="L62" s="149"/>
      <c r="M62" s="148"/>
      <c r="N62" s="148"/>
      <c r="O62" s="148"/>
      <c r="P62" s="148"/>
      <c r="Q62" s="148"/>
      <c r="R62" s="150"/>
    </row>
    <row r="63" spans="1:18">
      <c r="H63" s="16"/>
      <c r="I63" s="16"/>
      <c r="J63" s="16"/>
    </row>
  </sheetData>
  <mergeCells count="22">
    <mergeCell ref="A30:A31"/>
    <mergeCell ref="B30:B31"/>
    <mergeCell ref="C30:D32"/>
    <mergeCell ref="T30:Y32"/>
    <mergeCell ref="A1:Q1"/>
    <mergeCell ref="A2:Q2"/>
    <mergeCell ref="C4:D9"/>
    <mergeCell ref="T4:Y4"/>
    <mergeCell ref="T5:Y9"/>
    <mergeCell ref="P10:Q13"/>
    <mergeCell ref="T10:Y10"/>
    <mergeCell ref="T11:Y17"/>
    <mergeCell ref="C14:D14"/>
    <mergeCell ref="C15:D21"/>
    <mergeCell ref="T18:Y18"/>
    <mergeCell ref="T19:Y22"/>
    <mergeCell ref="C22:D22"/>
    <mergeCell ref="D40:Q50"/>
    <mergeCell ref="P23:Q26"/>
    <mergeCell ref="T23:Y23"/>
    <mergeCell ref="T24:Y28"/>
    <mergeCell ref="C27:D28"/>
  </mergeCells>
  <phoneticPr fontId="3" type="noConversion"/>
  <pageMargins left="0.7" right="0.7" top="0.75" bottom="0.75" header="0.3" footer="0.3"/>
  <pageSetup paperSize="9" scale="32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63"/>
  <sheetViews>
    <sheetView topLeftCell="A2" zoomScale="85" zoomScaleNormal="85" workbookViewId="0">
      <selection activeCell="Q9" sqref="Q9"/>
    </sheetView>
  </sheetViews>
  <sheetFormatPr defaultRowHeight="16.5"/>
  <cols>
    <col min="1" max="1" width="3.25" style="14" customWidth="1"/>
    <col min="2" max="2" width="10" style="112" customWidth="1"/>
    <col min="3" max="4" width="11.875" style="112" customWidth="1"/>
    <col min="5" max="11" width="11.875" style="14" customWidth="1"/>
    <col min="12" max="12" width="2.625" style="89" customWidth="1"/>
    <col min="13" max="17" width="11.875" style="14" customWidth="1"/>
    <col min="18" max="18" width="11.875" style="91" customWidth="1"/>
    <col min="19" max="19" width="6.125" style="14" customWidth="1"/>
    <col min="20" max="25" width="8.125" style="14" customWidth="1"/>
    <col min="26" max="16384" width="9" style="14"/>
  </cols>
  <sheetData>
    <row r="1" spans="1:30" ht="16.5" hidden="1" customHeight="1">
      <c r="A1" s="304" t="s">
        <v>147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13"/>
    </row>
    <row r="2" spans="1:30" ht="18" customHeight="1">
      <c r="A2" s="306" t="s">
        <v>420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15"/>
      <c r="T2" s="16"/>
      <c r="U2" s="16"/>
      <c r="V2" s="16"/>
      <c r="W2" s="16"/>
      <c r="X2" s="16"/>
      <c r="Y2" s="16"/>
      <c r="AA2" s="16"/>
      <c r="AB2" s="16"/>
      <c r="AC2" s="16"/>
      <c r="AD2" s="16"/>
    </row>
    <row r="3" spans="1:30" ht="21" customHeight="1" thickBot="1">
      <c r="A3" s="17"/>
      <c r="B3" s="18" t="s">
        <v>146</v>
      </c>
      <c r="C3" s="19" t="s">
        <v>145</v>
      </c>
      <c r="D3" s="19" t="s">
        <v>144</v>
      </c>
      <c r="E3" s="19" t="s">
        <v>0</v>
      </c>
      <c r="F3" s="19" t="s">
        <v>1</v>
      </c>
      <c r="G3" s="19" t="s">
        <v>2</v>
      </c>
      <c r="H3" s="19" t="s">
        <v>3</v>
      </c>
      <c r="I3" s="19" t="s">
        <v>61</v>
      </c>
      <c r="J3" s="19" t="s">
        <v>60</v>
      </c>
      <c r="K3" s="19" t="s">
        <v>59</v>
      </c>
      <c r="L3" s="20" t="s">
        <v>4</v>
      </c>
      <c r="M3" s="19" t="s">
        <v>5</v>
      </c>
      <c r="N3" s="19" t="s">
        <v>6</v>
      </c>
      <c r="O3" s="19" t="s">
        <v>7</v>
      </c>
      <c r="P3" s="19" t="s">
        <v>8</v>
      </c>
      <c r="Q3" s="19" t="s">
        <v>9</v>
      </c>
      <c r="R3" s="21">
        <f>AVERAGE(R4:R32)</f>
        <v>0.96384479717813043</v>
      </c>
      <c r="S3" s="22"/>
      <c r="T3" s="16"/>
      <c r="U3" s="16"/>
      <c r="V3" s="16"/>
      <c r="W3" s="16"/>
      <c r="X3" s="16"/>
      <c r="Y3" s="16"/>
      <c r="Z3" s="23"/>
      <c r="AA3" s="16"/>
      <c r="AB3" s="16"/>
      <c r="AC3" s="16"/>
      <c r="AD3" s="16"/>
    </row>
    <row r="4" spans="1:30" s="16" customFormat="1" ht="27.95" customHeight="1" thickBot="1">
      <c r="A4" s="24">
        <v>1</v>
      </c>
      <c r="B4" s="25" t="s">
        <v>143</v>
      </c>
      <c r="C4" s="311"/>
      <c r="D4" s="312"/>
      <c r="E4" s="139" t="s">
        <v>254</v>
      </c>
      <c r="F4" s="211" t="s">
        <v>215</v>
      </c>
      <c r="G4" s="2" t="s">
        <v>109</v>
      </c>
      <c r="H4" s="27" t="s">
        <v>136</v>
      </c>
      <c r="I4" s="27" t="s">
        <v>296</v>
      </c>
      <c r="J4" s="28" t="s">
        <v>142</v>
      </c>
      <c r="K4" s="27" t="s">
        <v>141</v>
      </c>
      <c r="L4" s="29"/>
      <c r="M4" s="27" t="s">
        <v>67</v>
      </c>
      <c r="N4" s="26" t="s">
        <v>310</v>
      </c>
      <c r="O4" s="27" t="s">
        <v>173</v>
      </c>
      <c r="P4" s="30" t="s">
        <v>43</v>
      </c>
      <c r="Q4" s="1" t="s">
        <v>140</v>
      </c>
      <c r="R4" s="31">
        <f>(COUNTA(G4:Q4))/10</f>
        <v>1</v>
      </c>
      <c r="S4" s="22"/>
      <c r="T4" s="308" t="s">
        <v>340</v>
      </c>
      <c r="U4" s="309"/>
      <c r="V4" s="309"/>
      <c r="W4" s="309"/>
      <c r="X4" s="309"/>
      <c r="Y4" s="310"/>
    </row>
    <row r="5" spans="1:30" s="16" customFormat="1" ht="27.95" customHeight="1">
      <c r="A5" s="24">
        <v>2</v>
      </c>
      <c r="B5" s="36" t="s">
        <v>108</v>
      </c>
      <c r="C5" s="313"/>
      <c r="D5" s="314"/>
      <c r="E5" s="30" t="s">
        <v>66</v>
      </c>
      <c r="F5" s="23" t="s">
        <v>79</v>
      </c>
      <c r="G5" s="27" t="s">
        <v>107</v>
      </c>
      <c r="H5" s="29" t="s">
        <v>196</v>
      </c>
      <c r="I5" s="27" t="s">
        <v>128</v>
      </c>
      <c r="J5" s="27" t="s">
        <v>336</v>
      </c>
      <c r="K5" s="27" t="s">
        <v>110</v>
      </c>
      <c r="L5" s="28"/>
      <c r="M5" s="27" t="s">
        <v>252</v>
      </c>
      <c r="N5" s="41" t="s">
        <v>182</v>
      </c>
      <c r="O5" s="29" t="s">
        <v>315</v>
      </c>
      <c r="P5" s="26" t="s">
        <v>220</v>
      </c>
      <c r="Q5" s="26" t="s">
        <v>347</v>
      </c>
      <c r="R5" s="31">
        <f>(COUNTA(C5:Q5))/12</f>
        <v>1</v>
      </c>
      <c r="S5" s="22"/>
      <c r="T5" s="289"/>
      <c r="U5" s="317"/>
      <c r="V5" s="317"/>
      <c r="W5" s="317"/>
      <c r="X5" s="317"/>
      <c r="Y5" s="318"/>
    </row>
    <row r="6" spans="1:30" s="16" customFormat="1" ht="27.95" customHeight="1">
      <c r="A6" s="24">
        <v>3</v>
      </c>
      <c r="B6" s="51" t="s">
        <v>139</v>
      </c>
      <c r="C6" s="313"/>
      <c r="D6" s="314"/>
      <c r="E6" s="28" t="s">
        <v>129</v>
      </c>
      <c r="F6" s="30" t="s">
        <v>163</v>
      </c>
      <c r="G6" s="26" t="s">
        <v>138</v>
      </c>
      <c r="H6" s="30" t="s">
        <v>324</v>
      </c>
      <c r="I6" s="30" t="s">
        <v>137</v>
      </c>
      <c r="J6" s="27" t="s">
        <v>255</v>
      </c>
      <c r="K6" s="26" t="s">
        <v>154</v>
      </c>
      <c r="L6" s="30"/>
      <c r="M6" s="26" t="s">
        <v>174</v>
      </c>
      <c r="N6" s="206" t="s">
        <v>399</v>
      </c>
      <c r="O6" s="27" t="s">
        <v>135</v>
      </c>
      <c r="P6" s="26" t="s">
        <v>348</v>
      </c>
      <c r="Q6" s="26" t="s">
        <v>229</v>
      </c>
      <c r="R6" s="31">
        <f>(COUNTA(C6:Q6))/12</f>
        <v>1</v>
      </c>
      <c r="S6" s="22"/>
      <c r="T6" s="319"/>
      <c r="U6" s="320"/>
      <c r="V6" s="320"/>
      <c r="W6" s="320"/>
      <c r="X6" s="320"/>
      <c r="Y6" s="321"/>
    </row>
    <row r="7" spans="1:30" s="16" customFormat="1" ht="27.95" customHeight="1">
      <c r="A7" s="24">
        <v>3</v>
      </c>
      <c r="B7" s="25" t="s">
        <v>134</v>
      </c>
      <c r="C7" s="313"/>
      <c r="D7" s="314"/>
      <c r="E7" s="2" t="s">
        <v>133</v>
      </c>
      <c r="F7" s="26" t="s">
        <v>132</v>
      </c>
      <c r="G7" s="26" t="s">
        <v>209</v>
      </c>
      <c r="H7" s="26" t="s">
        <v>79</v>
      </c>
      <c r="I7" s="27" t="s">
        <v>252</v>
      </c>
      <c r="J7" s="3" t="s">
        <v>131</v>
      </c>
      <c r="K7" s="26" t="s">
        <v>263</v>
      </c>
      <c r="L7" s="30"/>
      <c r="M7" s="30" t="s">
        <v>122</v>
      </c>
      <c r="N7" s="27" t="s">
        <v>227</v>
      </c>
      <c r="O7" s="26" t="s">
        <v>194</v>
      </c>
      <c r="P7" s="30" t="s">
        <v>346</v>
      </c>
      <c r="Q7" s="138" t="s">
        <v>349</v>
      </c>
      <c r="R7" s="31">
        <f>(COUNTA(C7:Q7))/12</f>
        <v>1</v>
      </c>
      <c r="S7" s="22"/>
      <c r="T7" s="319"/>
      <c r="U7" s="320"/>
      <c r="V7" s="320"/>
      <c r="W7" s="320"/>
      <c r="X7" s="320"/>
      <c r="Y7" s="321"/>
    </row>
    <row r="8" spans="1:30" s="16" customFormat="1" ht="27.95" customHeight="1">
      <c r="A8" s="24">
        <v>5</v>
      </c>
      <c r="B8" s="34" t="s">
        <v>214</v>
      </c>
      <c r="C8" s="313"/>
      <c r="D8" s="314"/>
      <c r="E8" s="26" t="s">
        <v>297</v>
      </c>
      <c r="F8" s="26" t="s">
        <v>229</v>
      </c>
      <c r="G8" s="26" t="s">
        <v>308</v>
      </c>
      <c r="H8" s="26" t="s">
        <v>243</v>
      </c>
      <c r="I8" s="26" t="s">
        <v>245</v>
      </c>
      <c r="J8" s="26" t="s">
        <v>174</v>
      </c>
      <c r="K8" s="30" t="s">
        <v>120</v>
      </c>
      <c r="L8" s="26"/>
      <c r="M8" s="26" t="s">
        <v>270</v>
      </c>
      <c r="N8" s="35" t="s">
        <v>215</v>
      </c>
      <c r="O8" s="53" t="s">
        <v>325</v>
      </c>
      <c r="P8" s="30" t="s">
        <v>151</v>
      </c>
      <c r="Q8" s="138" t="s">
        <v>244</v>
      </c>
      <c r="R8" s="31">
        <f t="shared" ref="R8:R25" si="0">(COUNTA(C8:Q8))/12</f>
        <v>1</v>
      </c>
      <c r="S8" s="22"/>
      <c r="T8" s="319"/>
      <c r="U8" s="320"/>
      <c r="V8" s="320"/>
      <c r="W8" s="320"/>
      <c r="X8" s="320"/>
      <c r="Y8" s="321"/>
    </row>
    <row r="9" spans="1:30" s="16" customFormat="1" ht="27.95" customHeight="1" thickBot="1">
      <c r="A9" s="24">
        <v>6</v>
      </c>
      <c r="B9" s="190" t="s">
        <v>421</v>
      </c>
      <c r="C9" s="315"/>
      <c r="D9" s="316"/>
      <c r="E9" s="191" t="s">
        <v>126</v>
      </c>
      <c r="F9" s="191" t="s">
        <v>434</v>
      </c>
      <c r="G9" s="191" t="s">
        <v>153</v>
      </c>
      <c r="H9" s="191" t="s">
        <v>160</v>
      </c>
      <c r="I9" s="191" t="s">
        <v>177</v>
      </c>
      <c r="J9" s="191" t="s">
        <v>378</v>
      </c>
      <c r="K9" s="192" t="s">
        <v>246</v>
      </c>
      <c r="L9" s="191"/>
      <c r="M9" s="191" t="s">
        <v>150</v>
      </c>
      <c r="N9" s="193" t="s">
        <v>269</v>
      </c>
      <c r="O9" s="194" t="s">
        <v>42</v>
      </c>
      <c r="P9" s="195"/>
      <c r="Q9" s="191" t="s">
        <v>230</v>
      </c>
      <c r="R9" s="31">
        <f t="shared" si="0"/>
        <v>0.91666666666666663</v>
      </c>
      <c r="S9" s="22"/>
      <c r="T9" s="322"/>
      <c r="U9" s="323"/>
      <c r="V9" s="323"/>
      <c r="W9" s="323"/>
      <c r="X9" s="323"/>
      <c r="Y9" s="324"/>
    </row>
    <row r="10" spans="1:30" s="16" customFormat="1" ht="27.95" customHeight="1" thickBot="1">
      <c r="A10" s="24">
        <v>7</v>
      </c>
      <c r="B10" s="34" t="s">
        <v>119</v>
      </c>
      <c r="C10" s="40" t="s">
        <v>354</v>
      </c>
      <c r="D10" s="40" t="s">
        <v>354</v>
      </c>
      <c r="E10" s="26" t="s">
        <v>117</v>
      </c>
      <c r="F10" s="26" t="s">
        <v>118</v>
      </c>
      <c r="G10" s="26" t="s">
        <v>11</v>
      </c>
      <c r="H10" s="26" t="s">
        <v>228</v>
      </c>
      <c r="I10" s="26" t="s">
        <v>375</v>
      </c>
      <c r="J10" s="26" t="s">
        <v>156</v>
      </c>
      <c r="K10" s="2" t="s">
        <v>116</v>
      </c>
      <c r="L10" s="26"/>
      <c r="M10" s="26" t="s">
        <v>10</v>
      </c>
      <c r="N10" s="35"/>
      <c r="O10" s="179" t="s">
        <v>114</v>
      </c>
      <c r="P10" s="292"/>
      <c r="Q10" s="293"/>
      <c r="R10" s="31">
        <f t="shared" si="0"/>
        <v>0.91666666666666663</v>
      </c>
      <c r="S10" s="22"/>
      <c r="T10" s="237" t="s">
        <v>341</v>
      </c>
      <c r="U10" s="238"/>
      <c r="V10" s="238"/>
      <c r="W10" s="238"/>
      <c r="X10" s="238"/>
      <c r="Y10" s="239"/>
    </row>
    <row r="11" spans="1:30" s="16" customFormat="1" ht="27.95" customHeight="1">
      <c r="A11" s="24">
        <v>8</v>
      </c>
      <c r="B11" s="186" t="s">
        <v>113</v>
      </c>
      <c r="C11" s="158" t="s">
        <v>356</v>
      </c>
      <c r="D11" s="158" t="s">
        <v>356</v>
      </c>
      <c r="E11" s="2" t="s">
        <v>118</v>
      </c>
      <c r="F11" s="225"/>
      <c r="G11" s="26" t="s">
        <v>197</v>
      </c>
      <c r="H11" s="26" t="s">
        <v>229</v>
      </c>
      <c r="I11" s="2" t="s">
        <v>10</v>
      </c>
      <c r="J11" s="26" t="s">
        <v>235</v>
      </c>
      <c r="K11" s="26" t="s">
        <v>292</v>
      </c>
      <c r="L11" s="26"/>
      <c r="M11" s="26" t="s">
        <v>12</v>
      </c>
      <c r="N11" s="30" t="s">
        <v>112</v>
      </c>
      <c r="O11" s="29" t="s">
        <v>111</v>
      </c>
      <c r="P11" s="294"/>
      <c r="Q11" s="295"/>
      <c r="R11" s="31">
        <f t="shared" si="0"/>
        <v>0.91666666666666663</v>
      </c>
      <c r="S11" s="22"/>
      <c r="T11" s="280" t="s">
        <v>435</v>
      </c>
      <c r="U11" s="281"/>
      <c r="V11" s="281"/>
      <c r="W11" s="281"/>
      <c r="X11" s="281"/>
      <c r="Y11" s="282"/>
      <c r="Z11" s="42"/>
    </row>
    <row r="12" spans="1:30" s="16" customFormat="1" ht="27.95" customHeight="1">
      <c r="A12" s="24">
        <v>9</v>
      </c>
      <c r="B12" s="36" t="s">
        <v>130</v>
      </c>
      <c r="C12" s="158" t="s">
        <v>358</v>
      </c>
      <c r="D12" s="158" t="s">
        <v>358</v>
      </c>
      <c r="E12" s="26" t="s">
        <v>49</v>
      </c>
      <c r="F12" s="26" t="s">
        <v>124</v>
      </c>
      <c r="G12" s="28" t="s">
        <v>129</v>
      </c>
      <c r="H12" s="26" t="s">
        <v>128</v>
      </c>
      <c r="I12" s="26" t="s">
        <v>121</v>
      </c>
      <c r="J12" s="30" t="s">
        <v>286</v>
      </c>
      <c r="K12" s="23" t="s">
        <v>182</v>
      </c>
      <c r="L12" s="26"/>
      <c r="M12" s="29" t="s">
        <v>329</v>
      </c>
      <c r="N12" s="30" t="s">
        <v>263</v>
      </c>
      <c r="O12" s="2" t="s">
        <v>236</v>
      </c>
      <c r="P12" s="294"/>
      <c r="Q12" s="295"/>
      <c r="R12" s="31">
        <f t="shared" si="0"/>
        <v>1</v>
      </c>
      <c r="S12" s="22"/>
      <c r="T12" s="280"/>
      <c r="U12" s="281"/>
      <c r="V12" s="281"/>
      <c r="W12" s="281"/>
      <c r="X12" s="281"/>
      <c r="Y12" s="282"/>
    </row>
    <row r="13" spans="1:30" s="16" customFormat="1" ht="27.95" customHeight="1" thickBot="1">
      <c r="A13" s="24">
        <v>10</v>
      </c>
      <c r="B13" s="170" t="s">
        <v>125</v>
      </c>
      <c r="C13" s="159" t="s">
        <v>361</v>
      </c>
      <c r="D13" s="159" t="s">
        <v>361</v>
      </c>
      <c r="E13" s="37" t="s">
        <v>114</v>
      </c>
      <c r="F13" s="38" t="s">
        <v>251</v>
      </c>
      <c r="G13" s="37" t="s">
        <v>152</v>
      </c>
      <c r="H13" s="37" t="s">
        <v>124</v>
      </c>
      <c r="I13" s="39" t="s">
        <v>239</v>
      </c>
      <c r="J13" s="37" t="s">
        <v>297</v>
      </c>
      <c r="K13" s="37" t="s">
        <v>43</v>
      </c>
      <c r="L13" s="9"/>
      <c r="M13" s="37" t="s">
        <v>292</v>
      </c>
      <c r="N13" s="37" t="s">
        <v>154</v>
      </c>
      <c r="O13" s="37" t="s">
        <v>259</v>
      </c>
      <c r="P13" s="296"/>
      <c r="Q13" s="297"/>
      <c r="R13" s="31">
        <f t="shared" si="0"/>
        <v>1</v>
      </c>
      <c r="S13" s="22"/>
      <c r="T13" s="280"/>
      <c r="U13" s="281"/>
      <c r="V13" s="281"/>
      <c r="W13" s="281"/>
      <c r="X13" s="281"/>
      <c r="Y13" s="282"/>
    </row>
    <row r="14" spans="1:30" s="48" customFormat="1" ht="27.95" customHeight="1" thickBot="1">
      <c r="A14" s="24">
        <v>11</v>
      </c>
      <c r="B14" s="219" t="s">
        <v>422</v>
      </c>
      <c r="C14" s="261"/>
      <c r="D14" s="262"/>
      <c r="E14" s="194" t="s">
        <v>105</v>
      </c>
      <c r="F14" s="220" t="s">
        <v>182</v>
      </c>
      <c r="G14" s="220" t="s">
        <v>329</v>
      </c>
      <c r="H14" s="220" t="s">
        <v>52</v>
      </c>
      <c r="I14" s="194" t="s">
        <v>261</v>
      </c>
      <c r="J14" s="221" t="s">
        <v>260</v>
      </c>
      <c r="K14" s="221" t="s">
        <v>309</v>
      </c>
      <c r="L14" s="194"/>
      <c r="M14" s="221" t="s">
        <v>285</v>
      </c>
      <c r="N14" s="222" t="s">
        <v>257</v>
      </c>
      <c r="O14" s="221" t="s">
        <v>378</v>
      </c>
      <c r="P14" s="194" t="s">
        <v>221</v>
      </c>
      <c r="Q14" s="194" t="s">
        <v>236</v>
      </c>
      <c r="R14" s="31">
        <f t="shared" si="0"/>
        <v>1</v>
      </c>
      <c r="S14" s="22"/>
      <c r="T14" s="280"/>
      <c r="U14" s="281"/>
      <c r="V14" s="281"/>
      <c r="W14" s="281"/>
      <c r="X14" s="281"/>
      <c r="Y14" s="282"/>
    </row>
    <row r="15" spans="1:30" s="48" customFormat="1" ht="27.95" customHeight="1">
      <c r="A15" s="24">
        <v>12</v>
      </c>
      <c r="B15" s="34" t="s">
        <v>13</v>
      </c>
      <c r="C15" s="263"/>
      <c r="D15" s="264"/>
      <c r="E15" s="200" t="s">
        <v>149</v>
      </c>
      <c r="F15" s="201" t="s">
        <v>322</v>
      </c>
      <c r="G15" s="201" t="s">
        <v>14</v>
      </c>
      <c r="H15" s="201" t="s">
        <v>48</v>
      </c>
      <c r="I15" s="27" t="s">
        <v>45</v>
      </c>
      <c r="J15" s="29" t="s">
        <v>15</v>
      </c>
      <c r="K15" s="27" t="s">
        <v>46</v>
      </c>
      <c r="L15" s="29"/>
      <c r="M15" s="27" t="s">
        <v>16</v>
      </c>
      <c r="N15" s="27" t="s">
        <v>23</v>
      </c>
      <c r="O15" s="29" t="s">
        <v>307</v>
      </c>
      <c r="P15" s="30" t="s">
        <v>21</v>
      </c>
      <c r="Q15" s="223" t="s">
        <v>282</v>
      </c>
      <c r="R15" s="31">
        <f t="shared" si="0"/>
        <v>1</v>
      </c>
      <c r="S15" s="22"/>
      <c r="T15" s="280"/>
      <c r="U15" s="281"/>
      <c r="V15" s="281"/>
      <c r="W15" s="281"/>
      <c r="X15" s="281"/>
      <c r="Y15" s="282"/>
    </row>
    <row r="16" spans="1:30" s="48" customFormat="1" ht="27.95" customHeight="1">
      <c r="A16" s="24">
        <v>13</v>
      </c>
      <c r="B16" s="49" t="s">
        <v>89</v>
      </c>
      <c r="C16" s="265"/>
      <c r="D16" s="266"/>
      <c r="E16" s="27" t="s">
        <v>250</v>
      </c>
      <c r="F16" s="29" t="s">
        <v>18</v>
      </c>
      <c r="G16" s="27" t="s">
        <v>233</v>
      </c>
      <c r="H16" s="27" t="s">
        <v>238</v>
      </c>
      <c r="I16" s="29" t="s">
        <v>88</v>
      </c>
      <c r="J16" s="50" t="s">
        <v>167</v>
      </c>
      <c r="K16" s="29" t="s">
        <v>87</v>
      </c>
      <c r="L16" s="28"/>
      <c r="M16" s="12" t="s">
        <v>184</v>
      </c>
      <c r="N16" s="28" t="s">
        <v>86</v>
      </c>
      <c r="O16" s="26" t="s">
        <v>223</v>
      </c>
      <c r="P16" s="30" t="s">
        <v>338</v>
      </c>
      <c r="Q16" s="27" t="s">
        <v>383</v>
      </c>
      <c r="R16" s="31">
        <f t="shared" si="0"/>
        <v>1</v>
      </c>
      <c r="S16" s="22"/>
      <c r="T16" s="280"/>
      <c r="U16" s="281"/>
      <c r="V16" s="281"/>
      <c r="W16" s="281"/>
      <c r="X16" s="281"/>
      <c r="Y16" s="282"/>
    </row>
    <row r="17" spans="1:31" s="48" customFormat="1" ht="27.95" customHeight="1" thickBot="1">
      <c r="A17" s="24">
        <v>14</v>
      </c>
      <c r="B17" s="49" t="s">
        <v>85</v>
      </c>
      <c r="C17" s="265"/>
      <c r="D17" s="266"/>
      <c r="E17" s="30" t="s">
        <v>20</v>
      </c>
      <c r="F17" s="26"/>
      <c r="G17" s="26" t="s">
        <v>264</v>
      </c>
      <c r="H17" s="30" t="s">
        <v>231</v>
      </c>
      <c r="I17" s="30" t="s">
        <v>183</v>
      </c>
      <c r="J17" s="27" t="s">
        <v>288</v>
      </c>
      <c r="K17" s="28" t="s">
        <v>84</v>
      </c>
      <c r="L17" s="30"/>
      <c r="M17" s="2" t="s">
        <v>161</v>
      </c>
      <c r="N17" s="53" t="s">
        <v>82</v>
      </c>
      <c r="O17" s="29" t="s">
        <v>291</v>
      </c>
      <c r="P17" s="30" t="s">
        <v>383</v>
      </c>
      <c r="Q17" s="30" t="s">
        <v>295</v>
      </c>
      <c r="R17" s="31">
        <f t="shared" si="0"/>
        <v>0.91666666666666663</v>
      </c>
      <c r="S17" s="22"/>
      <c r="T17" s="283"/>
      <c r="U17" s="284"/>
      <c r="V17" s="284"/>
      <c r="W17" s="284"/>
      <c r="X17" s="284"/>
      <c r="Y17" s="285"/>
    </row>
    <row r="18" spans="1:31" s="16" customFormat="1" ht="27.95" customHeight="1" thickBot="1">
      <c r="A18" s="24">
        <v>15</v>
      </c>
      <c r="B18" s="135" t="s">
        <v>202</v>
      </c>
      <c r="C18" s="265"/>
      <c r="D18" s="266"/>
      <c r="E18" s="62" t="s">
        <v>264</v>
      </c>
      <c r="F18" s="26" t="s">
        <v>224</v>
      </c>
      <c r="G18" s="3" t="s">
        <v>323</v>
      </c>
      <c r="H18" s="27" t="s">
        <v>203</v>
      </c>
      <c r="I18" s="30" t="s">
        <v>165</v>
      </c>
      <c r="J18" s="55" t="s">
        <v>408</v>
      </c>
      <c r="K18" s="26" t="s">
        <v>179</v>
      </c>
      <c r="L18" s="35"/>
      <c r="M18" s="30" t="s">
        <v>27</v>
      </c>
      <c r="N18" s="2" t="s">
        <v>237</v>
      </c>
      <c r="O18" s="30" t="s">
        <v>345</v>
      </c>
      <c r="P18" s="55" t="s">
        <v>409</v>
      </c>
      <c r="Q18" s="30"/>
      <c r="R18" s="31">
        <f t="shared" si="0"/>
        <v>0.91666666666666663</v>
      </c>
      <c r="S18" s="22"/>
      <c r="T18" s="286" t="s">
        <v>342</v>
      </c>
      <c r="U18" s="287"/>
      <c r="V18" s="287"/>
      <c r="W18" s="287"/>
      <c r="X18" s="287"/>
      <c r="Y18" s="288"/>
    </row>
    <row r="19" spans="1:31" s="16" customFormat="1" ht="27.95" customHeight="1">
      <c r="A19" s="24">
        <v>16</v>
      </c>
      <c r="B19" s="136" t="s">
        <v>99</v>
      </c>
      <c r="C19" s="265"/>
      <c r="D19" s="266"/>
      <c r="E19" s="62" t="s">
        <v>198</v>
      </c>
      <c r="F19" s="55" t="s">
        <v>98</v>
      </c>
      <c r="G19" s="27" t="s">
        <v>185</v>
      </c>
      <c r="H19" s="27" t="s">
        <v>97</v>
      </c>
      <c r="I19" s="27" t="s">
        <v>17</v>
      </c>
      <c r="J19" s="27" t="s">
        <v>41</v>
      </c>
      <c r="K19" s="29" t="s">
        <v>374</v>
      </c>
      <c r="L19" s="29"/>
      <c r="M19" s="27" t="s">
        <v>159</v>
      </c>
      <c r="N19" s="29" t="s">
        <v>298</v>
      </c>
      <c r="O19" s="41" t="s">
        <v>233</v>
      </c>
      <c r="P19" s="30" t="s">
        <v>350</v>
      </c>
      <c r="Q19" s="26" t="s">
        <v>178</v>
      </c>
      <c r="R19" s="31">
        <f t="shared" si="0"/>
        <v>1</v>
      </c>
      <c r="S19" s="22"/>
      <c r="T19" s="289" t="s">
        <v>412</v>
      </c>
      <c r="U19" s="290"/>
      <c r="V19" s="290"/>
      <c r="W19" s="290"/>
      <c r="X19" s="290"/>
      <c r="Y19" s="291"/>
    </row>
    <row r="20" spans="1:31" s="16" customFormat="1" ht="27.95" customHeight="1">
      <c r="A20" s="24">
        <v>17</v>
      </c>
      <c r="B20" s="54" t="s">
        <v>213</v>
      </c>
      <c r="C20" s="265"/>
      <c r="D20" s="266"/>
      <c r="E20" s="30" t="s">
        <v>200</v>
      </c>
      <c r="F20" s="26" t="s">
        <v>289</v>
      </c>
      <c r="G20" s="26"/>
      <c r="H20" s="30" t="s">
        <v>287</v>
      </c>
      <c r="I20" s="30" t="s">
        <v>241</v>
      </c>
      <c r="J20" s="27" t="s">
        <v>249</v>
      </c>
      <c r="K20" s="28" t="s">
        <v>322</v>
      </c>
      <c r="L20" s="30"/>
      <c r="M20" s="2" t="s">
        <v>322</v>
      </c>
      <c r="N20" s="29" t="s">
        <v>374</v>
      </c>
      <c r="O20" s="29"/>
      <c r="P20" s="29" t="s">
        <v>240</v>
      </c>
      <c r="Q20" s="56" t="s">
        <v>181</v>
      </c>
      <c r="R20" s="31">
        <f t="shared" si="0"/>
        <v>0.83333333333333337</v>
      </c>
      <c r="S20" s="22"/>
      <c r="T20" s="280"/>
      <c r="U20" s="281"/>
      <c r="V20" s="281"/>
      <c r="W20" s="281"/>
      <c r="X20" s="281"/>
      <c r="Y20" s="282"/>
    </row>
    <row r="21" spans="1:31" s="16" customFormat="1" ht="27.95" customHeight="1" thickBot="1">
      <c r="A21" s="24">
        <v>18</v>
      </c>
      <c r="B21" s="57" t="s">
        <v>92</v>
      </c>
      <c r="C21" s="267"/>
      <c r="D21" s="268"/>
      <c r="E21" s="212" t="s">
        <v>374</v>
      </c>
      <c r="F21" s="58" t="s">
        <v>148</v>
      </c>
      <c r="G21" s="10" t="s">
        <v>299</v>
      </c>
      <c r="H21" s="43" t="s">
        <v>41</v>
      </c>
      <c r="I21" s="43" t="s">
        <v>176</v>
      </c>
      <c r="J21" s="58" t="s">
        <v>223</v>
      </c>
      <c r="K21" s="43" t="s">
        <v>199</v>
      </c>
      <c r="L21" s="85"/>
      <c r="M21" s="58" t="s">
        <v>195</v>
      </c>
      <c r="N21" s="43" t="s">
        <v>337</v>
      </c>
      <c r="O21" s="43" t="s">
        <v>226</v>
      </c>
      <c r="P21" s="58" t="s">
        <v>91</v>
      </c>
      <c r="Q21" s="43" t="s">
        <v>90</v>
      </c>
      <c r="R21" s="31">
        <f t="shared" si="0"/>
        <v>1</v>
      </c>
      <c r="S21" s="22"/>
      <c r="T21" s="280"/>
      <c r="U21" s="281"/>
      <c r="V21" s="281"/>
      <c r="W21" s="281"/>
      <c r="X21" s="281"/>
      <c r="Y21" s="282"/>
    </row>
    <row r="22" spans="1:31" s="16" customFormat="1" ht="27.95" customHeight="1" thickBot="1">
      <c r="A22" s="24">
        <v>19</v>
      </c>
      <c r="B22" s="59" t="s">
        <v>83</v>
      </c>
      <c r="C22" s="269"/>
      <c r="D22" s="270"/>
      <c r="E22" s="37" t="s">
        <v>179</v>
      </c>
      <c r="F22" s="37" t="s">
        <v>232</v>
      </c>
      <c r="G22" s="60" t="s">
        <v>166</v>
      </c>
      <c r="H22" s="37"/>
      <c r="I22" s="37" t="s">
        <v>302</v>
      </c>
      <c r="J22" s="37" t="s">
        <v>53</v>
      </c>
      <c r="K22" s="46" t="s">
        <v>82</v>
      </c>
      <c r="L22" s="46"/>
      <c r="M22" s="46" t="s">
        <v>372</v>
      </c>
      <c r="N22" s="39" t="s">
        <v>198</v>
      </c>
      <c r="O22" s="47"/>
      <c r="P22" s="39" t="s">
        <v>283</v>
      </c>
      <c r="Q22" s="37" t="s">
        <v>339</v>
      </c>
      <c r="R22" s="31">
        <f t="shared" si="0"/>
        <v>0.83333333333333337</v>
      </c>
      <c r="S22" s="22"/>
      <c r="T22" s="283"/>
      <c r="U22" s="284"/>
      <c r="V22" s="284"/>
      <c r="W22" s="284"/>
      <c r="X22" s="284"/>
      <c r="Y22" s="285"/>
    </row>
    <row r="23" spans="1:31" s="16" customFormat="1" ht="27.95" customHeight="1" thickBot="1">
      <c r="A23" s="24">
        <v>20</v>
      </c>
      <c r="B23" s="187" t="s">
        <v>24</v>
      </c>
      <c r="C23" s="61" t="s">
        <v>363</v>
      </c>
      <c r="D23" s="61" t="s">
        <v>363</v>
      </c>
      <c r="E23" s="62" t="s">
        <v>172</v>
      </c>
      <c r="F23" s="62" t="s">
        <v>265</v>
      </c>
      <c r="G23" s="29" t="s">
        <v>44</v>
      </c>
      <c r="H23" s="3" t="s">
        <v>26</v>
      </c>
      <c r="I23" s="27" t="s">
        <v>262</v>
      </c>
      <c r="J23" s="27" t="s">
        <v>183</v>
      </c>
      <c r="K23" s="27" t="s">
        <v>266</v>
      </c>
      <c r="L23" s="63"/>
      <c r="M23" s="41" t="s">
        <v>234</v>
      </c>
      <c r="N23" s="27" t="s">
        <v>250</v>
      </c>
      <c r="O23" s="3" t="s">
        <v>22</v>
      </c>
      <c r="P23" s="298"/>
      <c r="Q23" s="299"/>
      <c r="R23" s="31">
        <f t="shared" si="0"/>
        <v>1</v>
      </c>
      <c r="S23" s="22"/>
      <c r="T23" s="237" t="s">
        <v>343</v>
      </c>
      <c r="U23" s="238"/>
      <c r="V23" s="238"/>
      <c r="W23" s="238"/>
      <c r="X23" s="238"/>
      <c r="Y23" s="239"/>
    </row>
    <row r="24" spans="1:31" s="16" customFormat="1" ht="27.95" customHeight="1">
      <c r="A24" s="24">
        <v>21</v>
      </c>
      <c r="B24" s="51" t="s">
        <v>104</v>
      </c>
      <c r="C24" s="64" t="s">
        <v>191</v>
      </c>
      <c r="D24" s="64" t="s">
        <v>50</v>
      </c>
      <c r="E24" s="2" t="s">
        <v>175</v>
      </c>
      <c r="F24" s="50" t="s">
        <v>429</v>
      </c>
      <c r="G24" s="27" t="s">
        <v>69</v>
      </c>
      <c r="H24" s="26" t="s">
        <v>272</v>
      </c>
      <c r="I24" s="2" t="s">
        <v>430</v>
      </c>
      <c r="J24" s="27" t="s">
        <v>103</v>
      </c>
      <c r="K24" s="30" t="s">
        <v>210</v>
      </c>
      <c r="L24" s="30"/>
      <c r="M24" s="27" t="s">
        <v>183</v>
      </c>
      <c r="N24" s="27" t="s">
        <v>102</v>
      </c>
      <c r="O24" s="26" t="s">
        <v>101</v>
      </c>
      <c r="P24" s="300"/>
      <c r="Q24" s="301"/>
      <c r="R24" s="31">
        <f t="shared" si="0"/>
        <v>1</v>
      </c>
      <c r="S24" s="22"/>
      <c r="T24" s="289" t="s">
        <v>436</v>
      </c>
      <c r="U24" s="290"/>
      <c r="V24" s="290"/>
      <c r="W24" s="290"/>
      <c r="X24" s="290"/>
      <c r="Y24" s="291"/>
    </row>
    <row r="25" spans="1:31" s="16" customFormat="1" ht="27.95" customHeight="1">
      <c r="A25" s="24">
        <v>22</v>
      </c>
      <c r="B25" s="186" t="s">
        <v>204</v>
      </c>
      <c r="C25" s="64" t="s">
        <v>51</v>
      </c>
      <c r="D25" s="64" t="s">
        <v>187</v>
      </c>
      <c r="E25" s="32" t="s">
        <v>268</v>
      </c>
      <c r="F25" s="30" t="s">
        <v>376</v>
      </c>
      <c r="G25" s="2" t="s">
        <v>149</v>
      </c>
      <c r="H25" s="30" t="s">
        <v>290</v>
      </c>
      <c r="I25" s="176" t="s">
        <v>205</v>
      </c>
      <c r="J25" s="101" t="s">
        <v>206</v>
      </c>
      <c r="K25" s="33" t="s">
        <v>414</v>
      </c>
      <c r="L25" s="101"/>
      <c r="M25" s="30" t="s">
        <v>19</v>
      </c>
      <c r="N25" s="26" t="s">
        <v>283</v>
      </c>
      <c r="O25" s="2" t="s">
        <v>155</v>
      </c>
      <c r="P25" s="300"/>
      <c r="Q25" s="301"/>
      <c r="R25" s="31">
        <f t="shared" si="0"/>
        <v>1</v>
      </c>
      <c r="S25" s="22"/>
      <c r="T25" s="280"/>
      <c r="U25" s="281"/>
      <c r="V25" s="281"/>
      <c r="W25" s="281"/>
      <c r="X25" s="281"/>
      <c r="Y25" s="282"/>
    </row>
    <row r="26" spans="1:31" s="16" customFormat="1" ht="27.95" customHeight="1" thickBot="1">
      <c r="A26" s="24">
        <v>23</v>
      </c>
      <c r="B26" s="188" t="s">
        <v>96</v>
      </c>
      <c r="C26" s="65" t="s">
        <v>188</v>
      </c>
      <c r="D26" s="65" t="s">
        <v>190</v>
      </c>
      <c r="E26" s="43" t="s">
        <v>169</v>
      </c>
      <c r="F26" s="43" t="s">
        <v>298</v>
      </c>
      <c r="G26" s="43" t="s">
        <v>226</v>
      </c>
      <c r="H26" s="58" t="s">
        <v>307</v>
      </c>
      <c r="I26" s="43" t="s">
        <v>95</v>
      </c>
      <c r="J26" s="43" t="s">
        <v>94</v>
      </c>
      <c r="K26" s="43" t="s">
        <v>237</v>
      </c>
      <c r="L26" s="178"/>
      <c r="M26" s="58" t="s">
        <v>319</v>
      </c>
      <c r="N26" s="10" t="s">
        <v>93</v>
      </c>
      <c r="O26" s="37"/>
      <c r="P26" s="302"/>
      <c r="Q26" s="303"/>
      <c r="R26" s="31">
        <f>(COUNTA(C26:Q26))/12</f>
        <v>0.91666666666666663</v>
      </c>
      <c r="S26" s="22"/>
      <c r="T26" s="280"/>
      <c r="U26" s="281"/>
      <c r="V26" s="281"/>
      <c r="W26" s="281"/>
      <c r="X26" s="281"/>
      <c r="Y26" s="282"/>
    </row>
    <row r="27" spans="1:31" s="16" customFormat="1" ht="27.95" customHeight="1">
      <c r="A27" s="66" t="s">
        <v>81</v>
      </c>
      <c r="B27" s="67" t="s">
        <v>80</v>
      </c>
      <c r="C27" s="240"/>
      <c r="D27" s="241"/>
      <c r="E27" s="3"/>
      <c r="F27" s="27"/>
      <c r="G27" s="27" t="s">
        <v>222</v>
      </c>
      <c r="H27" s="29" t="s">
        <v>158</v>
      </c>
      <c r="I27" s="27" t="s">
        <v>79</v>
      </c>
      <c r="J27" s="3" t="s">
        <v>207</v>
      </c>
      <c r="K27" s="3"/>
      <c r="L27" s="177"/>
      <c r="M27" s="27"/>
      <c r="N27" s="27" t="s">
        <v>316</v>
      </c>
      <c r="O27" s="27" t="s">
        <v>78</v>
      </c>
      <c r="P27" s="69"/>
      <c r="Q27" s="70"/>
      <c r="R27" s="31">
        <f>(COUNTA(C27:Q27))/6</f>
        <v>1</v>
      </c>
      <c r="S27" s="22"/>
      <c r="T27" s="280"/>
      <c r="U27" s="281"/>
      <c r="V27" s="281"/>
      <c r="W27" s="281"/>
      <c r="X27" s="281"/>
      <c r="Y27" s="282"/>
    </row>
    <row r="28" spans="1:31" s="16" customFormat="1" ht="27.95" customHeight="1" thickBot="1">
      <c r="A28" s="71" t="s">
        <v>77</v>
      </c>
      <c r="B28" s="72" t="s">
        <v>28</v>
      </c>
      <c r="C28" s="240"/>
      <c r="D28" s="241"/>
      <c r="E28" s="27" t="s">
        <v>223</v>
      </c>
      <c r="F28" s="27" t="s">
        <v>76</v>
      </c>
      <c r="G28" s="27"/>
      <c r="H28" s="27"/>
      <c r="I28" s="27"/>
      <c r="J28" s="27" t="s">
        <v>307</v>
      </c>
      <c r="K28" s="169"/>
      <c r="L28" s="73"/>
      <c r="M28" s="27"/>
      <c r="N28" s="27"/>
      <c r="O28" s="27" t="s">
        <v>69</v>
      </c>
      <c r="P28" s="26" t="s">
        <v>14</v>
      </c>
      <c r="Q28" s="27" t="s">
        <v>75</v>
      </c>
      <c r="R28" s="31">
        <f>(COUNTA(C28:Q28))/7</f>
        <v>0.8571428571428571</v>
      </c>
      <c r="S28" s="22"/>
      <c r="T28" s="283"/>
      <c r="U28" s="284"/>
      <c r="V28" s="284"/>
      <c r="W28" s="284"/>
      <c r="X28" s="284"/>
      <c r="Y28" s="285"/>
    </row>
    <row r="29" spans="1:31" s="16" customFormat="1" ht="9.9499999999999993" customHeight="1" thickBot="1">
      <c r="A29" s="74"/>
      <c r="B29" s="75"/>
      <c r="C29" s="75"/>
      <c r="D29" s="75"/>
      <c r="E29" s="4"/>
      <c r="F29" s="76"/>
      <c r="G29" s="77"/>
      <c r="H29" s="77"/>
      <c r="I29" s="77"/>
      <c r="J29" s="77"/>
      <c r="K29" s="4"/>
      <c r="L29" s="76"/>
      <c r="M29" s="4"/>
      <c r="N29" s="77"/>
      <c r="O29" s="76"/>
      <c r="P29" s="76"/>
      <c r="Q29" s="78"/>
      <c r="R29" s="79"/>
      <c r="S29" s="22"/>
      <c r="T29" s="210"/>
      <c r="U29" s="210"/>
      <c r="V29" s="210"/>
      <c r="W29" s="210"/>
      <c r="X29" s="210"/>
      <c r="Y29" s="210"/>
    </row>
    <row r="30" spans="1:31" s="16" customFormat="1" ht="109.5" customHeight="1">
      <c r="A30" s="242"/>
      <c r="B30" s="244" t="s">
        <v>74</v>
      </c>
      <c r="C30" s="246"/>
      <c r="D30" s="247"/>
      <c r="E30" s="70" t="s">
        <v>330</v>
      </c>
      <c r="F30" s="80" t="s">
        <v>267</v>
      </c>
      <c r="G30" s="70" t="s">
        <v>275</v>
      </c>
      <c r="H30" s="70" t="s">
        <v>305</v>
      </c>
      <c r="I30" s="27" t="s">
        <v>216</v>
      </c>
      <c r="J30" s="29" t="s">
        <v>211</v>
      </c>
      <c r="K30" s="27" t="s">
        <v>273</v>
      </c>
      <c r="L30" s="28"/>
      <c r="M30" s="29" t="s">
        <v>423</v>
      </c>
      <c r="N30" s="81" t="s">
        <v>294</v>
      </c>
      <c r="O30" s="80" t="s">
        <v>331</v>
      </c>
      <c r="P30" s="81" t="s">
        <v>326</v>
      </c>
      <c r="Q30" s="27" t="s">
        <v>186</v>
      </c>
      <c r="R30" s="31">
        <f>(COUNTA(C30:Q30))/12</f>
        <v>1</v>
      </c>
      <c r="S30" s="22"/>
      <c r="T30" s="252" t="s">
        <v>419</v>
      </c>
      <c r="U30" s="253"/>
      <c r="V30" s="253"/>
      <c r="W30" s="253"/>
      <c r="X30" s="253"/>
      <c r="Y30" s="254"/>
    </row>
    <row r="31" spans="1:31" s="16" customFormat="1" ht="129.94999999999999" customHeight="1">
      <c r="A31" s="243"/>
      <c r="B31" s="245"/>
      <c r="C31" s="248"/>
      <c r="D31" s="249"/>
      <c r="E31" s="82" t="s">
        <v>424</v>
      </c>
      <c r="F31" s="26" t="s">
        <v>357</v>
      </c>
      <c r="G31" s="211" t="s">
        <v>432</v>
      </c>
      <c r="H31" s="26" t="s">
        <v>425</v>
      </c>
      <c r="I31" s="30" t="s">
        <v>355</v>
      </c>
      <c r="J31" s="26" t="s">
        <v>427</v>
      </c>
      <c r="K31" s="26" t="s">
        <v>359</v>
      </c>
      <c r="L31" s="26"/>
      <c r="M31" s="26" t="s">
        <v>431</v>
      </c>
      <c r="N31" s="82" t="s">
        <v>428</v>
      </c>
      <c r="O31" s="139" t="s">
        <v>411</v>
      </c>
      <c r="P31" s="218" t="s">
        <v>426</v>
      </c>
      <c r="Q31" s="26" t="s">
        <v>353</v>
      </c>
      <c r="R31" s="79"/>
      <c r="S31" s="22"/>
      <c r="T31" s="255"/>
      <c r="U31" s="256"/>
      <c r="V31" s="256"/>
      <c r="W31" s="256"/>
      <c r="X31" s="256"/>
      <c r="Y31" s="257"/>
    </row>
    <row r="32" spans="1:31" s="16" customFormat="1" ht="69.95" customHeight="1" thickBot="1">
      <c r="A32" s="83"/>
      <c r="B32" s="57" t="s">
        <v>73</v>
      </c>
      <c r="C32" s="250"/>
      <c r="D32" s="251"/>
      <c r="E32" s="84" t="s">
        <v>72</v>
      </c>
      <c r="F32" s="213" t="s">
        <v>332</v>
      </c>
      <c r="G32" s="58" t="s">
        <v>168</v>
      </c>
      <c r="H32" s="58" t="s">
        <v>303</v>
      </c>
      <c r="I32" s="43" t="s">
        <v>293</v>
      </c>
      <c r="J32" s="58" t="s">
        <v>304</v>
      </c>
      <c r="K32" s="58" t="s">
        <v>306</v>
      </c>
      <c r="L32" s="85"/>
      <c r="M32" s="58" t="s">
        <v>212</v>
      </c>
      <c r="N32" s="43" t="s">
        <v>278</v>
      </c>
      <c r="O32" s="37" t="s">
        <v>279</v>
      </c>
      <c r="P32" s="86" t="s">
        <v>71</v>
      </c>
      <c r="Q32" s="86" t="s">
        <v>71</v>
      </c>
      <c r="R32" s="31">
        <f>(COUNTA(F32:P32))/10</f>
        <v>1</v>
      </c>
      <c r="S32" s="22"/>
      <c r="T32" s="258"/>
      <c r="U32" s="259"/>
      <c r="V32" s="259"/>
      <c r="W32" s="259"/>
      <c r="X32" s="259"/>
      <c r="Y32" s="260"/>
      <c r="AB32" s="14"/>
      <c r="AC32" s="14"/>
      <c r="AD32" s="14"/>
      <c r="AE32" s="14"/>
    </row>
    <row r="33" spans="1:27" ht="9.9499999999999993" customHeight="1">
      <c r="A33" s="87"/>
      <c r="B33" s="87"/>
      <c r="C33" s="88"/>
      <c r="D33" s="88"/>
      <c r="O33" s="90"/>
      <c r="S33" s="22"/>
      <c r="AA33" s="16"/>
    </row>
    <row r="34" spans="1:27" ht="21" customHeight="1">
      <c r="B34" s="92"/>
      <c r="C34" s="92"/>
      <c r="D34" s="93" t="s">
        <v>70</v>
      </c>
      <c r="E34" s="94" t="s">
        <v>0</v>
      </c>
      <c r="F34" s="94" t="s">
        <v>1</v>
      </c>
      <c r="G34" s="94" t="s">
        <v>2</v>
      </c>
      <c r="H34" s="94" t="s">
        <v>29</v>
      </c>
      <c r="I34" s="94" t="s">
        <v>30</v>
      </c>
      <c r="J34" s="94" t="s">
        <v>31</v>
      </c>
      <c r="K34" s="94" t="s">
        <v>32</v>
      </c>
      <c r="L34" s="95" t="s">
        <v>33</v>
      </c>
      <c r="M34" s="94" t="s">
        <v>34</v>
      </c>
      <c r="N34" s="94" t="s">
        <v>6</v>
      </c>
      <c r="O34" s="94" t="s">
        <v>7</v>
      </c>
      <c r="P34" s="94" t="s">
        <v>8</v>
      </c>
      <c r="Q34" s="96" t="s">
        <v>9</v>
      </c>
      <c r="R34" s="97"/>
      <c r="T34" s="98"/>
      <c r="U34" s="99"/>
      <c r="V34" s="99"/>
      <c r="W34" s="99"/>
      <c r="X34" s="99"/>
      <c r="AA34" s="16"/>
    </row>
    <row r="35" spans="1:27" ht="45.75" customHeight="1">
      <c r="B35" s="92"/>
      <c r="C35" s="92"/>
      <c r="D35" s="100" t="s">
        <v>68</v>
      </c>
      <c r="E35" s="52" t="s">
        <v>274</v>
      </c>
      <c r="F35" s="52" t="s">
        <v>217</v>
      </c>
      <c r="G35" s="30" t="s">
        <v>320</v>
      </c>
      <c r="H35" s="30" t="s">
        <v>208</v>
      </c>
      <c r="I35" s="30" t="s">
        <v>12</v>
      </c>
      <c r="J35" s="30" t="s">
        <v>417</v>
      </c>
      <c r="K35" s="30" t="s">
        <v>248</v>
      </c>
      <c r="L35" s="30"/>
      <c r="M35" s="139" t="s">
        <v>164</v>
      </c>
      <c r="N35" s="141" t="s">
        <v>416</v>
      </c>
      <c r="O35" s="26" t="s">
        <v>247</v>
      </c>
      <c r="P35" s="50" t="s">
        <v>218</v>
      </c>
      <c r="Q35" s="102" t="s">
        <v>333</v>
      </c>
      <c r="R35" s="97"/>
      <c r="T35" s="99"/>
      <c r="U35" s="99"/>
      <c r="V35" s="99"/>
      <c r="W35" s="99"/>
      <c r="X35" s="99"/>
      <c r="AA35" s="16"/>
    </row>
    <row r="36" spans="1:27" ht="27.95" customHeight="1">
      <c r="B36" s="92"/>
      <c r="C36" s="92"/>
      <c r="D36" s="100" t="s">
        <v>65</v>
      </c>
      <c r="E36" s="52"/>
      <c r="F36" s="52"/>
      <c r="G36" s="30"/>
      <c r="H36" s="30"/>
      <c r="I36" s="30"/>
      <c r="J36" s="30"/>
      <c r="K36" s="30"/>
      <c r="L36" s="30"/>
      <c r="M36" s="30"/>
      <c r="N36" s="30"/>
      <c r="O36" s="214"/>
      <c r="P36" s="30" t="s">
        <v>335</v>
      </c>
      <c r="Q36" s="215"/>
      <c r="R36" s="97"/>
      <c r="T36" s="99"/>
      <c r="U36" s="99"/>
      <c r="V36" s="99"/>
      <c r="W36" s="99"/>
      <c r="X36" s="99"/>
    </row>
    <row r="37" spans="1:27" ht="27.95" customHeight="1">
      <c r="B37" s="92"/>
      <c r="C37" s="92"/>
      <c r="D37" s="100" t="s">
        <v>64</v>
      </c>
      <c r="E37" s="30"/>
      <c r="F37" s="105"/>
      <c r="G37" s="30"/>
      <c r="H37" s="30" t="s">
        <v>192</v>
      </c>
      <c r="I37" s="151"/>
      <c r="J37" s="35" t="s">
        <v>27</v>
      </c>
      <c r="K37" s="152" t="s">
        <v>88</v>
      </c>
      <c r="L37" s="30"/>
      <c r="M37" s="30" t="s">
        <v>25</v>
      </c>
      <c r="N37" s="50" t="s">
        <v>100</v>
      </c>
      <c r="O37" s="35" t="s">
        <v>63</v>
      </c>
      <c r="P37" s="30"/>
      <c r="Q37" s="215" t="s">
        <v>334</v>
      </c>
      <c r="R37" s="97"/>
      <c r="T37" s="99"/>
      <c r="U37" s="99"/>
      <c r="V37" s="99"/>
      <c r="W37" s="99"/>
      <c r="X37" s="99"/>
    </row>
    <row r="38" spans="1:27" ht="42" customHeight="1">
      <c r="B38" s="14"/>
      <c r="C38" s="14"/>
      <c r="D38" s="107" t="s">
        <v>62</v>
      </c>
      <c r="E38" s="137" t="s">
        <v>368</v>
      </c>
      <c r="F38" s="108"/>
      <c r="G38" s="110" t="s">
        <v>367</v>
      </c>
      <c r="H38" s="110" t="s">
        <v>364</v>
      </c>
      <c r="I38" s="110" t="s">
        <v>277</v>
      </c>
      <c r="J38" s="153" t="s">
        <v>369</v>
      </c>
      <c r="K38" s="110" t="s">
        <v>258</v>
      </c>
      <c r="L38" s="110"/>
      <c r="M38" s="109" t="s">
        <v>321</v>
      </c>
      <c r="N38" s="110" t="s">
        <v>365</v>
      </c>
      <c r="O38" s="110" t="s">
        <v>366</v>
      </c>
      <c r="P38" s="110" t="s">
        <v>170</v>
      </c>
      <c r="Q38" s="216" t="s">
        <v>189</v>
      </c>
    </row>
    <row r="39" spans="1:27" ht="9.9499999999999993" customHeight="1">
      <c r="E39" s="89"/>
      <c r="F39" s="89"/>
      <c r="G39" s="89"/>
      <c r="H39" s="89"/>
      <c r="I39" s="89"/>
      <c r="J39" s="89"/>
      <c r="K39" s="89"/>
      <c r="M39" s="89"/>
      <c r="N39" s="89"/>
      <c r="O39" s="89"/>
    </row>
    <row r="40" spans="1:27" ht="27.95" customHeight="1">
      <c r="A40" s="113"/>
      <c r="B40" s="113"/>
      <c r="C40" s="113"/>
      <c r="D40" s="228" t="s">
        <v>415</v>
      </c>
      <c r="E40" s="229"/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30"/>
      <c r="R40" s="97"/>
    </row>
    <row r="41" spans="1:27" ht="27.95" customHeight="1">
      <c r="A41" s="113"/>
      <c r="B41" s="113"/>
      <c r="C41" s="113"/>
      <c r="D41" s="231"/>
      <c r="E41" s="232"/>
      <c r="F41" s="232"/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33"/>
      <c r="R41" s="97"/>
    </row>
    <row r="42" spans="1:27" ht="27.95" customHeight="1">
      <c r="A42" s="113"/>
      <c r="B42" s="113"/>
      <c r="C42" s="113"/>
      <c r="D42" s="231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3"/>
      <c r="R42" s="97"/>
    </row>
    <row r="43" spans="1:27" ht="27.95" customHeight="1">
      <c r="A43" s="113"/>
      <c r="B43" s="113"/>
      <c r="C43" s="113"/>
      <c r="D43" s="231"/>
      <c r="E43" s="232"/>
      <c r="F43" s="232"/>
      <c r="G43" s="232"/>
      <c r="H43" s="232"/>
      <c r="I43" s="232"/>
      <c r="J43" s="232"/>
      <c r="K43" s="232"/>
      <c r="L43" s="232"/>
      <c r="M43" s="232"/>
      <c r="N43" s="232"/>
      <c r="O43" s="232"/>
      <c r="P43" s="232"/>
      <c r="Q43" s="233"/>
      <c r="R43" s="97"/>
    </row>
    <row r="44" spans="1:27" ht="27.95" customHeight="1">
      <c r="A44" s="113"/>
      <c r="B44" s="113"/>
      <c r="C44" s="113"/>
      <c r="D44" s="231"/>
      <c r="E44" s="232"/>
      <c r="F44" s="232"/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33"/>
      <c r="R44" s="97"/>
    </row>
    <row r="45" spans="1:27">
      <c r="A45" s="113"/>
      <c r="B45" s="113"/>
      <c r="C45" s="113"/>
      <c r="D45" s="231"/>
      <c r="E45" s="232"/>
      <c r="F45" s="232"/>
      <c r="G45" s="232"/>
      <c r="H45" s="232"/>
      <c r="I45" s="232"/>
      <c r="J45" s="232"/>
      <c r="K45" s="232"/>
      <c r="L45" s="232"/>
      <c r="M45" s="232"/>
      <c r="N45" s="232"/>
      <c r="O45" s="232"/>
      <c r="P45" s="232"/>
      <c r="Q45" s="233"/>
      <c r="R45" s="97"/>
    </row>
    <row r="46" spans="1:27">
      <c r="A46" s="113"/>
      <c r="B46" s="113"/>
      <c r="C46" s="113"/>
      <c r="D46" s="231"/>
      <c r="E46" s="232"/>
      <c r="F46" s="232"/>
      <c r="G46" s="232"/>
      <c r="H46" s="232"/>
      <c r="I46" s="232"/>
      <c r="J46" s="232"/>
      <c r="K46" s="232"/>
      <c r="L46" s="232"/>
      <c r="M46" s="232"/>
      <c r="N46" s="232"/>
      <c r="O46" s="232"/>
      <c r="P46" s="232"/>
      <c r="Q46" s="233"/>
      <c r="R46" s="97"/>
    </row>
    <row r="47" spans="1:27">
      <c r="A47" s="113"/>
      <c r="B47" s="113"/>
      <c r="C47" s="113"/>
      <c r="D47" s="231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232"/>
      <c r="Q47" s="233"/>
      <c r="R47" s="97"/>
    </row>
    <row r="48" spans="1:27">
      <c r="A48" s="113"/>
      <c r="B48" s="113"/>
      <c r="C48" s="113"/>
      <c r="D48" s="231"/>
      <c r="E48" s="232"/>
      <c r="F48" s="232"/>
      <c r="G48" s="232"/>
      <c r="H48" s="232"/>
      <c r="I48" s="232"/>
      <c r="J48" s="232"/>
      <c r="K48" s="232"/>
      <c r="L48" s="232"/>
      <c r="M48" s="232"/>
      <c r="N48" s="232"/>
      <c r="O48" s="232"/>
      <c r="P48" s="232"/>
      <c r="Q48" s="233"/>
      <c r="R48" s="97"/>
    </row>
    <row r="49" spans="1:18">
      <c r="A49" s="113"/>
      <c r="B49" s="113"/>
      <c r="C49" s="113"/>
      <c r="D49" s="231"/>
      <c r="E49" s="232"/>
      <c r="F49" s="232"/>
      <c r="G49" s="232"/>
      <c r="H49" s="232"/>
      <c r="I49" s="232"/>
      <c r="J49" s="232"/>
      <c r="K49" s="232"/>
      <c r="L49" s="232"/>
      <c r="M49" s="232"/>
      <c r="N49" s="232"/>
      <c r="O49" s="232"/>
      <c r="P49" s="232"/>
      <c r="Q49" s="233"/>
      <c r="R49" s="97"/>
    </row>
    <row r="50" spans="1:18">
      <c r="A50" s="113"/>
      <c r="B50" s="113"/>
      <c r="C50" s="113"/>
      <c r="D50" s="234"/>
      <c r="E50" s="235"/>
      <c r="F50" s="235"/>
      <c r="G50" s="235"/>
      <c r="H50" s="235"/>
      <c r="I50" s="235"/>
      <c r="J50" s="235"/>
      <c r="K50" s="235"/>
      <c r="L50" s="235"/>
      <c r="M50" s="235"/>
      <c r="N50" s="235"/>
      <c r="O50" s="235"/>
      <c r="P50" s="235"/>
      <c r="Q50" s="236"/>
      <c r="R50" s="97"/>
    </row>
    <row r="51" spans="1:18" ht="9.9499999999999993" customHeight="1"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7"/>
    </row>
    <row r="52" spans="1:18" ht="24">
      <c r="D52" s="114"/>
      <c r="E52" s="115" t="s">
        <v>0</v>
      </c>
      <c r="F52" s="116" t="s">
        <v>1</v>
      </c>
      <c r="G52" s="116" t="s">
        <v>2</v>
      </c>
      <c r="H52" s="116" t="s">
        <v>3</v>
      </c>
      <c r="I52" s="116" t="s">
        <v>61</v>
      </c>
      <c r="J52" s="116" t="s">
        <v>60</v>
      </c>
      <c r="K52" s="116" t="s">
        <v>59</v>
      </c>
      <c r="L52" s="117"/>
      <c r="M52" s="116" t="s">
        <v>5</v>
      </c>
      <c r="N52" s="116" t="s">
        <v>6</v>
      </c>
      <c r="O52" s="116" t="s">
        <v>7</v>
      </c>
      <c r="P52" s="116" t="s">
        <v>8</v>
      </c>
      <c r="Q52" s="118" t="s">
        <v>9</v>
      </c>
      <c r="R52" s="119" t="s">
        <v>58</v>
      </c>
    </row>
    <row r="53" spans="1:18" ht="30" customHeight="1">
      <c r="D53" s="120" t="s">
        <v>57</v>
      </c>
      <c r="E53" s="121"/>
      <c r="F53" s="41" t="s">
        <v>312</v>
      </c>
      <c r="G53" s="70"/>
      <c r="H53" s="41"/>
      <c r="I53" s="224" t="s">
        <v>433</v>
      </c>
      <c r="J53" s="41" t="s">
        <v>242</v>
      </c>
      <c r="K53" s="41"/>
      <c r="L53" s="28"/>
      <c r="M53" s="28"/>
      <c r="N53" s="41"/>
      <c r="O53" s="41"/>
      <c r="P53" s="41"/>
      <c r="Q53" s="41"/>
      <c r="R53" s="122"/>
    </row>
    <row r="54" spans="1:18" ht="30" customHeight="1">
      <c r="D54" s="123" t="s">
        <v>56</v>
      </c>
      <c r="E54" s="161"/>
      <c r="F54" s="53"/>
      <c r="G54" s="53" t="s">
        <v>193</v>
      </c>
      <c r="H54" s="53"/>
      <c r="I54" s="50"/>
      <c r="J54" s="53"/>
      <c r="K54" s="53" t="s">
        <v>157</v>
      </c>
      <c r="L54" s="35"/>
      <c r="M54" s="53"/>
      <c r="N54" s="53"/>
      <c r="O54" s="53"/>
      <c r="P54" s="125"/>
      <c r="Q54" s="53"/>
      <c r="R54" s="126"/>
    </row>
    <row r="55" spans="1:18" ht="69.95" customHeight="1">
      <c r="D55" s="127" t="s">
        <v>55</v>
      </c>
      <c r="E55" s="217" t="s">
        <v>413</v>
      </c>
      <c r="F55" s="50" t="s">
        <v>171</v>
      </c>
      <c r="G55" s="50" t="s">
        <v>47</v>
      </c>
      <c r="H55" s="50" t="s">
        <v>300</v>
      </c>
      <c r="I55" s="53" t="s">
        <v>162</v>
      </c>
      <c r="J55" s="50" t="s">
        <v>180</v>
      </c>
      <c r="K55" s="50" t="s">
        <v>313</v>
      </c>
      <c r="L55" s="35"/>
      <c r="M55" s="50"/>
      <c r="N55" s="53"/>
      <c r="O55" s="53" t="s">
        <v>314</v>
      </c>
      <c r="P55" s="53"/>
      <c r="Q55" s="53"/>
      <c r="R55" s="128" t="s">
        <v>311</v>
      </c>
    </row>
    <row r="56" spans="1:18" ht="30" customHeight="1">
      <c r="D56" s="120" t="s">
        <v>35</v>
      </c>
      <c r="E56" s="124"/>
      <c r="F56" s="125"/>
      <c r="G56" s="53"/>
      <c r="H56" s="53"/>
      <c r="I56" s="53"/>
      <c r="J56" s="53"/>
      <c r="K56" s="53"/>
      <c r="L56" s="106"/>
      <c r="M56" s="125"/>
      <c r="N56" s="125"/>
      <c r="O56" s="125"/>
      <c r="P56" s="125"/>
      <c r="Q56" s="125"/>
      <c r="R56" s="126"/>
    </row>
    <row r="57" spans="1:18" ht="30" customHeight="1">
      <c r="D57" s="129" t="s">
        <v>54</v>
      </c>
      <c r="E57" s="130"/>
      <c r="F57" s="131"/>
      <c r="G57" s="132"/>
      <c r="H57" s="131"/>
      <c r="I57" s="131"/>
      <c r="J57" s="131"/>
      <c r="K57" s="131"/>
      <c r="L57" s="133"/>
      <c r="M57" s="131"/>
      <c r="N57" s="131"/>
      <c r="O57" s="132" t="s">
        <v>22</v>
      </c>
      <c r="P57" s="132"/>
      <c r="Q57" s="131"/>
      <c r="R57" s="134"/>
    </row>
    <row r="60" spans="1:18" ht="24">
      <c r="D60" s="142"/>
      <c r="E60" s="116" t="s">
        <v>0</v>
      </c>
      <c r="F60" s="116" t="s">
        <v>1</v>
      </c>
      <c r="G60" s="116" t="s">
        <v>2</v>
      </c>
      <c r="H60" s="116" t="s">
        <v>3</v>
      </c>
      <c r="I60" s="116" t="s">
        <v>61</v>
      </c>
      <c r="J60" s="116" t="s">
        <v>60</v>
      </c>
      <c r="K60" s="116" t="s">
        <v>59</v>
      </c>
      <c r="L60" s="117"/>
      <c r="M60" s="116" t="s">
        <v>5</v>
      </c>
      <c r="N60" s="116" t="s">
        <v>6</v>
      </c>
      <c r="O60" s="116" t="s">
        <v>7</v>
      </c>
      <c r="P60" s="116" t="s">
        <v>8</v>
      </c>
      <c r="Q60" s="116" t="s">
        <v>9</v>
      </c>
      <c r="R60" s="119" t="s">
        <v>58</v>
      </c>
    </row>
    <row r="61" spans="1:18">
      <c r="D61" s="143" t="s">
        <v>123</v>
      </c>
      <c r="E61" s="144"/>
      <c r="F61" s="144"/>
      <c r="G61" s="144"/>
      <c r="H61" s="154" t="s">
        <v>209</v>
      </c>
      <c r="I61" s="155"/>
      <c r="J61" s="155"/>
      <c r="K61" s="144"/>
      <c r="L61" s="145"/>
      <c r="M61" s="144"/>
      <c r="N61" s="144"/>
      <c r="O61" s="144"/>
      <c r="P61" s="144"/>
      <c r="Q61" s="144"/>
      <c r="R61" s="146"/>
    </row>
    <row r="62" spans="1:18">
      <c r="D62" s="147"/>
      <c r="E62" s="148"/>
      <c r="F62" s="148"/>
      <c r="G62" s="148"/>
      <c r="H62" s="165"/>
      <c r="I62" s="156"/>
      <c r="J62" s="156"/>
      <c r="K62" s="148"/>
      <c r="L62" s="149"/>
      <c r="M62" s="148"/>
      <c r="N62" s="148"/>
      <c r="O62" s="148"/>
      <c r="P62" s="148"/>
      <c r="Q62" s="148"/>
      <c r="R62" s="150"/>
    </row>
    <row r="63" spans="1:18">
      <c r="H63" s="16"/>
      <c r="I63" s="16"/>
      <c r="J63" s="16"/>
    </row>
  </sheetData>
  <mergeCells count="22">
    <mergeCell ref="C22:D22"/>
    <mergeCell ref="A30:A31"/>
    <mergeCell ref="B30:B31"/>
    <mergeCell ref="C30:D32"/>
    <mergeCell ref="T30:Y32"/>
    <mergeCell ref="A1:Q1"/>
    <mergeCell ref="A2:Q2"/>
    <mergeCell ref="C4:D9"/>
    <mergeCell ref="T4:Y4"/>
    <mergeCell ref="T5:Y9"/>
    <mergeCell ref="P10:Q13"/>
    <mergeCell ref="T10:Y10"/>
    <mergeCell ref="T11:Y17"/>
    <mergeCell ref="C14:D14"/>
    <mergeCell ref="C15:D21"/>
    <mergeCell ref="T18:Y18"/>
    <mergeCell ref="T19:Y22"/>
    <mergeCell ref="D40:Q50"/>
    <mergeCell ref="P23:Q26"/>
    <mergeCell ref="T23:Y23"/>
    <mergeCell ref="T24:Y28"/>
    <mergeCell ref="C27:D28"/>
  </mergeCells>
  <phoneticPr fontId="3" type="noConversion"/>
  <pageMargins left="0.7" right="0.7" top="0.75" bottom="0.75" header="0.3" footer="0.3"/>
  <pageSetup paperSize="9" scale="32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63"/>
  <sheetViews>
    <sheetView tabSelected="1" topLeftCell="A2" zoomScale="85" zoomScaleNormal="85" workbookViewId="0">
      <selection activeCell="T24" sqref="T24:Y28"/>
    </sheetView>
  </sheetViews>
  <sheetFormatPr defaultRowHeight="16.5"/>
  <cols>
    <col min="1" max="1" width="3.25" style="14" customWidth="1"/>
    <col min="2" max="2" width="10" style="112" customWidth="1"/>
    <col min="3" max="4" width="11.875" style="112" customWidth="1"/>
    <col min="5" max="11" width="11.875" style="14" customWidth="1"/>
    <col min="12" max="12" width="2.625" style="89" customWidth="1"/>
    <col min="13" max="17" width="11.875" style="14" customWidth="1"/>
    <col min="18" max="18" width="11.875" style="91" customWidth="1"/>
    <col min="19" max="19" width="6.125" style="14" customWidth="1"/>
    <col min="20" max="25" width="8.125" style="14" customWidth="1"/>
    <col min="26" max="16384" width="9" style="14"/>
  </cols>
  <sheetData>
    <row r="1" spans="1:30" ht="16.5" hidden="1" customHeight="1">
      <c r="A1" s="304" t="s">
        <v>147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13"/>
    </row>
    <row r="2" spans="1:30" ht="18" customHeight="1">
      <c r="A2" s="306" t="s">
        <v>327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15"/>
      <c r="T2" s="16"/>
      <c r="U2" s="16"/>
      <c r="V2" s="16"/>
      <c r="W2" s="16"/>
      <c r="X2" s="16"/>
      <c r="Y2" s="16"/>
      <c r="AA2" s="16"/>
      <c r="AB2" s="16"/>
      <c r="AC2" s="16"/>
      <c r="AD2" s="16"/>
    </row>
    <row r="3" spans="1:30" ht="21" customHeight="1" thickBot="1">
      <c r="A3" s="17"/>
      <c r="B3" s="18" t="s">
        <v>146</v>
      </c>
      <c r="C3" s="19" t="s">
        <v>145</v>
      </c>
      <c r="D3" s="19" t="s">
        <v>144</v>
      </c>
      <c r="E3" s="19" t="s">
        <v>0</v>
      </c>
      <c r="F3" s="19" t="s">
        <v>1</v>
      </c>
      <c r="G3" s="19" t="s">
        <v>2</v>
      </c>
      <c r="H3" s="19" t="s">
        <v>3</v>
      </c>
      <c r="I3" s="19" t="s">
        <v>61</v>
      </c>
      <c r="J3" s="19" t="s">
        <v>60</v>
      </c>
      <c r="K3" s="19" t="s">
        <v>59</v>
      </c>
      <c r="L3" s="20" t="s">
        <v>4</v>
      </c>
      <c r="M3" s="19" t="s">
        <v>5</v>
      </c>
      <c r="N3" s="19" t="s">
        <v>6</v>
      </c>
      <c r="O3" s="19" t="s">
        <v>7</v>
      </c>
      <c r="P3" s="19" t="s">
        <v>8</v>
      </c>
      <c r="Q3" s="19" t="s">
        <v>9</v>
      </c>
      <c r="R3" s="21">
        <f>AVERAGE(R4:R32)</f>
        <v>0.95458553791887135</v>
      </c>
      <c r="S3" s="22"/>
      <c r="T3" s="16"/>
      <c r="U3" s="16"/>
      <c r="V3" s="16"/>
      <c r="W3" s="16"/>
      <c r="X3" s="16"/>
      <c r="Y3" s="16"/>
      <c r="Z3" s="23"/>
      <c r="AA3" s="16"/>
      <c r="AB3" s="16"/>
      <c r="AC3" s="16"/>
      <c r="AD3" s="16"/>
    </row>
    <row r="4" spans="1:30" s="16" customFormat="1" ht="27.95" customHeight="1" thickBot="1">
      <c r="A4" s="24">
        <v>1</v>
      </c>
      <c r="B4" s="25" t="s">
        <v>143</v>
      </c>
      <c r="C4" s="311"/>
      <c r="D4" s="312"/>
      <c r="E4" s="139" t="s">
        <v>254</v>
      </c>
      <c r="F4" s="211" t="s">
        <v>215</v>
      </c>
      <c r="G4" s="2" t="s">
        <v>109</v>
      </c>
      <c r="H4" s="27" t="s">
        <v>136</v>
      </c>
      <c r="I4" s="27" t="s">
        <v>296</v>
      </c>
      <c r="J4" s="28" t="s">
        <v>142</v>
      </c>
      <c r="K4" s="27" t="s">
        <v>141</v>
      </c>
      <c r="L4" s="29"/>
      <c r="M4" s="27" t="s">
        <v>67</v>
      </c>
      <c r="N4" s="26" t="s">
        <v>308</v>
      </c>
      <c r="O4" s="27" t="s">
        <v>173</v>
      </c>
      <c r="P4" s="30" t="s">
        <v>43</v>
      </c>
      <c r="Q4" s="1" t="s">
        <v>140</v>
      </c>
      <c r="R4" s="31">
        <f>(COUNTA(G4:Q4))/10</f>
        <v>1</v>
      </c>
      <c r="S4" s="22"/>
      <c r="T4" s="308" t="s">
        <v>340</v>
      </c>
      <c r="U4" s="309"/>
      <c r="V4" s="309"/>
      <c r="W4" s="309"/>
      <c r="X4" s="309"/>
      <c r="Y4" s="310"/>
    </row>
    <row r="5" spans="1:30" s="16" customFormat="1" ht="27.95" customHeight="1">
      <c r="A5" s="24">
        <v>2</v>
      </c>
      <c r="B5" s="36" t="s">
        <v>108</v>
      </c>
      <c r="C5" s="313"/>
      <c r="D5" s="314"/>
      <c r="E5" s="30" t="s">
        <v>66</v>
      </c>
      <c r="F5" s="23" t="s">
        <v>79</v>
      </c>
      <c r="G5" s="27" t="s">
        <v>107</v>
      </c>
      <c r="H5" s="29" t="s">
        <v>196</v>
      </c>
      <c r="I5" s="27" t="s">
        <v>128</v>
      </c>
      <c r="J5" s="27" t="s">
        <v>336</v>
      </c>
      <c r="K5" s="27"/>
      <c r="L5" s="28"/>
      <c r="M5" s="27" t="s">
        <v>252</v>
      </c>
      <c r="N5" s="41" t="s">
        <v>182</v>
      </c>
      <c r="O5" s="29" t="s">
        <v>315</v>
      </c>
      <c r="P5" s="26" t="s">
        <v>220</v>
      </c>
      <c r="Q5" s="26" t="s">
        <v>347</v>
      </c>
      <c r="R5" s="31">
        <f>(COUNTA(C5:Q5))/12</f>
        <v>0.91666666666666663</v>
      </c>
      <c r="S5" s="22"/>
      <c r="T5" s="289" t="s">
        <v>443</v>
      </c>
      <c r="U5" s="317"/>
      <c r="V5" s="317"/>
      <c r="W5" s="317"/>
      <c r="X5" s="317"/>
      <c r="Y5" s="318"/>
    </row>
    <row r="6" spans="1:30" s="16" customFormat="1" ht="27.95" customHeight="1">
      <c r="A6" s="24">
        <v>3</v>
      </c>
      <c r="B6" s="51" t="s">
        <v>139</v>
      </c>
      <c r="C6" s="313"/>
      <c r="D6" s="314"/>
      <c r="E6" s="28" t="s">
        <v>129</v>
      </c>
      <c r="F6" s="30" t="s">
        <v>163</v>
      </c>
      <c r="G6" s="26" t="s">
        <v>138</v>
      </c>
      <c r="H6" s="30" t="s">
        <v>324</v>
      </c>
      <c r="I6" s="30" t="s">
        <v>137</v>
      </c>
      <c r="J6" s="27"/>
      <c r="K6" s="26" t="s">
        <v>154</v>
      </c>
      <c r="L6" s="30"/>
      <c r="M6" s="26" t="s">
        <v>174</v>
      </c>
      <c r="N6" s="26"/>
      <c r="O6" s="27" t="s">
        <v>135</v>
      </c>
      <c r="P6" s="26" t="s">
        <v>348</v>
      </c>
      <c r="Q6" s="26" t="s">
        <v>229</v>
      </c>
      <c r="R6" s="31">
        <f>(COUNTA(C6:Q6))/12</f>
        <v>0.83333333333333337</v>
      </c>
      <c r="S6" s="22"/>
      <c r="T6" s="319"/>
      <c r="U6" s="320"/>
      <c r="V6" s="320"/>
      <c r="W6" s="320"/>
      <c r="X6" s="320"/>
      <c r="Y6" s="321"/>
    </row>
    <row r="7" spans="1:30" s="16" customFormat="1" ht="27.95" customHeight="1">
      <c r="A7" s="24">
        <v>3</v>
      </c>
      <c r="B7" s="25" t="s">
        <v>134</v>
      </c>
      <c r="C7" s="313"/>
      <c r="D7" s="314"/>
      <c r="E7" s="227" t="s">
        <v>444</v>
      </c>
      <c r="F7" s="26" t="s">
        <v>132</v>
      </c>
      <c r="G7" s="26" t="s">
        <v>209</v>
      </c>
      <c r="H7" s="26" t="s">
        <v>79</v>
      </c>
      <c r="I7" s="27" t="s">
        <v>252</v>
      </c>
      <c r="J7" s="3" t="s">
        <v>131</v>
      </c>
      <c r="K7" s="26" t="s">
        <v>263</v>
      </c>
      <c r="L7" s="30"/>
      <c r="M7" s="30" t="s">
        <v>122</v>
      </c>
      <c r="N7" s="27" t="s">
        <v>227</v>
      </c>
      <c r="O7" s="26"/>
      <c r="P7" s="30" t="s">
        <v>346</v>
      </c>
      <c r="Q7" s="138" t="s">
        <v>349</v>
      </c>
      <c r="R7" s="31">
        <f>(COUNTA(C7:Q7))/12</f>
        <v>0.91666666666666663</v>
      </c>
      <c r="S7" s="22"/>
      <c r="T7" s="319"/>
      <c r="U7" s="320"/>
      <c r="V7" s="320"/>
      <c r="W7" s="320"/>
      <c r="X7" s="320"/>
      <c r="Y7" s="321"/>
    </row>
    <row r="8" spans="1:30" s="16" customFormat="1" ht="27.95" customHeight="1">
      <c r="A8" s="24">
        <v>5</v>
      </c>
      <c r="B8" s="34" t="s">
        <v>214</v>
      </c>
      <c r="C8" s="313"/>
      <c r="D8" s="314"/>
      <c r="E8" s="26"/>
      <c r="F8" s="26" t="s">
        <v>229</v>
      </c>
      <c r="G8" s="26" t="s">
        <v>308</v>
      </c>
      <c r="H8" s="26" t="s">
        <v>243</v>
      </c>
      <c r="I8" s="26" t="s">
        <v>245</v>
      </c>
      <c r="J8" s="26" t="s">
        <v>174</v>
      </c>
      <c r="K8" s="30" t="s">
        <v>120</v>
      </c>
      <c r="L8" s="26"/>
      <c r="M8" s="26" t="s">
        <v>270</v>
      </c>
      <c r="N8" s="35" t="s">
        <v>215</v>
      </c>
      <c r="O8" s="53" t="s">
        <v>325</v>
      </c>
      <c r="P8" s="30" t="s">
        <v>151</v>
      </c>
      <c r="Q8" s="138" t="s">
        <v>244</v>
      </c>
      <c r="R8" s="31">
        <f t="shared" ref="R8:R25" si="0">(COUNTA(C8:Q8))/12</f>
        <v>0.91666666666666663</v>
      </c>
      <c r="S8" s="22"/>
      <c r="T8" s="319"/>
      <c r="U8" s="320"/>
      <c r="V8" s="320"/>
      <c r="W8" s="320"/>
      <c r="X8" s="320"/>
      <c r="Y8" s="321"/>
    </row>
    <row r="9" spans="1:30" s="16" customFormat="1" ht="27.95" customHeight="1" thickBot="1">
      <c r="A9" s="24">
        <v>6</v>
      </c>
      <c r="B9" s="170" t="s">
        <v>127</v>
      </c>
      <c r="C9" s="315"/>
      <c r="D9" s="316"/>
      <c r="E9" s="43" t="s">
        <v>126</v>
      </c>
      <c r="F9" s="43" t="s">
        <v>371</v>
      </c>
      <c r="G9" s="43" t="s">
        <v>153</v>
      </c>
      <c r="H9" s="43" t="s">
        <v>160</v>
      </c>
      <c r="I9" s="43" t="s">
        <v>177</v>
      </c>
      <c r="J9" s="43" t="s">
        <v>378</v>
      </c>
      <c r="K9" s="10" t="s">
        <v>246</v>
      </c>
      <c r="L9" s="43"/>
      <c r="M9" s="43" t="s">
        <v>150</v>
      </c>
      <c r="N9" s="44" t="s">
        <v>269</v>
      </c>
      <c r="O9" s="39" t="s">
        <v>42</v>
      </c>
      <c r="P9" s="227" t="s">
        <v>444</v>
      </c>
      <c r="Q9" s="43" t="s">
        <v>230</v>
      </c>
      <c r="R9" s="31">
        <f t="shared" si="0"/>
        <v>1</v>
      </c>
      <c r="S9" s="22"/>
      <c r="T9" s="322"/>
      <c r="U9" s="323"/>
      <c r="V9" s="323"/>
      <c r="W9" s="323"/>
      <c r="X9" s="323"/>
      <c r="Y9" s="324"/>
    </row>
    <row r="10" spans="1:30" s="16" customFormat="1" ht="27.95" customHeight="1" thickBot="1">
      <c r="A10" s="24">
        <v>7</v>
      </c>
      <c r="B10" s="34" t="s">
        <v>119</v>
      </c>
      <c r="C10" s="40"/>
      <c r="D10" s="40"/>
      <c r="E10" s="26" t="s">
        <v>117</v>
      </c>
      <c r="F10" s="26" t="s">
        <v>118</v>
      </c>
      <c r="G10" s="26" t="s">
        <v>11</v>
      </c>
      <c r="H10" s="26" t="s">
        <v>228</v>
      </c>
      <c r="I10" s="26" t="s">
        <v>375</v>
      </c>
      <c r="J10" s="26" t="s">
        <v>156</v>
      </c>
      <c r="K10" s="2" t="s">
        <v>116</v>
      </c>
      <c r="L10" s="26"/>
      <c r="M10" s="26" t="s">
        <v>10</v>
      </c>
      <c r="N10" s="35" t="s">
        <v>115</v>
      </c>
      <c r="O10" s="179" t="s">
        <v>114</v>
      </c>
      <c r="P10" s="292"/>
      <c r="Q10" s="293"/>
      <c r="R10" s="31">
        <f t="shared" si="0"/>
        <v>0.83333333333333337</v>
      </c>
      <c r="S10" s="22"/>
      <c r="T10" s="237" t="s">
        <v>341</v>
      </c>
      <c r="U10" s="238"/>
      <c r="V10" s="238"/>
      <c r="W10" s="238"/>
      <c r="X10" s="238"/>
      <c r="Y10" s="239"/>
    </row>
    <row r="11" spans="1:30" s="16" customFormat="1" ht="27.95" customHeight="1">
      <c r="A11" s="24">
        <v>8</v>
      </c>
      <c r="B11" s="186" t="s">
        <v>113</v>
      </c>
      <c r="C11" s="158" t="s">
        <v>308</v>
      </c>
      <c r="D11" s="158" t="s">
        <v>308</v>
      </c>
      <c r="E11" s="2" t="s">
        <v>118</v>
      </c>
      <c r="F11" s="30" t="s">
        <v>282</v>
      </c>
      <c r="G11" s="26" t="s">
        <v>197</v>
      </c>
      <c r="H11" s="26" t="s">
        <v>229</v>
      </c>
      <c r="I11" s="2" t="s">
        <v>10</v>
      </c>
      <c r="J11" s="26" t="s">
        <v>235</v>
      </c>
      <c r="K11" s="26" t="s">
        <v>292</v>
      </c>
      <c r="L11" s="26"/>
      <c r="M11" s="26" t="s">
        <v>12</v>
      </c>
      <c r="N11" s="30" t="s">
        <v>112</v>
      </c>
      <c r="O11" s="29" t="s">
        <v>111</v>
      </c>
      <c r="P11" s="294"/>
      <c r="Q11" s="295"/>
      <c r="R11" s="31">
        <f t="shared" si="0"/>
        <v>1</v>
      </c>
      <c r="S11" s="22"/>
      <c r="T11" s="280" t="s">
        <v>472</v>
      </c>
      <c r="U11" s="281"/>
      <c r="V11" s="281"/>
      <c r="W11" s="281"/>
      <c r="X11" s="281"/>
      <c r="Y11" s="282"/>
      <c r="Z11" s="42"/>
    </row>
    <row r="12" spans="1:30" s="16" customFormat="1" ht="27.95" customHeight="1">
      <c r="A12" s="24">
        <v>9</v>
      </c>
      <c r="B12" s="36" t="s">
        <v>130</v>
      </c>
      <c r="C12" s="158" t="s">
        <v>209</v>
      </c>
      <c r="D12" s="158" t="s">
        <v>209</v>
      </c>
      <c r="E12" s="26" t="s">
        <v>49</v>
      </c>
      <c r="F12" s="26" t="s">
        <v>124</v>
      </c>
      <c r="G12" s="28" t="s">
        <v>129</v>
      </c>
      <c r="H12" s="26" t="s">
        <v>128</v>
      </c>
      <c r="I12" s="26"/>
      <c r="J12" s="30" t="s">
        <v>286</v>
      </c>
      <c r="K12" s="53" t="s">
        <v>182</v>
      </c>
      <c r="L12" s="26"/>
      <c r="M12" s="29" t="s">
        <v>329</v>
      </c>
      <c r="N12" s="30" t="s">
        <v>263</v>
      </c>
      <c r="O12" s="2" t="s">
        <v>236</v>
      </c>
      <c r="P12" s="294"/>
      <c r="Q12" s="295"/>
      <c r="R12" s="31">
        <f t="shared" si="0"/>
        <v>0.91666666666666663</v>
      </c>
      <c r="S12" s="22"/>
      <c r="T12" s="280"/>
      <c r="U12" s="281"/>
      <c r="V12" s="281"/>
      <c r="W12" s="281"/>
      <c r="X12" s="281"/>
      <c r="Y12" s="282"/>
    </row>
    <row r="13" spans="1:30" s="16" customFormat="1" ht="27.95" customHeight="1" thickBot="1">
      <c r="A13" s="24">
        <v>10</v>
      </c>
      <c r="B13" s="190" t="s">
        <v>456</v>
      </c>
      <c r="C13" s="159"/>
      <c r="D13" s="159"/>
      <c r="E13" s="221" t="s">
        <v>114</v>
      </c>
      <c r="F13" s="400" t="s">
        <v>251</v>
      </c>
      <c r="G13" s="221" t="s">
        <v>152</v>
      </c>
      <c r="H13" s="221" t="s">
        <v>124</v>
      </c>
      <c r="I13" s="194" t="s">
        <v>239</v>
      </c>
      <c r="J13" s="221" t="s">
        <v>297</v>
      </c>
      <c r="K13" s="221" t="s">
        <v>43</v>
      </c>
      <c r="L13" s="401"/>
      <c r="M13" s="221" t="s">
        <v>292</v>
      </c>
      <c r="N13" s="221" t="s">
        <v>154</v>
      </c>
      <c r="O13" s="221" t="s">
        <v>259</v>
      </c>
      <c r="P13" s="296"/>
      <c r="Q13" s="297"/>
      <c r="R13" s="31">
        <f t="shared" si="0"/>
        <v>0.83333333333333337</v>
      </c>
      <c r="S13" s="22"/>
      <c r="T13" s="280"/>
      <c r="U13" s="281"/>
      <c r="V13" s="281"/>
      <c r="W13" s="281"/>
      <c r="X13" s="281"/>
      <c r="Y13" s="282"/>
    </row>
    <row r="14" spans="1:30" s="48" customFormat="1" ht="27.95" customHeight="1" thickBot="1">
      <c r="A14" s="24">
        <v>11</v>
      </c>
      <c r="B14" s="45" t="s">
        <v>106</v>
      </c>
      <c r="C14" s="261"/>
      <c r="D14" s="262"/>
      <c r="E14" s="39" t="s">
        <v>105</v>
      </c>
      <c r="F14" s="46" t="s">
        <v>182</v>
      </c>
      <c r="G14" s="47" t="s">
        <v>329</v>
      </c>
      <c r="H14" s="46" t="s">
        <v>52</v>
      </c>
      <c r="I14" s="39" t="s">
        <v>261</v>
      </c>
      <c r="J14" s="37" t="s">
        <v>209</v>
      </c>
      <c r="K14" s="37" t="s">
        <v>308</v>
      </c>
      <c r="L14" s="39"/>
      <c r="M14" s="37" t="s">
        <v>285</v>
      </c>
      <c r="N14" s="77" t="s">
        <v>257</v>
      </c>
      <c r="O14" s="37" t="s">
        <v>378</v>
      </c>
      <c r="P14" s="39" t="s">
        <v>221</v>
      </c>
      <c r="Q14" s="39" t="s">
        <v>236</v>
      </c>
      <c r="R14" s="31">
        <f t="shared" si="0"/>
        <v>1</v>
      </c>
      <c r="S14" s="22"/>
      <c r="T14" s="280"/>
      <c r="U14" s="281"/>
      <c r="V14" s="281"/>
      <c r="W14" s="281"/>
      <c r="X14" s="281"/>
      <c r="Y14" s="282"/>
    </row>
    <row r="15" spans="1:30" s="48" customFormat="1" ht="27.95" customHeight="1">
      <c r="A15" s="24">
        <v>12</v>
      </c>
      <c r="B15" s="34" t="s">
        <v>13</v>
      </c>
      <c r="C15" s="263"/>
      <c r="D15" s="264"/>
      <c r="E15" s="200" t="s">
        <v>149</v>
      </c>
      <c r="F15" s="201" t="s">
        <v>322</v>
      </c>
      <c r="G15" s="201" t="s">
        <v>14</v>
      </c>
      <c r="H15" s="201" t="s">
        <v>48</v>
      </c>
      <c r="I15" s="27"/>
      <c r="J15" s="29" t="s">
        <v>15</v>
      </c>
      <c r="K15" s="27" t="s">
        <v>46</v>
      </c>
      <c r="L15" s="29"/>
      <c r="M15" s="27" t="s">
        <v>16</v>
      </c>
      <c r="N15" s="27" t="s">
        <v>23</v>
      </c>
      <c r="O15" s="29" t="s">
        <v>307</v>
      </c>
      <c r="P15" s="30" t="s">
        <v>21</v>
      </c>
      <c r="Q15" s="68" t="s">
        <v>271</v>
      </c>
      <c r="R15" s="31">
        <f t="shared" si="0"/>
        <v>0.91666666666666663</v>
      </c>
      <c r="S15" s="22"/>
      <c r="T15" s="280"/>
      <c r="U15" s="281"/>
      <c r="V15" s="281"/>
      <c r="W15" s="281"/>
      <c r="X15" s="281"/>
      <c r="Y15" s="282"/>
    </row>
    <row r="16" spans="1:30" s="48" customFormat="1" ht="27.95" customHeight="1">
      <c r="A16" s="24">
        <v>13</v>
      </c>
      <c r="B16" s="49" t="s">
        <v>89</v>
      </c>
      <c r="C16" s="265"/>
      <c r="D16" s="266"/>
      <c r="E16" s="27" t="s">
        <v>250</v>
      </c>
      <c r="F16" s="29" t="s">
        <v>18</v>
      </c>
      <c r="G16" s="27" t="s">
        <v>233</v>
      </c>
      <c r="H16" s="27" t="s">
        <v>238</v>
      </c>
      <c r="I16" s="29" t="s">
        <v>88</v>
      </c>
      <c r="J16" s="50" t="s">
        <v>167</v>
      </c>
      <c r="K16" s="29" t="s">
        <v>87</v>
      </c>
      <c r="L16" s="28"/>
      <c r="M16" s="12" t="s">
        <v>184</v>
      </c>
      <c r="N16" s="28" t="s">
        <v>86</v>
      </c>
      <c r="O16" s="26" t="s">
        <v>223</v>
      </c>
      <c r="P16" s="30" t="s">
        <v>317</v>
      </c>
      <c r="Q16" s="27" t="s">
        <v>383</v>
      </c>
      <c r="R16" s="31">
        <f t="shared" si="0"/>
        <v>1</v>
      </c>
      <c r="S16" s="22"/>
      <c r="T16" s="280"/>
      <c r="U16" s="281"/>
      <c r="V16" s="281"/>
      <c r="W16" s="281"/>
      <c r="X16" s="281"/>
      <c r="Y16" s="282"/>
    </row>
    <row r="17" spans="1:31" s="48" customFormat="1" ht="27.95" customHeight="1" thickBot="1">
      <c r="A17" s="24">
        <v>14</v>
      </c>
      <c r="B17" s="49" t="s">
        <v>85</v>
      </c>
      <c r="C17" s="265"/>
      <c r="D17" s="266"/>
      <c r="E17" s="30" t="s">
        <v>20</v>
      </c>
      <c r="F17" s="26" t="s">
        <v>317</v>
      </c>
      <c r="G17" s="26" t="s">
        <v>264</v>
      </c>
      <c r="H17" s="30" t="s">
        <v>231</v>
      </c>
      <c r="I17" s="30" t="s">
        <v>183</v>
      </c>
      <c r="J17" s="27" t="s">
        <v>288</v>
      </c>
      <c r="K17" s="28" t="s">
        <v>84</v>
      </c>
      <c r="L17" s="30"/>
      <c r="M17" s="2" t="s">
        <v>161</v>
      </c>
      <c r="N17" s="53" t="s">
        <v>82</v>
      </c>
      <c r="O17" s="29" t="s">
        <v>291</v>
      </c>
      <c r="P17" s="30" t="s">
        <v>383</v>
      </c>
      <c r="Q17" s="30" t="s">
        <v>295</v>
      </c>
      <c r="R17" s="31">
        <f t="shared" si="0"/>
        <v>1</v>
      </c>
      <c r="S17" s="22"/>
      <c r="T17" s="283"/>
      <c r="U17" s="284"/>
      <c r="V17" s="284"/>
      <c r="W17" s="284"/>
      <c r="X17" s="284"/>
      <c r="Y17" s="285"/>
    </row>
    <row r="18" spans="1:31" s="16" customFormat="1" ht="27.95" customHeight="1" thickBot="1">
      <c r="A18" s="24">
        <v>15</v>
      </c>
      <c r="B18" s="135" t="s">
        <v>202</v>
      </c>
      <c r="C18" s="265"/>
      <c r="D18" s="266"/>
      <c r="E18" s="62" t="s">
        <v>264</v>
      </c>
      <c r="F18" s="26" t="s">
        <v>224</v>
      </c>
      <c r="G18" s="3" t="s">
        <v>323</v>
      </c>
      <c r="H18" s="27" t="s">
        <v>203</v>
      </c>
      <c r="I18" s="30" t="s">
        <v>165</v>
      </c>
      <c r="J18" s="55" t="s">
        <v>328</v>
      </c>
      <c r="K18" s="26" t="s">
        <v>179</v>
      </c>
      <c r="L18" s="35"/>
      <c r="M18" s="30" t="s">
        <v>27</v>
      </c>
      <c r="N18" s="2" t="s">
        <v>237</v>
      </c>
      <c r="O18" s="30" t="s">
        <v>345</v>
      </c>
      <c r="P18" s="55" t="s">
        <v>409</v>
      </c>
      <c r="Q18" s="33" t="s">
        <v>446</v>
      </c>
      <c r="R18" s="31">
        <f t="shared" si="0"/>
        <v>1</v>
      </c>
      <c r="S18" s="22"/>
      <c r="T18" s="286" t="s">
        <v>342</v>
      </c>
      <c r="U18" s="287"/>
      <c r="V18" s="287"/>
      <c r="W18" s="287"/>
      <c r="X18" s="287"/>
      <c r="Y18" s="288"/>
    </row>
    <row r="19" spans="1:31" s="16" customFormat="1" ht="27.95" customHeight="1">
      <c r="A19" s="24">
        <v>16</v>
      </c>
      <c r="B19" s="136" t="s">
        <v>99</v>
      </c>
      <c r="C19" s="265"/>
      <c r="D19" s="266"/>
      <c r="E19" s="62" t="s">
        <v>198</v>
      </c>
      <c r="F19" s="55" t="s">
        <v>98</v>
      </c>
      <c r="G19" s="27" t="s">
        <v>185</v>
      </c>
      <c r="H19" s="27" t="s">
        <v>97</v>
      </c>
      <c r="I19" s="27" t="s">
        <v>17</v>
      </c>
      <c r="J19" s="27" t="s">
        <v>41</v>
      </c>
      <c r="K19" s="29" t="s">
        <v>374</v>
      </c>
      <c r="L19" s="29"/>
      <c r="M19" s="27" t="s">
        <v>159</v>
      </c>
      <c r="N19" s="29" t="s">
        <v>298</v>
      </c>
      <c r="O19" s="41" t="s">
        <v>233</v>
      </c>
      <c r="P19" s="204" t="s">
        <v>469</v>
      </c>
      <c r="Q19" s="26" t="s">
        <v>178</v>
      </c>
      <c r="R19" s="31">
        <f t="shared" si="0"/>
        <v>1</v>
      </c>
      <c r="S19" s="22"/>
      <c r="T19" s="289" t="s">
        <v>453</v>
      </c>
      <c r="U19" s="290"/>
      <c r="V19" s="290"/>
      <c r="W19" s="290"/>
      <c r="X19" s="290"/>
      <c r="Y19" s="291"/>
    </row>
    <row r="20" spans="1:31" s="16" customFormat="1" ht="27.95" customHeight="1">
      <c r="A20" s="24">
        <v>17</v>
      </c>
      <c r="B20" s="54" t="s">
        <v>213</v>
      </c>
      <c r="C20" s="265"/>
      <c r="D20" s="266"/>
      <c r="E20" s="30" t="s">
        <v>200</v>
      </c>
      <c r="F20" s="26" t="s">
        <v>289</v>
      </c>
      <c r="G20" s="26" t="s">
        <v>317</v>
      </c>
      <c r="H20" s="30" t="s">
        <v>287</v>
      </c>
      <c r="I20" s="30" t="s">
        <v>241</v>
      </c>
      <c r="J20" s="27" t="s">
        <v>249</v>
      </c>
      <c r="K20" s="28" t="s">
        <v>322</v>
      </c>
      <c r="L20" s="30"/>
      <c r="M20" s="2" t="s">
        <v>322</v>
      </c>
      <c r="N20" s="29" t="s">
        <v>374</v>
      </c>
      <c r="O20" s="167" t="s">
        <v>445</v>
      </c>
      <c r="P20" s="29" t="s">
        <v>240</v>
      </c>
      <c r="Q20" s="56" t="s">
        <v>181</v>
      </c>
      <c r="R20" s="31">
        <f t="shared" si="0"/>
        <v>1</v>
      </c>
      <c r="S20" s="22"/>
      <c r="T20" s="280"/>
      <c r="U20" s="281"/>
      <c r="V20" s="281"/>
      <c r="W20" s="281"/>
      <c r="X20" s="281"/>
      <c r="Y20" s="282"/>
    </row>
    <row r="21" spans="1:31" s="16" customFormat="1" ht="27.95" customHeight="1" thickBot="1">
      <c r="A21" s="24">
        <v>18</v>
      </c>
      <c r="B21" s="402" t="s">
        <v>459</v>
      </c>
      <c r="C21" s="267"/>
      <c r="D21" s="268"/>
      <c r="E21" s="193" t="s">
        <v>374</v>
      </c>
      <c r="F21" s="195" t="s">
        <v>148</v>
      </c>
      <c r="G21" s="192" t="s">
        <v>468</v>
      </c>
      <c r="H21" s="191" t="s">
        <v>41</v>
      </c>
      <c r="I21" s="191" t="s">
        <v>176</v>
      </c>
      <c r="J21" s="195" t="s">
        <v>223</v>
      </c>
      <c r="K21" s="191" t="s">
        <v>199</v>
      </c>
      <c r="L21" s="197"/>
      <c r="M21" s="195" t="s">
        <v>195</v>
      </c>
      <c r="N21" s="191" t="s">
        <v>234</v>
      </c>
      <c r="O21" s="191" t="s">
        <v>226</v>
      </c>
      <c r="P21" s="195" t="s">
        <v>91</v>
      </c>
      <c r="Q21" s="191" t="s">
        <v>90</v>
      </c>
      <c r="R21" s="31">
        <f t="shared" si="0"/>
        <v>1</v>
      </c>
      <c r="S21" s="22"/>
      <c r="T21" s="280"/>
      <c r="U21" s="281"/>
      <c r="V21" s="281"/>
      <c r="W21" s="281"/>
      <c r="X21" s="281"/>
      <c r="Y21" s="282"/>
    </row>
    <row r="22" spans="1:31" s="16" customFormat="1" ht="27.95" customHeight="1" thickBot="1">
      <c r="A22" s="24">
        <v>19</v>
      </c>
      <c r="B22" s="59" t="s">
        <v>83</v>
      </c>
      <c r="C22" s="269"/>
      <c r="D22" s="270"/>
      <c r="E22" s="37" t="s">
        <v>179</v>
      </c>
      <c r="F22" s="37" t="s">
        <v>226</v>
      </c>
      <c r="G22" s="60" t="s">
        <v>166</v>
      </c>
      <c r="H22" s="37" t="s">
        <v>317</v>
      </c>
      <c r="I22" s="37" t="s">
        <v>302</v>
      </c>
      <c r="J22" s="37" t="s">
        <v>53</v>
      </c>
      <c r="K22" s="46" t="s">
        <v>82</v>
      </c>
      <c r="L22" s="46"/>
      <c r="M22" s="46" t="s">
        <v>372</v>
      </c>
      <c r="N22" s="39" t="s">
        <v>198</v>
      </c>
      <c r="O22" s="47"/>
      <c r="P22" s="39" t="s">
        <v>283</v>
      </c>
      <c r="Q22" s="37" t="s">
        <v>264</v>
      </c>
      <c r="R22" s="31">
        <f t="shared" si="0"/>
        <v>0.91666666666666663</v>
      </c>
      <c r="S22" s="22"/>
      <c r="T22" s="283"/>
      <c r="U22" s="284"/>
      <c r="V22" s="284"/>
      <c r="W22" s="284"/>
      <c r="X22" s="284"/>
      <c r="Y22" s="285"/>
    </row>
    <row r="23" spans="1:31" s="16" customFormat="1" ht="27.95" customHeight="1" thickBot="1">
      <c r="A23" s="24">
        <v>20</v>
      </c>
      <c r="B23" s="187" t="s">
        <v>24</v>
      </c>
      <c r="C23" s="61" t="s">
        <v>363</v>
      </c>
      <c r="D23" s="61" t="s">
        <v>363</v>
      </c>
      <c r="E23" s="62" t="s">
        <v>172</v>
      </c>
      <c r="F23" s="62" t="s">
        <v>264</v>
      </c>
      <c r="G23" s="29" t="s">
        <v>44</v>
      </c>
      <c r="H23" s="3" t="s">
        <v>26</v>
      </c>
      <c r="I23" s="27" t="s">
        <v>210</v>
      </c>
      <c r="J23" s="27" t="s">
        <v>183</v>
      </c>
      <c r="K23" s="27" t="s">
        <v>25</v>
      </c>
      <c r="L23" s="63"/>
      <c r="M23" s="41" t="s">
        <v>234</v>
      </c>
      <c r="N23" s="27" t="s">
        <v>250</v>
      </c>
      <c r="O23" s="3" t="s">
        <v>22</v>
      </c>
      <c r="P23" s="298"/>
      <c r="Q23" s="299"/>
      <c r="R23" s="31">
        <f t="shared" si="0"/>
        <v>1</v>
      </c>
      <c r="S23" s="22"/>
      <c r="T23" s="237" t="s">
        <v>343</v>
      </c>
      <c r="U23" s="238"/>
      <c r="V23" s="238"/>
      <c r="W23" s="238"/>
      <c r="X23" s="238"/>
      <c r="Y23" s="239"/>
    </row>
    <row r="24" spans="1:31" s="16" customFormat="1" ht="27.95" customHeight="1">
      <c r="A24" s="24">
        <v>21</v>
      </c>
      <c r="B24" s="51" t="s">
        <v>104</v>
      </c>
      <c r="C24" s="64" t="s">
        <v>191</v>
      </c>
      <c r="D24" s="64" t="s">
        <v>50</v>
      </c>
      <c r="E24" s="2" t="s">
        <v>175</v>
      </c>
      <c r="F24" s="50" t="s">
        <v>171</v>
      </c>
      <c r="G24" s="27" t="s">
        <v>69</v>
      </c>
      <c r="H24" s="26" t="s">
        <v>272</v>
      </c>
      <c r="I24" s="2" t="s">
        <v>162</v>
      </c>
      <c r="J24" s="27" t="s">
        <v>103</v>
      </c>
      <c r="K24" s="30" t="s">
        <v>210</v>
      </c>
      <c r="L24" s="30"/>
      <c r="M24" s="27" t="s">
        <v>183</v>
      </c>
      <c r="N24" s="27" t="s">
        <v>102</v>
      </c>
      <c r="O24" s="26" t="s">
        <v>101</v>
      </c>
      <c r="P24" s="300"/>
      <c r="Q24" s="301"/>
      <c r="R24" s="31">
        <f t="shared" si="0"/>
        <v>1</v>
      </c>
      <c r="S24" s="22"/>
      <c r="T24" s="289" t="s">
        <v>470</v>
      </c>
      <c r="U24" s="290"/>
      <c r="V24" s="290"/>
      <c r="W24" s="290"/>
      <c r="X24" s="290"/>
      <c r="Y24" s="291"/>
    </row>
    <row r="25" spans="1:31" s="16" customFormat="1" ht="27.95" customHeight="1">
      <c r="A25" s="24">
        <v>22</v>
      </c>
      <c r="B25" s="186" t="s">
        <v>204</v>
      </c>
      <c r="C25" s="64" t="s">
        <v>51</v>
      </c>
      <c r="D25" s="64" t="s">
        <v>187</v>
      </c>
      <c r="E25" s="32" t="s">
        <v>268</v>
      </c>
      <c r="F25" s="30" t="s">
        <v>374</v>
      </c>
      <c r="G25" s="2" t="s">
        <v>149</v>
      </c>
      <c r="H25" s="30" t="s">
        <v>290</v>
      </c>
      <c r="I25" s="176" t="s">
        <v>205</v>
      </c>
      <c r="J25" s="101" t="s">
        <v>206</v>
      </c>
      <c r="K25" s="30" t="s">
        <v>383</v>
      </c>
      <c r="L25" s="101"/>
      <c r="M25" s="30" t="s">
        <v>19</v>
      </c>
      <c r="N25" s="26" t="s">
        <v>283</v>
      </c>
      <c r="O25" s="2" t="s">
        <v>155</v>
      </c>
      <c r="P25" s="300"/>
      <c r="Q25" s="301"/>
      <c r="R25" s="31">
        <f t="shared" si="0"/>
        <v>1</v>
      </c>
      <c r="S25" s="22"/>
      <c r="T25" s="280"/>
      <c r="U25" s="281"/>
      <c r="V25" s="281"/>
      <c r="W25" s="281"/>
      <c r="X25" s="281"/>
      <c r="Y25" s="282"/>
    </row>
    <row r="26" spans="1:31" s="16" customFormat="1" ht="27.95" customHeight="1" thickBot="1">
      <c r="A26" s="24">
        <v>23</v>
      </c>
      <c r="B26" s="188" t="s">
        <v>96</v>
      </c>
      <c r="C26" s="65" t="s">
        <v>188</v>
      </c>
      <c r="D26" s="65" t="s">
        <v>190</v>
      </c>
      <c r="E26" s="43" t="s">
        <v>169</v>
      </c>
      <c r="F26" s="43" t="s">
        <v>298</v>
      </c>
      <c r="G26" s="43" t="s">
        <v>226</v>
      </c>
      <c r="H26" s="58" t="s">
        <v>307</v>
      </c>
      <c r="I26" s="43" t="s">
        <v>95</v>
      </c>
      <c r="J26" s="43" t="s">
        <v>94</v>
      </c>
      <c r="K26" s="43" t="s">
        <v>237</v>
      </c>
      <c r="L26" s="178"/>
      <c r="M26" s="58" t="s">
        <v>319</v>
      </c>
      <c r="N26" s="10" t="s">
        <v>93</v>
      </c>
      <c r="O26" s="37"/>
      <c r="P26" s="302"/>
      <c r="Q26" s="303"/>
      <c r="R26" s="31">
        <f>(COUNTA(C26:Q26))/12</f>
        <v>0.91666666666666663</v>
      </c>
      <c r="S26" s="22"/>
      <c r="T26" s="280"/>
      <c r="U26" s="281"/>
      <c r="V26" s="281"/>
      <c r="W26" s="281"/>
      <c r="X26" s="281"/>
      <c r="Y26" s="282"/>
    </row>
    <row r="27" spans="1:31" s="16" customFormat="1" ht="27.95" customHeight="1">
      <c r="A27" s="66" t="s">
        <v>81</v>
      </c>
      <c r="B27" s="395" t="s">
        <v>455</v>
      </c>
      <c r="C27" s="240"/>
      <c r="D27" s="241"/>
      <c r="E27" s="396"/>
      <c r="F27" s="196"/>
      <c r="G27" s="196" t="s">
        <v>222</v>
      </c>
      <c r="H27" s="397" t="s">
        <v>158</v>
      </c>
      <c r="I27" s="196" t="s">
        <v>79</v>
      </c>
      <c r="J27" s="396" t="s">
        <v>207</v>
      </c>
      <c r="K27" s="396"/>
      <c r="L27" s="398"/>
      <c r="M27" s="196"/>
      <c r="N27" s="196" t="s">
        <v>316</v>
      </c>
      <c r="O27" s="196" t="s">
        <v>78</v>
      </c>
      <c r="P27" s="399"/>
      <c r="Q27" s="397"/>
      <c r="R27" s="31">
        <f>(COUNTA(C27:Q27))/6</f>
        <v>1</v>
      </c>
      <c r="S27" s="22"/>
      <c r="T27" s="280"/>
      <c r="U27" s="281"/>
      <c r="V27" s="281"/>
      <c r="W27" s="281"/>
      <c r="X27" s="281"/>
      <c r="Y27" s="282"/>
    </row>
    <row r="28" spans="1:31" s="16" customFormat="1" ht="27.95" customHeight="1" thickBot="1">
      <c r="A28" s="71" t="s">
        <v>77</v>
      </c>
      <c r="B28" s="72" t="s">
        <v>28</v>
      </c>
      <c r="C28" s="240"/>
      <c r="D28" s="241"/>
      <c r="E28" s="200" t="s">
        <v>223</v>
      </c>
      <c r="F28" s="200" t="s">
        <v>76</v>
      </c>
      <c r="G28" s="200"/>
      <c r="H28" s="200"/>
      <c r="I28" s="200"/>
      <c r="J28" s="200" t="s">
        <v>307</v>
      </c>
      <c r="K28" s="403"/>
      <c r="L28" s="404"/>
      <c r="M28" s="200"/>
      <c r="N28" s="200"/>
      <c r="O28" s="200" t="s">
        <v>69</v>
      </c>
      <c r="P28" s="207" t="s">
        <v>14</v>
      </c>
      <c r="Q28" s="200" t="s">
        <v>75</v>
      </c>
      <c r="R28" s="31">
        <f>(COUNTA(C28:Q28))/7</f>
        <v>0.8571428571428571</v>
      </c>
      <c r="S28" s="22"/>
      <c r="T28" s="283"/>
      <c r="U28" s="284"/>
      <c r="V28" s="284"/>
      <c r="W28" s="284"/>
      <c r="X28" s="284"/>
      <c r="Y28" s="285"/>
    </row>
    <row r="29" spans="1:31" s="16" customFormat="1" ht="9.9499999999999993" customHeight="1" thickBot="1">
      <c r="A29" s="74"/>
      <c r="B29" s="75"/>
      <c r="C29" s="75"/>
      <c r="D29" s="75"/>
      <c r="E29" s="4"/>
      <c r="F29" s="76"/>
      <c r="G29" s="77"/>
      <c r="H29" s="77"/>
      <c r="I29" s="77"/>
      <c r="J29" s="77"/>
      <c r="K29" s="4"/>
      <c r="L29" s="76"/>
      <c r="M29" s="4"/>
      <c r="N29" s="77"/>
      <c r="O29" s="76"/>
      <c r="P29" s="76"/>
      <c r="Q29" s="78"/>
      <c r="R29" s="79"/>
      <c r="S29" s="22"/>
      <c r="T29" s="226"/>
      <c r="U29" s="226"/>
      <c r="V29" s="226"/>
      <c r="W29" s="226"/>
      <c r="X29" s="226"/>
      <c r="Y29" s="226"/>
    </row>
    <row r="30" spans="1:31" s="16" customFormat="1" ht="109.5" customHeight="1">
      <c r="A30" s="242"/>
      <c r="B30" s="244" t="s">
        <v>74</v>
      </c>
      <c r="C30" s="246"/>
      <c r="D30" s="247"/>
      <c r="E30" s="70" t="s">
        <v>330</v>
      </c>
      <c r="F30" s="80" t="s">
        <v>267</v>
      </c>
      <c r="G30" s="160" t="s">
        <v>448</v>
      </c>
      <c r="H30" s="70" t="s">
        <v>305</v>
      </c>
      <c r="I30" s="27" t="s">
        <v>216</v>
      </c>
      <c r="J30" s="29" t="s">
        <v>211</v>
      </c>
      <c r="K30" s="27" t="s">
        <v>466</v>
      </c>
      <c r="L30" s="28"/>
      <c r="M30" s="167" t="s">
        <v>450</v>
      </c>
      <c r="N30" s="81" t="s">
        <v>294</v>
      </c>
      <c r="O30" s="80" t="s">
        <v>331</v>
      </c>
      <c r="P30" s="81" t="s">
        <v>438</v>
      </c>
      <c r="Q30" s="27" t="s">
        <v>463</v>
      </c>
      <c r="R30" s="31">
        <f>(COUNTA(C30:Q30))/12</f>
        <v>1</v>
      </c>
      <c r="S30" s="22"/>
      <c r="T30" s="252" t="s">
        <v>451</v>
      </c>
      <c r="U30" s="253"/>
      <c r="V30" s="253"/>
      <c r="W30" s="253"/>
      <c r="X30" s="253"/>
      <c r="Y30" s="254"/>
    </row>
    <row r="31" spans="1:31" s="16" customFormat="1" ht="129.94999999999999" customHeight="1">
      <c r="A31" s="243"/>
      <c r="B31" s="245"/>
      <c r="C31" s="248"/>
      <c r="D31" s="249"/>
      <c r="E31" s="82" t="s">
        <v>386</v>
      </c>
      <c r="F31" s="26" t="s">
        <v>461</v>
      </c>
      <c r="G31" s="211" t="s">
        <v>410</v>
      </c>
      <c r="H31" s="26" t="s">
        <v>385</v>
      </c>
      <c r="I31" s="30" t="s">
        <v>355</v>
      </c>
      <c r="J31" s="26" t="s">
        <v>352</v>
      </c>
      <c r="K31" s="26" t="s">
        <v>457</v>
      </c>
      <c r="L31" s="26"/>
      <c r="M31" s="26" t="s">
        <v>462</v>
      </c>
      <c r="N31" s="82" t="s">
        <v>387</v>
      </c>
      <c r="O31" s="139" t="s">
        <v>458</v>
      </c>
      <c r="P31" s="32" t="s">
        <v>418</v>
      </c>
      <c r="Q31" s="26" t="s">
        <v>353</v>
      </c>
      <c r="R31" s="79"/>
      <c r="S31" s="22"/>
      <c r="T31" s="255"/>
      <c r="U31" s="256"/>
      <c r="V31" s="256"/>
      <c r="W31" s="256"/>
      <c r="X31" s="256"/>
      <c r="Y31" s="257"/>
    </row>
    <row r="32" spans="1:31" s="16" customFormat="1" ht="69.95" customHeight="1" thickBot="1">
      <c r="A32" s="83"/>
      <c r="B32" s="57" t="s">
        <v>73</v>
      </c>
      <c r="C32" s="250"/>
      <c r="D32" s="251"/>
      <c r="E32" s="84" t="s">
        <v>72</v>
      </c>
      <c r="F32" s="173" t="s">
        <v>447</v>
      </c>
      <c r="G32" s="58" t="s">
        <v>168</v>
      </c>
      <c r="H32" s="58" t="s">
        <v>303</v>
      </c>
      <c r="I32" s="43" t="s">
        <v>293</v>
      </c>
      <c r="J32" s="58" t="s">
        <v>465</v>
      </c>
      <c r="K32" s="58" t="s">
        <v>306</v>
      </c>
      <c r="L32" s="85"/>
      <c r="M32" s="58" t="s">
        <v>212</v>
      </c>
      <c r="N32" s="43" t="s">
        <v>278</v>
      </c>
      <c r="O32" s="37" t="s">
        <v>464</v>
      </c>
      <c r="P32" s="86" t="s">
        <v>71</v>
      </c>
      <c r="Q32" s="86" t="s">
        <v>71</v>
      </c>
      <c r="R32" s="31">
        <f>(COUNTA(F32:P32))/10</f>
        <v>1</v>
      </c>
      <c r="S32" s="22"/>
      <c r="T32" s="258"/>
      <c r="U32" s="259"/>
      <c r="V32" s="259"/>
      <c r="W32" s="259"/>
      <c r="X32" s="259"/>
      <c r="Y32" s="260"/>
      <c r="AB32" s="14"/>
      <c r="AC32" s="14"/>
      <c r="AD32" s="14"/>
      <c r="AE32" s="14"/>
    </row>
    <row r="33" spans="1:27" ht="9.9499999999999993" customHeight="1">
      <c r="A33" s="87"/>
      <c r="B33" s="87"/>
      <c r="C33" s="88"/>
      <c r="D33" s="88"/>
      <c r="O33" s="90"/>
      <c r="S33" s="22"/>
      <c r="AA33" s="16"/>
    </row>
    <row r="34" spans="1:27" ht="21" customHeight="1">
      <c r="B34" s="92"/>
      <c r="C34" s="92"/>
      <c r="D34" s="93" t="s">
        <v>70</v>
      </c>
      <c r="E34" s="94" t="s">
        <v>0</v>
      </c>
      <c r="F34" s="94" t="s">
        <v>1</v>
      </c>
      <c r="G34" s="94" t="s">
        <v>2</v>
      </c>
      <c r="H34" s="94" t="s">
        <v>29</v>
      </c>
      <c r="I34" s="94" t="s">
        <v>30</v>
      </c>
      <c r="J34" s="94" t="s">
        <v>31</v>
      </c>
      <c r="K34" s="94" t="s">
        <v>32</v>
      </c>
      <c r="L34" s="95" t="s">
        <v>33</v>
      </c>
      <c r="M34" s="94" t="s">
        <v>34</v>
      </c>
      <c r="N34" s="94" t="s">
        <v>6</v>
      </c>
      <c r="O34" s="94" t="s">
        <v>7</v>
      </c>
      <c r="P34" s="94" t="s">
        <v>8</v>
      </c>
      <c r="Q34" s="96" t="s">
        <v>9</v>
      </c>
      <c r="R34" s="97"/>
      <c r="T34" s="98"/>
      <c r="U34" s="99"/>
      <c r="V34" s="99"/>
      <c r="W34" s="99"/>
      <c r="X34" s="99"/>
      <c r="AA34" s="16"/>
    </row>
    <row r="35" spans="1:27" ht="45.75" customHeight="1">
      <c r="B35" s="92"/>
      <c r="C35" s="92"/>
      <c r="D35" s="100" t="s">
        <v>68</v>
      </c>
      <c r="E35" s="52" t="s">
        <v>274</v>
      </c>
      <c r="F35" s="52" t="s">
        <v>217</v>
      </c>
      <c r="G35" s="30" t="s">
        <v>320</v>
      </c>
      <c r="H35" s="30" t="s">
        <v>208</v>
      </c>
      <c r="I35" s="30" t="s">
        <v>12</v>
      </c>
      <c r="J35" s="30" t="s">
        <v>140</v>
      </c>
      <c r="K35" s="30" t="s">
        <v>248</v>
      </c>
      <c r="L35" s="30"/>
      <c r="M35" s="139" t="s">
        <v>439</v>
      </c>
      <c r="N35" s="26" t="s">
        <v>416</v>
      </c>
      <c r="O35" s="26" t="s">
        <v>247</v>
      </c>
      <c r="P35" s="50" t="s">
        <v>218</v>
      </c>
      <c r="Q35" s="102" t="s">
        <v>137</v>
      </c>
      <c r="R35" s="97"/>
      <c r="T35" s="99"/>
      <c r="U35" s="99"/>
      <c r="V35" s="99"/>
      <c r="W35" s="99"/>
      <c r="X35" s="99"/>
      <c r="AA35" s="16"/>
    </row>
    <row r="36" spans="1:27" ht="27.95" customHeight="1">
      <c r="B36" s="92"/>
      <c r="C36" s="92"/>
      <c r="D36" s="100" t="s">
        <v>65</v>
      </c>
      <c r="E36" s="52"/>
      <c r="F36" s="52"/>
      <c r="G36" s="30"/>
      <c r="H36" s="30"/>
      <c r="I36" s="30"/>
      <c r="J36" s="30"/>
      <c r="K36" s="30"/>
      <c r="L36" s="30"/>
      <c r="M36" s="30"/>
      <c r="N36" s="30"/>
      <c r="O36" s="214"/>
      <c r="P36" s="30" t="s">
        <v>335</v>
      </c>
      <c r="Q36" s="215"/>
      <c r="R36" s="97"/>
      <c r="T36" s="99"/>
      <c r="U36" s="99"/>
      <c r="V36" s="99"/>
      <c r="W36" s="99"/>
      <c r="X36" s="99"/>
    </row>
    <row r="37" spans="1:27" ht="27.95" customHeight="1">
      <c r="B37" s="92"/>
      <c r="C37" s="92"/>
      <c r="D37" s="100" t="s">
        <v>64</v>
      </c>
      <c r="E37" s="30"/>
      <c r="F37" s="105"/>
      <c r="G37" s="30"/>
      <c r="H37" s="30" t="s">
        <v>192</v>
      </c>
      <c r="I37" s="151"/>
      <c r="J37" s="35" t="s">
        <v>27</v>
      </c>
      <c r="K37" s="152" t="s">
        <v>88</v>
      </c>
      <c r="L37" s="30"/>
      <c r="M37" s="30" t="s">
        <v>25</v>
      </c>
      <c r="N37" s="50" t="s">
        <v>100</v>
      </c>
      <c r="O37" s="35" t="s">
        <v>63</v>
      </c>
      <c r="P37" s="30"/>
      <c r="Q37" s="215" t="s">
        <v>334</v>
      </c>
      <c r="R37" s="97"/>
      <c r="T37" s="99"/>
      <c r="U37" s="99"/>
      <c r="V37" s="99"/>
      <c r="W37" s="99"/>
      <c r="X37" s="99"/>
    </row>
    <row r="38" spans="1:27" ht="42" customHeight="1">
      <c r="B38" s="14"/>
      <c r="C38" s="14"/>
      <c r="D38" s="107" t="s">
        <v>62</v>
      </c>
      <c r="E38" s="137" t="s">
        <v>368</v>
      </c>
      <c r="F38" s="108"/>
      <c r="G38" s="405" t="s">
        <v>467</v>
      </c>
      <c r="H38" s="110" t="s">
        <v>364</v>
      </c>
      <c r="I38" s="110" t="s">
        <v>277</v>
      </c>
      <c r="J38" s="153" t="s">
        <v>369</v>
      </c>
      <c r="K38" s="110" t="s">
        <v>258</v>
      </c>
      <c r="L38" s="110"/>
      <c r="M38" s="109" t="s">
        <v>321</v>
      </c>
      <c r="N38" s="110" t="s">
        <v>365</v>
      </c>
      <c r="O38" s="110" t="s">
        <v>366</v>
      </c>
      <c r="P38" s="110" t="s">
        <v>170</v>
      </c>
      <c r="Q38" s="216" t="s">
        <v>189</v>
      </c>
    </row>
    <row r="39" spans="1:27" ht="9.9499999999999993" customHeight="1">
      <c r="E39" s="89"/>
      <c r="F39" s="89"/>
      <c r="G39" s="89"/>
      <c r="H39" s="89"/>
      <c r="I39" s="89"/>
      <c r="J39" s="89"/>
      <c r="K39" s="89"/>
      <c r="M39" s="89"/>
      <c r="N39" s="89"/>
      <c r="O39" s="89"/>
    </row>
    <row r="40" spans="1:27" ht="27.95" customHeight="1">
      <c r="A40" s="113"/>
      <c r="B40" s="113"/>
      <c r="C40" s="113"/>
      <c r="D40" s="228" t="s">
        <v>440</v>
      </c>
      <c r="E40" s="229"/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30"/>
      <c r="R40" s="97"/>
    </row>
    <row r="41" spans="1:27" ht="27.95" customHeight="1">
      <c r="A41" s="113"/>
      <c r="B41" s="113"/>
      <c r="C41" s="113"/>
      <c r="D41" s="231"/>
      <c r="E41" s="232"/>
      <c r="F41" s="232"/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33"/>
      <c r="R41" s="97"/>
    </row>
    <row r="42" spans="1:27" ht="27.95" customHeight="1">
      <c r="A42" s="113"/>
      <c r="B42" s="113"/>
      <c r="C42" s="113"/>
      <c r="D42" s="231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3"/>
      <c r="R42" s="97"/>
    </row>
    <row r="43" spans="1:27" ht="27.95" customHeight="1">
      <c r="A43" s="113"/>
      <c r="B43" s="113"/>
      <c r="C43" s="113"/>
      <c r="D43" s="231"/>
      <c r="E43" s="232"/>
      <c r="F43" s="232"/>
      <c r="G43" s="232"/>
      <c r="H43" s="232"/>
      <c r="I43" s="232"/>
      <c r="J43" s="232"/>
      <c r="K43" s="232"/>
      <c r="L43" s="232"/>
      <c r="M43" s="232"/>
      <c r="N43" s="232"/>
      <c r="O43" s="232"/>
      <c r="P43" s="232"/>
      <c r="Q43" s="233"/>
      <c r="R43" s="97"/>
    </row>
    <row r="44" spans="1:27" ht="27.95" customHeight="1">
      <c r="A44" s="113"/>
      <c r="B44" s="113"/>
      <c r="C44" s="113"/>
      <c r="D44" s="231"/>
      <c r="E44" s="232"/>
      <c r="F44" s="232"/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33"/>
      <c r="R44" s="97"/>
    </row>
    <row r="45" spans="1:27">
      <c r="A45" s="113"/>
      <c r="B45" s="113"/>
      <c r="C45" s="113"/>
      <c r="D45" s="231"/>
      <c r="E45" s="232"/>
      <c r="F45" s="232"/>
      <c r="G45" s="232"/>
      <c r="H45" s="232"/>
      <c r="I45" s="232"/>
      <c r="J45" s="232"/>
      <c r="K45" s="232"/>
      <c r="L45" s="232"/>
      <c r="M45" s="232"/>
      <c r="N45" s="232"/>
      <c r="O45" s="232"/>
      <c r="P45" s="232"/>
      <c r="Q45" s="233"/>
      <c r="R45" s="97"/>
    </row>
    <row r="46" spans="1:27">
      <c r="A46" s="113"/>
      <c r="B46" s="113"/>
      <c r="C46" s="113"/>
      <c r="D46" s="231"/>
      <c r="E46" s="232"/>
      <c r="F46" s="232"/>
      <c r="G46" s="232"/>
      <c r="H46" s="232"/>
      <c r="I46" s="232"/>
      <c r="J46" s="232"/>
      <c r="K46" s="232"/>
      <c r="L46" s="232"/>
      <c r="M46" s="232"/>
      <c r="N46" s="232"/>
      <c r="O46" s="232"/>
      <c r="P46" s="232"/>
      <c r="Q46" s="233"/>
      <c r="R46" s="97"/>
    </row>
    <row r="47" spans="1:27">
      <c r="A47" s="113"/>
      <c r="B47" s="113"/>
      <c r="C47" s="113"/>
      <c r="D47" s="231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232"/>
      <c r="Q47" s="233"/>
      <c r="R47" s="97"/>
    </row>
    <row r="48" spans="1:27">
      <c r="A48" s="113"/>
      <c r="B48" s="113"/>
      <c r="C48" s="113"/>
      <c r="D48" s="231"/>
      <c r="E48" s="232"/>
      <c r="F48" s="232"/>
      <c r="G48" s="232"/>
      <c r="H48" s="232"/>
      <c r="I48" s="232"/>
      <c r="J48" s="232"/>
      <c r="K48" s="232"/>
      <c r="L48" s="232"/>
      <c r="M48" s="232"/>
      <c r="N48" s="232"/>
      <c r="O48" s="232"/>
      <c r="P48" s="232"/>
      <c r="Q48" s="233"/>
      <c r="R48" s="97"/>
    </row>
    <row r="49" spans="1:18">
      <c r="A49" s="113"/>
      <c r="B49" s="113"/>
      <c r="C49" s="113"/>
      <c r="D49" s="231"/>
      <c r="E49" s="232"/>
      <c r="F49" s="232"/>
      <c r="G49" s="232"/>
      <c r="H49" s="232"/>
      <c r="I49" s="232"/>
      <c r="J49" s="232"/>
      <c r="K49" s="232"/>
      <c r="L49" s="232"/>
      <c r="M49" s="232"/>
      <c r="N49" s="232"/>
      <c r="O49" s="232"/>
      <c r="P49" s="232"/>
      <c r="Q49" s="233"/>
      <c r="R49" s="97"/>
    </row>
    <row r="50" spans="1:18">
      <c r="A50" s="113"/>
      <c r="B50" s="113"/>
      <c r="C50" s="113"/>
      <c r="D50" s="234"/>
      <c r="E50" s="235"/>
      <c r="F50" s="235"/>
      <c r="G50" s="235"/>
      <c r="H50" s="235"/>
      <c r="I50" s="235"/>
      <c r="J50" s="235"/>
      <c r="K50" s="235"/>
      <c r="L50" s="235"/>
      <c r="M50" s="235"/>
      <c r="N50" s="235"/>
      <c r="O50" s="235"/>
      <c r="P50" s="235"/>
      <c r="Q50" s="236"/>
      <c r="R50" s="97"/>
    </row>
    <row r="51" spans="1:18" ht="9.9499999999999993" customHeight="1"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7"/>
    </row>
    <row r="52" spans="1:18" ht="24">
      <c r="D52" s="114"/>
      <c r="E52" s="115" t="s">
        <v>0</v>
      </c>
      <c r="F52" s="116" t="s">
        <v>1</v>
      </c>
      <c r="G52" s="116" t="s">
        <v>2</v>
      </c>
      <c r="H52" s="116" t="s">
        <v>3</v>
      </c>
      <c r="I52" s="116" t="s">
        <v>61</v>
      </c>
      <c r="J52" s="116" t="s">
        <v>60</v>
      </c>
      <c r="K52" s="116" t="s">
        <v>59</v>
      </c>
      <c r="L52" s="117"/>
      <c r="M52" s="116" t="s">
        <v>5</v>
      </c>
      <c r="N52" s="116" t="s">
        <v>6</v>
      </c>
      <c r="O52" s="116" t="s">
        <v>7</v>
      </c>
      <c r="P52" s="116" t="s">
        <v>8</v>
      </c>
      <c r="Q52" s="118" t="s">
        <v>9</v>
      </c>
      <c r="R52" s="119" t="s">
        <v>58</v>
      </c>
    </row>
    <row r="53" spans="1:18" ht="30" customHeight="1">
      <c r="D53" s="120" t="s">
        <v>57</v>
      </c>
      <c r="E53" s="121"/>
      <c r="F53" s="41" t="s">
        <v>312</v>
      </c>
      <c r="G53" s="70"/>
      <c r="H53" s="41"/>
      <c r="I53" s="224" t="s">
        <v>433</v>
      </c>
      <c r="J53" s="41" t="s">
        <v>242</v>
      </c>
      <c r="K53" s="41"/>
      <c r="L53" s="28"/>
      <c r="M53" s="164" t="s">
        <v>452</v>
      </c>
      <c r="N53" s="41"/>
      <c r="O53" s="41"/>
      <c r="P53" s="41"/>
      <c r="Q53" s="41"/>
      <c r="R53" s="122"/>
    </row>
    <row r="54" spans="1:18" ht="30" customHeight="1">
      <c r="D54" s="123" t="s">
        <v>56</v>
      </c>
      <c r="E54" s="161"/>
      <c r="F54" s="53"/>
      <c r="G54" s="53"/>
      <c r="H54" s="53"/>
      <c r="I54" s="50"/>
      <c r="J54" s="53"/>
      <c r="K54" s="53" t="s">
        <v>157</v>
      </c>
      <c r="L54" s="35"/>
      <c r="M54" s="53"/>
      <c r="N54" s="53"/>
      <c r="O54" s="53"/>
      <c r="P54" s="125"/>
      <c r="Q54" s="53"/>
      <c r="R54" s="126"/>
    </row>
    <row r="55" spans="1:18" ht="69.95" customHeight="1">
      <c r="D55" s="127" t="s">
        <v>55</v>
      </c>
      <c r="E55" s="217" t="s">
        <v>413</v>
      </c>
      <c r="F55" s="50" t="s">
        <v>171</v>
      </c>
      <c r="G55" s="50" t="s">
        <v>47</v>
      </c>
      <c r="H55" s="50" t="s">
        <v>300</v>
      </c>
      <c r="I55" s="53" t="s">
        <v>162</v>
      </c>
      <c r="J55" s="50" t="s">
        <v>180</v>
      </c>
      <c r="K55" s="50" t="s">
        <v>313</v>
      </c>
      <c r="L55" s="35"/>
      <c r="M55" s="50"/>
      <c r="N55" s="53"/>
      <c r="O55" s="53" t="s">
        <v>314</v>
      </c>
      <c r="P55" s="53"/>
      <c r="Q55" s="53"/>
      <c r="R55" s="128" t="s">
        <v>311</v>
      </c>
    </row>
    <row r="56" spans="1:18" ht="30" customHeight="1">
      <c r="D56" s="120" t="s">
        <v>35</v>
      </c>
      <c r="E56" s="124"/>
      <c r="F56" s="125"/>
      <c r="G56" s="53"/>
      <c r="H56" s="53"/>
      <c r="I56" s="53"/>
      <c r="J56" s="53"/>
      <c r="K56" s="53"/>
      <c r="L56" s="106"/>
      <c r="M56" s="125"/>
      <c r="N56" s="125"/>
      <c r="O56" s="125"/>
      <c r="P56" s="125"/>
      <c r="Q56" s="125"/>
      <c r="R56" s="126"/>
    </row>
    <row r="57" spans="1:18" ht="30" customHeight="1">
      <c r="D57" s="129" t="s">
        <v>54</v>
      </c>
      <c r="E57" s="130"/>
      <c r="F57" s="131"/>
      <c r="G57" s="132"/>
      <c r="H57" s="131"/>
      <c r="I57" s="131"/>
      <c r="J57" s="131"/>
      <c r="K57" s="131"/>
      <c r="L57" s="133"/>
      <c r="M57" s="131"/>
      <c r="N57" s="131"/>
      <c r="O57" s="132" t="s">
        <v>22</v>
      </c>
      <c r="P57" s="132"/>
      <c r="Q57" s="131"/>
      <c r="R57" s="134"/>
    </row>
    <row r="60" spans="1:18" ht="24">
      <c r="D60" s="142"/>
      <c r="E60" s="116" t="s">
        <v>0</v>
      </c>
      <c r="F60" s="116" t="s">
        <v>1</v>
      </c>
      <c r="G60" s="116" t="s">
        <v>2</v>
      </c>
      <c r="H60" s="116" t="s">
        <v>3</v>
      </c>
      <c r="I60" s="116" t="s">
        <v>61</v>
      </c>
      <c r="J60" s="116" t="s">
        <v>60</v>
      </c>
      <c r="K60" s="116" t="s">
        <v>59</v>
      </c>
      <c r="L60" s="117"/>
      <c r="M60" s="116" t="s">
        <v>5</v>
      </c>
      <c r="N60" s="116" t="s">
        <v>6</v>
      </c>
      <c r="O60" s="116" t="s">
        <v>7</v>
      </c>
      <c r="P60" s="116" t="s">
        <v>8</v>
      </c>
      <c r="Q60" s="116" t="s">
        <v>9</v>
      </c>
      <c r="R60" s="119" t="s">
        <v>58</v>
      </c>
    </row>
    <row r="61" spans="1:18">
      <c r="D61" s="143" t="s">
        <v>123</v>
      </c>
      <c r="E61" s="144"/>
      <c r="F61" s="144"/>
      <c r="G61" s="144"/>
      <c r="H61" s="154" t="s">
        <v>209</v>
      </c>
      <c r="I61" s="155"/>
      <c r="J61" s="155"/>
      <c r="K61" s="144"/>
      <c r="L61" s="145"/>
      <c r="M61" s="144"/>
      <c r="N61" s="144"/>
      <c r="O61" s="144"/>
      <c r="P61" s="144"/>
      <c r="Q61" s="144"/>
      <c r="R61" s="146"/>
    </row>
    <row r="62" spans="1:18">
      <c r="D62" s="147"/>
      <c r="E62" s="148"/>
      <c r="F62" s="148"/>
      <c r="G62" s="148"/>
      <c r="H62" s="165"/>
      <c r="I62" s="156"/>
      <c r="J62" s="156"/>
      <c r="K62" s="148"/>
      <c r="L62" s="149"/>
      <c r="M62" s="148"/>
      <c r="N62" s="148"/>
      <c r="O62" s="148"/>
      <c r="P62" s="148"/>
      <c r="Q62" s="148"/>
      <c r="R62" s="150"/>
    </row>
    <row r="63" spans="1:18">
      <c r="H63" s="16"/>
      <c r="I63" s="16"/>
      <c r="J63" s="16"/>
    </row>
  </sheetData>
  <mergeCells count="22">
    <mergeCell ref="A30:A31"/>
    <mergeCell ref="B30:B31"/>
    <mergeCell ref="C30:D32"/>
    <mergeCell ref="T30:Y32"/>
    <mergeCell ref="D40:Q50"/>
    <mergeCell ref="T18:Y18"/>
    <mergeCell ref="T19:Y22"/>
    <mergeCell ref="C22:D22"/>
    <mergeCell ref="P23:Q26"/>
    <mergeCell ref="T23:Y23"/>
    <mergeCell ref="T24:Y28"/>
    <mergeCell ref="C27:D28"/>
    <mergeCell ref="A1:Q1"/>
    <mergeCell ref="A2:Q2"/>
    <mergeCell ref="C4:D9"/>
    <mergeCell ref="T4:Y4"/>
    <mergeCell ref="T5:Y9"/>
    <mergeCell ref="P10:Q13"/>
    <mergeCell ref="T10:Y10"/>
    <mergeCell ref="T11:Y17"/>
    <mergeCell ref="C14:D14"/>
    <mergeCell ref="C15:D21"/>
  </mergeCells>
  <phoneticPr fontId="3" type="noConversion"/>
  <pageMargins left="0.7" right="0.7" top="0.75" bottom="0.75" header="0.3" footer="0.3"/>
  <pageSetup paperSize="9" scale="32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B1:V55"/>
  <sheetViews>
    <sheetView zoomScale="69" zoomScaleNormal="69" workbookViewId="0">
      <selection activeCell="AA12" sqref="AA12"/>
    </sheetView>
  </sheetViews>
  <sheetFormatPr defaultRowHeight="16.5"/>
  <cols>
    <col min="1" max="1" width="3.625" customWidth="1"/>
    <col min="2" max="17" width="10.625" customWidth="1"/>
    <col min="18" max="19" width="3.625" customWidth="1"/>
  </cols>
  <sheetData>
    <row r="1" spans="2:22" ht="17.25" thickBot="1"/>
    <row r="2" spans="2:22" ht="45" customHeight="1" thickBot="1">
      <c r="B2" s="325" t="s">
        <v>441</v>
      </c>
      <c r="C2" s="326"/>
      <c r="D2" s="326"/>
      <c r="E2" s="326"/>
      <c r="F2" s="326"/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27"/>
    </row>
    <row r="3" spans="2:22" s="6" customFormat="1" ht="6.95" customHeight="1" thickBot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2:22" ht="39.950000000000003" customHeight="1">
      <c r="B4" s="328" t="s">
        <v>36</v>
      </c>
      <c r="C4" s="329"/>
      <c r="D4" s="329"/>
      <c r="E4" s="329"/>
      <c r="F4" s="329"/>
      <c r="G4" s="329"/>
      <c r="H4" s="329"/>
      <c r="I4" s="330"/>
      <c r="J4" s="334" t="s">
        <v>37</v>
      </c>
      <c r="K4" s="335"/>
      <c r="L4" s="335"/>
      <c r="M4" s="335"/>
      <c r="N4" s="335"/>
      <c r="O4" s="335"/>
      <c r="P4" s="335"/>
      <c r="Q4" s="336"/>
    </row>
    <row r="5" spans="2:22" ht="24.95" customHeight="1" thickBot="1">
      <c r="B5" s="331"/>
      <c r="C5" s="332"/>
      <c r="D5" s="332"/>
      <c r="E5" s="332"/>
      <c r="F5" s="332"/>
      <c r="G5" s="332"/>
      <c r="H5" s="332"/>
      <c r="I5" s="333"/>
      <c r="J5" s="337"/>
      <c r="K5" s="338"/>
      <c r="L5" s="338"/>
      <c r="M5" s="338"/>
      <c r="N5" s="338"/>
      <c r="O5" s="338"/>
      <c r="P5" s="338"/>
      <c r="Q5" s="339"/>
    </row>
    <row r="6" spans="2:22" ht="24.95" customHeight="1">
      <c r="B6" s="340" t="s">
        <v>38</v>
      </c>
      <c r="C6" s="341"/>
      <c r="D6" s="341"/>
      <c r="E6" s="341"/>
      <c r="F6" s="341"/>
      <c r="G6" s="341"/>
      <c r="H6" s="341"/>
      <c r="I6" s="342"/>
      <c r="J6" s="343" t="s">
        <v>474</v>
      </c>
      <c r="K6" s="344"/>
      <c r="L6" s="344"/>
      <c r="M6" s="344"/>
      <c r="N6" s="344"/>
      <c r="O6" s="344"/>
      <c r="P6" s="344"/>
      <c r="Q6" s="345"/>
    </row>
    <row r="7" spans="2:22" ht="9.9499999999999993" customHeight="1">
      <c r="B7" s="352" t="s">
        <v>471</v>
      </c>
      <c r="C7" s="353"/>
      <c r="D7" s="353"/>
      <c r="E7" s="353"/>
      <c r="F7" s="353"/>
      <c r="G7" s="353"/>
      <c r="H7" s="353"/>
      <c r="I7" s="354"/>
      <c r="J7" s="346"/>
      <c r="K7" s="347"/>
      <c r="L7" s="347"/>
      <c r="M7" s="347"/>
      <c r="N7" s="347"/>
      <c r="O7" s="347"/>
      <c r="P7" s="347"/>
      <c r="Q7" s="348"/>
    </row>
    <row r="8" spans="2:22" ht="9.9499999999999993" customHeight="1">
      <c r="B8" s="352"/>
      <c r="C8" s="353"/>
      <c r="D8" s="353"/>
      <c r="E8" s="353"/>
      <c r="F8" s="353"/>
      <c r="G8" s="353"/>
      <c r="H8" s="353"/>
      <c r="I8" s="354"/>
      <c r="J8" s="346"/>
      <c r="K8" s="347"/>
      <c r="L8" s="347"/>
      <c r="M8" s="347"/>
      <c r="N8" s="347"/>
      <c r="O8" s="347"/>
      <c r="P8" s="347"/>
      <c r="Q8" s="348"/>
    </row>
    <row r="9" spans="2:22" ht="9.9499999999999993" customHeight="1">
      <c r="B9" s="352"/>
      <c r="C9" s="353"/>
      <c r="D9" s="353"/>
      <c r="E9" s="353"/>
      <c r="F9" s="353"/>
      <c r="G9" s="353"/>
      <c r="H9" s="353"/>
      <c r="I9" s="354"/>
      <c r="J9" s="346"/>
      <c r="K9" s="347"/>
      <c r="L9" s="347"/>
      <c r="M9" s="347"/>
      <c r="N9" s="347"/>
      <c r="O9" s="347"/>
      <c r="P9" s="347"/>
      <c r="Q9" s="348"/>
    </row>
    <row r="10" spans="2:22" ht="9.9499999999999993" customHeight="1">
      <c r="B10" s="352"/>
      <c r="C10" s="353"/>
      <c r="D10" s="353"/>
      <c r="E10" s="353"/>
      <c r="F10" s="353"/>
      <c r="G10" s="353"/>
      <c r="H10" s="353"/>
      <c r="I10" s="354"/>
      <c r="J10" s="346"/>
      <c r="K10" s="347"/>
      <c r="L10" s="347"/>
      <c r="M10" s="347"/>
      <c r="N10" s="347"/>
      <c r="O10" s="347"/>
      <c r="P10" s="347"/>
      <c r="Q10" s="348"/>
    </row>
    <row r="11" spans="2:22" ht="9.75" customHeight="1">
      <c r="B11" s="352"/>
      <c r="C11" s="353"/>
      <c r="D11" s="353"/>
      <c r="E11" s="353"/>
      <c r="F11" s="353"/>
      <c r="G11" s="353"/>
      <c r="H11" s="353"/>
      <c r="I11" s="354"/>
      <c r="J11" s="346"/>
      <c r="K11" s="347"/>
      <c r="L11" s="347"/>
      <c r="M11" s="347"/>
      <c r="N11" s="347"/>
      <c r="O11" s="347"/>
      <c r="P11" s="347"/>
      <c r="Q11" s="348"/>
      <c r="V11" t="s">
        <v>39</v>
      </c>
    </row>
    <row r="12" spans="2:22" ht="24.95" customHeight="1">
      <c r="B12" s="352" t="s">
        <v>40</v>
      </c>
      <c r="C12" s="353"/>
      <c r="D12" s="353"/>
      <c r="E12" s="353"/>
      <c r="F12" s="353"/>
      <c r="G12" s="353"/>
      <c r="H12" s="353"/>
      <c r="I12" s="354"/>
      <c r="J12" s="346"/>
      <c r="K12" s="347"/>
      <c r="L12" s="347"/>
      <c r="M12" s="347"/>
      <c r="N12" s="347"/>
      <c r="O12" s="347"/>
      <c r="P12" s="347"/>
      <c r="Q12" s="348"/>
    </row>
    <row r="13" spans="2:22" ht="50.1" customHeight="1">
      <c r="B13" s="352" t="s">
        <v>473</v>
      </c>
      <c r="C13" s="355"/>
      <c r="D13" s="355"/>
      <c r="E13" s="355"/>
      <c r="F13" s="355"/>
      <c r="G13" s="355"/>
      <c r="H13" s="355"/>
      <c r="I13" s="356"/>
      <c r="J13" s="346"/>
      <c r="K13" s="347"/>
      <c r="L13" s="347"/>
      <c r="M13" s="347"/>
      <c r="N13" s="347"/>
      <c r="O13" s="347"/>
      <c r="P13" s="347"/>
      <c r="Q13" s="348"/>
    </row>
    <row r="14" spans="2:22" ht="50.1" customHeight="1">
      <c r="B14" s="357"/>
      <c r="C14" s="355"/>
      <c r="D14" s="355"/>
      <c r="E14" s="355"/>
      <c r="F14" s="355"/>
      <c r="G14" s="355"/>
      <c r="H14" s="355"/>
      <c r="I14" s="356"/>
      <c r="J14" s="346"/>
      <c r="K14" s="347"/>
      <c r="L14" s="347"/>
      <c r="M14" s="347"/>
      <c r="N14" s="347"/>
      <c r="O14" s="347"/>
      <c r="P14" s="347"/>
      <c r="Q14" s="348"/>
    </row>
    <row r="15" spans="2:22" ht="50.1" customHeight="1">
      <c r="B15" s="357"/>
      <c r="C15" s="355"/>
      <c r="D15" s="355"/>
      <c r="E15" s="355"/>
      <c r="F15" s="355"/>
      <c r="G15" s="355"/>
      <c r="H15" s="355"/>
      <c r="I15" s="356"/>
      <c r="J15" s="346"/>
      <c r="K15" s="347"/>
      <c r="L15" s="347"/>
      <c r="M15" s="347"/>
      <c r="N15" s="347"/>
      <c r="O15" s="347"/>
      <c r="P15" s="347"/>
      <c r="Q15" s="348"/>
    </row>
    <row r="16" spans="2:22" ht="50.1" customHeight="1">
      <c r="B16" s="357"/>
      <c r="C16" s="355"/>
      <c r="D16" s="355"/>
      <c r="E16" s="355"/>
      <c r="F16" s="355"/>
      <c r="G16" s="355"/>
      <c r="H16" s="355"/>
      <c r="I16" s="356"/>
      <c r="J16" s="346"/>
      <c r="K16" s="347"/>
      <c r="L16" s="347"/>
      <c r="M16" s="347"/>
      <c r="N16" s="347"/>
      <c r="O16" s="347"/>
      <c r="P16" s="347"/>
      <c r="Q16" s="348"/>
    </row>
    <row r="17" spans="2:17" ht="50.1" customHeight="1" thickBot="1">
      <c r="B17" s="358"/>
      <c r="C17" s="359"/>
      <c r="D17" s="359"/>
      <c r="E17" s="359"/>
      <c r="F17" s="359"/>
      <c r="G17" s="359"/>
      <c r="H17" s="359"/>
      <c r="I17" s="360"/>
      <c r="J17" s="349"/>
      <c r="K17" s="350"/>
      <c r="L17" s="350"/>
      <c r="M17" s="350"/>
      <c r="N17" s="350"/>
      <c r="O17" s="350"/>
      <c r="P17" s="350"/>
      <c r="Q17" s="351"/>
    </row>
    <row r="18" spans="2:17" ht="45" customHeight="1" thickBot="1">
      <c r="B18" s="361" t="s">
        <v>442</v>
      </c>
      <c r="C18" s="362"/>
      <c r="D18" s="362"/>
      <c r="E18" s="362"/>
      <c r="F18" s="362"/>
      <c r="G18" s="362"/>
      <c r="H18" s="362"/>
      <c r="I18" s="362"/>
      <c r="J18" s="362"/>
      <c r="K18" s="362"/>
      <c r="L18" s="362"/>
      <c r="M18" s="362"/>
      <c r="N18" s="362"/>
      <c r="O18" s="362"/>
      <c r="P18" s="363"/>
      <c r="Q18" s="364"/>
    </row>
    <row r="19" spans="2:17" s="6" customFormat="1" ht="5.0999999999999996" customHeight="1" thickBot="1"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2:17" ht="24.95" customHeight="1">
      <c r="B20" s="365">
        <v>1</v>
      </c>
      <c r="C20" s="368"/>
      <c r="D20" s="369"/>
      <c r="E20" s="369"/>
      <c r="F20" s="373">
        <v>13</v>
      </c>
      <c r="G20" s="376"/>
      <c r="H20" s="373"/>
      <c r="I20" s="373"/>
      <c r="J20" s="373">
        <v>25</v>
      </c>
      <c r="K20" s="376"/>
      <c r="L20" s="373"/>
      <c r="M20" s="373"/>
      <c r="N20" s="373">
        <v>37</v>
      </c>
      <c r="O20" s="373"/>
      <c r="P20" s="378"/>
      <c r="Q20" s="379"/>
    </row>
    <row r="21" spans="2:17" ht="24.95" customHeight="1">
      <c r="B21" s="366"/>
      <c r="C21" s="370"/>
      <c r="D21" s="371"/>
      <c r="E21" s="371"/>
      <c r="F21" s="374"/>
      <c r="G21" s="377"/>
      <c r="H21" s="374"/>
      <c r="I21" s="374"/>
      <c r="J21" s="374"/>
      <c r="K21" s="377"/>
      <c r="L21" s="374"/>
      <c r="M21" s="374"/>
      <c r="N21" s="374"/>
      <c r="O21" s="374"/>
      <c r="P21" s="380"/>
      <c r="Q21" s="381"/>
    </row>
    <row r="22" spans="2:17" ht="24.95" customHeight="1">
      <c r="B22" s="367"/>
      <c r="C22" s="372"/>
      <c r="D22" s="372"/>
      <c r="E22" s="372"/>
      <c r="F22" s="375"/>
      <c r="G22" s="375"/>
      <c r="H22" s="375"/>
      <c r="I22" s="375"/>
      <c r="J22" s="375"/>
      <c r="K22" s="375"/>
      <c r="L22" s="375"/>
      <c r="M22" s="375"/>
      <c r="N22" s="375"/>
      <c r="O22" s="375"/>
      <c r="P22" s="382"/>
      <c r="Q22" s="383"/>
    </row>
    <row r="23" spans="2:17" ht="24.95" customHeight="1">
      <c r="B23" s="384">
        <v>2</v>
      </c>
      <c r="C23" s="372"/>
      <c r="D23" s="372"/>
      <c r="E23" s="372"/>
      <c r="F23" s="375">
        <v>14</v>
      </c>
      <c r="G23" s="375"/>
      <c r="H23" s="375"/>
      <c r="I23" s="375"/>
      <c r="J23" s="375">
        <v>26</v>
      </c>
      <c r="K23" s="375"/>
      <c r="L23" s="375"/>
      <c r="M23" s="375"/>
      <c r="N23" s="375">
        <v>38</v>
      </c>
      <c r="O23" s="375"/>
      <c r="P23" s="382"/>
      <c r="Q23" s="383"/>
    </row>
    <row r="24" spans="2:17" ht="24.95" customHeight="1">
      <c r="B24" s="384"/>
      <c r="C24" s="372"/>
      <c r="D24" s="372"/>
      <c r="E24" s="372"/>
      <c r="F24" s="375"/>
      <c r="G24" s="375"/>
      <c r="H24" s="375"/>
      <c r="I24" s="375"/>
      <c r="J24" s="375"/>
      <c r="K24" s="375"/>
      <c r="L24" s="375"/>
      <c r="M24" s="375"/>
      <c r="N24" s="375"/>
      <c r="O24" s="375"/>
      <c r="P24" s="382"/>
      <c r="Q24" s="383"/>
    </row>
    <row r="25" spans="2:17" ht="24.95" customHeight="1">
      <c r="B25" s="384"/>
      <c r="C25" s="372"/>
      <c r="D25" s="372"/>
      <c r="E25" s="372"/>
      <c r="F25" s="375"/>
      <c r="G25" s="375"/>
      <c r="H25" s="375"/>
      <c r="I25" s="375"/>
      <c r="J25" s="375"/>
      <c r="K25" s="375"/>
      <c r="L25" s="375"/>
      <c r="M25" s="375"/>
      <c r="N25" s="375"/>
      <c r="O25" s="375"/>
      <c r="P25" s="382"/>
      <c r="Q25" s="383"/>
    </row>
    <row r="26" spans="2:17" ht="24.95" customHeight="1">
      <c r="B26" s="384">
        <v>3</v>
      </c>
      <c r="C26" s="372"/>
      <c r="D26" s="372"/>
      <c r="E26" s="372"/>
      <c r="F26" s="375">
        <v>15</v>
      </c>
      <c r="G26" s="375"/>
      <c r="H26" s="375"/>
      <c r="I26" s="375"/>
      <c r="J26" s="375">
        <v>27</v>
      </c>
      <c r="K26" s="375"/>
      <c r="L26" s="375"/>
      <c r="M26" s="375"/>
      <c r="N26" s="375">
        <v>39</v>
      </c>
      <c r="O26" s="375"/>
      <c r="P26" s="382"/>
      <c r="Q26" s="383"/>
    </row>
    <row r="27" spans="2:17" ht="24.95" customHeight="1">
      <c r="B27" s="384"/>
      <c r="C27" s="372"/>
      <c r="D27" s="372"/>
      <c r="E27" s="372"/>
      <c r="F27" s="375"/>
      <c r="G27" s="375"/>
      <c r="H27" s="375"/>
      <c r="I27" s="375"/>
      <c r="J27" s="375"/>
      <c r="K27" s="375"/>
      <c r="L27" s="375"/>
      <c r="M27" s="375"/>
      <c r="N27" s="375"/>
      <c r="O27" s="375"/>
      <c r="P27" s="382"/>
      <c r="Q27" s="383"/>
    </row>
    <row r="28" spans="2:17" ht="24.95" customHeight="1">
      <c r="B28" s="384"/>
      <c r="C28" s="372"/>
      <c r="D28" s="372"/>
      <c r="E28" s="372"/>
      <c r="F28" s="375"/>
      <c r="G28" s="375"/>
      <c r="H28" s="375"/>
      <c r="I28" s="375"/>
      <c r="J28" s="375"/>
      <c r="K28" s="375"/>
      <c r="L28" s="375"/>
      <c r="M28" s="375"/>
      <c r="N28" s="375"/>
      <c r="O28" s="375"/>
      <c r="P28" s="382"/>
      <c r="Q28" s="383"/>
    </row>
    <row r="29" spans="2:17" ht="24.95" customHeight="1">
      <c r="B29" s="384">
        <v>4</v>
      </c>
      <c r="C29" s="372"/>
      <c r="D29" s="372"/>
      <c r="E29" s="372"/>
      <c r="F29" s="375">
        <v>16</v>
      </c>
      <c r="G29" s="375"/>
      <c r="H29" s="375"/>
      <c r="I29" s="375"/>
      <c r="J29" s="375">
        <v>28</v>
      </c>
      <c r="K29" s="375"/>
      <c r="L29" s="375"/>
      <c r="M29" s="375"/>
      <c r="N29" s="375">
        <v>40</v>
      </c>
      <c r="O29" s="375"/>
      <c r="P29" s="382"/>
      <c r="Q29" s="383"/>
    </row>
    <row r="30" spans="2:17" ht="24.95" customHeight="1">
      <c r="B30" s="384"/>
      <c r="C30" s="372"/>
      <c r="D30" s="372"/>
      <c r="E30" s="372"/>
      <c r="F30" s="375"/>
      <c r="G30" s="375"/>
      <c r="H30" s="375"/>
      <c r="I30" s="375"/>
      <c r="J30" s="375"/>
      <c r="K30" s="375"/>
      <c r="L30" s="375"/>
      <c r="M30" s="375"/>
      <c r="N30" s="375"/>
      <c r="O30" s="375"/>
      <c r="P30" s="382"/>
      <c r="Q30" s="383"/>
    </row>
    <row r="31" spans="2:17" ht="24.95" customHeight="1">
      <c r="B31" s="384"/>
      <c r="C31" s="372"/>
      <c r="D31" s="372"/>
      <c r="E31" s="372"/>
      <c r="F31" s="375"/>
      <c r="G31" s="375"/>
      <c r="H31" s="375"/>
      <c r="I31" s="375"/>
      <c r="J31" s="375"/>
      <c r="K31" s="375"/>
      <c r="L31" s="375"/>
      <c r="M31" s="375"/>
      <c r="N31" s="375"/>
      <c r="O31" s="375"/>
      <c r="P31" s="382"/>
      <c r="Q31" s="383"/>
    </row>
    <row r="32" spans="2:17" ht="24.95" customHeight="1">
      <c r="B32" s="384">
        <v>5</v>
      </c>
      <c r="C32" s="375"/>
      <c r="D32" s="375"/>
      <c r="E32" s="375"/>
      <c r="F32" s="375">
        <v>17</v>
      </c>
      <c r="G32" s="375"/>
      <c r="H32" s="375"/>
      <c r="I32" s="375"/>
      <c r="J32" s="375">
        <v>29</v>
      </c>
      <c r="K32" s="375"/>
      <c r="L32" s="375"/>
      <c r="M32" s="375"/>
      <c r="N32" s="375">
        <v>41</v>
      </c>
      <c r="O32" s="375"/>
      <c r="P32" s="382"/>
      <c r="Q32" s="383"/>
    </row>
    <row r="33" spans="2:17" ht="24.95" customHeight="1">
      <c r="B33" s="384"/>
      <c r="C33" s="375"/>
      <c r="D33" s="375"/>
      <c r="E33" s="375"/>
      <c r="F33" s="375"/>
      <c r="G33" s="375"/>
      <c r="H33" s="375"/>
      <c r="I33" s="375"/>
      <c r="J33" s="375"/>
      <c r="K33" s="375"/>
      <c r="L33" s="375"/>
      <c r="M33" s="375"/>
      <c r="N33" s="375"/>
      <c r="O33" s="375"/>
      <c r="P33" s="382"/>
      <c r="Q33" s="383"/>
    </row>
    <row r="34" spans="2:17" ht="24.95" customHeight="1">
      <c r="B34" s="384"/>
      <c r="C34" s="375"/>
      <c r="D34" s="375"/>
      <c r="E34" s="375"/>
      <c r="F34" s="375"/>
      <c r="G34" s="375"/>
      <c r="H34" s="375"/>
      <c r="I34" s="375"/>
      <c r="J34" s="375"/>
      <c r="K34" s="375"/>
      <c r="L34" s="375"/>
      <c r="M34" s="375"/>
      <c r="N34" s="375"/>
      <c r="O34" s="375"/>
      <c r="P34" s="382"/>
      <c r="Q34" s="383"/>
    </row>
    <row r="35" spans="2:17" ht="24.95" customHeight="1">
      <c r="B35" s="384">
        <v>6</v>
      </c>
      <c r="C35" s="375"/>
      <c r="D35" s="375"/>
      <c r="E35" s="375"/>
      <c r="F35" s="375">
        <v>18</v>
      </c>
      <c r="G35" s="375"/>
      <c r="H35" s="375"/>
      <c r="I35" s="375"/>
      <c r="J35" s="375">
        <v>30</v>
      </c>
      <c r="K35" s="375"/>
      <c r="L35" s="375"/>
      <c r="M35" s="375"/>
      <c r="N35" s="375">
        <v>42</v>
      </c>
      <c r="O35" s="375"/>
      <c r="P35" s="382"/>
      <c r="Q35" s="383"/>
    </row>
    <row r="36" spans="2:17" ht="24.95" customHeight="1">
      <c r="B36" s="384"/>
      <c r="C36" s="375"/>
      <c r="D36" s="375"/>
      <c r="E36" s="375"/>
      <c r="F36" s="375"/>
      <c r="G36" s="375"/>
      <c r="H36" s="375"/>
      <c r="I36" s="375"/>
      <c r="J36" s="375"/>
      <c r="K36" s="375"/>
      <c r="L36" s="375"/>
      <c r="M36" s="375"/>
      <c r="N36" s="375"/>
      <c r="O36" s="375"/>
      <c r="P36" s="382"/>
      <c r="Q36" s="383"/>
    </row>
    <row r="37" spans="2:17" ht="24.95" customHeight="1">
      <c r="B37" s="384"/>
      <c r="C37" s="375"/>
      <c r="D37" s="375"/>
      <c r="E37" s="375"/>
      <c r="F37" s="375"/>
      <c r="G37" s="375"/>
      <c r="H37" s="375"/>
      <c r="I37" s="375"/>
      <c r="J37" s="375"/>
      <c r="K37" s="375"/>
      <c r="L37" s="375"/>
      <c r="M37" s="375"/>
      <c r="N37" s="375"/>
      <c r="O37" s="375"/>
      <c r="P37" s="382"/>
      <c r="Q37" s="383"/>
    </row>
    <row r="38" spans="2:17" ht="24.95" customHeight="1">
      <c r="B38" s="384">
        <v>7</v>
      </c>
      <c r="C38" s="375"/>
      <c r="D38" s="375"/>
      <c r="E38" s="375"/>
      <c r="F38" s="375">
        <v>19</v>
      </c>
      <c r="G38" s="375"/>
      <c r="H38" s="375"/>
      <c r="I38" s="375"/>
      <c r="J38" s="375">
        <v>31</v>
      </c>
      <c r="K38" s="375"/>
      <c r="L38" s="375"/>
      <c r="M38" s="375"/>
      <c r="N38" s="375">
        <v>43</v>
      </c>
      <c r="O38" s="375"/>
      <c r="P38" s="382"/>
      <c r="Q38" s="383"/>
    </row>
    <row r="39" spans="2:17" ht="24.95" customHeight="1">
      <c r="B39" s="384"/>
      <c r="C39" s="375"/>
      <c r="D39" s="375"/>
      <c r="E39" s="375"/>
      <c r="F39" s="375"/>
      <c r="G39" s="375"/>
      <c r="H39" s="375"/>
      <c r="I39" s="375"/>
      <c r="J39" s="375"/>
      <c r="K39" s="375"/>
      <c r="L39" s="375"/>
      <c r="M39" s="375"/>
      <c r="N39" s="375"/>
      <c r="O39" s="375"/>
      <c r="P39" s="382"/>
      <c r="Q39" s="383"/>
    </row>
    <row r="40" spans="2:17" ht="24.95" customHeight="1">
      <c r="B40" s="384"/>
      <c r="C40" s="375"/>
      <c r="D40" s="375"/>
      <c r="E40" s="375"/>
      <c r="F40" s="375"/>
      <c r="G40" s="375"/>
      <c r="H40" s="375"/>
      <c r="I40" s="375"/>
      <c r="J40" s="375"/>
      <c r="K40" s="375"/>
      <c r="L40" s="375"/>
      <c r="M40" s="375"/>
      <c r="N40" s="375"/>
      <c r="O40" s="375"/>
      <c r="P40" s="382"/>
      <c r="Q40" s="383"/>
    </row>
    <row r="41" spans="2:17" ht="24.95" customHeight="1">
      <c r="B41" s="384">
        <v>8</v>
      </c>
      <c r="C41" s="375"/>
      <c r="D41" s="375"/>
      <c r="E41" s="375"/>
      <c r="F41" s="375">
        <v>20</v>
      </c>
      <c r="G41" s="375"/>
      <c r="H41" s="375"/>
      <c r="I41" s="375"/>
      <c r="J41" s="375">
        <v>32</v>
      </c>
      <c r="K41" s="375"/>
      <c r="L41" s="375"/>
      <c r="M41" s="375"/>
      <c r="N41" s="375">
        <v>44</v>
      </c>
      <c r="O41" s="375"/>
      <c r="P41" s="382"/>
      <c r="Q41" s="383"/>
    </row>
    <row r="42" spans="2:17" ht="24.95" customHeight="1">
      <c r="B42" s="384"/>
      <c r="C42" s="375"/>
      <c r="D42" s="375"/>
      <c r="E42" s="375"/>
      <c r="F42" s="375"/>
      <c r="G42" s="375"/>
      <c r="H42" s="375"/>
      <c r="I42" s="375"/>
      <c r="J42" s="375"/>
      <c r="K42" s="375"/>
      <c r="L42" s="375"/>
      <c r="M42" s="375"/>
      <c r="N42" s="375"/>
      <c r="O42" s="375"/>
      <c r="P42" s="382"/>
      <c r="Q42" s="383"/>
    </row>
    <row r="43" spans="2:17" ht="24.95" customHeight="1">
      <c r="B43" s="384"/>
      <c r="C43" s="375"/>
      <c r="D43" s="375"/>
      <c r="E43" s="375"/>
      <c r="F43" s="375"/>
      <c r="G43" s="375"/>
      <c r="H43" s="375"/>
      <c r="I43" s="375"/>
      <c r="J43" s="375"/>
      <c r="K43" s="375"/>
      <c r="L43" s="375"/>
      <c r="M43" s="375"/>
      <c r="N43" s="375"/>
      <c r="O43" s="375"/>
      <c r="P43" s="382"/>
      <c r="Q43" s="383"/>
    </row>
    <row r="44" spans="2:17" ht="24.95" customHeight="1">
      <c r="B44" s="384">
        <v>9</v>
      </c>
      <c r="C44" s="375"/>
      <c r="D44" s="375"/>
      <c r="E44" s="375"/>
      <c r="F44" s="375">
        <v>21</v>
      </c>
      <c r="G44" s="375"/>
      <c r="H44" s="375"/>
      <c r="I44" s="375"/>
      <c r="J44" s="375">
        <v>33</v>
      </c>
      <c r="K44" s="375"/>
      <c r="L44" s="375"/>
      <c r="M44" s="375"/>
      <c r="N44" s="375">
        <v>45</v>
      </c>
      <c r="O44" s="375"/>
      <c r="P44" s="382"/>
      <c r="Q44" s="383"/>
    </row>
    <row r="45" spans="2:17" ht="24.95" customHeight="1">
      <c r="B45" s="384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M45" s="375"/>
      <c r="N45" s="375"/>
      <c r="O45" s="375"/>
      <c r="P45" s="382"/>
      <c r="Q45" s="383"/>
    </row>
    <row r="46" spans="2:17" ht="24.95" customHeight="1">
      <c r="B46" s="384"/>
      <c r="C46" s="375"/>
      <c r="D46" s="375"/>
      <c r="E46" s="375"/>
      <c r="F46" s="375"/>
      <c r="G46" s="375"/>
      <c r="H46" s="375"/>
      <c r="I46" s="375"/>
      <c r="J46" s="375"/>
      <c r="K46" s="375"/>
      <c r="L46" s="375"/>
      <c r="M46" s="375"/>
      <c r="N46" s="375"/>
      <c r="O46" s="375"/>
      <c r="P46" s="382"/>
      <c r="Q46" s="383"/>
    </row>
    <row r="47" spans="2:17" ht="24.95" customHeight="1">
      <c r="B47" s="384">
        <v>10</v>
      </c>
      <c r="C47" s="375"/>
      <c r="D47" s="375"/>
      <c r="E47" s="375"/>
      <c r="F47" s="375">
        <v>22</v>
      </c>
      <c r="G47" s="375"/>
      <c r="H47" s="375"/>
      <c r="I47" s="375"/>
      <c r="J47" s="375">
        <v>34</v>
      </c>
      <c r="K47" s="375"/>
      <c r="L47" s="375"/>
      <c r="M47" s="375"/>
      <c r="N47" s="375">
        <v>46</v>
      </c>
      <c r="O47" s="375"/>
      <c r="P47" s="382"/>
      <c r="Q47" s="383"/>
    </row>
    <row r="48" spans="2:17" ht="24.95" customHeight="1">
      <c r="B48" s="384"/>
      <c r="C48" s="375"/>
      <c r="D48" s="375"/>
      <c r="E48" s="375"/>
      <c r="F48" s="375"/>
      <c r="G48" s="375"/>
      <c r="H48" s="375"/>
      <c r="I48" s="375"/>
      <c r="J48" s="375"/>
      <c r="K48" s="375"/>
      <c r="L48" s="375"/>
      <c r="M48" s="375"/>
      <c r="N48" s="375"/>
      <c r="O48" s="375"/>
      <c r="P48" s="382"/>
      <c r="Q48" s="383"/>
    </row>
    <row r="49" spans="2:17" ht="24.95" customHeight="1">
      <c r="B49" s="384"/>
      <c r="C49" s="375"/>
      <c r="D49" s="375"/>
      <c r="E49" s="375"/>
      <c r="F49" s="375"/>
      <c r="G49" s="375"/>
      <c r="H49" s="375"/>
      <c r="I49" s="375"/>
      <c r="J49" s="375"/>
      <c r="K49" s="375"/>
      <c r="L49" s="375"/>
      <c r="M49" s="375"/>
      <c r="N49" s="375"/>
      <c r="O49" s="375"/>
      <c r="P49" s="382"/>
      <c r="Q49" s="383"/>
    </row>
    <row r="50" spans="2:17" ht="24.95" customHeight="1">
      <c r="B50" s="384">
        <v>11</v>
      </c>
      <c r="C50" s="375"/>
      <c r="D50" s="375"/>
      <c r="E50" s="375"/>
      <c r="F50" s="375">
        <v>23</v>
      </c>
      <c r="G50" s="375"/>
      <c r="H50" s="375"/>
      <c r="I50" s="375"/>
      <c r="J50" s="375">
        <v>35</v>
      </c>
      <c r="K50" s="375"/>
      <c r="L50" s="375"/>
      <c r="M50" s="375"/>
      <c r="N50" s="375">
        <v>47</v>
      </c>
      <c r="O50" s="375"/>
      <c r="P50" s="382"/>
      <c r="Q50" s="383"/>
    </row>
    <row r="51" spans="2:17" ht="24.95" customHeight="1">
      <c r="B51" s="384"/>
      <c r="C51" s="375"/>
      <c r="D51" s="375"/>
      <c r="E51" s="375"/>
      <c r="F51" s="375"/>
      <c r="G51" s="375"/>
      <c r="H51" s="375"/>
      <c r="I51" s="375"/>
      <c r="J51" s="375"/>
      <c r="K51" s="375"/>
      <c r="L51" s="375"/>
      <c r="M51" s="375"/>
      <c r="N51" s="375"/>
      <c r="O51" s="375"/>
      <c r="P51" s="382"/>
      <c r="Q51" s="383"/>
    </row>
    <row r="52" spans="2:17" ht="24.95" customHeight="1">
      <c r="B52" s="384"/>
      <c r="C52" s="375"/>
      <c r="D52" s="375"/>
      <c r="E52" s="375"/>
      <c r="F52" s="375"/>
      <c r="G52" s="375"/>
      <c r="H52" s="375"/>
      <c r="I52" s="375"/>
      <c r="J52" s="375"/>
      <c r="K52" s="375"/>
      <c r="L52" s="375"/>
      <c r="M52" s="375"/>
      <c r="N52" s="375"/>
      <c r="O52" s="375"/>
      <c r="P52" s="382"/>
      <c r="Q52" s="383"/>
    </row>
    <row r="53" spans="2:17" ht="24.95" customHeight="1">
      <c r="B53" s="384">
        <v>12</v>
      </c>
      <c r="C53" s="375"/>
      <c r="D53" s="375"/>
      <c r="E53" s="375"/>
      <c r="F53" s="375">
        <v>24</v>
      </c>
      <c r="G53" s="375"/>
      <c r="H53" s="375"/>
      <c r="I53" s="375"/>
      <c r="J53" s="385">
        <v>36</v>
      </c>
      <c r="K53" s="375"/>
      <c r="L53" s="375"/>
      <c r="M53" s="375"/>
      <c r="N53" s="375">
        <v>48</v>
      </c>
      <c r="O53" s="375"/>
      <c r="P53" s="382"/>
      <c r="Q53" s="383"/>
    </row>
    <row r="54" spans="2:17" ht="24.95" customHeight="1">
      <c r="B54" s="391"/>
      <c r="C54" s="385"/>
      <c r="D54" s="385"/>
      <c r="E54" s="385"/>
      <c r="F54" s="385"/>
      <c r="G54" s="385"/>
      <c r="H54" s="385"/>
      <c r="I54" s="385"/>
      <c r="J54" s="393"/>
      <c r="K54" s="385"/>
      <c r="L54" s="385"/>
      <c r="M54" s="385"/>
      <c r="N54" s="385"/>
      <c r="O54" s="385"/>
      <c r="P54" s="387"/>
      <c r="Q54" s="388"/>
    </row>
    <row r="55" spans="2:17" ht="24.95" customHeight="1" thickBot="1">
      <c r="B55" s="392"/>
      <c r="C55" s="386"/>
      <c r="D55" s="386"/>
      <c r="E55" s="386"/>
      <c r="F55" s="386"/>
      <c r="G55" s="386"/>
      <c r="H55" s="386"/>
      <c r="I55" s="386"/>
      <c r="J55" s="394"/>
      <c r="K55" s="386"/>
      <c r="L55" s="386"/>
      <c r="M55" s="386"/>
      <c r="N55" s="386"/>
      <c r="O55" s="386"/>
      <c r="P55" s="389"/>
      <c r="Q55" s="390"/>
    </row>
  </sheetData>
  <mergeCells count="105">
    <mergeCell ref="N53:N55"/>
    <mergeCell ref="O53:Q55"/>
    <mergeCell ref="B53:B55"/>
    <mergeCell ref="C53:E55"/>
    <mergeCell ref="F53:F55"/>
    <mergeCell ref="G53:I55"/>
    <mergeCell ref="J53:J55"/>
    <mergeCell ref="K53:M55"/>
    <mergeCell ref="N47:N49"/>
    <mergeCell ref="O47:Q49"/>
    <mergeCell ref="B50:B52"/>
    <mergeCell ref="C50:E52"/>
    <mergeCell ref="F50:F52"/>
    <mergeCell ref="G50:I52"/>
    <mergeCell ref="J50:J52"/>
    <mergeCell ref="K50:M52"/>
    <mergeCell ref="N50:N52"/>
    <mergeCell ref="O50:Q52"/>
    <mergeCell ref="B47:B49"/>
    <mergeCell ref="C47:E49"/>
    <mergeCell ref="F47:F49"/>
    <mergeCell ref="G47:I49"/>
    <mergeCell ref="J47:J49"/>
    <mergeCell ref="K47:M49"/>
    <mergeCell ref="N41:N43"/>
    <mergeCell ref="O41:Q43"/>
    <mergeCell ref="B44:B46"/>
    <mergeCell ref="C44:E46"/>
    <mergeCell ref="F44:F46"/>
    <mergeCell ref="G44:I46"/>
    <mergeCell ref="J44:J46"/>
    <mergeCell ref="K44:M46"/>
    <mergeCell ref="N44:N46"/>
    <mergeCell ref="O44:Q46"/>
    <mergeCell ref="B41:B43"/>
    <mergeCell ref="C41:E43"/>
    <mergeCell ref="F41:F43"/>
    <mergeCell ref="G41:I43"/>
    <mergeCell ref="J41:J43"/>
    <mergeCell ref="K41:M43"/>
    <mergeCell ref="N35:N37"/>
    <mergeCell ref="O35:Q37"/>
    <mergeCell ref="B38:B40"/>
    <mergeCell ref="C38:E40"/>
    <mergeCell ref="F38:F40"/>
    <mergeCell ref="G38:I40"/>
    <mergeCell ref="J38:J40"/>
    <mergeCell ref="K38:M40"/>
    <mergeCell ref="N38:N40"/>
    <mergeCell ref="O38:Q40"/>
    <mergeCell ref="B35:B37"/>
    <mergeCell ref="C35:E37"/>
    <mergeCell ref="F35:F37"/>
    <mergeCell ref="G35:I37"/>
    <mergeCell ref="J35:J37"/>
    <mergeCell ref="K35:M37"/>
    <mergeCell ref="N29:N31"/>
    <mergeCell ref="O29:Q31"/>
    <mergeCell ref="B32:B34"/>
    <mergeCell ref="C32:E34"/>
    <mergeCell ref="F32:F34"/>
    <mergeCell ref="G32:I34"/>
    <mergeCell ref="J32:J34"/>
    <mergeCell ref="K32:M34"/>
    <mergeCell ref="N32:N34"/>
    <mergeCell ref="O32:Q34"/>
    <mergeCell ref="B29:B31"/>
    <mergeCell ref="C29:E31"/>
    <mergeCell ref="F29:F31"/>
    <mergeCell ref="G29:I31"/>
    <mergeCell ref="J29:J31"/>
    <mergeCell ref="K29:M31"/>
    <mergeCell ref="B26:B28"/>
    <mergeCell ref="C26:E28"/>
    <mergeCell ref="F26:F28"/>
    <mergeCell ref="G26:I28"/>
    <mergeCell ref="J26:J28"/>
    <mergeCell ref="K26:M28"/>
    <mergeCell ref="N26:N28"/>
    <mergeCell ref="O26:Q28"/>
    <mergeCell ref="B23:B25"/>
    <mergeCell ref="C23:E25"/>
    <mergeCell ref="F23:F25"/>
    <mergeCell ref="G23:I25"/>
    <mergeCell ref="J23:J25"/>
    <mergeCell ref="K23:M25"/>
    <mergeCell ref="B20:B22"/>
    <mergeCell ref="C20:E22"/>
    <mergeCell ref="F20:F22"/>
    <mergeCell ref="G20:I22"/>
    <mergeCell ref="J20:J22"/>
    <mergeCell ref="K20:M22"/>
    <mergeCell ref="N20:N22"/>
    <mergeCell ref="O20:Q22"/>
    <mergeCell ref="N23:N25"/>
    <mergeCell ref="O23:Q25"/>
    <mergeCell ref="B2:Q2"/>
    <mergeCell ref="B4:I5"/>
    <mergeCell ref="J4:Q5"/>
    <mergeCell ref="B6:I6"/>
    <mergeCell ref="J6:Q17"/>
    <mergeCell ref="B7:I11"/>
    <mergeCell ref="B12:I12"/>
    <mergeCell ref="B13:I17"/>
    <mergeCell ref="B18:Q18"/>
  </mergeCells>
  <phoneticPr fontId="3" type="noConversion"/>
  <pageMargins left="0" right="0" top="0" bottom="0" header="0.31496062992125984" footer="0.31496062992125984"/>
  <pageSetup paperSize="9" scale="45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12월</vt:lpstr>
      <vt:lpstr>12.1</vt:lpstr>
      <vt:lpstr>12.2</vt:lpstr>
      <vt:lpstr>12.3</vt:lpstr>
      <vt:lpstr>HOLD지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2025-12-01T00:29:26Z</cp:lastPrinted>
  <dcterms:created xsi:type="dcterms:W3CDTF">2025-08-29T07:41:05Z</dcterms:created>
  <dcterms:modified xsi:type="dcterms:W3CDTF">2025-12-02T06:45:36Z</dcterms:modified>
</cp:coreProperties>
</file>