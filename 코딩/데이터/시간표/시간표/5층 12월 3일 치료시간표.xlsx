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\\192.168.20.248\행정공유\1.일일스케줄\"/>
    </mc:Choice>
  </mc:AlternateContent>
  <xr:revisionPtr revIDLastSave="0" documentId="13_ncr:1_{0D60CD30-A076-4F7A-9560-F53133F954A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5층 12월 원본" sheetId="1" r:id="rId1"/>
    <sheet name="12.1" sheetId="5" r:id="rId2"/>
    <sheet name="12.2" sheetId="7" r:id="rId3"/>
    <sheet name="12.3" sheetId="8" r:id="rId4"/>
    <sheet name="HOLD지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7" i="8" l="1"/>
  <c r="P37" i="8"/>
  <c r="O37" i="8"/>
  <c r="N37" i="8"/>
  <c r="M37" i="8"/>
  <c r="K37" i="8"/>
  <c r="J37" i="8"/>
  <c r="I37" i="8"/>
  <c r="H37" i="8"/>
  <c r="G37" i="8"/>
  <c r="F37" i="8"/>
  <c r="E37" i="8"/>
  <c r="R28" i="8"/>
  <c r="R26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R16" i="1"/>
  <c r="R3" i="8" l="1"/>
  <c r="Q37" i="7"/>
  <c r="P37" i="7"/>
  <c r="O37" i="7"/>
  <c r="N37" i="7"/>
  <c r="M37" i="7"/>
  <c r="K37" i="7"/>
  <c r="J37" i="7"/>
  <c r="I37" i="7"/>
  <c r="H37" i="7"/>
  <c r="G37" i="7"/>
  <c r="F37" i="7"/>
  <c r="E37" i="7"/>
  <c r="R28" i="7"/>
  <c r="R26" i="7"/>
  <c r="R24" i="7"/>
  <c r="R23" i="7"/>
  <c r="R22" i="7"/>
  <c r="R21" i="7"/>
  <c r="R19" i="7"/>
  <c r="R18" i="7"/>
  <c r="R17" i="7"/>
  <c r="R15" i="7"/>
  <c r="R14" i="7"/>
  <c r="R13" i="7"/>
  <c r="R12" i="7"/>
  <c r="R10" i="7"/>
  <c r="R9" i="7"/>
  <c r="R8" i="7"/>
  <c r="R7" i="7"/>
  <c r="R6" i="7"/>
  <c r="R5" i="7"/>
  <c r="R4" i="7"/>
  <c r="R3" i="7" s="1"/>
  <c r="Q37" i="5" l="1"/>
  <c r="P37" i="5"/>
  <c r="O37" i="5"/>
  <c r="N37" i="5"/>
  <c r="M37" i="5"/>
  <c r="K37" i="5"/>
  <c r="J37" i="5"/>
  <c r="I37" i="5"/>
  <c r="H37" i="5"/>
  <c r="G37" i="5"/>
  <c r="F37" i="5"/>
  <c r="E37" i="5"/>
  <c r="R28" i="5"/>
  <c r="R26" i="5"/>
  <c r="R24" i="5"/>
  <c r="R23" i="5"/>
  <c r="R22" i="5"/>
  <c r="R21" i="5"/>
  <c r="R19" i="5"/>
  <c r="R18" i="5"/>
  <c r="R17" i="5"/>
  <c r="R15" i="5"/>
  <c r="R14" i="5"/>
  <c r="R13" i="5"/>
  <c r="R12" i="5"/>
  <c r="R11" i="5"/>
  <c r="R10" i="5"/>
  <c r="R9" i="5"/>
  <c r="R8" i="5"/>
  <c r="R7" i="5"/>
  <c r="R6" i="5"/>
  <c r="R5" i="5"/>
  <c r="R3" i="5" s="1"/>
  <c r="R4" i="5"/>
  <c r="Q37" i="1" l="1"/>
  <c r="P37" i="1"/>
  <c r="O37" i="1"/>
  <c r="N37" i="1"/>
  <c r="M37" i="1"/>
  <c r="K37" i="1"/>
  <c r="J37" i="1"/>
  <c r="I37" i="1"/>
  <c r="H37" i="1"/>
  <c r="G37" i="1"/>
  <c r="F37" i="1"/>
  <c r="E37" i="1"/>
  <c r="R28" i="1"/>
  <c r="R26" i="1"/>
  <c r="R24" i="1"/>
  <c r="R23" i="1"/>
  <c r="R22" i="1"/>
  <c r="R21" i="1"/>
  <c r="R20" i="1"/>
  <c r="R19" i="1"/>
  <c r="R18" i="1"/>
  <c r="R17" i="1"/>
  <c r="R15" i="1"/>
  <c r="R14" i="1"/>
  <c r="R13" i="1"/>
  <c r="R12" i="1"/>
  <c r="R11" i="1"/>
  <c r="R10" i="1"/>
  <c r="R9" i="1"/>
  <c r="R8" i="1"/>
  <c r="R7" i="1"/>
  <c r="R6" i="1"/>
  <c r="R5" i="1"/>
  <c r="R4" i="1"/>
  <c r="R3" i="1" l="1"/>
</calcChain>
</file>

<file path=xl/sharedStrings.xml><?xml version="1.0" encoding="utf-8"?>
<sst xmlns="http://schemas.openxmlformats.org/spreadsheetml/2006/main" count="1653" uniqueCount="938">
  <si>
    <t>재활센터 시간표     2023. 10. 31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</si>
  <si>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</si>
  <si>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</si>
  <si>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</si>
  <si>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</si>
  <si>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9:05~
9:35</t>
  </si>
  <si>
    <t>9:40~
10:10</t>
  </si>
  <si>
    <t>10:15~
10:45</t>
    <phoneticPr fontId="3" type="noConversion"/>
  </si>
  <si>
    <t>10:50~
11:20</t>
  </si>
  <si>
    <t>11:25~
11:55</t>
    <phoneticPr fontId="3" type="noConversion"/>
  </si>
  <si>
    <t>12:00~
12:30</t>
    <phoneticPr fontId="3" type="noConversion"/>
  </si>
  <si>
    <t>점심</t>
  </si>
  <si>
    <t>13:30~
14:00</t>
    <phoneticPr fontId="3" type="noConversion"/>
  </si>
  <si>
    <t>14:05~
14:35</t>
  </si>
  <si>
    <t>14:40~
15:10</t>
  </si>
  <si>
    <t>15:15~
15:45</t>
  </si>
  <si>
    <t>15:50~
16:20</t>
  </si>
  <si>
    <t>홍지민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</si>
  <si>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</si>
  <si>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</si>
  <si>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</si>
  <si>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RM이팔원</t>
    <phoneticPr fontId="3" type="noConversion"/>
  </si>
  <si>
    <t>RG정태두</t>
  </si>
  <si>
    <t>N임헌수2</t>
    <phoneticPr fontId="3" type="noConversion"/>
  </si>
  <si>
    <t>RM김성자10</t>
    <phoneticPr fontId="3" type="noConversion"/>
  </si>
  <si>
    <t>N임종범</t>
    <phoneticPr fontId="3" type="noConversion"/>
  </si>
  <si>
    <t>N권용길</t>
    <phoneticPr fontId="13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</si>
  <si>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</si>
  <si>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</si>
  <si>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</si>
  <si>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* 신환</t>
    <phoneticPr fontId="3" type="noConversion"/>
  </si>
  <si>
    <t>임지현</t>
  </si>
  <si>
    <t>N연현숙2</t>
    <phoneticPr fontId="3" type="noConversion"/>
  </si>
  <si>
    <t>N7최지선3</t>
  </si>
  <si>
    <t>N양병후</t>
    <phoneticPr fontId="3" type="noConversion"/>
  </si>
  <si>
    <t>N배성범</t>
    <phoneticPr fontId="3" type="noConversion"/>
  </si>
  <si>
    <t>RM이병희3</t>
    <phoneticPr fontId="3" type="noConversion"/>
  </si>
  <si>
    <t>RN정현숙4</t>
  </si>
  <si>
    <t>RN이팔원</t>
    <phoneticPr fontId="3" type="noConversion"/>
  </si>
  <si>
    <t>RM김명배3</t>
  </si>
  <si>
    <t>RM김석군</t>
    <phoneticPr fontId="3" type="noConversion"/>
  </si>
  <si>
    <t>RN우영희2</t>
  </si>
  <si>
    <t>김채린</t>
    <phoneticPr fontId="3" type="noConversion"/>
  </si>
  <si>
    <t>N박은용</t>
    <phoneticPr fontId="3" type="noConversion"/>
  </si>
  <si>
    <t>N황종길</t>
    <phoneticPr fontId="3" type="noConversion"/>
  </si>
  <si>
    <t>N최지선3</t>
    <phoneticPr fontId="3" type="noConversion"/>
  </si>
  <si>
    <t>RM전동순</t>
    <phoneticPr fontId="3" type="noConversion"/>
  </si>
  <si>
    <t>N조정자</t>
    <phoneticPr fontId="3" type="noConversion"/>
  </si>
  <si>
    <t>RM김석군</t>
    <phoneticPr fontId="3" type="noConversion"/>
  </si>
  <si>
    <t>N7박성구D</t>
    <phoneticPr fontId="3" type="noConversion"/>
  </si>
  <si>
    <t>N구본창</t>
    <phoneticPr fontId="3" type="noConversion"/>
  </si>
  <si>
    <t>N유혜영4</t>
    <phoneticPr fontId="3" type="noConversion"/>
  </si>
  <si>
    <t>N김을언</t>
    <phoneticPr fontId="3" type="noConversion"/>
  </si>
  <si>
    <t>최예원</t>
    <phoneticPr fontId="3" type="noConversion"/>
  </si>
  <si>
    <t>RM김재환2</t>
    <phoneticPr fontId="3" type="noConversion"/>
  </si>
  <si>
    <t>RM이병희3</t>
  </si>
  <si>
    <t>RG최상근3</t>
    <phoneticPr fontId="3" type="noConversion"/>
  </si>
  <si>
    <t>RN윤소희3</t>
    <phoneticPr fontId="3" type="noConversion"/>
  </si>
  <si>
    <t>RG최상근3</t>
    <phoneticPr fontId="3" type="noConversion"/>
  </si>
  <si>
    <t>RN강용수</t>
    <phoneticPr fontId="3" type="noConversion"/>
  </si>
  <si>
    <t>N신연애</t>
    <phoneticPr fontId="3" type="noConversion"/>
  </si>
  <si>
    <t>RN홍선화</t>
    <phoneticPr fontId="3" type="noConversion"/>
  </si>
  <si>
    <t>RG정태두</t>
    <phoneticPr fontId="3" type="noConversion"/>
  </si>
  <si>
    <t>서원빈</t>
    <phoneticPr fontId="3" type="noConversion"/>
  </si>
  <si>
    <t>RN김석군</t>
    <phoneticPr fontId="3" type="noConversion"/>
  </si>
  <si>
    <t>N전혜옥</t>
    <phoneticPr fontId="3" type="noConversion"/>
  </si>
  <si>
    <t>N지복례</t>
    <phoneticPr fontId="13" type="noConversion"/>
  </si>
  <si>
    <t>N서승달</t>
    <phoneticPr fontId="3" type="noConversion"/>
  </si>
  <si>
    <t>N우학송</t>
    <phoneticPr fontId="13" type="noConversion"/>
  </si>
  <si>
    <t>N신기순2</t>
    <phoneticPr fontId="3" type="noConversion"/>
  </si>
  <si>
    <t>RM김명배3</t>
    <phoneticPr fontId="3" type="noConversion"/>
  </si>
  <si>
    <t>RM우영희2</t>
  </si>
  <si>
    <t>RM임낙규</t>
    <phoneticPr fontId="3" type="noConversion"/>
  </si>
  <si>
    <t>RM정현숙4</t>
  </si>
  <si>
    <t>RN이진봉</t>
    <phoneticPr fontId="3" type="noConversion"/>
  </si>
  <si>
    <t>* 변경사항</t>
    <phoneticPr fontId="3" type="noConversion"/>
  </si>
  <si>
    <t>박민경</t>
    <phoneticPr fontId="3" type="noConversion"/>
  </si>
  <si>
    <t>RN이병희3</t>
  </si>
  <si>
    <t>RM서극원</t>
    <phoneticPr fontId="3" type="noConversion"/>
  </si>
  <si>
    <t>RN권영순6</t>
    <phoneticPr fontId="3" type="noConversion"/>
  </si>
  <si>
    <t>N김시철</t>
    <phoneticPr fontId="3" type="noConversion"/>
  </si>
  <si>
    <t>RM김성자10</t>
    <phoneticPr fontId="3" type="noConversion"/>
  </si>
  <si>
    <t>RM한경애4</t>
    <phoneticPr fontId="3" type="noConversion"/>
  </si>
  <si>
    <t>RN임낙규</t>
    <phoneticPr fontId="3" type="noConversion"/>
  </si>
  <si>
    <t>RM강용수</t>
    <phoneticPr fontId="3" type="noConversion"/>
  </si>
  <si>
    <t>N김정규2</t>
  </si>
  <si>
    <t>임수민</t>
    <phoneticPr fontId="3" type="noConversion"/>
  </si>
  <si>
    <t>N7김진옥7A</t>
  </si>
  <si>
    <t>RN김재환2</t>
    <phoneticPr fontId="3" type="noConversion"/>
  </si>
  <si>
    <t>RM김명배3</t>
    <phoneticPr fontId="3" type="noConversion"/>
  </si>
  <si>
    <t>RM이진봉</t>
    <phoneticPr fontId="3" type="noConversion"/>
  </si>
  <si>
    <t>RM서극원</t>
    <phoneticPr fontId="3" type="noConversion"/>
  </si>
  <si>
    <t>N7지복례D</t>
    <phoneticPr fontId="3" type="noConversion"/>
  </si>
  <si>
    <t>RM이난주</t>
    <phoneticPr fontId="3" type="noConversion"/>
  </si>
  <si>
    <t>RM권영순6</t>
  </si>
  <si>
    <t>N송갑헌</t>
    <phoneticPr fontId="13" type="noConversion"/>
  </si>
  <si>
    <t>유태현</t>
    <phoneticPr fontId="3" type="noConversion"/>
  </si>
  <si>
    <t>RM윤소희3</t>
    <phoneticPr fontId="3" type="noConversion"/>
  </si>
  <si>
    <t>RM김기연5</t>
    <phoneticPr fontId="3" type="noConversion"/>
  </si>
  <si>
    <t>N김종운3</t>
    <phoneticPr fontId="3" type="noConversion"/>
  </si>
  <si>
    <t>N송갑헌</t>
    <phoneticPr fontId="3" type="noConversion"/>
  </si>
  <si>
    <t>N지복례</t>
    <phoneticPr fontId="13" type="noConversion"/>
  </si>
  <si>
    <t>RM정현숙4</t>
    <phoneticPr fontId="3" type="noConversion"/>
  </si>
  <si>
    <t>RG최상근3</t>
    <phoneticPr fontId="3" type="noConversion"/>
  </si>
  <si>
    <t>강지영</t>
    <phoneticPr fontId="3" type="noConversion"/>
  </si>
  <si>
    <t>N김시철</t>
    <phoneticPr fontId="3" type="noConversion"/>
  </si>
  <si>
    <t>RN권오운</t>
    <phoneticPr fontId="3" type="noConversion"/>
  </si>
  <si>
    <t>N송옥경</t>
    <phoneticPr fontId="3" type="noConversion"/>
  </si>
  <si>
    <t>RN김성자10</t>
    <phoneticPr fontId="3" type="noConversion"/>
  </si>
  <si>
    <t>RN김명배3</t>
    <phoneticPr fontId="3" type="noConversion"/>
  </si>
  <si>
    <t>RN한경애4</t>
    <phoneticPr fontId="3" type="noConversion"/>
  </si>
  <si>
    <t>RM권영순6</t>
    <phoneticPr fontId="3" type="noConversion"/>
  </si>
  <si>
    <t>장수빈</t>
    <phoneticPr fontId="3" type="noConversion"/>
  </si>
  <si>
    <t>N김진옥7</t>
    <phoneticPr fontId="3" type="noConversion"/>
  </si>
  <si>
    <t>RM한경애4</t>
    <phoneticPr fontId="3" type="noConversion"/>
  </si>
  <si>
    <t>RN이난주</t>
    <phoneticPr fontId="13" type="noConversion"/>
  </si>
  <si>
    <t>N서재학</t>
    <phoneticPr fontId="3" type="noConversion"/>
  </si>
  <si>
    <t>N우학송</t>
    <phoneticPr fontId="3" type="noConversion"/>
  </si>
  <si>
    <t>N신기순2</t>
    <phoneticPr fontId="3" type="noConversion"/>
  </si>
  <si>
    <t>N김진옥7</t>
    <phoneticPr fontId="3" type="noConversion"/>
  </si>
  <si>
    <t>N임종범</t>
    <phoneticPr fontId="3" type="noConversion"/>
  </si>
  <si>
    <t>RN김기연5</t>
    <phoneticPr fontId="3" type="noConversion"/>
  </si>
  <si>
    <t>N송옥경</t>
    <phoneticPr fontId="3" type="noConversion"/>
  </si>
  <si>
    <t>RG정태두</t>
    <phoneticPr fontId="3" type="noConversion"/>
  </si>
  <si>
    <t>장해민</t>
    <phoneticPr fontId="3" type="noConversion"/>
  </si>
  <si>
    <t>CA지복례</t>
    <phoneticPr fontId="13" type="noConversion"/>
  </si>
  <si>
    <t>RA최상근3</t>
    <phoneticPr fontId="3" type="noConversion"/>
  </si>
  <si>
    <t>H7임낙규D</t>
    <phoneticPr fontId="3" type="noConversion"/>
  </si>
  <si>
    <t>RA홍선화</t>
  </si>
  <si>
    <t>CA서재학</t>
    <phoneticPr fontId="3" type="noConversion"/>
  </si>
  <si>
    <t>C김을언
C김정규2</t>
  </si>
  <si>
    <t>RD이병희3</t>
    <phoneticPr fontId="3" type="noConversion"/>
  </si>
  <si>
    <t>RA권오운</t>
    <phoneticPr fontId="3" type="noConversion"/>
  </si>
  <si>
    <t>CA임종범</t>
    <phoneticPr fontId="3" type="noConversion"/>
  </si>
  <si>
    <t>CA유혜영4</t>
    <phoneticPr fontId="3" type="noConversion"/>
  </si>
  <si>
    <t>RA정태두</t>
    <phoneticPr fontId="3" type="noConversion"/>
  </si>
  <si>
    <t>RA서극원</t>
    <phoneticPr fontId="3" type="noConversion"/>
  </si>
  <si>
    <t>장효원</t>
    <phoneticPr fontId="3" type="noConversion"/>
  </si>
  <si>
    <t>RA권오운</t>
    <phoneticPr fontId="3" type="noConversion"/>
  </si>
  <si>
    <t>RA임낙규</t>
    <phoneticPr fontId="3" type="noConversion"/>
  </si>
  <si>
    <t>RS이팔원</t>
    <phoneticPr fontId="3" type="noConversion"/>
  </si>
  <si>
    <t>O7구본창D</t>
    <phoneticPr fontId="3" type="noConversion"/>
  </si>
  <si>
    <t>CA송옥경</t>
    <phoneticPr fontId="3" type="noConversion"/>
  </si>
  <si>
    <t>CA송갑헌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</si>
  <si>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</si>
  <si>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</si>
  <si>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</si>
  <si>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</si>
  <si>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RS한경애4</t>
    <phoneticPr fontId="3" type="noConversion"/>
  </si>
  <si>
    <t>RA이난주</t>
    <phoneticPr fontId="3" type="noConversion"/>
  </si>
  <si>
    <t>이경미</t>
    <phoneticPr fontId="3" type="noConversion"/>
  </si>
  <si>
    <t>RA서극원</t>
    <phoneticPr fontId="3" type="noConversion"/>
  </si>
  <si>
    <t>RD이진봉</t>
    <phoneticPr fontId="3" type="noConversion"/>
  </si>
  <si>
    <t>RS강용수</t>
    <phoneticPr fontId="3" type="noConversion"/>
  </si>
  <si>
    <t>CA김진옥7</t>
    <phoneticPr fontId="3" type="noConversion"/>
  </si>
  <si>
    <t>CA박은용</t>
    <phoneticPr fontId="3" type="noConversion"/>
  </si>
  <si>
    <t>RA한경애4</t>
    <phoneticPr fontId="3" type="noConversion"/>
  </si>
  <si>
    <t>H7윤소희A</t>
    <phoneticPr fontId="3" type="noConversion"/>
  </si>
  <si>
    <t>RA김재환2</t>
    <phoneticPr fontId="3" type="noConversion"/>
  </si>
  <si>
    <t>장세희</t>
    <phoneticPr fontId="3" type="noConversion"/>
  </si>
  <si>
    <t>CA박성구</t>
    <phoneticPr fontId="3" type="noConversion"/>
  </si>
  <si>
    <t>RD김재환2</t>
    <phoneticPr fontId="3" type="noConversion"/>
  </si>
  <si>
    <t>RA강용수</t>
    <phoneticPr fontId="3" type="noConversion"/>
  </si>
  <si>
    <t>D김종운3V</t>
    <phoneticPr fontId="3" type="noConversion"/>
  </si>
  <si>
    <t>RA이팔원</t>
    <phoneticPr fontId="3" type="noConversion"/>
  </si>
  <si>
    <t>RS정경철</t>
    <phoneticPr fontId="3" type="noConversion"/>
  </si>
  <si>
    <t>RA윤소희3</t>
    <phoneticPr fontId="3" type="noConversion"/>
  </si>
  <si>
    <t>RA유정순3</t>
    <phoneticPr fontId="3" type="noConversion"/>
  </si>
  <si>
    <t>CA김을언</t>
    <phoneticPr fontId="3" type="noConversion"/>
  </si>
  <si>
    <t>RS권오운</t>
    <phoneticPr fontId="3" type="noConversion"/>
  </si>
  <si>
    <t>RA김명배3</t>
    <phoneticPr fontId="3" type="noConversion"/>
  </si>
  <si>
    <t>이은지4</t>
    <phoneticPr fontId="3" type="noConversion"/>
  </si>
  <si>
    <t>RS홍선화</t>
    <phoneticPr fontId="3" type="noConversion"/>
  </si>
  <si>
    <t>RD김기연5</t>
    <phoneticPr fontId="3" type="noConversion"/>
  </si>
  <si>
    <t>RA한경애4</t>
    <phoneticPr fontId="3" type="noConversion"/>
  </si>
  <si>
    <t>RA정태두</t>
    <phoneticPr fontId="3" type="noConversion"/>
  </si>
  <si>
    <t>RS권영순6</t>
    <phoneticPr fontId="3" type="noConversion"/>
  </si>
  <si>
    <t>RA홍선화</t>
    <phoneticPr fontId="3" type="noConversion"/>
  </si>
  <si>
    <t>RD전동순</t>
    <phoneticPr fontId="3" type="noConversion"/>
  </si>
  <si>
    <t>CA김정규2</t>
  </si>
  <si>
    <t>RA김기연5</t>
    <phoneticPr fontId="3" type="noConversion"/>
  </si>
  <si>
    <t>C임종범
C송갑헌</t>
    <phoneticPr fontId="3" type="noConversion"/>
  </si>
  <si>
    <t>김희수</t>
    <phoneticPr fontId="3" type="noConversion"/>
  </si>
  <si>
    <t>RS임낙규</t>
    <phoneticPr fontId="3" type="noConversion"/>
  </si>
  <si>
    <t>CA신기순2</t>
  </si>
  <si>
    <t>RA우영희2</t>
  </si>
  <si>
    <t>CA전혜옥</t>
    <phoneticPr fontId="3" type="noConversion"/>
  </si>
  <si>
    <t>CA신연애</t>
    <phoneticPr fontId="3" type="noConversion"/>
  </si>
  <si>
    <t>CA서승달</t>
    <phoneticPr fontId="3" type="noConversion"/>
  </si>
  <si>
    <t>RA전동순</t>
    <phoneticPr fontId="3" type="noConversion"/>
  </si>
  <si>
    <t>RA이병희3</t>
  </si>
  <si>
    <t>C송옥경
C지복례</t>
    <phoneticPr fontId="3" type="noConversion"/>
  </si>
  <si>
    <t>CA김택중</t>
    <phoneticPr fontId="3" type="noConversion"/>
  </si>
  <si>
    <t>정상환</t>
    <phoneticPr fontId="3" type="noConversion"/>
  </si>
  <si>
    <t>O7우학송A</t>
    <phoneticPr fontId="3" type="noConversion"/>
  </si>
  <si>
    <t>RD윤소희3</t>
    <phoneticPr fontId="3" type="noConversion"/>
  </si>
  <si>
    <t>RD김명배3</t>
    <phoneticPr fontId="3" type="noConversion"/>
  </si>
  <si>
    <t>RA윤소희3</t>
    <phoneticPr fontId="3" type="noConversion"/>
  </si>
  <si>
    <t>RS김석군</t>
    <phoneticPr fontId="3" type="noConversion"/>
  </si>
  <si>
    <t>D김시철V</t>
    <phoneticPr fontId="3" type="noConversion"/>
  </si>
  <si>
    <t>RA정경철</t>
    <phoneticPr fontId="3" type="noConversion"/>
  </si>
  <si>
    <t>RD김재환2</t>
    <phoneticPr fontId="3" type="noConversion"/>
  </si>
  <si>
    <t>CA임헌수2</t>
    <phoneticPr fontId="3" type="noConversion"/>
  </si>
  <si>
    <t>H서재학</t>
    <phoneticPr fontId="3" type="noConversion"/>
  </si>
  <si>
    <t>* 퇴원 및 HOLD</t>
    <phoneticPr fontId="21" type="noConversion"/>
  </si>
  <si>
    <t>김영빈</t>
    <phoneticPr fontId="3" type="noConversion"/>
  </si>
  <si>
    <t>RS이난주</t>
    <phoneticPr fontId="3" type="noConversion"/>
  </si>
  <si>
    <t>CA우학송</t>
    <phoneticPr fontId="3" type="noConversion"/>
  </si>
  <si>
    <t>RA김성자10</t>
  </si>
  <si>
    <t>CA권용길</t>
    <phoneticPr fontId="3" type="noConversion"/>
  </si>
  <si>
    <t>C우학송
C신기순2</t>
    <phoneticPr fontId="3" type="noConversion"/>
  </si>
  <si>
    <t>CA양병후</t>
    <phoneticPr fontId="3" type="noConversion"/>
  </si>
  <si>
    <t>RA최상근3</t>
    <phoneticPr fontId="3" type="noConversion"/>
  </si>
  <si>
    <t>최예은</t>
    <phoneticPr fontId="3" type="noConversion"/>
  </si>
  <si>
    <t>C김진옥7</t>
    <phoneticPr fontId="3" type="noConversion"/>
  </si>
  <si>
    <t>CA황종길</t>
    <phoneticPr fontId="3" type="noConversion"/>
  </si>
  <si>
    <t>CA김시철</t>
    <phoneticPr fontId="3" type="noConversion"/>
  </si>
  <si>
    <t>RA이진봉</t>
    <phoneticPr fontId="3" type="noConversion"/>
  </si>
  <si>
    <t>RS정현숙4</t>
    <phoneticPr fontId="3" type="noConversion"/>
  </si>
  <si>
    <t>H김을언</t>
    <phoneticPr fontId="3" type="noConversion"/>
  </si>
  <si>
    <t>RS서극원</t>
    <phoneticPr fontId="3" type="noConversion"/>
  </si>
  <si>
    <t>RA정현숙4</t>
  </si>
  <si>
    <t>계장</t>
    <phoneticPr fontId="3" type="noConversion"/>
  </si>
  <si>
    <t>강인화</t>
    <phoneticPr fontId="3" type="noConversion"/>
  </si>
  <si>
    <t>RA김석군</t>
    <phoneticPr fontId="3" type="noConversion"/>
  </si>
  <si>
    <t>CA배성범</t>
    <phoneticPr fontId="3" type="noConversion"/>
  </si>
  <si>
    <t>CA조정자</t>
    <phoneticPr fontId="3" type="noConversion"/>
  </si>
  <si>
    <t>RA이팔원</t>
    <phoneticPr fontId="3" type="noConversion"/>
  </si>
  <si>
    <t>김윤종</t>
    <phoneticPr fontId="3" type="noConversion"/>
  </si>
  <si>
    <t>H7김진옥7A</t>
    <phoneticPr fontId="3" type="noConversion"/>
  </si>
  <si>
    <t>RA김성자10</t>
    <phoneticPr fontId="3" type="noConversion"/>
  </si>
  <si>
    <t>RA김석군</t>
    <phoneticPr fontId="3" type="noConversion"/>
  </si>
  <si>
    <t>CA최지선3</t>
  </si>
  <si>
    <t>RS우영희2</t>
  </si>
  <si>
    <t>CA연현숙2</t>
    <phoneticPr fontId="3" type="noConversion"/>
  </si>
  <si>
    <t>RD전동순</t>
    <phoneticPr fontId="3" type="noConversion"/>
  </si>
  <si>
    <t>추가or대체</t>
    <phoneticPr fontId="3" type="noConversion"/>
  </si>
  <si>
    <t>추가or대체</t>
    <phoneticPr fontId="3" type="noConversion"/>
  </si>
  <si>
    <t>* 당일시간변경</t>
    <phoneticPr fontId="3" type="noConversion"/>
  </si>
  <si>
    <t>박수진</t>
    <phoneticPr fontId="3" type="noConversion"/>
  </si>
  <si>
    <t>M김을언C
C이문찬2CPM</t>
    <phoneticPr fontId="3" type="noConversion"/>
  </si>
  <si>
    <t>M김을언S
M송옥경C
M연현숙2C
M김종운3Tt</t>
    <phoneticPr fontId="3" type="noConversion"/>
  </si>
  <si>
    <t>M배성범S
M신연애C
M조정자C
M임종범C</t>
    <phoneticPr fontId="3" type="noConversion"/>
  </si>
  <si>
    <t>M우학송S
M김정규2C</t>
  </si>
  <si>
    <t>M전혜옥S
M송옥경C
M임종범C
M권용길C
M김택중S
M배성범T</t>
    <phoneticPr fontId="3" type="noConversion"/>
  </si>
  <si>
    <t>M우학송C
M임헌수2S</t>
    <phoneticPr fontId="3" type="noConversion"/>
  </si>
  <si>
    <t xml:space="preserve">
MM이팔원C
MM우영희2M</t>
    <phoneticPr fontId="3" type="noConversion"/>
  </si>
  <si>
    <t>이나예</t>
    <phoneticPr fontId="3" type="noConversion"/>
  </si>
  <si>
    <t>단축근무</t>
    <phoneticPr fontId="3" type="noConversion"/>
  </si>
  <si>
    <t>F조정자
F김시철
F권용길</t>
    <phoneticPr fontId="3" type="noConversion"/>
  </si>
  <si>
    <t>F임헌수2
F양병후
F우학송
F임종범
F김정규2</t>
  </si>
  <si>
    <t>F서승달</t>
    <phoneticPr fontId="3" type="noConversion"/>
  </si>
  <si>
    <r>
      <t>F황종길</t>
    </r>
    <r>
      <rPr>
        <sz val="10"/>
        <rFont val="돋움"/>
        <family val="3"/>
        <charset val="129"/>
      </rPr>
      <t xml:space="preserve">
F김을언
F김진옥7
F김정규2</t>
    </r>
    <phoneticPr fontId="3" type="noConversion"/>
  </si>
  <si>
    <t>임수민
(무급휴직)</t>
    <phoneticPr fontId="3" type="noConversion"/>
  </si>
  <si>
    <t>추가</t>
    <phoneticPr fontId="3" type="noConversion"/>
  </si>
  <si>
    <t>8:30~
9:00</t>
  </si>
  <si>
    <t>10:15~
10:45</t>
  </si>
  <si>
    <t>11:25~
11:55</t>
  </si>
  <si>
    <t>12:00~ 
12:30</t>
  </si>
  <si>
    <t xml:space="preserve"> </t>
  </si>
  <si>
    <t>13:30~
14:00</t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</si>
  <si>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  <phoneticPr fontId="3" type="noConversion"/>
  </si>
  <si>
    <t>N</t>
    <phoneticPr fontId="3" type="noConversion"/>
  </si>
  <si>
    <t>N배성범</t>
    <phoneticPr fontId="3" type="noConversion"/>
  </si>
  <si>
    <t>N김진옥7</t>
    <phoneticPr fontId="3" type="noConversion"/>
  </si>
  <si>
    <t>N신연애</t>
    <phoneticPr fontId="3" type="noConversion"/>
  </si>
  <si>
    <t>N양병후
N권용길</t>
    <phoneticPr fontId="3" type="noConversion"/>
  </si>
  <si>
    <t>N연현숙2</t>
    <phoneticPr fontId="3" type="noConversion"/>
  </si>
  <si>
    <t>N임헌수2
N황종길</t>
    <phoneticPr fontId="3" type="noConversion"/>
  </si>
  <si>
    <t>N서재학</t>
    <phoneticPr fontId="3" type="noConversion"/>
  </si>
  <si>
    <t>CA</t>
    <phoneticPr fontId="3" type="noConversion"/>
  </si>
  <si>
    <t>D</t>
    <phoneticPr fontId="3" type="noConversion"/>
  </si>
  <si>
    <t>D유혜영4</t>
    <phoneticPr fontId="3" type="noConversion"/>
  </si>
  <si>
    <t>D박은용</t>
    <phoneticPr fontId="13" type="noConversion"/>
  </si>
  <si>
    <t>D유혜영4</t>
    <phoneticPr fontId="3" type="noConversion"/>
  </si>
  <si>
    <t>C</t>
    <phoneticPr fontId="3" type="noConversion"/>
  </si>
  <si>
    <t xml:space="preserve"> C서재학</t>
    <phoneticPr fontId="3" type="noConversion"/>
  </si>
  <si>
    <t>C임헌수2</t>
    <phoneticPr fontId="3" type="noConversion"/>
  </si>
  <si>
    <t>C황종길</t>
    <phoneticPr fontId="3" type="noConversion"/>
  </si>
  <si>
    <t>C조정자</t>
    <phoneticPr fontId="3" type="noConversion"/>
  </si>
  <si>
    <t>C신연애</t>
    <phoneticPr fontId="3" type="noConversion"/>
  </si>
  <si>
    <t>C김진옥7</t>
    <phoneticPr fontId="3" type="noConversion"/>
  </si>
  <si>
    <t>C배성범
C권용길</t>
    <phoneticPr fontId="3" type="noConversion"/>
  </si>
  <si>
    <t>C연현숙2</t>
    <phoneticPr fontId="3" type="noConversion"/>
  </si>
  <si>
    <t>수중재활 스케줄</t>
  </si>
  <si>
    <t xml:space="preserve">           시간    
치료사</t>
    <phoneticPr fontId="3" type="noConversion"/>
  </si>
  <si>
    <t>14:05~
14:35</t>
    <phoneticPr fontId="3" type="noConversion"/>
  </si>
  <si>
    <t>15:50~
16:20</t>
    <phoneticPr fontId="3" type="noConversion"/>
  </si>
  <si>
    <t>16:25~
16:55</t>
  </si>
  <si>
    <t>17:00~
17:30</t>
  </si>
  <si>
    <t>수중재활</t>
    <phoneticPr fontId="3" type="noConversion"/>
  </si>
  <si>
    <t>P배성범B</t>
    <phoneticPr fontId="3" type="noConversion"/>
  </si>
  <si>
    <t>P우학송D</t>
    <phoneticPr fontId="21" type="noConversion"/>
  </si>
  <si>
    <t xml:space="preserve"> </t>
    <phoneticPr fontId="3" type="noConversion"/>
  </si>
  <si>
    <t>RTMS &amp; HAND &amp; 호흡 &amp; 바이오피드백 시간표</t>
    <phoneticPr fontId="3" type="noConversion"/>
  </si>
  <si>
    <t>RTMS</t>
  </si>
  <si>
    <t>HAND</t>
    <phoneticPr fontId="3" type="noConversion"/>
  </si>
  <si>
    <t>김진옥7A</t>
    <phoneticPr fontId="3" type="noConversion"/>
  </si>
  <si>
    <t>임낙규D</t>
    <phoneticPr fontId="3" type="noConversion"/>
  </si>
  <si>
    <t>H7윤소희A</t>
    <phoneticPr fontId="21" type="noConversion"/>
  </si>
  <si>
    <t>호흡치료</t>
    <phoneticPr fontId="3" type="noConversion"/>
  </si>
  <si>
    <t>서재학</t>
    <phoneticPr fontId="3" type="noConversion"/>
  </si>
  <si>
    <t>바이오
피드백</t>
    <phoneticPr fontId="3" type="noConversion"/>
  </si>
  <si>
    <t>전산화인지치료 시간표</t>
    <phoneticPr fontId="3" type="noConversion"/>
  </si>
  <si>
    <t>베러코그(5)</t>
    <phoneticPr fontId="3" type="noConversion"/>
  </si>
  <si>
    <t>스마트보드</t>
  </si>
  <si>
    <t>R-TMS &amp; WALKBOT &amp; MORNING WALK &amp; R-BOT 시간표</t>
    <phoneticPr fontId="3" type="noConversion"/>
  </si>
  <si>
    <t>모닝워크</t>
    <phoneticPr fontId="3" type="noConversion"/>
  </si>
  <si>
    <t>W한경애4A</t>
    <phoneticPr fontId="3" type="noConversion"/>
  </si>
  <si>
    <t>워크봇</t>
    <phoneticPr fontId="3" type="noConversion"/>
  </si>
  <si>
    <t>이팔원</t>
    <phoneticPr fontId="3" type="noConversion"/>
  </si>
  <si>
    <t>W권용길B</t>
    <phoneticPr fontId="3" type="noConversion"/>
  </si>
  <si>
    <t>W전동순B</t>
    <phoneticPr fontId="21" type="noConversion"/>
  </si>
  <si>
    <t>W김택중A</t>
    <phoneticPr fontId="3" type="noConversion"/>
  </si>
  <si>
    <t>알봇</t>
    <phoneticPr fontId="3" type="noConversion"/>
  </si>
  <si>
    <t>W권오운D</t>
    <phoneticPr fontId="3" type="noConversion"/>
  </si>
  <si>
    <t>통증</t>
  </si>
  <si>
    <t>*전혜옥</t>
    <phoneticPr fontId="3" type="noConversion"/>
  </si>
  <si>
    <t>*이문찬2</t>
    <phoneticPr fontId="3" type="noConversion"/>
  </si>
  <si>
    <t>ESWT5한경애4(목)</t>
    <phoneticPr fontId="3" type="noConversion"/>
  </si>
  <si>
    <t>시간표 변경사항</t>
    <phoneticPr fontId="3" type="noConversion"/>
  </si>
  <si>
    <t>당일 변경사항</t>
    <phoneticPr fontId="3" type="noConversion"/>
  </si>
  <si>
    <t>* 신환</t>
    <phoneticPr fontId="3" type="noConversion"/>
  </si>
  <si>
    <t>* 변경사항</t>
    <phoneticPr fontId="3" type="noConversion"/>
  </si>
  <si>
    <t>5층 재활센터 시간표     2025. 12.  ()</t>
    <phoneticPr fontId="3" type="noConversion"/>
  </si>
  <si>
    <t>M조정자C
M김시철C
M박은용C
M신기순2S
M박성구C</t>
    <phoneticPr fontId="3" type="noConversion"/>
  </si>
  <si>
    <t>RN김인순3</t>
    <phoneticPr fontId="3" type="noConversion"/>
  </si>
  <si>
    <t>RS김인순3</t>
    <phoneticPr fontId="3" type="noConversion"/>
  </si>
  <si>
    <t>RA김인순3</t>
    <phoneticPr fontId="3" type="noConversion"/>
  </si>
  <si>
    <t>RM김인순3</t>
    <phoneticPr fontId="3" type="noConversion"/>
  </si>
  <si>
    <t>MM김명배3Tt
MM이병희3
MM이진봉S
MM김인순3Tt</t>
    <phoneticPr fontId="3" type="noConversion"/>
  </si>
  <si>
    <t>RM이난주</t>
    <phoneticPr fontId="3" type="noConversion"/>
  </si>
  <si>
    <t>MM이진봉T</t>
  </si>
  <si>
    <t>N유혜영4</t>
  </si>
  <si>
    <t>MM이팔원C</t>
  </si>
  <si>
    <t>MM한경애4C</t>
  </si>
  <si>
    <t>MM전동순C</t>
  </si>
  <si>
    <t>정상환
(연차)</t>
    <phoneticPr fontId="3" type="noConversion"/>
  </si>
  <si>
    <t>F지복례
F김택중</t>
    <phoneticPr fontId="3" type="noConversion"/>
  </si>
  <si>
    <t>M김을언C
C이문찬2CPM</t>
    <phoneticPr fontId="3" type="noConversion"/>
  </si>
  <si>
    <t>M김을언S
M송옥경C
M연현숙2C
M김종운3Tt</t>
    <phoneticPr fontId="3" type="noConversion"/>
  </si>
  <si>
    <t>F배성범
F신기순2
F김종운3
F박은용</t>
    <phoneticPr fontId="3" type="noConversion"/>
  </si>
  <si>
    <t>M김진옥7C
M전혜옥S
M구본창C
M김택중C
M권용길S
M박은용C
M지복례T</t>
    <phoneticPr fontId="3" type="noConversion"/>
  </si>
  <si>
    <t>D김택중(B)
D박은용</t>
    <phoneticPr fontId="3" type="noConversion"/>
  </si>
  <si>
    <t>이경미
(공가)</t>
    <phoneticPr fontId="3" type="noConversion"/>
  </si>
  <si>
    <t>MM김석군C</t>
  </si>
  <si>
    <t>MM정경철C</t>
  </si>
  <si>
    <t>MM임낙규C</t>
  </si>
  <si>
    <t>5층 재활센터 시간표     2025. 12. 01  (월)</t>
    <phoneticPr fontId="3" type="noConversion"/>
  </si>
  <si>
    <t>7:30~
8:00</t>
    <phoneticPr fontId="3" type="noConversion"/>
  </si>
  <si>
    <t>8:00~
8:30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</si>
  <si>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</si>
  <si>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</si>
  <si>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</si>
  <si>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홍지민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</si>
  <si>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</si>
  <si>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</si>
  <si>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</si>
  <si>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RM이팔원</t>
    <phoneticPr fontId="3" type="noConversion"/>
  </si>
  <si>
    <t>N임헌수2</t>
    <phoneticPr fontId="3" type="noConversion"/>
  </si>
  <si>
    <t>RM김성자10</t>
    <phoneticPr fontId="3" type="noConversion"/>
  </si>
  <si>
    <t>N임종범</t>
    <phoneticPr fontId="3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</si>
  <si>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</si>
  <si>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</si>
  <si>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</si>
  <si>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N연현숙2</t>
    <phoneticPr fontId="3" type="noConversion"/>
  </si>
  <si>
    <t>N양병후</t>
    <phoneticPr fontId="3" type="noConversion"/>
  </si>
  <si>
    <t>N배성범</t>
    <phoneticPr fontId="3" type="noConversion"/>
  </si>
  <si>
    <t>RM이병희3</t>
    <phoneticPr fontId="3" type="noConversion"/>
  </si>
  <si>
    <t>N7유혜영4</t>
    <phoneticPr fontId="3" type="noConversion"/>
  </si>
  <si>
    <t>RA최상근3</t>
    <phoneticPr fontId="21" type="noConversion"/>
  </si>
  <si>
    <t>RM김석군</t>
    <phoneticPr fontId="21" type="noConversion"/>
  </si>
  <si>
    <t>김채린</t>
    <phoneticPr fontId="3" type="noConversion"/>
  </si>
  <si>
    <t>N김종운3</t>
    <phoneticPr fontId="21" type="noConversion"/>
  </si>
  <si>
    <t>N황종길</t>
    <phoneticPr fontId="3" type="noConversion"/>
  </si>
  <si>
    <t>N박은용</t>
    <phoneticPr fontId="3" type="noConversion"/>
  </si>
  <si>
    <t>N조정자</t>
    <phoneticPr fontId="3" type="noConversion"/>
  </si>
  <si>
    <t>RN정경철</t>
    <phoneticPr fontId="3" type="noConversion"/>
  </si>
  <si>
    <t>RM김석군</t>
    <phoneticPr fontId="3" type="noConversion"/>
  </si>
  <si>
    <t>N7박성구D</t>
    <phoneticPr fontId="3" type="noConversion"/>
  </si>
  <si>
    <t>N구본창</t>
    <phoneticPr fontId="3" type="noConversion"/>
  </si>
  <si>
    <t>N유혜영4</t>
    <phoneticPr fontId="3" type="noConversion"/>
  </si>
  <si>
    <t>N김을언</t>
    <phoneticPr fontId="3" type="noConversion"/>
  </si>
  <si>
    <t>최예원</t>
    <phoneticPr fontId="3" type="noConversion"/>
  </si>
  <si>
    <t>RM윤소희3</t>
    <phoneticPr fontId="21" type="noConversion"/>
  </si>
  <si>
    <t>RG최상근3</t>
    <phoneticPr fontId="3" type="noConversion"/>
  </si>
  <si>
    <t>RN윤소희3</t>
    <phoneticPr fontId="3" type="noConversion"/>
  </si>
  <si>
    <t>RN강용수</t>
    <phoneticPr fontId="3" type="noConversion"/>
  </si>
  <si>
    <t>RM정경철</t>
    <phoneticPr fontId="3" type="noConversion"/>
  </si>
  <si>
    <t>RN홍선화</t>
    <phoneticPr fontId="3" type="noConversion"/>
  </si>
  <si>
    <t>서원빈</t>
    <phoneticPr fontId="3" type="noConversion"/>
  </si>
  <si>
    <t>RN김석군</t>
    <phoneticPr fontId="3" type="noConversion"/>
  </si>
  <si>
    <t>N지복례</t>
    <phoneticPr fontId="21" type="noConversion"/>
  </si>
  <si>
    <t>N전혜옥</t>
    <phoneticPr fontId="3" type="noConversion"/>
  </si>
  <si>
    <t>N지복례</t>
    <phoneticPr fontId="13" type="noConversion"/>
  </si>
  <si>
    <t>N우학송</t>
    <phoneticPr fontId="13" type="noConversion"/>
  </si>
  <si>
    <t>N신기순2</t>
    <phoneticPr fontId="3" type="noConversion"/>
  </si>
  <si>
    <t>RM김명배3</t>
    <phoneticPr fontId="3" type="noConversion"/>
  </si>
  <si>
    <t>RM임낙규</t>
    <phoneticPr fontId="3" type="noConversion"/>
  </si>
  <si>
    <t>RN이진봉</t>
    <phoneticPr fontId="3" type="noConversion"/>
  </si>
  <si>
    <t>* 변경사항</t>
    <phoneticPr fontId="3" type="noConversion"/>
  </si>
  <si>
    <t>박민경</t>
    <phoneticPr fontId="3" type="noConversion"/>
  </si>
  <si>
    <t>RM한경애4</t>
    <phoneticPr fontId="3" type="noConversion"/>
  </si>
  <si>
    <t>RN임낙규</t>
    <phoneticPr fontId="3" type="noConversion"/>
  </si>
  <si>
    <t>RN유정순3</t>
    <phoneticPr fontId="3" type="noConversion"/>
  </si>
  <si>
    <t>RM강용수</t>
    <phoneticPr fontId="3" type="noConversion"/>
  </si>
  <si>
    <t>임수민</t>
    <phoneticPr fontId="3" type="noConversion"/>
  </si>
  <si>
    <t>N김을언</t>
    <phoneticPr fontId="21" type="noConversion"/>
  </si>
  <si>
    <t>RM전동순</t>
    <phoneticPr fontId="3" type="noConversion"/>
  </si>
  <si>
    <t>RM이진봉</t>
    <phoneticPr fontId="3" type="noConversion"/>
  </si>
  <si>
    <t>RM서극원</t>
    <phoneticPr fontId="3" type="noConversion"/>
  </si>
  <si>
    <t>RG최옥자(3)</t>
    <phoneticPr fontId="3" type="noConversion"/>
  </si>
  <si>
    <t>N7지복례D</t>
    <phoneticPr fontId="3" type="noConversion"/>
  </si>
  <si>
    <t>N송갑헌</t>
    <phoneticPr fontId="13" type="noConversion"/>
  </si>
  <si>
    <t>유태현
(연차)</t>
    <phoneticPr fontId="3" type="noConversion"/>
  </si>
  <si>
    <t>RM윤소희3</t>
    <phoneticPr fontId="3" type="noConversion"/>
  </si>
  <si>
    <t>RM정현숙4</t>
    <phoneticPr fontId="3" type="noConversion"/>
  </si>
  <si>
    <t>강지영</t>
    <phoneticPr fontId="3" type="noConversion"/>
  </si>
  <si>
    <t>N김시철</t>
    <phoneticPr fontId="3" type="noConversion"/>
  </si>
  <si>
    <t>RN권오운</t>
    <phoneticPr fontId="3" type="noConversion"/>
  </si>
  <si>
    <t>N송옥경</t>
    <phoneticPr fontId="3" type="noConversion"/>
  </si>
  <si>
    <t>RN김성자10</t>
    <phoneticPr fontId="3" type="noConversion"/>
  </si>
  <si>
    <t>RN김명배3</t>
    <phoneticPr fontId="3" type="noConversion"/>
  </si>
  <si>
    <t>RN한경애4</t>
    <phoneticPr fontId="3" type="noConversion"/>
  </si>
  <si>
    <t>RM권영순6</t>
    <phoneticPr fontId="3" type="noConversion"/>
  </si>
  <si>
    <t>장수빈</t>
    <phoneticPr fontId="3" type="noConversion"/>
  </si>
  <si>
    <t>RN이난주</t>
    <phoneticPr fontId="13" type="noConversion"/>
  </si>
  <si>
    <t>N송갑헌</t>
    <phoneticPr fontId="21" type="noConversion"/>
  </si>
  <si>
    <t>N우학송</t>
    <phoneticPr fontId="3" type="noConversion"/>
  </si>
  <si>
    <t>RG정태두</t>
    <phoneticPr fontId="3" type="noConversion"/>
  </si>
  <si>
    <t>장해민</t>
    <phoneticPr fontId="3" type="noConversion"/>
  </si>
  <si>
    <t>CA지복례</t>
    <phoneticPr fontId="13" type="noConversion"/>
  </si>
  <si>
    <t>RA최상근3</t>
    <phoneticPr fontId="3" type="noConversion"/>
  </si>
  <si>
    <t>H7임낙규D</t>
    <phoneticPr fontId="3" type="noConversion"/>
  </si>
  <si>
    <t>RD이병희3</t>
    <phoneticPr fontId="3" type="noConversion"/>
  </si>
  <si>
    <t>RA권오운</t>
    <phoneticPr fontId="3" type="noConversion"/>
  </si>
  <si>
    <t>CA임종범</t>
    <phoneticPr fontId="3" type="noConversion"/>
  </si>
  <si>
    <t>CA유혜영4</t>
    <phoneticPr fontId="3" type="noConversion"/>
  </si>
  <si>
    <t>RA정태두</t>
    <phoneticPr fontId="3" type="noConversion"/>
  </si>
  <si>
    <t>RA서극원</t>
    <phoneticPr fontId="3" type="noConversion"/>
  </si>
  <si>
    <t>O7구본창D</t>
    <phoneticPr fontId="3" type="noConversion"/>
  </si>
  <si>
    <t>CA송옥경</t>
    <phoneticPr fontId="3" type="noConversion"/>
  </si>
  <si>
    <t>CA송갑헌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</si>
  <si>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</si>
  <si>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</si>
  <si>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</si>
  <si>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</si>
  <si>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RS한경애4</t>
    <phoneticPr fontId="3" type="noConversion"/>
  </si>
  <si>
    <t>RA이난주</t>
    <phoneticPr fontId="3" type="noConversion"/>
  </si>
  <si>
    <r>
      <rPr>
        <b/>
        <sz val="10"/>
        <color rgb="FF00B050"/>
        <rFont val="돋움"/>
        <family val="3"/>
        <charset val="129"/>
      </rPr>
      <t>RS강용수</t>
    </r>
    <r>
      <rPr>
        <sz val="10"/>
        <color rgb="FF00B050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RA김인순3</t>
    </r>
    <phoneticPr fontId="3" type="noConversion"/>
  </si>
  <si>
    <t>6CA김진옥7</t>
    <phoneticPr fontId="3" type="noConversion"/>
  </si>
  <si>
    <t>RA한경애4</t>
    <phoneticPr fontId="3" type="noConversion"/>
  </si>
  <si>
    <t>CA박은용</t>
    <phoneticPr fontId="21" type="noConversion"/>
  </si>
  <si>
    <t>장세희</t>
    <phoneticPr fontId="3" type="noConversion"/>
  </si>
  <si>
    <t>CA박성구</t>
    <phoneticPr fontId="3" type="noConversion"/>
  </si>
  <si>
    <t>O7우학송A</t>
    <phoneticPr fontId="21" type="noConversion"/>
  </si>
  <si>
    <t>RA강용수</t>
    <phoneticPr fontId="3" type="noConversion"/>
  </si>
  <si>
    <t>D김종운3V</t>
    <phoneticPr fontId="3" type="noConversion"/>
  </si>
  <si>
    <t>RA윤소희3</t>
    <phoneticPr fontId="3" type="noConversion"/>
  </si>
  <si>
    <t>RA유정순3</t>
    <phoneticPr fontId="3" type="noConversion"/>
  </si>
  <si>
    <t>CA김을언</t>
    <phoneticPr fontId="3" type="noConversion"/>
  </si>
  <si>
    <t>RS권오운</t>
    <phoneticPr fontId="3" type="noConversion"/>
  </si>
  <si>
    <t>RA김명배3</t>
    <phoneticPr fontId="3" type="noConversion"/>
  </si>
  <si>
    <t>이은지4</t>
    <phoneticPr fontId="3" type="noConversion"/>
  </si>
  <si>
    <t>RS홍선화</t>
    <phoneticPr fontId="3" type="noConversion"/>
  </si>
  <si>
    <t>RD김기연5</t>
    <phoneticPr fontId="3" type="noConversion"/>
  </si>
  <si>
    <t>RS권영순6</t>
    <phoneticPr fontId="3" type="noConversion"/>
  </si>
  <si>
    <t>RA홍선화</t>
    <phoneticPr fontId="3" type="noConversion"/>
  </si>
  <si>
    <t>RD전동순</t>
    <phoneticPr fontId="3" type="noConversion"/>
  </si>
  <si>
    <t>RA김인순3</t>
    <phoneticPr fontId="3" type="noConversion"/>
  </si>
  <si>
    <t>C임종범
C송갑헌</t>
    <phoneticPr fontId="3" type="noConversion"/>
  </si>
  <si>
    <t>김희수</t>
    <phoneticPr fontId="3" type="noConversion"/>
  </si>
  <si>
    <t>RS임낙규</t>
    <phoneticPr fontId="3" type="noConversion"/>
  </si>
  <si>
    <t>CA전혜옥</t>
    <phoneticPr fontId="3" type="noConversion"/>
  </si>
  <si>
    <t>CA신연애</t>
    <phoneticPr fontId="3" type="noConversion"/>
  </si>
  <si>
    <t>C서승달</t>
    <phoneticPr fontId="3" type="noConversion"/>
  </si>
  <si>
    <t>CA서승달</t>
    <phoneticPr fontId="3" type="noConversion"/>
  </si>
  <si>
    <t>D김시철V</t>
    <phoneticPr fontId="21" type="noConversion"/>
  </si>
  <si>
    <t>C송옥경
C지복례</t>
    <phoneticPr fontId="3" type="noConversion"/>
  </si>
  <si>
    <t>RD김명배3</t>
    <phoneticPr fontId="21" type="noConversion"/>
  </si>
  <si>
    <t>RD윤소희3
RA전동순
RA홍선화</t>
    <phoneticPr fontId="3" type="noConversion"/>
  </si>
  <si>
    <t>RA정경철</t>
    <phoneticPr fontId="3" type="noConversion"/>
  </si>
  <si>
    <t>RS김석군</t>
    <phoneticPr fontId="21" type="noConversion"/>
  </si>
  <si>
    <t>* 퇴원 및 HOLD</t>
    <phoneticPr fontId="21" type="noConversion"/>
  </si>
  <si>
    <t>D유혜영4</t>
    <phoneticPr fontId="3" type="noConversion"/>
  </si>
  <si>
    <t>RS이난주</t>
    <phoneticPr fontId="3" type="noConversion"/>
  </si>
  <si>
    <t>CA우학송</t>
    <phoneticPr fontId="3" type="noConversion"/>
  </si>
  <si>
    <t>RA임낙규</t>
    <phoneticPr fontId="3" type="noConversion"/>
  </si>
  <si>
    <t>C우학송
C신기순2</t>
    <phoneticPr fontId="3" type="noConversion"/>
  </si>
  <si>
    <t>CA양병후</t>
    <phoneticPr fontId="3" type="noConversion"/>
  </si>
  <si>
    <t>H7윤소희A</t>
    <phoneticPr fontId="21" type="noConversion"/>
  </si>
  <si>
    <t>심옥자님, 정선숙님 퇴원
김재환님 : all hold</t>
    <phoneticPr fontId="3" type="noConversion"/>
  </si>
  <si>
    <t>최예은</t>
    <phoneticPr fontId="3" type="noConversion"/>
  </si>
  <si>
    <t>C김시철</t>
    <phoneticPr fontId="3" type="noConversion"/>
  </si>
  <si>
    <t>CA황종길</t>
    <phoneticPr fontId="3" type="noConversion"/>
  </si>
  <si>
    <t>CA김시철</t>
    <phoneticPr fontId="3" type="noConversion"/>
  </si>
  <si>
    <t>RA이진봉</t>
    <phoneticPr fontId="3" type="noConversion"/>
  </si>
  <si>
    <t>RS정현숙4</t>
    <phoneticPr fontId="3" type="noConversion"/>
  </si>
  <si>
    <t>H김을언</t>
    <phoneticPr fontId="3" type="noConversion"/>
  </si>
  <si>
    <t>RS서극원</t>
    <phoneticPr fontId="3" type="noConversion"/>
  </si>
  <si>
    <t>계장</t>
    <phoneticPr fontId="3" type="noConversion"/>
  </si>
  <si>
    <t>강인화</t>
    <phoneticPr fontId="3" type="noConversion"/>
  </si>
  <si>
    <t>RS김인순3</t>
    <phoneticPr fontId="3" type="noConversion"/>
  </si>
  <si>
    <t>CA배성범</t>
    <phoneticPr fontId="3" type="noConversion"/>
  </si>
  <si>
    <t>CA조정자</t>
    <phoneticPr fontId="3" type="noConversion"/>
  </si>
  <si>
    <t>김윤종</t>
    <phoneticPr fontId="3" type="noConversion"/>
  </si>
  <si>
    <t>H7김진옥7A</t>
    <phoneticPr fontId="3" type="noConversion"/>
  </si>
  <si>
    <t>CA연현숙2</t>
    <phoneticPr fontId="3" type="noConversion"/>
  </si>
  <si>
    <t>CA임헌수2</t>
    <phoneticPr fontId="21" type="noConversion"/>
  </si>
  <si>
    <t>* 당일시간변경</t>
    <phoneticPr fontId="3" type="noConversion"/>
  </si>
  <si>
    <t>박수진</t>
    <phoneticPr fontId="3" type="noConversion"/>
  </si>
  <si>
    <r>
      <t>M박성구S
M지복례C</t>
    </r>
    <r>
      <rPr>
        <sz val="10"/>
        <rFont val="돋움"/>
        <family val="3"/>
        <charset val="129"/>
      </rPr>
      <t xml:space="preserve">
M김시철T
C최종성2CPM</t>
    </r>
    <phoneticPr fontId="3" type="noConversion"/>
  </si>
  <si>
    <r>
      <t>M최지선3T
M양병후C
M황종길C
M임헌수2M</t>
    </r>
    <r>
      <rPr>
        <sz val="10"/>
        <rFont val="돋움"/>
        <family val="3"/>
        <charset val="129"/>
      </rPr>
      <t xml:space="preserve">
M신기순2S</t>
    </r>
    <phoneticPr fontId="3" type="noConversion"/>
  </si>
  <si>
    <t>M김진옥7C
M전혜옥S
M구본창C
M김택중C
M박은용C
M권용길S
M지복례T</t>
    <phoneticPr fontId="3" type="noConversion"/>
  </si>
  <si>
    <r>
      <t>M김진옥7S
M양병후C</t>
    </r>
    <r>
      <rPr>
        <sz val="10"/>
        <rFont val="돋움"/>
        <family val="3"/>
        <charset val="129"/>
      </rPr>
      <t xml:space="preserve">
M황종길C</t>
    </r>
    <phoneticPr fontId="3" type="noConversion"/>
  </si>
  <si>
    <t>M조정자C
M김시철C
M박은용C
M신기순2S
M박성구C</t>
    <phoneticPr fontId="3" type="noConversion"/>
  </si>
  <si>
    <t>M전혜옥S
M송옥경C
M임종범C
M권용길C
M김택중S
M배성범T</t>
    <phoneticPr fontId="3" type="noConversion"/>
  </si>
  <si>
    <t>M최지선3C
Tt김을언Tt
M신연애S
M임헌수2S
M김정규2
M연현숙2C</t>
    <phoneticPr fontId="3" type="noConversion"/>
  </si>
  <si>
    <t>M우학송C</t>
    <phoneticPr fontId="3" type="noConversion"/>
  </si>
  <si>
    <t xml:space="preserve"> MM김성자10C
MM김기연5C
MM최상근3CPM</t>
    <phoneticPr fontId="3" type="noConversion"/>
  </si>
  <si>
    <r>
      <t xml:space="preserve">MM한경애4C
MM김석군S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MM윤소희3T</t>
    </r>
    <phoneticPr fontId="3" type="noConversion"/>
  </si>
  <si>
    <r>
      <t xml:space="preserve">MM김명배3Tt
MM이병희3
</t>
    </r>
    <r>
      <rPr>
        <u/>
        <sz val="10"/>
        <rFont val="돋움"/>
        <family val="3"/>
        <charset val="129"/>
      </rPr>
      <t>MM이진봉S</t>
    </r>
    <r>
      <rPr>
        <sz val="10"/>
        <rFont val="돋움"/>
        <family val="3"/>
        <charset val="129"/>
      </rPr>
      <t xml:space="preserve">
MM김인순3Tt</t>
    </r>
    <phoneticPr fontId="3" type="noConversion"/>
  </si>
  <si>
    <t>MM정현숙4S
MM강용수C
MM권오운Tt</t>
    <phoneticPr fontId="3" type="noConversion"/>
  </si>
  <si>
    <r>
      <rPr>
        <b/>
        <sz val="10"/>
        <color rgb="FFFF0000"/>
        <rFont val="돋움"/>
        <family val="3"/>
        <charset val="129"/>
      </rPr>
      <t>MM임낙규C</t>
    </r>
    <r>
      <rPr>
        <sz val="10"/>
        <rFont val="돋움"/>
        <family val="3"/>
        <charset val="129"/>
      </rPr>
      <t xml:space="preserve">
MM홍선화C</t>
    </r>
    <phoneticPr fontId="3" type="noConversion"/>
  </si>
  <si>
    <t>MM이난주T
MM권영순6C
MM이병희3M
MM정태두Tt
MM유정순3C
MM서극원S</t>
    <phoneticPr fontId="3" type="noConversion"/>
  </si>
  <si>
    <t xml:space="preserve">
MM이팔원C
MM우영희2M</t>
    <phoneticPr fontId="3" type="noConversion"/>
  </si>
  <si>
    <r>
      <t xml:space="preserve">MM이난주C
MM홍선화C
</t>
    </r>
    <r>
      <rPr>
        <u/>
        <sz val="10"/>
        <rFont val="돋움"/>
        <family val="3"/>
        <charset val="129"/>
      </rPr>
      <t>MM이진봉T</t>
    </r>
    <r>
      <rPr>
        <sz val="10"/>
        <rFont val="돋움"/>
        <family val="3"/>
        <charset val="129"/>
      </rPr>
      <t xml:space="preserve">
MM김인순3Tt</t>
    </r>
    <phoneticPr fontId="3" type="noConversion"/>
  </si>
  <si>
    <r>
      <t xml:space="preserve">MM임낙규T
</t>
    </r>
    <r>
      <rPr>
        <sz val="10"/>
        <color rgb="FFFF0000"/>
        <rFont val="돋움"/>
        <family val="3"/>
        <charset val="129"/>
      </rPr>
      <t>MM김석군C</t>
    </r>
    <r>
      <rPr>
        <sz val="10"/>
        <rFont val="돋움"/>
        <family val="3"/>
        <charset val="129"/>
      </rPr>
      <t xml:space="preserve">
MM윤소희3S
</t>
    </r>
    <r>
      <rPr>
        <u/>
        <sz val="10"/>
        <rFont val="돋움"/>
        <family val="3"/>
        <charset val="129"/>
      </rPr>
      <t>MM이팔원C</t>
    </r>
    <r>
      <rPr>
        <sz val="10"/>
        <rFont val="돋움"/>
        <family val="3"/>
        <charset val="129"/>
      </rPr>
      <t xml:space="preserve">
MM정태두Tt
MM권오운Tt</t>
    </r>
    <phoneticPr fontId="3" type="noConversion"/>
  </si>
  <si>
    <r>
      <rPr>
        <u/>
        <sz val="10"/>
        <rFont val="돋움"/>
        <family val="3"/>
        <charset val="129"/>
      </rPr>
      <t>MM한경애4C</t>
    </r>
    <r>
      <rPr>
        <sz val="10"/>
        <rFont val="돋움"/>
        <family val="3"/>
        <charset val="129"/>
      </rPr>
      <t xml:space="preserve">
MM정태두Tt
</t>
    </r>
    <r>
      <rPr>
        <sz val="10"/>
        <color rgb="FFFF0000"/>
        <rFont val="돋움"/>
        <family val="3"/>
        <charset val="129"/>
      </rPr>
      <t>MM정경철C</t>
    </r>
    <r>
      <rPr>
        <sz val="10"/>
        <rFont val="돋움"/>
        <family val="3"/>
        <charset val="129"/>
      </rPr>
      <t xml:space="preserve">
MM우영희2Tt</t>
    </r>
    <phoneticPr fontId="3" type="noConversion"/>
  </si>
  <si>
    <r>
      <t xml:space="preserve">MM김기연5C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MM김명배3Tt
MM최상근3CPM
MM서극원C</t>
    </r>
    <phoneticPr fontId="3" type="noConversion"/>
  </si>
  <si>
    <t>MM정현숙4C
MM김성자10C
MM권영순6C
MM정경철
MM강용수T</t>
    <phoneticPr fontId="3" type="noConversion"/>
  </si>
  <si>
    <t>단축근무</t>
    <phoneticPr fontId="3" type="noConversion"/>
  </si>
  <si>
    <t>F김택중</t>
    <phoneticPr fontId="3" type="noConversion"/>
  </si>
  <si>
    <t>F배성범
F신기순2
F김종운3
F박은용</t>
    <phoneticPr fontId="3" type="noConversion"/>
  </si>
  <si>
    <t>F조정자
F김시철
F권용길</t>
    <phoneticPr fontId="3" type="noConversion"/>
  </si>
  <si>
    <t>F신기순2
F송옥경
F연현숙2</t>
    <phoneticPr fontId="3" type="noConversion"/>
  </si>
  <si>
    <t>F신연애
F유혜영4</t>
    <phoneticPr fontId="3" type="noConversion"/>
  </si>
  <si>
    <t>F지복례
F서승달</t>
    <phoneticPr fontId="3" type="noConversion"/>
  </si>
  <si>
    <t>F최지선3
F박성구</t>
    <phoneticPr fontId="3" type="noConversion"/>
  </si>
  <si>
    <t>임수민
(무급휴직)</t>
    <phoneticPr fontId="3" type="noConversion"/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</si>
  <si>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  <phoneticPr fontId="3" type="noConversion"/>
  </si>
  <si>
    <t>N</t>
    <phoneticPr fontId="3" type="noConversion"/>
  </si>
  <si>
    <t>N조정자</t>
    <phoneticPr fontId="3" type="noConversion"/>
  </si>
  <si>
    <t>N김진옥7</t>
    <phoneticPr fontId="3" type="noConversion"/>
  </si>
  <si>
    <t>N신연애</t>
    <phoneticPr fontId="3" type="noConversion"/>
  </si>
  <si>
    <t>N양병후
N권용길</t>
    <phoneticPr fontId="3" type="noConversion"/>
  </si>
  <si>
    <t>N임헌수2
N황종길</t>
    <phoneticPr fontId="3" type="noConversion"/>
  </si>
  <si>
    <r>
      <t xml:space="preserve">N최지선3
</t>
    </r>
    <r>
      <rPr>
        <u/>
        <sz val="10"/>
        <rFont val="돋움"/>
        <family val="3"/>
        <charset val="129"/>
      </rPr>
      <t>N유혜영4</t>
    </r>
    <phoneticPr fontId="3" type="noConversion"/>
  </si>
  <si>
    <t>CA</t>
    <phoneticPr fontId="3" type="noConversion"/>
  </si>
  <si>
    <t>D</t>
    <phoneticPr fontId="3" type="noConversion"/>
  </si>
  <si>
    <t>D유혜영4</t>
    <phoneticPr fontId="3" type="noConversion"/>
  </si>
  <si>
    <t>D김택중(B)
D박은용</t>
    <phoneticPr fontId="3" type="noConversion"/>
  </si>
  <si>
    <t>D박은용</t>
    <phoneticPr fontId="3" type="noConversion"/>
  </si>
  <si>
    <t>C</t>
    <phoneticPr fontId="3" type="noConversion"/>
  </si>
  <si>
    <t>C황종길</t>
    <phoneticPr fontId="3" type="noConversion"/>
  </si>
  <si>
    <t>C조정자</t>
    <phoneticPr fontId="3" type="noConversion"/>
  </si>
  <si>
    <t>C신연애</t>
    <phoneticPr fontId="3" type="noConversion"/>
  </si>
  <si>
    <t>C김진옥7</t>
    <phoneticPr fontId="3" type="noConversion"/>
  </si>
  <si>
    <t>C배성범
C권용길</t>
    <phoneticPr fontId="3" type="noConversion"/>
  </si>
  <si>
    <t>C연현숙2</t>
    <phoneticPr fontId="3" type="noConversion"/>
  </si>
  <si>
    <t xml:space="preserve">           시간    
치료사</t>
    <phoneticPr fontId="3" type="noConversion"/>
  </si>
  <si>
    <t>14:05~
14:35</t>
    <phoneticPr fontId="3" type="noConversion"/>
  </si>
  <si>
    <t>수중재활</t>
    <phoneticPr fontId="3" type="noConversion"/>
  </si>
  <si>
    <t>P배성범B</t>
    <phoneticPr fontId="3" type="noConversion"/>
  </si>
  <si>
    <t>P우학송D</t>
    <phoneticPr fontId="21" type="noConversion"/>
  </si>
  <si>
    <t xml:space="preserve"> </t>
    <phoneticPr fontId="3" type="noConversion"/>
  </si>
  <si>
    <t>RTMS &amp; HAND &amp; 호흡 &amp; 바이오피드백 시간표</t>
    <phoneticPr fontId="3" type="noConversion"/>
  </si>
  <si>
    <t>HAND</t>
    <phoneticPr fontId="3" type="noConversion"/>
  </si>
  <si>
    <t>김진옥7A</t>
    <phoneticPr fontId="3" type="noConversion"/>
  </si>
  <si>
    <t>호흡치료</t>
    <phoneticPr fontId="3" type="noConversion"/>
  </si>
  <si>
    <t>서재학</t>
    <phoneticPr fontId="3" type="noConversion"/>
  </si>
  <si>
    <t>바이오
피드백</t>
    <phoneticPr fontId="3" type="noConversion"/>
  </si>
  <si>
    <t>전산화인지치료 시간표</t>
    <phoneticPr fontId="3" type="noConversion"/>
  </si>
  <si>
    <t>베러코그(5)</t>
    <phoneticPr fontId="3" type="noConversion"/>
  </si>
  <si>
    <t>R-TMS &amp; WALKBOT &amp; MORNING WALK &amp; R-BOT 시간표</t>
    <phoneticPr fontId="3" type="noConversion"/>
  </si>
  <si>
    <t>모닝워크</t>
    <phoneticPr fontId="3" type="noConversion"/>
  </si>
  <si>
    <t>워크봇</t>
    <phoneticPr fontId="3" type="noConversion"/>
  </si>
  <si>
    <t>이팔원</t>
    <phoneticPr fontId="3" type="noConversion"/>
  </si>
  <si>
    <t>W권용길B</t>
    <phoneticPr fontId="3" type="noConversion"/>
  </si>
  <si>
    <t>W김택중A</t>
    <phoneticPr fontId="3" type="noConversion"/>
  </si>
  <si>
    <t>알봇</t>
    <phoneticPr fontId="3" type="noConversion"/>
  </si>
  <si>
    <t>*전혜옥</t>
    <phoneticPr fontId="3" type="noConversion"/>
  </si>
  <si>
    <t>*이문찬2</t>
    <phoneticPr fontId="3" type="noConversion"/>
  </si>
  <si>
    <t>김인순3님 : 재입원 RN2, RM4, MM4, RS2, RA4
김종운3님 : 재입원</t>
    <phoneticPr fontId="3" type="noConversion"/>
  </si>
  <si>
    <t>김진옥7님, 지복례님 도수치료 담당 변경
이난주님 RA2 → RM2 변경 (정상환T →임수민T)
권영순6님 6층 → 5층 스케줄 변경 (임수민T)
우영희2님 6층 → 5층 스케줄 변경 (서원빈T)
홍선화님 소아 → 5층 스케줄 변경 (장해민T)
김명배3님, 이진봉님, 서극원님 : 소아 → 5층 스케줄 변경(임수민T)
김재환2님 6층 → 5층 스케줄 변경</t>
    <phoneticPr fontId="3" type="noConversion"/>
  </si>
  <si>
    <t>김인순3님 RA 10:15 → 11:25 / 소아 손종원
임헌수2님 CA 15:15 ↔ M 15:50 / 김윤종
김석군님 RM 14:40 → 15:50 / 임지현T
지복례님 N 13:30 ↔ FES 09:05 / 서원빈T
김종운3님 N 10:50 → 08:30 / 김채린T
송갑헌님 N 12:00 → 09:40 / 장수빈T
박은용님 CA 13:30 → 15:15 / 소아 손솔T
전동순님 RA 08:30 → 09:40 /소아 김지우T 
김석군님 RS 11:25 → 14:40 /소아 최인영T 
홍선화님 RA 12:00 → 09:40 /소아 최인영T 
김명배3님 RD 10:15 → 09:05 / 소아 손솔T
황종길님 09:40 언어추가치료 (평가예정)
유태현T 대체 : 6층,소아
이경미T 대체 : 6층,소아
정상환T 대체 : 6층,소아</t>
    <phoneticPr fontId="21" type="noConversion"/>
  </si>
  <si>
    <t>N김명복</t>
    <phoneticPr fontId="3" type="noConversion"/>
  </si>
  <si>
    <t>C서승달
C김명복</t>
    <phoneticPr fontId="3" type="noConversion"/>
  </si>
  <si>
    <t>CA김명복</t>
    <phoneticPr fontId="3" type="noConversion"/>
  </si>
  <si>
    <t>전산화인지
김명복</t>
    <phoneticPr fontId="3" type="noConversion"/>
  </si>
  <si>
    <t>F신연애
F유혜영4
F김명복</t>
    <phoneticPr fontId="3" type="noConversion"/>
  </si>
  <si>
    <t>F최지선3
F박성구
F김명복</t>
    <phoneticPr fontId="3" type="noConversion"/>
  </si>
  <si>
    <t>M최지선3C
Tt김을언Tt
M신연애S
M김정규2
M연현숙2C
M김명복S</t>
    <phoneticPr fontId="3" type="noConversion"/>
  </si>
  <si>
    <t>M박성구S
M지복례C
M김시철T
M김명복C
C최종성2CPM</t>
    <phoneticPr fontId="3" type="noConversion"/>
  </si>
  <si>
    <t>RN유정순3</t>
    <phoneticPr fontId="3" type="noConversion"/>
  </si>
  <si>
    <t>N7유혜영4</t>
    <phoneticPr fontId="3" type="noConversion"/>
  </si>
  <si>
    <t>RM이진봉</t>
    <phoneticPr fontId="3" type="noConversion"/>
  </si>
  <si>
    <t>RM유정순</t>
    <phoneticPr fontId="3" type="noConversion"/>
  </si>
  <si>
    <t>RN정경철</t>
    <phoneticPr fontId="3" type="noConversion"/>
  </si>
  <si>
    <t>MM정현숙4C
MM김성자10C
MM권영순6C
MM유정순C
MM강용수T</t>
    <phoneticPr fontId="3" type="noConversion"/>
  </si>
  <si>
    <t>RG배영자</t>
    <phoneticPr fontId="3" type="noConversion"/>
  </si>
  <si>
    <t>RA배영자</t>
    <phoneticPr fontId="3" type="noConversion"/>
  </si>
  <si>
    <t>MM정현숙4S
MM김재환2C
MM배영자Tt
MM강용수C
MM권오운Tt</t>
    <phoneticPr fontId="3" type="noConversion"/>
  </si>
  <si>
    <t>F황종길
F김을언
F김진옥7
F김정규2</t>
    <phoneticPr fontId="3" type="noConversion"/>
  </si>
  <si>
    <t>MM한경애4C
MM정경철C
MM우영희2Tt</t>
    <phoneticPr fontId="3" type="noConversion"/>
  </si>
  <si>
    <t>재활센터 시간표     2023. 10. 31 (화)</t>
    <phoneticPr fontId="3" type="noConversion"/>
  </si>
  <si>
    <t>5층 재활센터 시간표     2025. 12. 02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</si>
  <si>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</si>
  <si>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</si>
  <si>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</si>
  <si>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</si>
  <si>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</si>
  <si>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</si>
  <si>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</si>
  <si>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</si>
  <si>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홍지민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</si>
  <si>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</si>
  <si>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</si>
  <si>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</si>
  <si>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RM이팔원</t>
    <phoneticPr fontId="3" type="noConversion"/>
  </si>
  <si>
    <t>N임헌수2</t>
    <phoneticPr fontId="3" type="noConversion"/>
  </si>
  <si>
    <t>RM김성자10</t>
    <phoneticPr fontId="3" type="noConversion"/>
  </si>
  <si>
    <t>N임종범</t>
    <phoneticPr fontId="3" type="noConversion"/>
  </si>
  <si>
    <t>N권용길</t>
    <phoneticPr fontId="13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</si>
  <si>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</si>
  <si>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</si>
  <si>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</si>
  <si>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* 신환</t>
    <phoneticPr fontId="3" type="noConversion"/>
  </si>
  <si>
    <t>N연현숙2</t>
    <phoneticPr fontId="3" type="noConversion"/>
  </si>
  <si>
    <t>N양병후</t>
    <phoneticPr fontId="3" type="noConversion"/>
  </si>
  <si>
    <t>N배성범</t>
    <phoneticPr fontId="3" type="noConversion"/>
  </si>
  <si>
    <t>RM이병희3</t>
    <phoneticPr fontId="3" type="noConversion"/>
  </si>
  <si>
    <t>RM이진봉</t>
    <phoneticPr fontId="3" type="noConversion"/>
  </si>
  <si>
    <t>N송갑헌</t>
    <phoneticPr fontId="3" type="noConversion"/>
  </si>
  <si>
    <t>RN이팔원</t>
    <phoneticPr fontId="3" type="noConversion"/>
  </si>
  <si>
    <t>RM김석군</t>
    <phoneticPr fontId="3" type="noConversion"/>
  </si>
  <si>
    <t>N김명복</t>
    <phoneticPr fontId="3" type="noConversion"/>
  </si>
  <si>
    <t>김채린</t>
    <phoneticPr fontId="3" type="noConversion"/>
  </si>
  <si>
    <t>N황종길</t>
    <phoneticPr fontId="3" type="noConversion"/>
  </si>
  <si>
    <t>N최지선3</t>
    <phoneticPr fontId="3" type="noConversion"/>
  </si>
  <si>
    <t>N박은용</t>
    <phoneticPr fontId="3" type="noConversion"/>
  </si>
  <si>
    <t>N조정자</t>
    <phoneticPr fontId="3" type="noConversion"/>
  </si>
  <si>
    <t>RG배영자</t>
    <phoneticPr fontId="3" type="noConversion"/>
  </si>
  <si>
    <t>N7박성구D</t>
    <phoneticPr fontId="3" type="noConversion"/>
  </si>
  <si>
    <t>RA정경철</t>
    <phoneticPr fontId="21" type="noConversion"/>
  </si>
  <si>
    <t>N구본창</t>
    <phoneticPr fontId="3" type="noConversion"/>
  </si>
  <si>
    <t>N유혜영4</t>
    <phoneticPr fontId="3" type="noConversion"/>
  </si>
  <si>
    <t>N김을언</t>
    <phoneticPr fontId="3" type="noConversion"/>
  </si>
  <si>
    <t>최예원</t>
    <phoneticPr fontId="3" type="noConversion"/>
  </si>
  <si>
    <t>RM김재환2</t>
    <phoneticPr fontId="3" type="noConversion"/>
  </si>
  <si>
    <t>RG최상근3</t>
    <phoneticPr fontId="3" type="noConversion"/>
  </si>
  <si>
    <t>RN윤소희3</t>
    <phoneticPr fontId="3" type="noConversion"/>
  </si>
  <si>
    <t>N김종운3</t>
    <phoneticPr fontId="3" type="noConversion"/>
  </si>
  <si>
    <t>RG최상근3</t>
    <phoneticPr fontId="3" type="noConversion"/>
  </si>
  <si>
    <t>RN강용수</t>
    <phoneticPr fontId="3" type="noConversion"/>
  </si>
  <si>
    <t>RN정경철</t>
    <phoneticPr fontId="3" type="noConversion"/>
  </si>
  <si>
    <t>N신연애</t>
    <phoneticPr fontId="3" type="noConversion"/>
  </si>
  <si>
    <t>RN홍선화</t>
    <phoneticPr fontId="3" type="noConversion"/>
  </si>
  <si>
    <t>RG정태두</t>
    <phoneticPr fontId="3" type="noConversion"/>
  </si>
  <si>
    <t>서원빈</t>
    <phoneticPr fontId="3" type="noConversion"/>
  </si>
  <si>
    <t>RN김석군</t>
    <phoneticPr fontId="3" type="noConversion"/>
  </si>
  <si>
    <t>RM유정순</t>
    <phoneticPr fontId="3" type="noConversion"/>
  </si>
  <si>
    <t>N지복례</t>
    <phoneticPr fontId="13" type="noConversion"/>
  </si>
  <si>
    <t>N서승달</t>
    <phoneticPr fontId="3" type="noConversion"/>
  </si>
  <si>
    <t>N우학송</t>
    <phoneticPr fontId="13" type="noConversion"/>
  </si>
  <si>
    <t>N신기순2</t>
    <phoneticPr fontId="3" type="noConversion"/>
  </si>
  <si>
    <t>RM김명배3</t>
    <phoneticPr fontId="3" type="noConversion"/>
  </si>
  <si>
    <t>RM임낙규</t>
    <phoneticPr fontId="3" type="noConversion"/>
  </si>
  <si>
    <t>RA김재환2</t>
    <phoneticPr fontId="21" type="noConversion"/>
  </si>
  <si>
    <t>RN이진봉</t>
    <phoneticPr fontId="3" type="noConversion"/>
  </si>
  <si>
    <t>* 변경사항</t>
    <phoneticPr fontId="3" type="noConversion"/>
  </si>
  <si>
    <t>박민경</t>
    <phoneticPr fontId="3" type="noConversion"/>
  </si>
  <si>
    <t>RM서극원</t>
    <phoneticPr fontId="3" type="noConversion"/>
  </si>
  <si>
    <t>RM김기연5</t>
    <phoneticPr fontId="3" type="noConversion"/>
  </si>
  <si>
    <t>RN권영순6</t>
    <phoneticPr fontId="3" type="noConversion"/>
  </si>
  <si>
    <t>N김시철</t>
    <phoneticPr fontId="3" type="noConversion"/>
  </si>
  <si>
    <t>RM한경애4</t>
    <phoneticPr fontId="3" type="noConversion"/>
  </si>
  <si>
    <t>RN임낙규</t>
    <phoneticPr fontId="3" type="noConversion"/>
  </si>
  <si>
    <t>RN유정순3</t>
    <phoneticPr fontId="3" type="noConversion"/>
  </si>
  <si>
    <t>RM강용수</t>
    <phoneticPr fontId="3" type="noConversion"/>
  </si>
  <si>
    <t>임수민</t>
    <phoneticPr fontId="3" type="noConversion"/>
  </si>
  <si>
    <t>RM윤소희3</t>
    <phoneticPr fontId="21" type="noConversion"/>
  </si>
  <si>
    <t>N지복례</t>
  </si>
  <si>
    <t>RN김재환2</t>
    <phoneticPr fontId="3" type="noConversion"/>
  </si>
  <si>
    <t>RM전동순</t>
    <phoneticPr fontId="3" type="noConversion"/>
  </si>
  <si>
    <t>N7유혜영4</t>
    <phoneticPr fontId="3" type="noConversion"/>
  </si>
  <si>
    <t>N7지복례D</t>
    <phoneticPr fontId="3" type="noConversion"/>
  </si>
  <si>
    <t>N송갑헌</t>
    <phoneticPr fontId="13" type="noConversion"/>
  </si>
  <si>
    <t>유태현
(연차)</t>
    <phoneticPr fontId="3" type="noConversion"/>
  </si>
  <si>
    <t>RA우영희2
RM김기연5</t>
    <phoneticPr fontId="21" type="noConversion"/>
  </si>
  <si>
    <t>RM이병희3</t>
    <phoneticPr fontId="21" type="noConversion"/>
  </si>
  <si>
    <t>강지영</t>
    <phoneticPr fontId="3" type="noConversion"/>
  </si>
  <si>
    <t>N김시철</t>
    <phoneticPr fontId="3" type="noConversion"/>
  </si>
  <si>
    <t>RN권오운</t>
    <phoneticPr fontId="3" type="noConversion"/>
  </si>
  <si>
    <t>N송옥경</t>
    <phoneticPr fontId="3" type="noConversion"/>
  </si>
  <si>
    <t>RA서극원</t>
    <phoneticPr fontId="21" type="noConversion"/>
  </si>
  <si>
    <t>RN김성자10</t>
    <phoneticPr fontId="3" type="noConversion"/>
  </si>
  <si>
    <t>RN한경애4</t>
    <phoneticPr fontId="3" type="noConversion"/>
  </si>
  <si>
    <t>RM권영순6</t>
    <phoneticPr fontId="3" type="noConversion"/>
  </si>
  <si>
    <t>장수빈</t>
    <phoneticPr fontId="3" type="noConversion"/>
  </si>
  <si>
    <t>RM한경애4</t>
    <phoneticPr fontId="3" type="noConversion"/>
  </si>
  <si>
    <t>RN이난주</t>
    <phoneticPr fontId="13" type="noConversion"/>
  </si>
  <si>
    <t>N황춘자</t>
    <phoneticPr fontId="21" type="noConversion"/>
  </si>
  <si>
    <t>N우학송</t>
    <phoneticPr fontId="3" type="noConversion"/>
  </si>
  <si>
    <t>N김진옥7</t>
    <phoneticPr fontId="3" type="noConversion"/>
  </si>
  <si>
    <t>RN김기연5</t>
    <phoneticPr fontId="3" type="noConversion"/>
  </si>
  <si>
    <t>RG정태두</t>
    <phoneticPr fontId="3" type="noConversion"/>
  </si>
  <si>
    <t>장해민</t>
    <phoneticPr fontId="3" type="noConversion"/>
  </si>
  <si>
    <t>CA지복례</t>
    <phoneticPr fontId="13" type="noConversion"/>
  </si>
  <si>
    <t>RA최상근3</t>
    <phoneticPr fontId="3" type="noConversion"/>
  </si>
  <si>
    <t>H7임낙규D</t>
    <phoneticPr fontId="3" type="noConversion"/>
  </si>
  <si>
    <t>RA배영자</t>
    <phoneticPr fontId="3" type="noConversion"/>
  </si>
  <si>
    <t>C김을언</t>
    <phoneticPr fontId="3" type="noConversion"/>
  </si>
  <si>
    <t>RD이병희3</t>
    <phoneticPr fontId="3" type="noConversion"/>
  </si>
  <si>
    <t>RA권오운</t>
    <phoneticPr fontId="3" type="noConversion"/>
  </si>
  <si>
    <t>CA임종범</t>
    <phoneticPr fontId="3" type="noConversion"/>
  </si>
  <si>
    <t>CA유혜영4</t>
    <phoneticPr fontId="3" type="noConversion"/>
  </si>
  <si>
    <t>RA정태두</t>
    <phoneticPr fontId="3" type="noConversion"/>
  </si>
  <si>
    <t>RA서극원</t>
    <phoneticPr fontId="3" type="noConversion"/>
  </si>
  <si>
    <t>장효원</t>
    <phoneticPr fontId="3" type="noConversion"/>
  </si>
  <si>
    <t>RA권오운</t>
    <phoneticPr fontId="3" type="noConversion"/>
  </si>
  <si>
    <t>RA임낙규</t>
    <phoneticPr fontId="3" type="noConversion"/>
  </si>
  <si>
    <t>RS이팔원</t>
    <phoneticPr fontId="3" type="noConversion"/>
  </si>
  <si>
    <t>O7구본창D</t>
    <phoneticPr fontId="3" type="noConversion"/>
  </si>
  <si>
    <t>CA송옥경</t>
    <phoneticPr fontId="3" type="noConversion"/>
  </si>
  <si>
    <t>CA송갑헌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</si>
  <si>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</si>
  <si>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</si>
  <si>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</si>
  <si>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</si>
  <si>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RS한경애4</t>
    <phoneticPr fontId="3" type="noConversion"/>
  </si>
  <si>
    <t>RA이난주</t>
    <phoneticPr fontId="3" type="noConversion"/>
  </si>
  <si>
    <t>이경미
(공가)</t>
    <phoneticPr fontId="3" type="noConversion"/>
  </si>
  <si>
    <t>RA서극원
RD이진봉</t>
    <phoneticPr fontId="3" type="noConversion"/>
  </si>
  <si>
    <t>RS강용수</t>
    <phoneticPr fontId="3" type="noConversion"/>
  </si>
  <si>
    <t>RA한경애4</t>
    <phoneticPr fontId="3" type="noConversion"/>
  </si>
  <si>
    <t>RA정경철</t>
    <phoneticPr fontId="3" type="noConversion"/>
  </si>
  <si>
    <t>장세희</t>
    <phoneticPr fontId="3" type="noConversion"/>
  </si>
  <si>
    <t>CA박성구</t>
    <phoneticPr fontId="3" type="noConversion"/>
  </si>
  <si>
    <t>RD김재환2</t>
    <phoneticPr fontId="3" type="noConversion"/>
  </si>
  <si>
    <t>RA강용수</t>
    <phoneticPr fontId="3" type="noConversion"/>
  </si>
  <si>
    <t>D김종운3V</t>
    <phoneticPr fontId="3" type="noConversion"/>
  </si>
  <si>
    <t>RA이팔원</t>
    <phoneticPr fontId="3" type="noConversion"/>
  </si>
  <si>
    <t>RS정경철</t>
    <phoneticPr fontId="3" type="noConversion"/>
  </si>
  <si>
    <t>RA윤소희3</t>
    <phoneticPr fontId="3" type="noConversion"/>
  </si>
  <si>
    <t>RA유정순3</t>
    <phoneticPr fontId="3" type="noConversion"/>
  </si>
  <si>
    <t>CA김을언</t>
    <phoneticPr fontId="3" type="noConversion"/>
  </si>
  <si>
    <t>RS권오운</t>
    <phoneticPr fontId="3" type="noConversion"/>
  </si>
  <si>
    <t>RA김명배3</t>
    <phoneticPr fontId="3" type="noConversion"/>
  </si>
  <si>
    <t>이은지4</t>
    <phoneticPr fontId="3" type="noConversion"/>
  </si>
  <si>
    <t>RS홍선화</t>
    <phoneticPr fontId="3" type="noConversion"/>
  </si>
  <si>
    <t>RD김기연5</t>
    <phoneticPr fontId="3" type="noConversion"/>
  </si>
  <si>
    <t>RA한경애4</t>
    <phoneticPr fontId="3" type="noConversion"/>
  </si>
  <si>
    <t>RA정태두</t>
    <phoneticPr fontId="3" type="noConversion"/>
  </si>
  <si>
    <t>RS권영순6</t>
    <phoneticPr fontId="3" type="noConversion"/>
  </si>
  <si>
    <t>RA홍선화</t>
    <phoneticPr fontId="3" type="noConversion"/>
  </si>
  <si>
    <t>RD전동순</t>
    <phoneticPr fontId="3" type="noConversion"/>
  </si>
  <si>
    <t>RA김기연5</t>
    <phoneticPr fontId="3" type="noConversion"/>
  </si>
  <si>
    <t>D김시철V</t>
    <phoneticPr fontId="21" type="noConversion"/>
  </si>
  <si>
    <t>C임종범
C송갑헌</t>
    <phoneticPr fontId="3" type="noConversion"/>
  </si>
  <si>
    <t>김희수</t>
    <phoneticPr fontId="3" type="noConversion"/>
  </si>
  <si>
    <t>RS임낙규</t>
    <phoneticPr fontId="3" type="noConversion"/>
  </si>
  <si>
    <t>CA임헌수2</t>
    <phoneticPr fontId="21" type="noConversion"/>
  </si>
  <si>
    <t>CA신연애</t>
    <phoneticPr fontId="3" type="noConversion"/>
  </si>
  <si>
    <t>C서승달
C김명복</t>
    <phoneticPr fontId="3" type="noConversion"/>
  </si>
  <si>
    <t>CA서승달</t>
    <phoneticPr fontId="3" type="noConversion"/>
  </si>
  <si>
    <t>전산화인지
김명복</t>
    <phoneticPr fontId="3" type="noConversion"/>
  </si>
  <si>
    <t>RA전동순</t>
    <phoneticPr fontId="3" type="noConversion"/>
  </si>
  <si>
    <t>C송옥경
C지복례</t>
    <phoneticPr fontId="3" type="noConversion"/>
  </si>
  <si>
    <t>CA김택중</t>
    <phoneticPr fontId="3" type="noConversion"/>
  </si>
  <si>
    <t>정상환
(연차)</t>
    <phoneticPr fontId="3" type="noConversion"/>
  </si>
  <si>
    <t>RD윤소희3</t>
    <phoneticPr fontId="21" type="noConversion"/>
  </si>
  <si>
    <t>RS김석군</t>
    <phoneticPr fontId="3" type="noConversion"/>
  </si>
  <si>
    <t>RA홍선화
RD김명배3</t>
    <phoneticPr fontId="3" type="noConversion"/>
  </si>
  <si>
    <t>RD김재환2
RA전동순</t>
    <phoneticPr fontId="3" type="noConversion"/>
  </si>
  <si>
    <t>* 퇴원 및 HOLD</t>
    <phoneticPr fontId="21" type="noConversion"/>
  </si>
  <si>
    <t>김영빈</t>
    <phoneticPr fontId="3" type="noConversion"/>
  </si>
  <si>
    <t>D유혜영4</t>
    <phoneticPr fontId="3" type="noConversion"/>
  </si>
  <si>
    <t>RS이난주</t>
    <phoneticPr fontId="3" type="noConversion"/>
  </si>
  <si>
    <t>CA김명복</t>
    <phoneticPr fontId="3" type="noConversion"/>
  </si>
  <si>
    <t>CA우학송</t>
    <phoneticPr fontId="3" type="noConversion"/>
  </si>
  <si>
    <t>CA권용길</t>
    <phoneticPr fontId="3" type="noConversion"/>
  </si>
  <si>
    <t>C우학송
C신기순2</t>
    <phoneticPr fontId="3" type="noConversion"/>
  </si>
  <si>
    <t>CA양병후</t>
    <phoneticPr fontId="3" type="noConversion"/>
  </si>
  <si>
    <t>RA최상근3</t>
    <phoneticPr fontId="3" type="noConversion"/>
  </si>
  <si>
    <t>김정규님 : N,C,M.F
정현숙4님 : ALL HOLD
김인순3님 : ALL HOLD</t>
    <phoneticPr fontId="3" type="noConversion"/>
  </si>
  <si>
    <t>최예은</t>
    <phoneticPr fontId="3" type="noConversion"/>
  </si>
  <si>
    <t>C김시철</t>
    <phoneticPr fontId="3" type="noConversion"/>
  </si>
  <si>
    <t>CA황종길</t>
    <phoneticPr fontId="3" type="noConversion"/>
  </si>
  <si>
    <t>CA김시철</t>
    <phoneticPr fontId="3" type="noConversion"/>
  </si>
  <si>
    <t>RA이진봉</t>
    <phoneticPr fontId="3" type="noConversion"/>
  </si>
  <si>
    <t>RA윤소희3</t>
    <phoneticPr fontId="21" type="noConversion"/>
  </si>
  <si>
    <t>H김을언</t>
    <phoneticPr fontId="3" type="noConversion"/>
  </si>
  <si>
    <t>RS서극원</t>
    <phoneticPr fontId="3" type="noConversion"/>
  </si>
  <si>
    <t>CA박은용</t>
    <phoneticPr fontId="21" type="noConversion"/>
  </si>
  <si>
    <t>계장</t>
    <phoneticPr fontId="3" type="noConversion"/>
  </si>
  <si>
    <t>강인화</t>
    <phoneticPr fontId="3" type="noConversion"/>
  </si>
  <si>
    <t>CA김진옥7</t>
    <phoneticPr fontId="21" type="noConversion"/>
  </si>
  <si>
    <t>RA김석군</t>
    <phoneticPr fontId="3" type="noConversion"/>
  </si>
  <si>
    <t>CA배성범</t>
    <phoneticPr fontId="3" type="noConversion"/>
  </si>
  <si>
    <t>CA조정자</t>
    <phoneticPr fontId="3" type="noConversion"/>
  </si>
  <si>
    <t>김윤종</t>
    <phoneticPr fontId="3" type="noConversion"/>
  </si>
  <si>
    <t>H7김진옥7A</t>
    <phoneticPr fontId="3" type="noConversion"/>
  </si>
  <si>
    <t>RA김성자10</t>
    <phoneticPr fontId="3" type="noConversion"/>
  </si>
  <si>
    <t>RA유정순3</t>
    <phoneticPr fontId="3" type="noConversion"/>
  </si>
  <si>
    <t>CA연현숙2</t>
    <phoneticPr fontId="3" type="noConversion"/>
  </si>
  <si>
    <t>RD전동순</t>
    <phoneticPr fontId="3" type="noConversion"/>
  </si>
  <si>
    <t>MM배영자Tt</t>
    <phoneticPr fontId="3" type="noConversion"/>
  </si>
  <si>
    <t>RA김재환2</t>
    <phoneticPr fontId="3" type="noConversion"/>
  </si>
  <si>
    <t>* 당일시간변경</t>
    <phoneticPr fontId="3" type="noConversion"/>
  </si>
  <si>
    <t>박수진</t>
    <phoneticPr fontId="3" type="noConversion"/>
  </si>
  <si>
    <t>M김을언C
C이문찬2CPM</t>
    <phoneticPr fontId="3" type="noConversion"/>
  </si>
  <si>
    <t>M김을언S
M송옥경C
M연현숙2C
M김종운3Tt</t>
    <phoneticPr fontId="3" type="noConversion"/>
  </si>
  <si>
    <t>M박성구S
M지복례C
M김시철T
M김명복C
C최종성2CPM</t>
    <phoneticPr fontId="3" type="noConversion"/>
  </si>
  <si>
    <t>M최지선3T
M양병후C
M황종길C
M신기순2S</t>
    <phoneticPr fontId="3" type="noConversion"/>
  </si>
  <si>
    <t>M김진옥7C
M구본창C
M김택중C
M권용길S
M박은용C
M지복례T</t>
    <phoneticPr fontId="3" type="noConversion"/>
  </si>
  <si>
    <t>M배성범S
M신연애C
M조정자C
M임종범C</t>
    <phoneticPr fontId="3" type="noConversion"/>
  </si>
  <si>
    <t>M우학송S</t>
    <phoneticPr fontId="3" type="noConversion"/>
  </si>
  <si>
    <r>
      <t xml:space="preserve">M김진옥7S
M박은용C
M양병후C
</t>
    </r>
    <r>
      <rPr>
        <sz val="10"/>
        <color theme="0" tint="-0.249977111117893"/>
        <rFont val="돋움"/>
        <family val="3"/>
        <charset val="129"/>
      </rPr>
      <t>M서재학C</t>
    </r>
    <r>
      <rPr>
        <sz val="10"/>
        <rFont val="돋움"/>
        <family val="3"/>
        <charset val="129"/>
      </rPr>
      <t xml:space="preserve">
M황종길C</t>
    </r>
    <phoneticPr fontId="3" type="noConversion"/>
  </si>
  <si>
    <t>M조정자C
M김시철C
M신기순2S
M박성구C</t>
    <phoneticPr fontId="3" type="noConversion"/>
  </si>
  <si>
    <t>M송옥경C
M임종범C
M권용길C
M김택중S
M배성범T</t>
    <phoneticPr fontId="3" type="noConversion"/>
  </si>
  <si>
    <t>M최지선3C
Tt김을언Tt
M신연애S
M김정규2
M연현숙2C
M김명복S
M임헌수2M</t>
    <phoneticPr fontId="3" type="noConversion"/>
  </si>
  <si>
    <t>M우학송C
M임헌수2S</t>
    <phoneticPr fontId="3" type="noConversion"/>
  </si>
  <si>
    <t xml:space="preserve"> MM김성자10C
MM김기연5C
MM최상근3CPM</t>
    <phoneticPr fontId="3" type="noConversion"/>
  </si>
  <si>
    <r>
      <rPr>
        <u/>
        <sz val="10"/>
        <rFont val="돋움"/>
        <family val="3"/>
        <charset val="129"/>
      </rPr>
      <t>MM한경애4C</t>
    </r>
    <r>
      <rPr>
        <sz val="10"/>
        <rFont val="돋움"/>
        <family val="3"/>
        <charset val="129"/>
      </rPr>
      <t xml:space="preserve">
MM김석군S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MM정경철C
MM윤소희3T</t>
    </r>
    <phoneticPr fontId="3" type="noConversion"/>
  </si>
  <si>
    <t>MM김명배3Tt
MM이병희3
MM이진봉S</t>
    <phoneticPr fontId="3" type="noConversion"/>
  </si>
  <si>
    <t>MM김재환2C
MM배영자Tt
MM강용수C
MM권오운Tt</t>
    <phoneticPr fontId="3" type="noConversion"/>
  </si>
  <si>
    <t>MM임낙규C
MM홍선화C</t>
    <phoneticPr fontId="3" type="noConversion"/>
  </si>
  <si>
    <t>MM이난주T
MM권영순6C
MM이병희3M
MM정태두Tt
MM유정순3C
MM서극원S</t>
    <phoneticPr fontId="3" type="noConversion"/>
  </si>
  <si>
    <r>
      <t xml:space="preserve">
MM이팔원C
</t>
    </r>
    <r>
      <rPr>
        <sz val="10"/>
        <color rgb="FFFF0000"/>
        <rFont val="돋움"/>
        <family val="3"/>
        <charset val="129"/>
      </rPr>
      <t>MM우영희2M(소)</t>
    </r>
    <phoneticPr fontId="3" type="noConversion"/>
  </si>
  <si>
    <r>
      <t xml:space="preserve">MM이난주C
MM홍선화C
MM김재환2S
</t>
    </r>
    <r>
      <rPr>
        <u/>
        <sz val="10"/>
        <rFont val="돋움"/>
        <family val="3"/>
        <charset val="129"/>
      </rPr>
      <t>MM이진봉T</t>
    </r>
    <phoneticPr fontId="3" type="noConversion"/>
  </si>
  <si>
    <r>
      <t xml:space="preserve">MM임낙규T
MM김석군C
MM윤소희3S
</t>
    </r>
    <r>
      <rPr>
        <u/>
        <sz val="10"/>
        <rFont val="돋움"/>
        <family val="3"/>
        <charset val="129"/>
      </rPr>
      <t>MM이팔원C</t>
    </r>
    <r>
      <rPr>
        <sz val="10"/>
        <rFont val="돋움"/>
        <family val="3"/>
        <charset val="129"/>
      </rPr>
      <t xml:space="preserve">
MM정태두Tt
</t>
    </r>
    <r>
      <rPr>
        <sz val="10"/>
        <color rgb="FFFF0000"/>
        <rFont val="돋움"/>
        <family val="3"/>
        <charset val="129"/>
      </rPr>
      <t>MM배영자Tt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MM권오운Tt(소)</t>
    </r>
    <phoneticPr fontId="3" type="noConversion"/>
  </si>
  <si>
    <r>
      <t xml:space="preserve">MM한경애4C
</t>
    </r>
    <r>
      <rPr>
        <sz val="10"/>
        <color rgb="FFFF0000"/>
        <rFont val="돋움"/>
        <family val="3"/>
        <charset val="129"/>
      </rPr>
      <t>MM정경철C</t>
    </r>
    <r>
      <rPr>
        <sz val="10"/>
        <rFont val="돋움"/>
        <family val="3"/>
        <charset val="129"/>
      </rPr>
      <t xml:space="preserve">
MM우영희2Tt</t>
    </r>
    <phoneticPr fontId="3" type="noConversion"/>
  </si>
  <si>
    <r>
      <t xml:space="preserve">MM김기연5C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MM김명배3Tt
MM최상근3CPM
MM서극원C</t>
    </r>
    <phoneticPr fontId="3" type="noConversion"/>
  </si>
  <si>
    <t>MM김성자10C
MM권영순6C
MM유정순C
MM강용수T</t>
    <phoneticPr fontId="3" type="noConversion"/>
  </si>
  <si>
    <t>이나예</t>
    <phoneticPr fontId="3" type="noConversion"/>
  </si>
  <si>
    <t>단축근무</t>
    <phoneticPr fontId="3" type="noConversion"/>
  </si>
  <si>
    <t>F김택중</t>
    <phoneticPr fontId="3" type="noConversion"/>
  </si>
  <si>
    <t>F배성범
F신기순2
F김종운3
F박은용</t>
    <phoneticPr fontId="3" type="noConversion"/>
  </si>
  <si>
    <t>F조정자
F김시철
F권용길</t>
    <phoneticPr fontId="3" type="noConversion"/>
  </si>
  <si>
    <t>F임헌수2
F양병후
F우학송
F임종범</t>
    <phoneticPr fontId="3" type="noConversion"/>
  </si>
  <si>
    <t>F신기순2
F송옥경
F연현숙2</t>
    <phoneticPr fontId="3" type="noConversion"/>
  </si>
  <si>
    <t>F신연애
F유혜영4
F김명복</t>
    <phoneticPr fontId="3" type="noConversion"/>
  </si>
  <si>
    <t>F지복례
F서승달</t>
    <phoneticPr fontId="3" type="noConversion"/>
  </si>
  <si>
    <t>F황종길
F김을언
F김진옥7
F김정규2</t>
    <phoneticPr fontId="3" type="noConversion"/>
  </si>
  <si>
    <t>F최지선3
F박성구
F김명복</t>
    <phoneticPr fontId="3" type="noConversion"/>
  </si>
  <si>
    <t>임수민
(무급휴직)</t>
    <phoneticPr fontId="3" type="noConversion"/>
  </si>
  <si>
    <t>추가</t>
    <phoneticPr fontId="3" type="noConversion"/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</si>
  <si>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  <phoneticPr fontId="3" type="noConversion"/>
  </si>
  <si>
    <t>N</t>
    <phoneticPr fontId="3" type="noConversion"/>
  </si>
  <si>
    <t>N조정자</t>
    <phoneticPr fontId="3" type="noConversion"/>
  </si>
  <si>
    <t>N신연애</t>
    <phoneticPr fontId="3" type="noConversion"/>
  </si>
  <si>
    <t>N양병후
N권용길</t>
    <phoneticPr fontId="3" type="noConversion"/>
  </si>
  <si>
    <t>N임헌수2
N황종길</t>
    <phoneticPr fontId="3" type="noConversion"/>
  </si>
  <si>
    <r>
      <t xml:space="preserve">N최지선3
</t>
    </r>
    <r>
      <rPr>
        <u/>
        <sz val="10"/>
        <rFont val="돋움"/>
        <family val="3"/>
        <charset val="129"/>
      </rPr>
      <t>N유혜영4</t>
    </r>
    <phoneticPr fontId="3" type="noConversion"/>
  </si>
  <si>
    <t>CA</t>
    <phoneticPr fontId="3" type="noConversion"/>
  </si>
  <si>
    <t>D</t>
    <phoneticPr fontId="3" type="noConversion"/>
  </si>
  <si>
    <t>D김택중(B)
D박은용</t>
    <phoneticPr fontId="3" type="noConversion"/>
  </si>
  <si>
    <t>D박은용</t>
    <phoneticPr fontId="13" type="noConversion"/>
  </si>
  <si>
    <t>C</t>
    <phoneticPr fontId="3" type="noConversion"/>
  </si>
  <si>
    <t>C임헌수2</t>
    <phoneticPr fontId="3" type="noConversion"/>
  </si>
  <si>
    <t>C황종길</t>
    <phoneticPr fontId="3" type="noConversion"/>
  </si>
  <si>
    <t>C조정자</t>
    <phoneticPr fontId="3" type="noConversion"/>
  </si>
  <si>
    <t>C신연애</t>
    <phoneticPr fontId="3" type="noConversion"/>
  </si>
  <si>
    <t>C김진옥7</t>
    <phoneticPr fontId="3" type="noConversion"/>
  </si>
  <si>
    <t>C배성범
C권용길</t>
    <phoneticPr fontId="3" type="noConversion"/>
  </si>
  <si>
    <t>C연현숙2</t>
    <phoneticPr fontId="3" type="noConversion"/>
  </si>
  <si>
    <t xml:space="preserve">           시간    
치료사</t>
    <phoneticPr fontId="3" type="noConversion"/>
  </si>
  <si>
    <t>14:05~
14:35</t>
    <phoneticPr fontId="3" type="noConversion"/>
  </si>
  <si>
    <t>15:50~
16:20</t>
    <phoneticPr fontId="3" type="noConversion"/>
  </si>
  <si>
    <t>수중재활</t>
    <phoneticPr fontId="3" type="noConversion"/>
  </si>
  <si>
    <t>P배성범B</t>
    <phoneticPr fontId="3" type="noConversion"/>
  </si>
  <si>
    <t>P우학송D</t>
    <phoneticPr fontId="21" type="noConversion"/>
  </si>
  <si>
    <t xml:space="preserve"> </t>
    <phoneticPr fontId="3" type="noConversion"/>
  </si>
  <si>
    <t>RTMS &amp; HAND &amp; 호흡 &amp; 바이오피드백 시간표</t>
    <phoneticPr fontId="3" type="noConversion"/>
  </si>
  <si>
    <t>HAND</t>
    <phoneticPr fontId="3" type="noConversion"/>
  </si>
  <si>
    <t>김진옥7A</t>
    <phoneticPr fontId="3" type="noConversion"/>
  </si>
  <si>
    <t>임낙규D</t>
    <phoneticPr fontId="3" type="noConversion"/>
  </si>
  <si>
    <t>H7윤소희A</t>
    <phoneticPr fontId="21" type="noConversion"/>
  </si>
  <si>
    <t>호흡치료</t>
    <phoneticPr fontId="3" type="noConversion"/>
  </si>
  <si>
    <t>서재학</t>
    <phoneticPr fontId="3" type="noConversion"/>
  </si>
  <si>
    <t>바이오
피드백</t>
    <phoneticPr fontId="3" type="noConversion"/>
  </si>
  <si>
    <t>전산화인지치료 시간표</t>
    <phoneticPr fontId="3" type="noConversion"/>
  </si>
  <si>
    <t>베러코그(5)</t>
    <phoneticPr fontId="3" type="noConversion"/>
  </si>
  <si>
    <t>R-TMS &amp; WALKBOT &amp; MORNING WALK &amp; R-BOT 시간표</t>
    <phoneticPr fontId="3" type="noConversion"/>
  </si>
  <si>
    <t>모닝워크</t>
    <phoneticPr fontId="3" type="noConversion"/>
  </si>
  <si>
    <t>W한경애4A</t>
    <phoneticPr fontId="3" type="noConversion"/>
  </si>
  <si>
    <t>워크봇</t>
    <phoneticPr fontId="3" type="noConversion"/>
  </si>
  <si>
    <t>이팔원</t>
    <phoneticPr fontId="3" type="noConversion"/>
  </si>
  <si>
    <t>W권용길B</t>
    <phoneticPr fontId="3" type="noConversion"/>
  </si>
  <si>
    <t>W전동순B</t>
    <phoneticPr fontId="21" type="noConversion"/>
  </si>
  <si>
    <t>W김택중A</t>
    <phoneticPr fontId="3" type="noConversion"/>
  </si>
  <si>
    <t>알봇</t>
    <phoneticPr fontId="3" type="noConversion"/>
  </si>
  <si>
    <t>W권오운D</t>
    <phoneticPr fontId="3" type="noConversion"/>
  </si>
  <si>
    <t>*전혜옥</t>
    <phoneticPr fontId="3" type="noConversion"/>
  </si>
  <si>
    <t>*이문찬2</t>
    <phoneticPr fontId="3" type="noConversion"/>
  </si>
  <si>
    <t>ESWT5한경애4(목)</t>
    <phoneticPr fontId="3" type="noConversion"/>
  </si>
  <si>
    <t>서극원님 RA 08:30 → 10:15 / 강지영T
김진옥7님 CA 12:00 → 09:05 / 강인화T
김시철님 DV 13:30 → 14:40 / 이은지4T
임헌수2님 CA 15:15 ↔ M 10:15 / 김희수T
지복례님 N 13:30 ↔ FES 09:05 / 임수민T
박은용님 CA 13:30 ↔ M 14:05 / 최예은T
우영희2님 RA 09:05 → 10:50
김기연5님 RM 10:15 → 10:50
이진봉님 RD 09:05 → 10:50
김명배3님 RD 10:15 → 12:00
전동순님 RA 08:30 → 14:40
유태현T, 이경미T, 정상환T 대체 : 소아</t>
    <phoneticPr fontId="21" type="noConversion"/>
  </si>
  <si>
    <t xml:space="preserve">전동순님 : W 삭제, 스케줄 다시
유정순님 : 시간변경
우영희2님, 이진봉님, 유혜영4님(N7) 치료사 변경 스케줄 다시
정경철ㅇ님 : RN2 RA2 변경, W시간 변경,
</t>
    <phoneticPr fontId="3" type="noConversion"/>
  </si>
  <si>
    <t>전동순님 : W 삭제, 스케줄 다시
유정순님 : 시간변경
우영희2님, 이진봉님, 유혜영4님(N7) 치료사 변경 스케줄 다시
정경철님 : RN2 RA2 변경, W시간 변경,</t>
    <phoneticPr fontId="3" type="noConversion"/>
  </si>
  <si>
    <t>김명복님 : RG4, RA4, MM4, TH4
배영자님 : N2, M2, F2, C2,A 전산화</t>
    <phoneticPr fontId="3" type="noConversion"/>
  </si>
  <si>
    <t>김명복님 : N2, M2, F2, C2,A 전산화
배영자님 : RG4, RA4, MM4, TH4</t>
    <phoneticPr fontId="3" type="noConversion"/>
  </si>
  <si>
    <t>RA권오운</t>
    <phoneticPr fontId="21" type="noConversion"/>
  </si>
  <si>
    <t>12.2 (화) 스케줄 변경사항</t>
    <phoneticPr fontId="3" type="noConversion"/>
  </si>
  <si>
    <t>12.2 (화)  HOLD</t>
    <phoneticPr fontId="3" type="noConversion"/>
  </si>
  <si>
    <t>유태현T, 이경미T, 정상환T 대체 : 소아
9:40 권오운님 소아 최인영T
      윤소희님 소아 문희연T
10:50 우영희2님 소아 김지우T
        김기연5님 소아 손솔T
        서극원님 소아 이한비T
        이진봉님 소아 최인영T
11:25 강용수님 소아 정유빈T
        김석군님 소아 김석군T
12:00 홍선화님 소아 이한비T
        김명배3님 소아 김지우T
14:05 이병희3님 소아 이한비T
        한경애4님 소아 김지우T
14:40 배영자님 소아 최인영T
       김재환2님 소아 손솔T
       전동순님 소아 문희연T
15:15 이팔원님 소아 설지은T
15:50 최상근3님 소아 설지은T
          정경철님  소아 최인영T</t>
    <phoneticPr fontId="3" type="noConversion"/>
  </si>
  <si>
    <r>
      <rPr>
        <b/>
        <sz val="11"/>
        <rFont val="맑은 고딕"/>
        <family val="3"/>
        <charset val="129"/>
        <scheme val="minor"/>
      </rPr>
      <t>서극원님 RA 08:30 → 10:15 / 강지영T
김진옥7님 CA 12:00 → 09:05 / 강인화T
김시철님 DV 13:30 → 14:40 / 이은지4T
임헌수2님 CA 15:15 ↔ M 10:15 / 김희수T
지복례님 N 13:30 ↔ FES 09:05 / 임수민T
박은용님 CA 13:30 ↔ M 14:05 / 최예은T</t>
    </r>
    <r>
      <rPr>
        <sz val="11"/>
        <rFont val="맑은 고딕"/>
        <family val="3"/>
        <charset val="129"/>
        <scheme val="minor"/>
      </rPr>
      <t xml:space="preserve">
우영희2님 RA 09:05 → 10:50  / 소아 김지우T
김기연5님 RM 10:15 → 10:50 / 소아 손솔T
이진봉님 RD 09:05 → 10:50 / 소아 최인영T
김명배3님 RD 10:15 → 12:00 / 소아 김지우T
전동순님 RA 08:30 → 14:40 / 소아 문희연T
</t>
    </r>
    <phoneticPr fontId="3" type="noConversion"/>
  </si>
  <si>
    <t>M최지선3T
M양병후C
M황종길C
M임헌수2M
M서재학C
M신기순2S</t>
    <phoneticPr fontId="3" type="noConversion"/>
  </si>
  <si>
    <t>M김진옥7S
M양병후C
M서재학C
M황종길C</t>
    <phoneticPr fontId="3" type="noConversion"/>
  </si>
  <si>
    <t>F신기순2
F송옥경
F서재학
F연현숙2</t>
    <phoneticPr fontId="3" type="noConversion"/>
  </si>
  <si>
    <t>M김진옥7C
M구본창C
M김택중C
M권용길S
M박은용C
M지복례T</t>
    <phoneticPr fontId="3" type="noConversion"/>
  </si>
  <si>
    <t>M송옥경C
M임종범C
M권용길C
M김택중S
M배성범T</t>
    <phoneticPr fontId="3" type="noConversion"/>
  </si>
  <si>
    <t>MM정현숙4S
MM김재환2C
MM강용수C
MM권오운Tt</t>
    <phoneticPr fontId="3" type="noConversion"/>
  </si>
  <si>
    <r>
      <rPr>
        <sz val="10"/>
        <color rgb="FFFF0000"/>
        <rFont val="돋움"/>
        <family val="3"/>
        <charset val="129"/>
      </rPr>
      <t>MM한경애4C</t>
    </r>
    <r>
      <rPr>
        <sz val="10"/>
        <rFont val="돋움"/>
        <family val="3"/>
        <charset val="129"/>
      </rPr>
      <t xml:space="preserve">
MM정경철C
MM우영희2Tt</t>
    </r>
    <phoneticPr fontId="3" type="noConversion"/>
  </si>
  <si>
    <t>유태현
(연차)</t>
    <phoneticPr fontId="3" type="noConversion"/>
  </si>
  <si>
    <t>정상환
(연차)</t>
    <phoneticPr fontId="3" type="noConversion"/>
  </si>
  <si>
    <t>이경미
(공가)</t>
    <phoneticPr fontId="3" type="noConversion"/>
  </si>
  <si>
    <t>5층 재활센터 시간표     2025. 12. 3  (수)</t>
    <phoneticPr fontId="3" type="noConversion"/>
  </si>
  <si>
    <t>유혜영4님 : 오후 HOLD CA, N</t>
    <phoneticPr fontId="3" type="noConversion"/>
  </si>
  <si>
    <t xml:space="preserve"> MM김성자10C
MM김기연5C
MM최상근3CPM</t>
    <phoneticPr fontId="3" type="noConversion"/>
  </si>
  <si>
    <t>MM임낙규C
MM배영자Tt
MM홍선화C</t>
    <phoneticPr fontId="3" type="noConversion"/>
  </si>
  <si>
    <t>MM이난주T
MM권영순6C
MM이병희3M
MM정태두Tt
MM유정순3C
MM서극원S</t>
    <phoneticPr fontId="3" type="noConversion"/>
  </si>
  <si>
    <t>D유혜영4</t>
    <phoneticPr fontId="3" type="noConversion"/>
  </si>
  <si>
    <r>
      <t xml:space="preserve">MM이난주C
MM홍선화C
MM김재환2S
</t>
    </r>
    <r>
      <rPr>
        <u/>
        <sz val="10"/>
        <rFont val="돋움"/>
        <family val="3"/>
        <charset val="129"/>
      </rPr>
      <t>MM이진봉T</t>
    </r>
    <r>
      <rPr>
        <sz val="10"/>
        <rFont val="돋움"/>
        <family val="3"/>
        <charset val="129"/>
      </rPr>
      <t xml:space="preserve">
MM김인순3Tt</t>
    </r>
    <phoneticPr fontId="3" type="noConversion"/>
  </si>
  <si>
    <r>
      <rPr>
        <u/>
        <sz val="10"/>
        <rFont val="돋움"/>
        <family val="3"/>
        <charset val="129"/>
      </rPr>
      <t>MM한경애4C</t>
    </r>
    <r>
      <rPr>
        <sz val="10"/>
        <rFont val="돋움"/>
        <family val="3"/>
        <charset val="129"/>
      </rPr>
      <t xml:space="preserve">
MM김석군S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MM정경철C
MM윤소희3T</t>
    </r>
    <phoneticPr fontId="3" type="noConversion"/>
  </si>
  <si>
    <t xml:space="preserve">
MM이팔원C
MM우영희2M</t>
    <phoneticPr fontId="3" type="noConversion"/>
  </si>
  <si>
    <r>
      <t xml:space="preserve">MM임낙규T
</t>
    </r>
    <r>
      <rPr>
        <sz val="10"/>
        <color rgb="FFFF0000"/>
        <rFont val="돋움"/>
        <family val="3"/>
        <charset val="129"/>
      </rPr>
      <t>MM김석군C</t>
    </r>
    <r>
      <rPr>
        <sz val="10"/>
        <rFont val="돋움"/>
        <family val="3"/>
        <charset val="129"/>
      </rPr>
      <t xml:space="preserve">
MM윤소희3S
</t>
    </r>
    <r>
      <rPr>
        <u/>
        <sz val="10"/>
        <rFont val="돋움"/>
        <family val="3"/>
        <charset val="129"/>
      </rPr>
      <t>MM이팔원C</t>
    </r>
    <r>
      <rPr>
        <sz val="10"/>
        <rFont val="돋움"/>
        <family val="3"/>
        <charset val="129"/>
      </rPr>
      <t xml:space="preserve">
MM정태두Tt
MM배영자Tt
MM권오운Tt</t>
    </r>
    <phoneticPr fontId="3" type="noConversion"/>
  </si>
  <si>
    <t>MM김석군C</t>
    <phoneticPr fontId="3" type="noConversion"/>
  </si>
  <si>
    <r>
      <t xml:space="preserve">MM김기연5C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MM김명배3Tt
MM최상근3CPM
MM서극원C</t>
    </r>
    <phoneticPr fontId="3" type="noConversion"/>
  </si>
  <si>
    <r>
      <t xml:space="preserve">N최지선3
</t>
    </r>
    <r>
      <rPr>
        <u/>
        <sz val="10"/>
        <rFont val="돋움"/>
        <family val="3"/>
        <charset val="129"/>
      </rPr>
      <t>N유혜영4</t>
    </r>
    <phoneticPr fontId="3" type="noConversion"/>
  </si>
  <si>
    <r>
      <t xml:space="preserve">N최지선3
</t>
    </r>
    <r>
      <rPr>
        <u/>
        <sz val="10"/>
        <rFont val="돋움"/>
        <family val="3"/>
        <charset val="129"/>
      </rPr>
      <t>N유혜영4</t>
    </r>
    <phoneticPr fontId="3" type="noConversion"/>
  </si>
  <si>
    <t>MM임낙규C
MM홍선화C</t>
    <phoneticPr fontId="3" type="noConversion"/>
  </si>
  <si>
    <t>MM이난주T
MM권영순6C
MM이병희3M
MM정태두Tt
MM유정순3C
MM서극원S</t>
    <phoneticPr fontId="3" type="noConversion"/>
  </si>
  <si>
    <r>
      <t xml:space="preserve">MM김기연5C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MM김명배3Tt
MM최상근3CPM
MM서극원C</t>
    </r>
    <phoneticPr fontId="3" type="noConversion"/>
  </si>
  <si>
    <r>
      <t xml:space="preserve">MM이난주C
MM홍선화C
MM김재환2S
</t>
    </r>
    <r>
      <rPr>
        <u/>
        <sz val="10"/>
        <rFont val="돋움"/>
        <family val="3"/>
        <charset val="129"/>
      </rPr>
      <t>MM이진봉T</t>
    </r>
    <r>
      <rPr>
        <sz val="10"/>
        <rFont val="돋움"/>
        <family val="3"/>
        <charset val="129"/>
      </rPr>
      <t xml:space="preserve">
MM김인순3Tt</t>
    </r>
    <phoneticPr fontId="3" type="noConversion"/>
  </si>
  <si>
    <r>
      <t xml:space="preserve">MM임낙규T
MM김석군C
MM윤소희3S
</t>
    </r>
    <r>
      <rPr>
        <u/>
        <sz val="10"/>
        <rFont val="돋움"/>
        <family val="3"/>
        <charset val="129"/>
      </rPr>
      <t>MM이팔원C</t>
    </r>
    <r>
      <rPr>
        <sz val="10"/>
        <rFont val="돋움"/>
        <family val="3"/>
        <charset val="129"/>
      </rPr>
      <t xml:space="preserve">
MM정태두Tt
MM배영자Tt
MM권오운Tt</t>
    </r>
    <phoneticPr fontId="3" type="noConversion"/>
  </si>
  <si>
    <t>RD이팔원</t>
    <phoneticPr fontId="3" type="noConversion"/>
  </si>
  <si>
    <t>RN서극원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</si>
</sst>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u/>
      <sz val="10"/>
      <name val="돋움"/>
      <family val="3"/>
      <charset val="129"/>
    </font>
    <font>
      <b/>
      <sz val="10"/>
      <name val="굴림"/>
      <family val="3"/>
      <charset val="129"/>
    </font>
    <font>
      <sz val="8"/>
      <name val="돋움"/>
      <family val="2"/>
      <charset val="129"/>
    </font>
    <font>
      <sz val="8.5"/>
      <color rgb="FF000000"/>
      <name val="굴림"/>
      <family val="3"/>
      <charset val="129"/>
    </font>
    <font>
      <sz val="10"/>
      <color rgb="FF00B050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10"/>
      <color theme="0" tint="-0.249977111117893"/>
      <name val="돋움"/>
      <family val="3"/>
      <charset val="129"/>
    </font>
    <font>
      <sz val="10"/>
      <color theme="0"/>
      <name val="돋움"/>
      <family val="3"/>
      <charset val="129"/>
    </font>
    <font>
      <b/>
      <sz val="8.5"/>
      <name val="돋움"/>
      <family val="3"/>
      <charset val="129"/>
    </font>
    <font>
      <sz val="10"/>
      <color rgb="FF000000"/>
      <name val="굴림"/>
      <family val="3"/>
      <charset val="129"/>
    </font>
    <font>
      <sz val="8.5"/>
      <name val="굴림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0"/>
      <color rgb="FF0070C0"/>
      <name val="돋움"/>
      <family val="3"/>
      <charset val="129"/>
    </font>
    <font>
      <sz val="10"/>
      <color rgb="FF7030A0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10"/>
      <color rgb="FF00000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name val="굴림"/>
      <family val="3"/>
      <charset val="129"/>
    </font>
    <font>
      <sz val="10"/>
      <color rgb="FF0070C0"/>
      <name val="굴림"/>
      <family val="3"/>
      <charset val="129"/>
    </font>
    <font>
      <sz val="10"/>
      <color rgb="FFC00000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color rgb="FFC00000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rgb="FFFF0000"/>
      <name val="돋움"/>
      <family val="3"/>
      <charset val="129"/>
    </font>
    <font>
      <b/>
      <sz val="10"/>
      <color rgb="FFFF0000"/>
      <name val="돋움"/>
      <family val="3"/>
      <charset val="129"/>
    </font>
    <font>
      <b/>
      <sz val="10"/>
      <color rgb="FF00B050"/>
      <name val="돋움"/>
      <family val="3"/>
      <charset val="129"/>
    </font>
    <font>
      <b/>
      <sz val="1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</fills>
  <borders count="8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54">
    <xf numFmtId="0" fontId="0" fillId="0" borderId="0" xfId="0">
      <alignment vertical="center"/>
    </xf>
    <xf numFmtId="0" fontId="5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176" fontId="8" fillId="0" borderId="0" xfId="2" applyNumberFormat="1" applyFont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/>
    </xf>
    <xf numFmtId="9" fontId="8" fillId="0" borderId="0" xfId="4" applyFont="1" applyFill="1" applyBorder="1" applyAlignment="1" applyProtection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 wrapText="1"/>
    </xf>
    <xf numFmtId="0" fontId="11" fillId="3" borderId="2" xfId="3" applyFont="1" applyFill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 wrapText="1"/>
    </xf>
    <xf numFmtId="0" fontId="11" fillId="0" borderId="25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center" wrapText="1"/>
    </xf>
    <xf numFmtId="0" fontId="11" fillId="0" borderId="21" xfId="3" applyFont="1" applyBorder="1" applyAlignment="1">
      <alignment horizontal="center" vertical="center"/>
    </xf>
    <xf numFmtId="0" fontId="11" fillId="0" borderId="29" xfId="3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/>
    </xf>
    <xf numFmtId="0" fontId="20" fillId="0" borderId="32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12" fillId="0" borderId="32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11" fillId="5" borderId="2" xfId="1" applyFont="1" applyFill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center"/>
    </xf>
    <xf numFmtId="0" fontId="22" fillId="0" borderId="9" xfId="1" applyFont="1" applyBorder="1" applyAlignment="1">
      <alignment horizontal="center" vertical="center"/>
    </xf>
    <xf numFmtId="0" fontId="20" fillId="0" borderId="26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23" fillId="0" borderId="9" xfId="1" applyFont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/>
    </xf>
    <xf numFmtId="0" fontId="11" fillId="0" borderId="36" xfId="1" applyFont="1" applyBorder="1" applyAlignment="1">
      <alignment horizontal="center" vertical="center"/>
    </xf>
    <xf numFmtId="0" fontId="24" fillId="0" borderId="0" xfId="1" applyFont="1">
      <alignment vertical="center"/>
    </xf>
    <xf numFmtId="0" fontId="6" fillId="0" borderId="37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/>
    </xf>
    <xf numFmtId="0" fontId="20" fillId="0" borderId="10" xfId="1" applyFont="1" applyBorder="1" applyAlignment="1">
      <alignment horizontal="center" vertical="center" wrapText="1"/>
    </xf>
    <xf numFmtId="0" fontId="20" fillId="0" borderId="11" xfId="1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37" xfId="3" applyFont="1" applyBorder="1" applyAlignment="1">
      <alignment horizontal="center" vertical="center" wrapText="1"/>
    </xf>
    <xf numFmtId="0" fontId="23" fillId="0" borderId="5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26" fillId="6" borderId="29" xfId="1" applyFont="1" applyFill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9" fillId="7" borderId="37" xfId="1" applyFont="1" applyFill="1" applyBorder="1" applyAlignment="1">
      <alignment horizontal="center" vertical="center" wrapText="1"/>
    </xf>
    <xf numFmtId="0" fontId="9" fillId="7" borderId="39" xfId="3" applyFont="1" applyFill="1" applyBorder="1" applyAlignment="1">
      <alignment horizontal="center" vertical="center" wrapText="1"/>
    </xf>
    <xf numFmtId="0" fontId="9" fillId="7" borderId="23" xfId="3" applyFont="1" applyFill="1" applyBorder="1" applyAlignment="1">
      <alignment horizontal="center" vertical="center" wrapText="1"/>
    </xf>
    <xf numFmtId="0" fontId="11" fillId="7" borderId="39" xfId="1" applyFont="1" applyFill="1" applyBorder="1" applyAlignment="1">
      <alignment horizontal="center" vertical="center" wrapText="1"/>
    </xf>
    <xf numFmtId="0" fontId="11" fillId="7" borderId="37" xfId="1" applyFont="1" applyFill="1" applyBorder="1" applyAlignment="1">
      <alignment horizontal="center" vertical="center" wrapText="1"/>
    </xf>
    <xf numFmtId="0" fontId="11" fillId="7" borderId="23" xfId="1" applyFont="1" applyFill="1" applyBorder="1" applyAlignment="1">
      <alignment horizontal="center" vertical="center" wrapText="1"/>
    </xf>
    <xf numFmtId="0" fontId="11" fillId="7" borderId="37" xfId="1" applyFont="1" applyFill="1" applyBorder="1" applyAlignment="1">
      <alignment horizontal="center" vertical="center"/>
    </xf>
    <xf numFmtId="0" fontId="26" fillId="7" borderId="37" xfId="1" applyFont="1" applyFill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8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 wrapText="1"/>
    </xf>
    <xf numFmtId="0" fontId="29" fillId="2" borderId="40" xfId="1" applyFont="1" applyFill="1" applyBorder="1" applyAlignment="1">
      <alignment horizontal="center" vertical="center" wrapText="1"/>
    </xf>
    <xf numFmtId="0" fontId="29" fillId="2" borderId="41" xfId="1" applyFont="1" applyFill="1" applyBorder="1" applyAlignment="1">
      <alignment horizontal="center" vertical="center" wrapText="1"/>
    </xf>
    <xf numFmtId="0" fontId="29" fillId="2" borderId="41" xfId="1" applyFont="1" applyFill="1" applyBorder="1" applyAlignment="1">
      <alignment horizontal="center" vertical="center"/>
    </xf>
    <xf numFmtId="0" fontId="29" fillId="2" borderId="42" xfId="1" applyFont="1" applyFill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1" fillId="0" borderId="43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11" fillId="0" borderId="36" xfId="1" applyFont="1" applyBorder="1">
      <alignment vertical="center"/>
    </xf>
    <xf numFmtId="0" fontId="25" fillId="0" borderId="2" xfId="1" applyFont="1" applyBorder="1" applyAlignment="1">
      <alignment horizontal="center" vertical="center" wrapText="1"/>
    </xf>
    <xf numFmtId="0" fontId="11" fillId="0" borderId="44" xfId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/>
    </xf>
    <xf numFmtId="0" fontId="11" fillId="0" borderId="45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11" fillId="0" borderId="46" xfId="1" applyFont="1" applyBorder="1" applyAlignment="1">
      <alignment horizontal="center" vertical="center"/>
    </xf>
    <xf numFmtId="0" fontId="11" fillId="0" borderId="2" xfId="1" applyFont="1" applyBorder="1">
      <alignment vertical="center"/>
    </xf>
    <xf numFmtId="0" fontId="11" fillId="0" borderId="44" xfId="1" applyFont="1" applyBorder="1" applyAlignment="1">
      <alignment horizontal="center" vertical="center"/>
    </xf>
    <xf numFmtId="0" fontId="11" fillId="0" borderId="47" xfId="1" applyFont="1" applyBorder="1" applyAlignment="1">
      <alignment horizontal="center" vertical="center" wrapText="1"/>
    </xf>
    <xf numFmtId="0" fontId="11" fillId="0" borderId="48" xfId="1" applyFont="1" applyBorder="1" applyAlignment="1">
      <alignment horizontal="center" vertical="center" wrapText="1"/>
    </xf>
    <xf numFmtId="0" fontId="25" fillId="0" borderId="48" xfId="1" applyFont="1" applyBorder="1" applyAlignment="1">
      <alignment horizontal="center" vertical="center" wrapText="1"/>
    </xf>
    <xf numFmtId="0" fontId="11" fillId="0" borderId="49" xfId="1" applyFont="1" applyBorder="1" applyAlignment="1">
      <alignment horizontal="center" vertical="center" wrapText="1"/>
    </xf>
    <xf numFmtId="0" fontId="11" fillId="0" borderId="48" xfId="1" applyFont="1" applyBorder="1">
      <alignment vertical="center"/>
    </xf>
    <xf numFmtId="0" fontId="11" fillId="0" borderId="50" xfId="1" applyFont="1" applyBorder="1" applyAlignment="1">
      <alignment horizontal="center" vertical="center" wrapText="1"/>
    </xf>
    <xf numFmtId="0" fontId="11" fillId="0" borderId="51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25" fillId="0" borderId="0" xfId="1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11" fillId="0" borderId="0" xfId="1" applyFont="1">
      <alignment vertical="center"/>
    </xf>
    <xf numFmtId="0" fontId="30" fillId="0" borderId="0" xfId="1" applyFont="1">
      <alignment vertical="center"/>
    </xf>
    <xf numFmtId="0" fontId="1" fillId="0" borderId="0" xfId="6">
      <alignment vertical="center"/>
    </xf>
    <xf numFmtId="0" fontId="1" fillId="0" borderId="0" xfId="6" applyAlignment="1">
      <alignment horizontal="center" vertical="center"/>
    </xf>
    <xf numFmtId="0" fontId="0" fillId="0" borderId="0" xfId="6" applyFont="1" applyAlignment="1">
      <alignment horizontal="center" vertical="center" wrapText="1"/>
    </xf>
    <xf numFmtId="0" fontId="1" fillId="0" borderId="0" xfId="6" applyAlignment="1">
      <alignment vertical="center" wrapText="1"/>
    </xf>
    <xf numFmtId="0" fontId="30" fillId="0" borderId="0" xfId="6" applyFont="1" applyAlignment="1">
      <alignment horizontal="center" vertical="center"/>
    </xf>
    <xf numFmtId="0" fontId="30" fillId="0" borderId="0" xfId="6" applyFont="1">
      <alignment vertical="center"/>
    </xf>
    <xf numFmtId="0" fontId="31" fillId="0" borderId="0" xfId="6" applyFont="1" applyAlignment="1">
      <alignment horizontal="center" vertical="center"/>
    </xf>
    <xf numFmtId="0" fontId="5" fillId="0" borderId="0" xfId="6" applyFont="1" applyAlignment="1">
      <alignment horizontal="center" vertical="center"/>
    </xf>
    <xf numFmtId="0" fontId="6" fillId="2" borderId="53" xfId="3" applyFont="1" applyFill="1" applyBorder="1" applyAlignment="1">
      <alignment horizontal="left" vertical="center" wrapText="1"/>
    </xf>
    <xf numFmtId="0" fontId="22" fillId="2" borderId="2" xfId="3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/>
    </xf>
    <xf numFmtId="0" fontId="9" fillId="0" borderId="21" xfId="3" applyFont="1" applyBorder="1" applyAlignment="1">
      <alignment horizontal="center" vertical="center" wrapText="1"/>
    </xf>
    <xf numFmtId="0" fontId="12" fillId="8" borderId="3" xfId="3" applyFont="1" applyFill="1" applyBorder="1" applyAlignment="1">
      <alignment horizontal="center" vertical="center" wrapText="1"/>
    </xf>
    <xf numFmtId="0" fontId="32" fillId="8" borderId="21" xfId="0" applyFont="1" applyFill="1" applyBorder="1" applyAlignment="1">
      <alignment horizontal="center" vertical="center" wrapText="1"/>
    </xf>
    <xf numFmtId="0" fontId="12" fillId="8" borderId="21" xfId="0" applyFont="1" applyFill="1" applyBorder="1" applyAlignment="1">
      <alignment horizontal="center" vertical="center" wrapText="1"/>
    </xf>
    <xf numFmtId="0" fontId="11" fillId="8" borderId="21" xfId="9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" fillId="0" borderId="21" xfId="9" applyBorder="1">
      <alignment vertical="center"/>
    </xf>
    <xf numFmtId="0" fontId="11" fillId="8" borderId="21" xfId="9" applyFont="1" applyFill="1" applyBorder="1" applyAlignment="1">
      <alignment horizontal="center" vertical="center"/>
    </xf>
    <xf numFmtId="0" fontId="12" fillId="8" borderId="21" xfId="3" applyFont="1" applyFill="1" applyBorder="1" applyAlignment="1">
      <alignment horizontal="center" vertical="center" wrapText="1"/>
    </xf>
    <xf numFmtId="0" fontId="12" fillId="8" borderId="21" xfId="9" applyFont="1" applyFill="1" applyBorder="1" applyAlignment="1">
      <alignment horizontal="center" vertical="center"/>
    </xf>
    <xf numFmtId="0" fontId="32" fillId="8" borderId="5" xfId="3" applyFont="1" applyFill="1" applyBorder="1" applyAlignment="1">
      <alignment horizontal="center" vertical="center" wrapText="1"/>
    </xf>
    <xf numFmtId="0" fontId="33" fillId="8" borderId="10" xfId="3" applyFont="1" applyFill="1" applyBorder="1" applyAlignment="1">
      <alignment horizontal="center" vertical="center" wrapText="1"/>
    </xf>
    <xf numFmtId="0" fontId="33" fillId="0" borderId="3" xfId="9" applyFont="1" applyBorder="1" applyAlignment="1">
      <alignment horizontal="center" vertical="center"/>
    </xf>
    <xf numFmtId="0" fontId="33" fillId="0" borderId="4" xfId="9" applyFont="1" applyBorder="1" applyAlignment="1">
      <alignment horizontal="center" vertical="center"/>
    </xf>
    <xf numFmtId="0" fontId="35" fillId="0" borderId="21" xfId="1" applyFont="1" applyBorder="1" applyAlignment="1">
      <alignment horizontal="center" vertical="center" wrapText="1"/>
    </xf>
    <xf numFmtId="0" fontId="36" fillId="0" borderId="21" xfId="1" applyFont="1" applyBorder="1" applyAlignment="1">
      <alignment horizontal="center" vertical="center"/>
    </xf>
    <xf numFmtId="0" fontId="28" fillId="0" borderId="2" xfId="1" applyFont="1" applyBorder="1" applyAlignment="1">
      <alignment horizontal="center" vertical="center" wrapText="1"/>
    </xf>
    <xf numFmtId="0" fontId="37" fillId="0" borderId="21" xfId="3" applyFont="1" applyBorder="1" applyAlignment="1">
      <alignment horizontal="center" vertical="center" wrapText="1"/>
    </xf>
    <xf numFmtId="0" fontId="9" fillId="0" borderId="21" xfId="3" applyFont="1" applyBorder="1" applyAlignment="1">
      <alignment horizontal="center" vertical="center"/>
    </xf>
    <xf numFmtId="0" fontId="38" fillId="0" borderId="2" xfId="1" applyFont="1" applyBorder="1" applyAlignment="1">
      <alignment horizontal="center" vertical="center" wrapText="1"/>
    </xf>
    <xf numFmtId="0" fontId="38" fillId="0" borderId="2" xfId="3" applyFont="1" applyBorder="1" applyAlignment="1">
      <alignment horizontal="center" vertical="center" wrapText="1"/>
    </xf>
    <xf numFmtId="0" fontId="37" fillId="8" borderId="21" xfId="3" applyFont="1" applyFill="1" applyBorder="1" applyAlignment="1">
      <alignment horizontal="center" vertical="center" wrapText="1"/>
    </xf>
    <xf numFmtId="0" fontId="37" fillId="0" borderId="2" xfId="3" applyFont="1" applyBorder="1" applyAlignment="1">
      <alignment horizontal="center" vertical="center" wrapText="1"/>
    </xf>
    <xf numFmtId="0" fontId="36" fillId="0" borderId="2" xfId="3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37" fillId="0" borderId="21" xfId="1" applyFont="1" applyBorder="1" applyAlignment="1">
      <alignment horizontal="center" vertical="center" wrapText="1"/>
    </xf>
    <xf numFmtId="0" fontId="37" fillId="0" borderId="2" xfId="1" applyFont="1" applyBorder="1" applyAlignment="1">
      <alignment horizontal="center" vertical="center" wrapText="1"/>
    </xf>
    <xf numFmtId="0" fontId="28" fillId="0" borderId="21" xfId="1" applyFont="1" applyBorder="1" applyAlignment="1">
      <alignment horizontal="center" vertical="center" wrapText="1"/>
    </xf>
    <xf numFmtId="0" fontId="37" fillId="0" borderId="21" xfId="1" applyFont="1" applyBorder="1" applyAlignment="1">
      <alignment horizontal="center" vertical="center"/>
    </xf>
    <xf numFmtId="0" fontId="37" fillId="0" borderId="2" xfId="1" applyFont="1" applyBorder="1" applyAlignment="1">
      <alignment horizontal="center" vertical="center"/>
    </xf>
    <xf numFmtId="0" fontId="35" fillId="0" borderId="2" xfId="1" applyFont="1" applyBorder="1" applyAlignment="1">
      <alignment horizontal="center" vertical="center" wrapText="1"/>
    </xf>
    <xf numFmtId="0" fontId="28" fillId="0" borderId="2" xfId="1" applyFont="1" applyBorder="1" applyAlignment="1">
      <alignment horizontal="center" vertical="center"/>
    </xf>
    <xf numFmtId="0" fontId="36" fillId="0" borderId="2" xfId="1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1" fillId="0" borderId="36" xfId="1" applyBorder="1">
      <alignment vertical="center"/>
    </xf>
    <xf numFmtId="0" fontId="38" fillId="0" borderId="2" xfId="1" applyFont="1" applyBorder="1" applyAlignment="1">
      <alignment horizontal="center" vertical="center"/>
    </xf>
    <xf numFmtId="0" fontId="39" fillId="0" borderId="2" xfId="1" applyFont="1" applyBorder="1" applyAlignment="1">
      <alignment horizontal="center" vertical="center" wrapText="1"/>
    </xf>
    <xf numFmtId="0" fontId="40" fillId="0" borderId="21" xfId="1" applyFont="1" applyBorder="1" applyAlignment="1">
      <alignment horizontal="center" vertical="center" wrapText="1"/>
    </xf>
    <xf numFmtId="0" fontId="28" fillId="0" borderId="21" xfId="1" applyFont="1" applyBorder="1" applyAlignment="1">
      <alignment horizontal="center" vertical="center"/>
    </xf>
    <xf numFmtId="0" fontId="36" fillId="0" borderId="21" xfId="1" applyFont="1" applyBorder="1" applyAlignment="1">
      <alignment horizontal="center" vertical="center" wrapText="1"/>
    </xf>
    <xf numFmtId="0" fontId="38" fillId="0" borderId="21" xfId="1" applyFont="1" applyBorder="1" applyAlignment="1">
      <alignment horizontal="center" vertical="center" wrapText="1"/>
    </xf>
    <xf numFmtId="0" fontId="20" fillId="0" borderId="21" xfId="3" applyFont="1" applyBorder="1" applyAlignment="1">
      <alignment horizontal="center" vertical="center" wrapText="1"/>
    </xf>
    <xf numFmtId="0" fontId="36" fillId="0" borderId="21" xfId="3" applyFont="1" applyBorder="1" applyAlignment="1">
      <alignment horizontal="center" vertical="center" wrapText="1"/>
    </xf>
    <xf numFmtId="0" fontId="36" fillId="8" borderId="2" xfId="3" applyFont="1" applyFill="1" applyBorder="1" applyAlignment="1">
      <alignment horizontal="center" vertical="center" wrapText="1"/>
    </xf>
    <xf numFmtId="0" fontId="37" fillId="8" borderId="2" xfId="3" applyFont="1" applyFill="1" applyBorder="1" applyAlignment="1">
      <alignment horizontal="center" vertical="center" wrapText="1"/>
    </xf>
    <xf numFmtId="0" fontId="36" fillId="8" borderId="2" xfId="1" applyFont="1" applyFill="1" applyBorder="1" applyAlignment="1">
      <alignment horizontal="center" vertical="center" wrapText="1"/>
    </xf>
    <xf numFmtId="0" fontId="38" fillId="8" borderId="2" xfId="3" applyFont="1" applyFill="1" applyBorder="1" applyAlignment="1">
      <alignment horizontal="center" vertical="center" wrapText="1"/>
    </xf>
    <xf numFmtId="0" fontId="38" fillId="8" borderId="21" xfId="3" applyFont="1" applyFill="1" applyBorder="1" applyAlignment="1">
      <alignment horizontal="center" vertical="center" wrapText="1"/>
    </xf>
    <xf numFmtId="0" fontId="36" fillId="8" borderId="21" xfId="3" applyFont="1" applyFill="1" applyBorder="1" applyAlignment="1">
      <alignment horizontal="center" vertical="center" wrapText="1"/>
    </xf>
    <xf numFmtId="0" fontId="36" fillId="0" borderId="25" xfId="3" applyFont="1" applyBorder="1" applyAlignment="1">
      <alignment horizontal="center" vertical="center" wrapText="1"/>
    </xf>
    <xf numFmtId="0" fontId="36" fillId="8" borderId="9" xfId="3" applyFont="1" applyFill="1" applyBorder="1" applyAlignment="1">
      <alignment horizontal="center" vertical="center" wrapText="1"/>
    </xf>
    <xf numFmtId="0" fontId="36" fillId="0" borderId="17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center" vertical="center" wrapText="1"/>
    </xf>
    <xf numFmtId="0" fontId="1" fillId="0" borderId="27" xfId="1" applyBorder="1" applyAlignment="1">
      <alignment vertical="center" wrapText="1"/>
    </xf>
    <xf numFmtId="0" fontId="11" fillId="0" borderId="25" xfId="3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 wrapText="1"/>
    </xf>
    <xf numFmtId="0" fontId="41" fillId="0" borderId="2" xfId="3" applyFont="1" applyBorder="1" applyAlignment="1">
      <alignment horizontal="center" vertical="center" wrapText="1"/>
    </xf>
    <xf numFmtId="0" fontId="5" fillId="0" borderId="46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1" fillId="0" borderId="21" xfId="3" applyFont="1" applyBorder="1" applyAlignment="1">
      <alignment horizontal="center" vertical="center" wrapText="1"/>
    </xf>
    <xf numFmtId="0" fontId="1" fillId="0" borderId="3" xfId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11" fillId="0" borderId="0" xfId="3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1" applyFont="1" applyAlignment="1">
      <alignment horizontal="center" vertical="center" wrapText="1"/>
    </xf>
    <xf numFmtId="0" fontId="47" fillId="0" borderId="0" xfId="1" applyFont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  <xf numFmtId="0" fontId="20" fillId="4" borderId="2" xfId="1" applyFont="1" applyFill="1" applyBorder="1" applyAlignment="1">
      <alignment horizontal="center" vertical="center" wrapText="1"/>
    </xf>
    <xf numFmtId="0" fontId="23" fillId="4" borderId="2" xfId="3" applyFont="1" applyFill="1" applyBorder="1" applyAlignment="1">
      <alignment horizontal="center" vertical="center" wrapText="1"/>
    </xf>
    <xf numFmtId="0" fontId="11" fillId="9" borderId="2" xfId="1" applyFont="1" applyFill="1" applyBorder="1" applyAlignment="1">
      <alignment horizontal="center" vertical="center" wrapText="1"/>
    </xf>
    <xf numFmtId="0" fontId="5" fillId="0" borderId="0" xfId="11" applyFont="1" applyAlignment="1">
      <alignment horizontal="center" vertical="center"/>
    </xf>
    <xf numFmtId="0" fontId="1" fillId="0" borderId="0" xfId="11" applyAlignment="1">
      <alignment horizontal="center" vertical="center"/>
    </xf>
    <xf numFmtId="0" fontId="1" fillId="0" borderId="0" xfId="11">
      <alignment vertical="center"/>
    </xf>
    <xf numFmtId="0" fontId="6" fillId="2" borderId="2" xfId="11" applyFont="1" applyFill="1" applyBorder="1" applyAlignment="1">
      <alignment horizontal="center" vertical="center"/>
    </xf>
    <xf numFmtId="0" fontId="6" fillId="2" borderId="2" xfId="11" applyFont="1" applyFill="1" applyBorder="1" applyAlignment="1">
      <alignment horizontal="left" vertical="center" wrapText="1"/>
    </xf>
    <xf numFmtId="0" fontId="6" fillId="2" borderId="2" xfId="11" applyFont="1" applyFill="1" applyBorder="1" applyAlignment="1">
      <alignment horizontal="center" vertical="center" wrapText="1"/>
    </xf>
    <xf numFmtId="0" fontId="7" fillId="2" borderId="2" xfId="11" applyFont="1" applyFill="1" applyBorder="1" applyAlignment="1">
      <alignment horizontal="center" vertical="center"/>
    </xf>
    <xf numFmtId="176" fontId="8" fillId="0" borderId="0" xfId="11" applyNumberFormat="1" applyFont="1" applyAlignment="1">
      <alignment horizontal="center" vertical="center" wrapText="1"/>
    </xf>
    <xf numFmtId="0" fontId="6" fillId="0" borderId="2" xfId="11" applyFont="1" applyBorder="1" applyAlignment="1">
      <alignment horizontal="center" vertical="center"/>
    </xf>
    <xf numFmtId="0" fontId="9" fillId="0" borderId="2" xfId="11" applyFont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 wrapText="1"/>
    </xf>
    <xf numFmtId="0" fontId="12" fillId="0" borderId="5" xfId="11" applyFont="1" applyBorder="1" applyAlignment="1">
      <alignment horizontal="center" vertical="center"/>
    </xf>
    <xf numFmtId="0" fontId="9" fillId="0" borderId="9" xfId="11" applyFont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2" fillId="0" borderId="2" xfId="11" applyFont="1" applyBorder="1" applyAlignment="1">
      <alignment horizontal="center" vertical="center"/>
    </xf>
    <xf numFmtId="0" fontId="23" fillId="0" borderId="2" xfId="11" applyFont="1" applyBorder="1" applyAlignment="1">
      <alignment horizontal="center" vertical="center" wrapText="1"/>
    </xf>
    <xf numFmtId="0" fontId="11" fillId="10" borderId="2" xfId="11" applyFont="1" applyFill="1" applyBorder="1" applyAlignment="1">
      <alignment horizontal="center" vertical="center" wrapText="1"/>
    </xf>
    <xf numFmtId="0" fontId="23" fillId="10" borderId="2" xfId="3" applyFont="1" applyFill="1" applyBorder="1" applyAlignment="1">
      <alignment horizontal="center" vertical="center" wrapText="1"/>
    </xf>
    <xf numFmtId="0" fontId="11" fillId="0" borderId="9" xfId="11" applyFont="1" applyBorder="1" applyAlignment="1">
      <alignment horizontal="center" vertical="center" wrapText="1"/>
    </xf>
    <xf numFmtId="0" fontId="11" fillId="3" borderId="2" xfId="11" applyFont="1" applyFill="1" applyBorder="1" applyAlignment="1">
      <alignment horizontal="center" vertical="center" wrapText="1"/>
    </xf>
    <xf numFmtId="0" fontId="11" fillId="0" borderId="17" xfId="11" applyFont="1" applyBorder="1" applyAlignment="1">
      <alignment horizontal="center" vertical="center" wrapText="1"/>
    </xf>
    <xf numFmtId="0" fontId="4" fillId="0" borderId="2" xfId="11" applyFont="1" applyBorder="1" applyAlignment="1">
      <alignment horizontal="center" vertical="center" wrapText="1"/>
    </xf>
    <xf numFmtId="0" fontId="23" fillId="10" borderId="2" xfId="11" applyFont="1" applyFill="1" applyBorder="1" applyAlignment="1">
      <alignment horizontal="center" vertical="center" wrapText="1"/>
    </xf>
    <xf numFmtId="0" fontId="11" fillId="0" borderId="17" xfId="11" applyFont="1" applyBorder="1" applyAlignment="1">
      <alignment horizontal="center" vertical="center"/>
    </xf>
    <xf numFmtId="0" fontId="12" fillId="3" borderId="2" xfId="11" applyFont="1" applyFill="1" applyBorder="1" applyAlignment="1">
      <alignment horizontal="center" vertical="center"/>
    </xf>
    <xf numFmtId="0" fontId="12" fillId="0" borderId="21" xfId="11" applyFont="1" applyBorder="1" applyAlignment="1">
      <alignment horizontal="center" vertical="center"/>
    </xf>
    <xf numFmtId="0" fontId="11" fillId="3" borderId="2" xfId="13" applyFont="1" applyFill="1" applyBorder="1" applyAlignment="1">
      <alignment horizontal="center" vertical="center"/>
    </xf>
    <xf numFmtId="0" fontId="11" fillId="3" borderId="17" xfId="13" applyFont="1" applyFill="1" applyBorder="1" applyAlignment="1">
      <alignment horizontal="center" vertical="center" wrapText="1"/>
    </xf>
    <xf numFmtId="0" fontId="18" fillId="3" borderId="2" xfId="13" applyFont="1" applyFill="1" applyBorder="1" applyAlignment="1">
      <alignment horizontal="center" vertical="center"/>
    </xf>
    <xf numFmtId="0" fontId="11" fillId="0" borderId="25" xfId="11" applyFont="1" applyBorder="1" applyAlignment="1">
      <alignment horizontal="center" vertical="center" wrapText="1"/>
    </xf>
    <xf numFmtId="0" fontId="4" fillId="4" borderId="9" xfId="11" applyFont="1" applyFill="1" applyBorder="1" applyAlignment="1">
      <alignment horizontal="center" vertical="center" wrapText="1"/>
    </xf>
    <xf numFmtId="0" fontId="51" fillId="4" borderId="2" xfId="3" applyFont="1" applyFill="1" applyBorder="1" applyAlignment="1">
      <alignment horizontal="center" vertical="center" wrapText="1"/>
    </xf>
    <xf numFmtId="0" fontId="23" fillId="4" borderId="2" xfId="11" applyFont="1" applyFill="1" applyBorder="1" applyAlignment="1">
      <alignment horizontal="center" vertical="center" wrapText="1"/>
    </xf>
    <xf numFmtId="0" fontId="12" fillId="4" borderId="2" xfId="11" applyFont="1" applyFill="1" applyBorder="1" applyAlignment="1">
      <alignment horizontal="center" vertical="center" wrapText="1"/>
    </xf>
    <xf numFmtId="0" fontId="12" fillId="4" borderId="9" xfId="11" applyFont="1" applyFill="1" applyBorder="1" applyAlignment="1">
      <alignment horizontal="center" vertical="center" wrapText="1"/>
    </xf>
    <xf numFmtId="0" fontId="23" fillId="4" borderId="9" xfId="11" applyFont="1" applyFill="1" applyBorder="1" applyAlignment="1">
      <alignment horizontal="center" vertical="center" wrapText="1"/>
    </xf>
    <xf numFmtId="0" fontId="51" fillId="4" borderId="9" xfId="11" applyFont="1" applyFill="1" applyBorder="1" applyAlignment="1">
      <alignment horizontal="center" vertical="center" wrapText="1"/>
    </xf>
    <xf numFmtId="0" fontId="19" fillId="0" borderId="21" xfId="14" applyFont="1" applyBorder="1" applyAlignment="1">
      <alignment horizontal="center" vertical="center" wrapText="1"/>
    </xf>
    <xf numFmtId="0" fontId="19" fillId="0" borderId="2" xfId="14" applyFont="1" applyBorder="1" applyAlignment="1">
      <alignment horizontal="center" vertical="center" wrapText="1"/>
    </xf>
    <xf numFmtId="0" fontId="19" fillId="0" borderId="28" xfId="14" applyFont="1" applyBorder="1" applyAlignment="1">
      <alignment horizontal="center" vertical="center" wrapText="1"/>
    </xf>
    <xf numFmtId="0" fontId="11" fillId="0" borderId="29" xfId="11" applyFont="1" applyBorder="1" applyAlignment="1">
      <alignment horizontal="center" vertical="center" wrapText="1"/>
    </xf>
    <xf numFmtId="0" fontId="6" fillId="0" borderId="32" xfId="11" applyFont="1" applyBorder="1" applyAlignment="1">
      <alignment horizontal="center" vertical="center"/>
    </xf>
    <xf numFmtId="0" fontId="20" fillId="0" borderId="32" xfId="11" applyFont="1" applyBorder="1" applyAlignment="1">
      <alignment horizontal="center" vertical="center" wrapText="1"/>
    </xf>
    <xf numFmtId="0" fontId="11" fillId="0" borderId="32" xfId="11" applyFont="1" applyBorder="1" applyAlignment="1">
      <alignment horizontal="center" vertical="center" wrapText="1"/>
    </xf>
    <xf numFmtId="0" fontId="12" fillId="3" borderId="21" xfId="11" applyFont="1" applyFill="1" applyBorder="1" applyAlignment="1">
      <alignment horizontal="center" vertical="center"/>
    </xf>
    <xf numFmtId="0" fontId="50" fillId="0" borderId="2" xfId="11" applyFont="1" applyBorder="1" applyAlignment="1">
      <alignment horizontal="center" vertical="center" wrapText="1"/>
    </xf>
    <xf numFmtId="0" fontId="12" fillId="0" borderId="32" xfId="11" applyFont="1" applyBorder="1" applyAlignment="1">
      <alignment horizontal="center" vertical="center" wrapText="1"/>
    </xf>
    <xf numFmtId="0" fontId="12" fillId="0" borderId="1" xfId="11" applyFont="1" applyBorder="1" applyAlignment="1">
      <alignment horizontal="center" vertical="center"/>
    </xf>
    <xf numFmtId="0" fontId="6" fillId="0" borderId="9" xfId="11" applyFont="1" applyBorder="1" applyAlignment="1">
      <alignment horizontal="center" vertical="center"/>
    </xf>
    <xf numFmtId="0" fontId="20" fillId="0" borderId="2" xfId="11" applyFont="1" applyBorder="1" applyAlignment="1">
      <alignment horizontal="center" vertical="center" wrapText="1"/>
    </xf>
    <xf numFmtId="0" fontId="20" fillId="4" borderId="2" xfId="11" applyFont="1" applyFill="1" applyBorder="1" applyAlignment="1">
      <alignment horizontal="center" vertical="center" wrapText="1"/>
    </xf>
    <xf numFmtId="0" fontId="12" fillId="4" borderId="2" xfId="3" applyFont="1" applyFill="1" applyBorder="1" applyAlignment="1">
      <alignment horizontal="center" vertical="center" wrapText="1"/>
    </xf>
    <xf numFmtId="0" fontId="11" fillId="4" borderId="2" xfId="11" applyFont="1" applyFill="1" applyBorder="1" applyAlignment="1">
      <alignment horizontal="center" vertical="center" wrapText="1"/>
    </xf>
    <xf numFmtId="0" fontId="9" fillId="0" borderId="17" xfId="11" applyFont="1" applyBorder="1" applyAlignment="1">
      <alignment horizontal="center" vertical="center" wrapText="1"/>
    </xf>
    <xf numFmtId="0" fontId="11" fillId="5" borderId="2" xfId="11" applyFont="1" applyFill="1" applyBorder="1" applyAlignment="1">
      <alignment horizontal="center" vertical="center" wrapText="1"/>
    </xf>
    <xf numFmtId="0" fontId="11" fillId="0" borderId="9" xfId="11" applyFont="1" applyBorder="1" applyAlignment="1">
      <alignment horizontal="center" vertical="center"/>
    </xf>
    <xf numFmtId="0" fontId="4" fillId="4" borderId="2" xfId="11" applyFont="1" applyFill="1" applyBorder="1" applyAlignment="1">
      <alignment horizontal="center" vertical="center" wrapText="1"/>
    </xf>
    <xf numFmtId="0" fontId="51" fillId="4" borderId="2" xfId="11" applyFont="1" applyFill="1" applyBorder="1" applyAlignment="1">
      <alignment horizontal="center" vertical="center" wrapText="1"/>
    </xf>
    <xf numFmtId="0" fontId="12" fillId="4" borderId="2" xfId="11" applyFont="1" applyFill="1" applyBorder="1" applyAlignment="1">
      <alignment horizontal="center" vertical="center"/>
    </xf>
    <xf numFmtId="0" fontId="19" fillId="0" borderId="2" xfId="15" applyFont="1" applyBorder="1" applyAlignment="1">
      <alignment horizontal="center" vertical="center" wrapText="1"/>
    </xf>
    <xf numFmtId="0" fontId="19" fillId="0" borderId="2" xfId="11" applyFont="1" applyBorder="1" applyAlignment="1">
      <alignment horizontal="center" vertical="center"/>
    </xf>
    <xf numFmtId="0" fontId="6" fillId="0" borderId="35" xfId="11" applyFont="1" applyBorder="1" applyAlignment="1">
      <alignment horizontal="center" vertical="center"/>
    </xf>
    <xf numFmtId="0" fontId="9" fillId="0" borderId="29" xfId="11" applyFont="1" applyBorder="1" applyAlignment="1">
      <alignment horizontal="center" vertical="center" wrapText="1"/>
    </xf>
    <xf numFmtId="0" fontId="19" fillId="0" borderId="29" xfId="11" applyFont="1" applyBorder="1" applyAlignment="1">
      <alignment horizontal="center" vertical="center" wrapText="1"/>
    </xf>
    <xf numFmtId="0" fontId="19" fillId="0" borderId="29" xfId="15" applyFont="1" applyBorder="1" applyAlignment="1">
      <alignment horizontal="center" vertical="center" wrapText="1"/>
    </xf>
    <xf numFmtId="0" fontId="11" fillId="0" borderId="29" xfId="11" applyFont="1" applyBorder="1" applyAlignment="1">
      <alignment horizontal="center" vertical="center"/>
    </xf>
    <xf numFmtId="0" fontId="22" fillId="0" borderId="9" xfId="11" applyFont="1" applyBorder="1" applyAlignment="1">
      <alignment horizontal="center" vertical="center"/>
    </xf>
    <xf numFmtId="0" fontId="20" fillId="0" borderId="26" xfId="11" applyFont="1" applyBorder="1" applyAlignment="1">
      <alignment horizontal="center" vertical="center" wrapText="1"/>
    </xf>
    <xf numFmtId="0" fontId="11" fillId="0" borderId="0" xfId="11" applyFont="1" applyAlignment="1">
      <alignment horizontal="center" vertical="center"/>
    </xf>
    <xf numFmtId="0" fontId="23" fillId="0" borderId="9" xfId="11" applyFont="1" applyBorder="1" applyAlignment="1">
      <alignment horizontal="center" vertical="center" wrapText="1"/>
    </xf>
    <xf numFmtId="0" fontId="6" fillId="0" borderId="29" xfId="11" applyFont="1" applyBorder="1" applyAlignment="1">
      <alignment horizontal="center" vertical="center"/>
    </xf>
    <xf numFmtId="0" fontId="11" fillId="0" borderId="36" xfId="11" applyFont="1" applyBorder="1" applyAlignment="1">
      <alignment horizontal="center" vertical="center"/>
    </xf>
    <xf numFmtId="0" fontId="49" fillId="0" borderId="29" xfId="11" applyFont="1" applyBorder="1" applyAlignment="1">
      <alignment horizontal="center" vertical="center" wrapText="1"/>
    </xf>
    <xf numFmtId="0" fontId="24" fillId="0" borderId="0" xfId="11" applyFont="1">
      <alignment vertical="center"/>
    </xf>
    <xf numFmtId="0" fontId="6" fillId="0" borderId="37" xfId="11" applyFont="1" applyBorder="1" applyAlignment="1">
      <alignment horizontal="center" vertical="center"/>
    </xf>
    <xf numFmtId="0" fontId="9" fillId="0" borderId="5" xfId="11" applyFont="1" applyBorder="1" applyAlignment="1">
      <alignment horizontal="center" vertical="center" wrapText="1"/>
    </xf>
    <xf numFmtId="0" fontId="20" fillId="0" borderId="10" xfId="11" applyFont="1" applyBorder="1" applyAlignment="1">
      <alignment horizontal="center" vertical="center" wrapText="1"/>
    </xf>
    <xf numFmtId="0" fontId="20" fillId="0" borderId="11" xfId="11" applyFont="1" applyBorder="1" applyAlignment="1">
      <alignment horizontal="center" vertical="center" wrapText="1"/>
    </xf>
    <xf numFmtId="0" fontId="11" fillId="0" borderId="37" xfId="11" applyFont="1" applyBorder="1" applyAlignment="1">
      <alignment horizontal="center" vertical="center" wrapText="1"/>
    </xf>
    <xf numFmtId="0" fontId="11" fillId="0" borderId="37" xfId="11" applyFont="1" applyBorder="1" applyAlignment="1">
      <alignment horizontal="center" vertical="center"/>
    </xf>
    <xf numFmtId="0" fontId="11" fillId="0" borderId="5" xfId="11" applyFont="1" applyBorder="1" applyAlignment="1">
      <alignment horizontal="center" vertical="center"/>
    </xf>
    <xf numFmtId="0" fontId="23" fillId="0" borderId="5" xfId="11" applyFont="1" applyBorder="1" applyAlignment="1">
      <alignment horizontal="center" vertical="center" wrapText="1"/>
    </xf>
    <xf numFmtId="0" fontId="11" fillId="0" borderId="5" xfId="11" applyFont="1" applyBorder="1" applyAlignment="1">
      <alignment horizontal="center" vertical="center" wrapText="1"/>
    </xf>
    <xf numFmtId="0" fontId="7" fillId="0" borderId="1" xfId="11" applyFont="1" applyBorder="1" applyAlignment="1">
      <alignment horizontal="center" vertical="center"/>
    </xf>
    <xf numFmtId="0" fontId="11" fillId="3" borderId="32" xfId="11" applyFont="1" applyFill="1" applyBorder="1" applyAlignment="1">
      <alignment horizontal="center" vertical="center" wrapText="1"/>
    </xf>
    <xf numFmtId="0" fontId="11" fillId="0" borderId="1" xfId="11" applyFont="1" applyBorder="1" applyAlignment="1">
      <alignment horizontal="center" vertical="center" wrapText="1"/>
    </xf>
    <xf numFmtId="0" fontId="11" fillId="0" borderId="32" xfId="11" applyFont="1" applyBorder="1" applyAlignment="1">
      <alignment horizontal="center" vertical="center"/>
    </xf>
    <xf numFmtId="0" fontId="11" fillId="10" borderId="32" xfId="11" applyFont="1" applyFill="1" applyBorder="1" applyAlignment="1">
      <alignment horizontal="center" vertical="center" wrapText="1"/>
    </xf>
    <xf numFmtId="0" fontId="7" fillId="0" borderId="2" xfId="11" applyFont="1" applyBorder="1" applyAlignment="1">
      <alignment horizontal="center" vertical="center"/>
    </xf>
    <xf numFmtId="0" fontId="7" fillId="0" borderId="29" xfId="11" applyFont="1" applyBorder="1" applyAlignment="1">
      <alignment horizontal="center" vertical="center"/>
    </xf>
    <xf numFmtId="0" fontId="26" fillId="6" borderId="29" xfId="11" applyFont="1" applyFill="1" applyBorder="1" applyAlignment="1">
      <alignment horizontal="center" vertical="center" wrapText="1"/>
    </xf>
    <xf numFmtId="0" fontId="11" fillId="3" borderId="29" xfId="11" applyFont="1" applyFill="1" applyBorder="1" applyAlignment="1">
      <alignment horizontal="center" vertical="center" wrapText="1"/>
    </xf>
    <xf numFmtId="0" fontId="11" fillId="10" borderId="29" xfId="11" applyFont="1" applyFill="1" applyBorder="1" applyAlignment="1">
      <alignment horizontal="center" vertical="center" wrapText="1"/>
    </xf>
    <xf numFmtId="0" fontId="7" fillId="0" borderId="23" xfId="11" applyFont="1" applyBorder="1" applyAlignment="1">
      <alignment horizontal="center" vertical="center"/>
    </xf>
    <xf numFmtId="0" fontId="9" fillId="7" borderId="37" xfId="11" applyFont="1" applyFill="1" applyBorder="1" applyAlignment="1">
      <alignment horizontal="center" vertical="center" wrapText="1"/>
    </xf>
    <xf numFmtId="0" fontId="11" fillId="7" borderId="39" xfId="11" applyFont="1" applyFill="1" applyBorder="1" applyAlignment="1">
      <alignment horizontal="center" vertical="center" wrapText="1"/>
    </xf>
    <xf numFmtId="0" fontId="11" fillId="7" borderId="37" xfId="11" applyFont="1" applyFill="1" applyBorder="1" applyAlignment="1">
      <alignment horizontal="center" vertical="center" wrapText="1"/>
    </xf>
    <xf numFmtId="0" fontId="11" fillId="7" borderId="23" xfId="11" applyFont="1" applyFill="1" applyBorder="1" applyAlignment="1">
      <alignment horizontal="center" vertical="center" wrapText="1"/>
    </xf>
    <xf numFmtId="0" fontId="11" fillId="7" borderId="37" xfId="11" applyFont="1" applyFill="1" applyBorder="1" applyAlignment="1">
      <alignment horizontal="center" vertical="center"/>
    </xf>
    <xf numFmtId="0" fontId="26" fillId="7" borderId="37" xfId="11" applyFont="1" applyFill="1" applyBorder="1" applyAlignment="1">
      <alignment horizontal="center" vertical="center" wrapText="1"/>
    </xf>
    <xf numFmtId="0" fontId="27" fillId="0" borderId="0" xfId="11" applyFont="1" applyAlignment="1">
      <alignment horizontal="center" vertical="center" wrapText="1"/>
    </xf>
    <xf numFmtId="0" fontId="28" fillId="0" borderId="0" xfId="11" applyFont="1" applyAlignment="1">
      <alignment horizontal="center" vertical="center"/>
    </xf>
    <xf numFmtId="0" fontId="20" fillId="0" borderId="0" xfId="11" applyFont="1" applyAlignment="1">
      <alignment horizontal="center" vertical="center" wrapText="1"/>
    </xf>
    <xf numFmtId="0" fontId="29" fillId="2" borderId="40" xfId="11" applyFont="1" applyFill="1" applyBorder="1" applyAlignment="1">
      <alignment horizontal="center" vertical="center" wrapText="1"/>
    </xf>
    <xf numFmtId="0" fontId="29" fillId="2" borderId="41" xfId="11" applyFont="1" applyFill="1" applyBorder="1" applyAlignment="1">
      <alignment horizontal="center" vertical="center" wrapText="1"/>
    </xf>
    <xf numFmtId="0" fontId="29" fillId="2" borderId="41" xfId="11" applyFont="1" applyFill="1" applyBorder="1" applyAlignment="1">
      <alignment horizontal="center" vertical="center"/>
    </xf>
    <xf numFmtId="0" fontId="29" fillId="2" borderId="42" xfId="11" applyFont="1" applyFill="1" applyBorder="1" applyAlignment="1">
      <alignment horizontal="center" vertical="center" wrapText="1"/>
    </xf>
    <xf numFmtId="0" fontId="1" fillId="0" borderId="0" xfId="11" applyAlignment="1">
      <alignment vertical="center" wrapText="1"/>
    </xf>
    <xf numFmtId="0" fontId="11" fillId="0" borderId="43" xfId="11" applyFont="1" applyBorder="1" applyAlignment="1">
      <alignment horizontal="center" vertical="center" wrapText="1"/>
    </xf>
    <xf numFmtId="0" fontId="11" fillId="0" borderId="36" xfId="11" applyFont="1" applyBorder="1">
      <alignment vertical="center"/>
    </xf>
    <xf numFmtId="0" fontId="25" fillId="0" borderId="2" xfId="11" applyFont="1" applyBorder="1" applyAlignment="1">
      <alignment horizontal="center" vertical="center" wrapText="1"/>
    </xf>
    <xf numFmtId="0" fontId="11" fillId="0" borderId="44" xfId="11" applyFont="1" applyBorder="1" applyAlignment="1">
      <alignment horizontal="center" vertical="center" wrapText="1"/>
    </xf>
    <xf numFmtId="0" fontId="24" fillId="0" borderId="0" xfId="11" applyFont="1" applyAlignment="1">
      <alignment horizontal="center" vertical="center"/>
    </xf>
    <xf numFmtId="0" fontId="11" fillId="0" borderId="45" xfId="11" applyFont="1" applyBorder="1" applyAlignment="1">
      <alignment horizontal="center" vertical="center" wrapText="1"/>
    </xf>
    <xf numFmtId="0" fontId="11" fillId="0" borderId="3" xfId="11" applyFont="1" applyBorder="1" applyAlignment="1">
      <alignment horizontal="center" vertical="center"/>
    </xf>
    <xf numFmtId="0" fontId="11" fillId="0" borderId="46" xfId="11" applyFont="1" applyBorder="1" applyAlignment="1">
      <alignment horizontal="center" vertical="center"/>
    </xf>
    <xf numFmtId="0" fontId="11" fillId="0" borderId="2" xfId="11" applyFont="1" applyBorder="1">
      <alignment vertical="center"/>
    </xf>
    <xf numFmtId="0" fontId="11" fillId="0" borderId="44" xfId="11" applyFont="1" applyBorder="1" applyAlignment="1">
      <alignment horizontal="center" vertical="center"/>
    </xf>
    <xf numFmtId="0" fontId="11" fillId="0" borderId="47" xfId="11" applyFont="1" applyBorder="1" applyAlignment="1">
      <alignment horizontal="center" vertical="center" wrapText="1"/>
    </xf>
    <xf numFmtId="0" fontId="19" fillId="0" borderId="48" xfId="11" applyFont="1" applyBorder="1" applyAlignment="1">
      <alignment horizontal="center" vertical="center" wrapText="1"/>
    </xf>
    <xf numFmtId="0" fontId="25" fillId="0" borderId="48" xfId="11" applyFont="1" applyBorder="1" applyAlignment="1">
      <alignment horizontal="center" vertical="center" wrapText="1"/>
    </xf>
    <xf numFmtId="0" fontId="11" fillId="0" borderId="48" xfId="11" applyFont="1" applyBorder="1" applyAlignment="1">
      <alignment horizontal="center" vertical="center" wrapText="1"/>
    </xf>
    <xf numFmtId="0" fontId="11" fillId="0" borderId="49" xfId="11" applyFont="1" applyBorder="1" applyAlignment="1">
      <alignment horizontal="center" vertical="center" wrapText="1"/>
    </xf>
    <xf numFmtId="0" fontId="11" fillId="0" borderId="48" xfId="11" applyFont="1" applyBorder="1">
      <alignment vertical="center"/>
    </xf>
    <xf numFmtId="0" fontId="11" fillId="0" borderId="50" xfId="11" applyFont="1" applyBorder="1" applyAlignment="1">
      <alignment horizontal="center" vertical="center" wrapText="1"/>
    </xf>
    <xf numFmtId="0" fontId="11" fillId="0" borderId="51" xfId="11" applyFont="1" applyBorder="1" applyAlignment="1">
      <alignment horizontal="center" vertical="center" wrapText="1"/>
    </xf>
    <xf numFmtId="0" fontId="11" fillId="0" borderId="0" xfId="11" applyFont="1" applyAlignment="1">
      <alignment horizontal="center" vertical="center" wrapText="1"/>
    </xf>
    <xf numFmtId="0" fontId="25" fillId="0" borderId="0" xfId="11" applyFont="1" applyAlignment="1">
      <alignment horizontal="center" vertical="center" wrapText="1"/>
    </xf>
    <xf numFmtId="0" fontId="19" fillId="0" borderId="0" xfId="11" applyFont="1" applyAlignment="1">
      <alignment horizontal="center" vertical="center" wrapText="1"/>
    </xf>
    <xf numFmtId="0" fontId="11" fillId="0" borderId="0" xfId="11" applyFont="1">
      <alignment vertical="center"/>
    </xf>
    <xf numFmtId="0" fontId="30" fillId="0" borderId="0" xfId="11" applyFont="1">
      <alignment vertical="center"/>
    </xf>
    <xf numFmtId="0" fontId="1" fillId="0" borderId="0" xfId="13">
      <alignment vertical="center"/>
    </xf>
    <xf numFmtId="0" fontId="1" fillId="0" borderId="0" xfId="13" applyAlignment="1">
      <alignment horizontal="center" vertical="center"/>
    </xf>
    <xf numFmtId="0" fontId="0" fillId="0" borderId="0" xfId="13" applyFont="1" applyAlignment="1">
      <alignment horizontal="center" vertical="center" wrapText="1"/>
    </xf>
    <xf numFmtId="0" fontId="1" fillId="0" borderId="0" xfId="13" applyAlignment="1">
      <alignment vertical="center" wrapText="1"/>
    </xf>
    <xf numFmtId="0" fontId="30" fillId="0" borderId="0" xfId="13" applyFont="1" applyAlignment="1">
      <alignment horizontal="center" vertical="center"/>
    </xf>
    <xf numFmtId="0" fontId="30" fillId="0" borderId="0" xfId="13" applyFont="1">
      <alignment vertical="center"/>
    </xf>
    <xf numFmtId="0" fontId="31" fillId="0" borderId="0" xfId="13" applyFont="1" applyAlignment="1">
      <alignment horizontal="center" vertical="center"/>
    </xf>
    <xf numFmtId="0" fontId="5" fillId="0" borderId="0" xfId="13" applyFont="1" applyAlignment="1">
      <alignment horizontal="center" vertical="center"/>
    </xf>
    <xf numFmtId="0" fontId="32" fillId="8" borderId="21" xfId="13" applyFont="1" applyFill="1" applyBorder="1" applyAlignment="1">
      <alignment horizontal="center" vertical="center" wrapText="1"/>
    </xf>
    <xf numFmtId="0" fontId="12" fillId="8" borderId="21" xfId="13" applyFont="1" applyFill="1" applyBorder="1" applyAlignment="1">
      <alignment horizontal="center" vertical="center" wrapText="1"/>
    </xf>
    <xf numFmtId="0" fontId="11" fillId="8" borderId="21" xfId="16" applyFont="1" applyFill="1" applyBorder="1" applyAlignment="1">
      <alignment horizontal="center" vertical="center" wrapText="1"/>
    </xf>
    <xf numFmtId="0" fontId="12" fillId="8" borderId="3" xfId="13" applyFont="1" applyFill="1" applyBorder="1" applyAlignment="1">
      <alignment horizontal="center" vertical="center" wrapText="1"/>
    </xf>
    <xf numFmtId="0" fontId="1" fillId="0" borderId="21" xfId="16" applyBorder="1">
      <alignment vertical="center"/>
    </xf>
    <xf numFmtId="0" fontId="11" fillId="8" borderId="21" xfId="16" applyFont="1" applyFill="1" applyBorder="1" applyAlignment="1">
      <alignment horizontal="center" vertical="center"/>
    </xf>
    <xf numFmtId="0" fontId="12" fillId="8" borderId="21" xfId="16" applyFont="1" applyFill="1" applyBorder="1" applyAlignment="1">
      <alignment horizontal="center" vertical="center"/>
    </xf>
    <xf numFmtId="0" fontId="33" fillId="0" borderId="3" xfId="16" applyFont="1" applyBorder="1" applyAlignment="1">
      <alignment horizontal="center" vertical="center"/>
    </xf>
    <xf numFmtId="0" fontId="33" fillId="0" borderId="4" xfId="16" applyFont="1" applyBorder="1" applyAlignment="1">
      <alignment horizontal="center" vertical="center"/>
    </xf>
    <xf numFmtId="0" fontId="35" fillId="0" borderId="21" xfId="11" applyFont="1" applyBorder="1" applyAlignment="1">
      <alignment horizontal="center" vertical="center" wrapText="1"/>
    </xf>
    <xf numFmtId="0" fontId="36" fillId="0" borderId="21" xfId="11" applyFont="1" applyBorder="1" applyAlignment="1">
      <alignment horizontal="center" vertical="center"/>
    </xf>
    <xf numFmtId="0" fontId="28" fillId="0" borderId="2" xfId="11" applyFont="1" applyBorder="1" applyAlignment="1">
      <alignment horizontal="center" vertical="center" wrapText="1"/>
    </xf>
    <xf numFmtId="0" fontId="38" fillId="0" borderId="2" xfId="11" applyFont="1" applyBorder="1" applyAlignment="1">
      <alignment horizontal="center" vertical="center" wrapText="1"/>
    </xf>
    <xf numFmtId="0" fontId="4" fillId="0" borderId="21" xfId="11" applyFont="1" applyBorder="1" applyAlignment="1">
      <alignment horizontal="center" vertical="center" wrapText="1"/>
    </xf>
    <xf numFmtId="0" fontId="37" fillId="0" borderId="21" xfId="11" applyFont="1" applyBorder="1" applyAlignment="1">
      <alignment horizontal="center" vertical="center" wrapText="1"/>
    </xf>
    <xf numFmtId="0" fontId="37" fillId="0" borderId="2" xfId="11" applyFont="1" applyBorder="1" applyAlignment="1">
      <alignment horizontal="center" vertical="center" wrapText="1"/>
    </xf>
    <xf numFmtId="0" fontId="28" fillId="0" borderId="21" xfId="11" applyFont="1" applyBorder="1" applyAlignment="1">
      <alignment horizontal="center" vertical="center" wrapText="1"/>
    </xf>
    <xf numFmtId="0" fontId="37" fillId="0" borderId="21" xfId="11" applyFont="1" applyBorder="1" applyAlignment="1">
      <alignment horizontal="center" vertical="center"/>
    </xf>
    <xf numFmtId="0" fontId="37" fillId="0" borderId="2" xfId="11" applyFont="1" applyBorder="1" applyAlignment="1">
      <alignment horizontal="center" vertical="center"/>
    </xf>
    <xf numFmtId="0" fontId="35" fillId="0" borderId="2" xfId="11" applyFont="1" applyBorder="1" applyAlignment="1">
      <alignment horizontal="center" vertical="center" wrapText="1"/>
    </xf>
    <xf numFmtId="0" fontId="28" fillId="0" borderId="2" xfId="11" applyFont="1" applyBorder="1" applyAlignment="1">
      <alignment horizontal="center" vertical="center"/>
    </xf>
    <xf numFmtId="0" fontId="36" fillId="0" borderId="2" xfId="11" applyFont="1" applyBorder="1" applyAlignment="1">
      <alignment horizontal="center" vertical="center"/>
    </xf>
    <xf numFmtId="0" fontId="1" fillId="0" borderId="36" xfId="11" applyBorder="1">
      <alignment vertical="center"/>
    </xf>
    <xf numFmtId="0" fontId="38" fillId="0" borderId="2" xfId="11" applyFont="1" applyBorder="1" applyAlignment="1">
      <alignment horizontal="center" vertical="center"/>
    </xf>
    <xf numFmtId="0" fontId="39" fillId="0" borderId="2" xfId="11" applyFont="1" applyBorder="1" applyAlignment="1">
      <alignment horizontal="center" vertical="center" wrapText="1"/>
    </xf>
    <xf numFmtId="0" fontId="40" fillId="0" borderId="21" xfId="11" applyFont="1" applyBorder="1" applyAlignment="1">
      <alignment horizontal="center" vertical="center" wrapText="1"/>
    </xf>
    <xf numFmtId="0" fontId="28" fillId="0" borderId="21" xfId="11" applyFont="1" applyBorder="1" applyAlignment="1">
      <alignment horizontal="center" vertical="center"/>
    </xf>
    <xf numFmtId="0" fontId="36" fillId="0" borderId="21" xfId="11" applyFont="1" applyBorder="1" applyAlignment="1">
      <alignment horizontal="center" vertical="center" wrapText="1"/>
    </xf>
    <xf numFmtId="0" fontId="38" fillId="0" borderId="21" xfId="11" applyFont="1" applyBorder="1" applyAlignment="1">
      <alignment horizontal="center" vertical="center" wrapText="1"/>
    </xf>
    <xf numFmtId="0" fontId="36" fillId="8" borderId="2" xfId="11" applyFont="1" applyFill="1" applyBorder="1" applyAlignment="1">
      <alignment horizontal="center" vertical="center" wrapText="1"/>
    </xf>
    <xf numFmtId="0" fontId="1" fillId="0" borderId="27" xfId="11" applyBorder="1" applyAlignment="1">
      <alignment vertical="center" wrapText="1"/>
    </xf>
    <xf numFmtId="0" fontId="5" fillId="0" borderId="46" xfId="11" applyFont="1" applyBorder="1" applyAlignment="1">
      <alignment horizontal="center" vertical="center"/>
    </xf>
    <xf numFmtId="0" fontId="5" fillId="0" borderId="2" xfId="11" applyFont="1" applyBorder="1" applyAlignment="1">
      <alignment horizontal="center" vertical="center"/>
    </xf>
    <xf numFmtId="0" fontId="1" fillId="0" borderId="21" xfId="11" applyBorder="1" applyAlignment="1">
      <alignment horizontal="center" vertical="center"/>
    </xf>
    <xf numFmtId="0" fontId="1" fillId="0" borderId="3" xfId="11" applyBorder="1" applyAlignment="1">
      <alignment horizontal="center" vertical="center"/>
    </xf>
    <xf numFmtId="0" fontId="5" fillId="0" borderId="9" xfId="11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11" fillId="0" borderId="17" xfId="6" applyFont="1" applyBorder="1" applyAlignment="1">
      <alignment horizontal="center" vertical="center" wrapText="1"/>
    </xf>
    <xf numFmtId="0" fontId="18" fillId="0" borderId="2" xfId="6" applyFont="1" applyBorder="1" applyAlignment="1">
      <alignment horizontal="center" vertical="center"/>
    </xf>
    <xf numFmtId="0" fontId="11" fillId="3" borderId="9" xfId="1" applyFont="1" applyFill="1" applyBorder="1" applyAlignment="1">
      <alignment horizontal="center" vertical="center" wrapText="1"/>
    </xf>
    <xf numFmtId="0" fontId="11" fillId="9" borderId="17" xfId="1" applyFont="1" applyFill="1" applyBorder="1" applyAlignment="1">
      <alignment horizontal="center" vertical="center"/>
    </xf>
    <xf numFmtId="0" fontId="49" fillId="0" borderId="29" xfId="1" applyFont="1" applyBorder="1" applyAlignment="1">
      <alignment horizontal="center" vertical="center" wrapText="1"/>
    </xf>
    <xf numFmtId="0" fontId="5" fillId="0" borderId="0" xfId="18" applyFont="1" applyAlignment="1">
      <alignment horizontal="center" vertical="center"/>
    </xf>
    <xf numFmtId="0" fontId="1" fillId="0" borderId="0" xfId="18" applyAlignment="1">
      <alignment horizontal="center" vertical="center"/>
    </xf>
    <xf numFmtId="0" fontId="1" fillId="0" borderId="0" xfId="18">
      <alignment vertical="center"/>
    </xf>
    <xf numFmtId="0" fontId="6" fillId="2" borderId="2" xfId="18" applyFont="1" applyFill="1" applyBorder="1" applyAlignment="1">
      <alignment horizontal="center" vertical="center"/>
    </xf>
    <xf numFmtId="0" fontId="6" fillId="2" borderId="2" xfId="18" applyFont="1" applyFill="1" applyBorder="1" applyAlignment="1">
      <alignment horizontal="left" vertical="center" wrapText="1"/>
    </xf>
    <xf numFmtId="0" fontId="6" fillId="2" borderId="2" xfId="18" applyFont="1" applyFill="1" applyBorder="1" applyAlignment="1">
      <alignment horizontal="center" vertical="center" wrapText="1"/>
    </xf>
    <xf numFmtId="0" fontId="7" fillId="2" borderId="2" xfId="18" applyFont="1" applyFill="1" applyBorder="1" applyAlignment="1">
      <alignment horizontal="center" vertical="center"/>
    </xf>
    <xf numFmtId="176" fontId="8" fillId="0" borderId="0" xfId="18" applyNumberFormat="1" applyFont="1" applyAlignment="1">
      <alignment horizontal="center" vertical="center" wrapText="1"/>
    </xf>
    <xf numFmtId="0" fontId="6" fillId="0" borderId="2" xfId="18" applyFont="1" applyBorder="1" applyAlignment="1">
      <alignment horizontal="center" vertical="center"/>
    </xf>
    <xf numFmtId="0" fontId="9" fillId="0" borderId="2" xfId="18" applyFont="1" applyBorder="1" applyAlignment="1">
      <alignment horizontal="center" vertical="center" wrapText="1"/>
    </xf>
    <xf numFmtId="0" fontId="11" fillId="0" borderId="2" xfId="18" applyFont="1" applyBorder="1" applyAlignment="1">
      <alignment horizontal="center" vertical="center" wrapText="1"/>
    </xf>
    <xf numFmtId="0" fontId="12" fillId="0" borderId="5" xfId="18" applyFont="1" applyBorder="1" applyAlignment="1">
      <alignment horizontal="center" vertical="center"/>
    </xf>
    <xf numFmtId="0" fontId="9" fillId="0" borderId="9" xfId="18" applyFont="1" applyBorder="1" applyAlignment="1">
      <alignment horizontal="center" vertical="center" wrapText="1"/>
    </xf>
    <xf numFmtId="0" fontId="23" fillId="0" borderId="9" xfId="18" applyFont="1" applyBorder="1" applyAlignment="1">
      <alignment horizontal="center" vertical="center" wrapText="1"/>
    </xf>
    <xf numFmtId="0" fontId="12" fillId="0" borderId="2" xfId="18" applyFont="1" applyBorder="1" applyAlignment="1">
      <alignment horizontal="center" vertical="center"/>
    </xf>
    <xf numFmtId="0" fontId="11" fillId="3" borderId="2" xfId="18" applyFont="1" applyFill="1" applyBorder="1" applyAlignment="1">
      <alignment horizontal="center" vertical="center" wrapText="1"/>
    </xf>
    <xf numFmtId="0" fontId="11" fillId="3" borderId="9" xfId="18" applyFont="1" applyFill="1" applyBorder="1" applyAlignment="1">
      <alignment horizontal="center" vertical="center" wrapText="1"/>
    </xf>
    <xf numFmtId="0" fontId="23" fillId="0" borderId="2" xfId="18" applyFont="1" applyBorder="1" applyAlignment="1">
      <alignment horizontal="center" vertical="center"/>
    </xf>
    <xf numFmtId="0" fontId="11" fillId="0" borderId="9" xfId="18" applyFont="1" applyBorder="1" applyAlignment="1">
      <alignment horizontal="center" vertical="center" wrapText="1"/>
    </xf>
    <xf numFmtId="0" fontId="23" fillId="0" borderId="2" xfId="18" applyFont="1" applyBorder="1" applyAlignment="1">
      <alignment horizontal="center" vertical="center" wrapText="1"/>
    </xf>
    <xf numFmtId="0" fontId="11" fillId="0" borderId="17" xfId="18" applyFont="1" applyBorder="1" applyAlignment="1">
      <alignment horizontal="center" vertical="center" wrapText="1"/>
    </xf>
    <xf numFmtId="0" fontId="4" fillId="0" borderId="2" xfId="18" applyFont="1" applyBorder="1" applyAlignment="1">
      <alignment horizontal="center" vertical="center" wrapText="1"/>
    </xf>
    <xf numFmtId="0" fontId="23" fillId="0" borderId="2" xfId="3" applyFont="1" applyBorder="1" applyAlignment="1">
      <alignment horizontal="center" vertical="center" wrapText="1"/>
    </xf>
    <xf numFmtId="0" fontId="11" fillId="0" borderId="17" xfId="18" applyFont="1" applyBorder="1" applyAlignment="1">
      <alignment horizontal="center" vertical="center"/>
    </xf>
    <xf numFmtId="0" fontId="11" fillId="0" borderId="2" xfId="18" applyFont="1" applyBorder="1" applyAlignment="1">
      <alignment horizontal="center" vertical="center"/>
    </xf>
    <xf numFmtId="0" fontId="12" fillId="0" borderId="21" xfId="18" applyFont="1" applyBorder="1" applyAlignment="1">
      <alignment horizontal="center" vertical="center"/>
    </xf>
    <xf numFmtId="0" fontId="23" fillId="10" borderId="2" xfId="18" applyFont="1" applyFill="1" applyBorder="1" applyAlignment="1">
      <alignment horizontal="center" vertical="center" wrapText="1"/>
    </xf>
    <xf numFmtId="0" fontId="11" fillId="0" borderId="2" xfId="20" applyFont="1" applyBorder="1" applyAlignment="1">
      <alignment horizontal="center" vertical="center"/>
    </xf>
    <xf numFmtId="0" fontId="11" fillId="0" borderId="17" xfId="20" applyFont="1" applyBorder="1" applyAlignment="1">
      <alignment horizontal="center" vertical="center" wrapText="1"/>
    </xf>
    <xf numFmtId="0" fontId="18" fillId="0" borderId="2" xfId="20" applyFont="1" applyBorder="1" applyAlignment="1">
      <alignment horizontal="center" vertical="center"/>
    </xf>
    <xf numFmtId="0" fontId="11" fillId="0" borderId="25" xfId="18" applyFont="1" applyBorder="1" applyAlignment="1">
      <alignment horizontal="center" vertical="center" wrapText="1"/>
    </xf>
    <xf numFmtId="0" fontId="4" fillId="4" borderId="9" xfId="18" applyFont="1" applyFill="1" applyBorder="1" applyAlignment="1">
      <alignment horizontal="center" vertical="center" wrapText="1"/>
    </xf>
    <xf numFmtId="0" fontId="23" fillId="4" borderId="2" xfId="18" applyFont="1" applyFill="1" applyBorder="1" applyAlignment="1">
      <alignment horizontal="center" vertical="center" wrapText="1"/>
    </xf>
    <xf numFmtId="0" fontId="12" fillId="4" borderId="2" xfId="18" applyFont="1" applyFill="1" applyBorder="1" applyAlignment="1">
      <alignment horizontal="center" vertical="center" wrapText="1"/>
    </xf>
    <xf numFmtId="0" fontId="51" fillId="4" borderId="9" xfId="18" applyFont="1" applyFill="1" applyBorder="1" applyAlignment="1">
      <alignment horizontal="center" vertical="center" wrapText="1"/>
    </xf>
    <xf numFmtId="0" fontId="51" fillId="4" borderId="2" xfId="18" applyFont="1" applyFill="1" applyBorder="1" applyAlignment="1">
      <alignment horizontal="center" vertical="center" wrapText="1"/>
    </xf>
    <xf numFmtId="0" fontId="12" fillId="4" borderId="9" xfId="18" applyFont="1" applyFill="1" applyBorder="1" applyAlignment="1">
      <alignment horizontal="center" vertical="center" wrapText="1"/>
    </xf>
    <xf numFmtId="0" fontId="19" fillId="0" borderId="21" xfId="21" applyFont="1" applyBorder="1" applyAlignment="1">
      <alignment horizontal="center" vertical="center" wrapText="1"/>
    </xf>
    <xf numFmtId="0" fontId="19" fillId="0" borderId="2" xfId="21" applyFont="1" applyBorder="1" applyAlignment="1">
      <alignment horizontal="center" vertical="center" wrapText="1"/>
    </xf>
    <xf numFmtId="0" fontId="23" fillId="10" borderId="9" xfId="3" applyFont="1" applyFill="1" applyBorder="1" applyAlignment="1">
      <alignment horizontal="center" vertical="center" wrapText="1"/>
    </xf>
    <xf numFmtId="0" fontId="19" fillId="0" borderId="28" xfId="21" applyFont="1" applyBorder="1" applyAlignment="1">
      <alignment horizontal="center" vertical="center" wrapText="1"/>
    </xf>
    <xf numFmtId="0" fontId="11" fillId="0" borderId="29" xfId="18" applyFont="1" applyBorder="1" applyAlignment="1">
      <alignment horizontal="center" vertical="center" wrapText="1"/>
    </xf>
    <xf numFmtId="0" fontId="23" fillId="0" borderId="17" xfId="18" applyFont="1" applyBorder="1" applyAlignment="1">
      <alignment horizontal="center" vertical="center"/>
    </xf>
    <xf numFmtId="0" fontId="6" fillId="0" borderId="32" xfId="18" applyFont="1" applyBorder="1" applyAlignment="1">
      <alignment horizontal="center" vertical="center"/>
    </xf>
    <xf numFmtId="0" fontId="20" fillId="0" borderId="32" xfId="18" applyFont="1" applyBorder="1" applyAlignment="1">
      <alignment horizontal="center" vertical="center" wrapText="1"/>
    </xf>
    <xf numFmtId="0" fontId="11" fillId="0" borderId="32" xfId="18" applyFont="1" applyBorder="1" applyAlignment="1">
      <alignment horizontal="center" vertical="center" wrapText="1"/>
    </xf>
    <xf numFmtId="0" fontId="12" fillId="0" borderId="32" xfId="18" applyFont="1" applyBorder="1" applyAlignment="1">
      <alignment horizontal="center" vertical="center" wrapText="1"/>
    </xf>
    <xf numFmtId="0" fontId="12" fillId="0" borderId="1" xfId="18" applyFont="1" applyBorder="1" applyAlignment="1">
      <alignment horizontal="center" vertical="center"/>
    </xf>
    <xf numFmtId="0" fontId="6" fillId="0" borderId="9" xfId="18" applyFont="1" applyBorder="1" applyAlignment="1">
      <alignment horizontal="center" vertical="center"/>
    </xf>
    <xf numFmtId="0" fontId="20" fillId="0" borderId="2" xfId="18" applyFont="1" applyBorder="1" applyAlignment="1">
      <alignment horizontal="center" vertical="center" wrapText="1"/>
    </xf>
    <xf numFmtId="0" fontId="20" fillId="4" borderId="2" xfId="18" applyFont="1" applyFill="1" applyBorder="1" applyAlignment="1">
      <alignment horizontal="center" vertical="center" wrapText="1"/>
    </xf>
    <xf numFmtId="0" fontId="9" fillId="0" borderId="17" xfId="18" applyFont="1" applyBorder="1" applyAlignment="1">
      <alignment horizontal="center" vertical="center" wrapText="1"/>
    </xf>
    <xf numFmtId="0" fontId="11" fillId="5" borderId="2" xfId="18" applyFont="1" applyFill="1" applyBorder="1" applyAlignment="1">
      <alignment horizontal="center" vertical="center" wrapText="1"/>
    </xf>
    <xf numFmtId="0" fontId="11" fillId="0" borderId="9" xfId="18" applyFont="1" applyBorder="1" applyAlignment="1">
      <alignment horizontal="center" vertical="center"/>
    </xf>
    <xf numFmtId="0" fontId="23" fillId="10" borderId="2" xfId="18" applyFont="1" applyFill="1" applyBorder="1" applyAlignment="1">
      <alignment horizontal="center" vertical="center"/>
    </xf>
    <xf numFmtId="0" fontId="4" fillId="4" borderId="2" xfId="18" applyFont="1" applyFill="1" applyBorder="1" applyAlignment="1">
      <alignment horizontal="center" vertical="center" wrapText="1"/>
    </xf>
    <xf numFmtId="0" fontId="12" fillId="4" borderId="2" xfId="18" applyFont="1" applyFill="1" applyBorder="1" applyAlignment="1">
      <alignment horizontal="center" vertical="center"/>
    </xf>
    <xf numFmtId="0" fontId="19" fillId="0" borderId="2" xfId="22" applyFont="1" applyBorder="1" applyAlignment="1">
      <alignment horizontal="center" vertical="center" wrapText="1"/>
    </xf>
    <xf numFmtId="0" fontId="19" fillId="0" borderId="2" xfId="23" applyFont="1" applyBorder="1" applyAlignment="1">
      <alignment horizontal="center" vertical="center"/>
    </xf>
    <xf numFmtId="0" fontId="6" fillId="0" borderId="35" xfId="18" applyFont="1" applyBorder="1" applyAlignment="1">
      <alignment horizontal="center" vertical="center"/>
    </xf>
    <xf numFmtId="0" fontId="9" fillId="0" borderId="29" xfId="18" applyFont="1" applyBorder="1" applyAlignment="1">
      <alignment horizontal="center" vertical="center" wrapText="1"/>
    </xf>
    <xf numFmtId="0" fontId="19" fillId="0" borderId="29" xfId="23" applyFont="1" applyBorder="1" applyAlignment="1">
      <alignment horizontal="center" vertical="center" wrapText="1"/>
    </xf>
    <xf numFmtId="0" fontId="19" fillId="0" borderId="29" xfId="22" applyFont="1" applyBorder="1" applyAlignment="1">
      <alignment horizontal="center" vertical="center" wrapText="1"/>
    </xf>
    <xf numFmtId="0" fontId="23" fillId="0" borderId="29" xfId="18" applyFont="1" applyBorder="1" applyAlignment="1">
      <alignment horizontal="center" vertical="center"/>
    </xf>
    <xf numFmtId="0" fontId="11" fillId="0" borderId="29" xfId="18" applyFont="1" applyBorder="1" applyAlignment="1">
      <alignment horizontal="center" vertical="center"/>
    </xf>
    <xf numFmtId="0" fontId="23" fillId="10" borderId="29" xfId="18" applyFont="1" applyFill="1" applyBorder="1" applyAlignment="1">
      <alignment horizontal="center" vertical="center"/>
    </xf>
    <xf numFmtId="0" fontId="22" fillId="0" borderId="9" xfId="18" applyFont="1" applyBorder="1" applyAlignment="1">
      <alignment horizontal="center" vertical="center"/>
    </xf>
    <xf numFmtId="0" fontId="20" fillId="0" borderId="26" xfId="18" applyFont="1" applyBorder="1" applyAlignment="1">
      <alignment horizontal="center" vertical="center" wrapText="1"/>
    </xf>
    <xf numFmtId="0" fontId="23" fillId="10" borderId="9" xfId="18" applyFont="1" applyFill="1" applyBorder="1" applyAlignment="1">
      <alignment horizontal="center" vertical="center"/>
    </xf>
    <xf numFmtId="0" fontId="23" fillId="0" borderId="9" xfId="18" applyFont="1" applyBorder="1" applyAlignment="1">
      <alignment horizontal="center" vertical="center"/>
    </xf>
    <xf numFmtId="0" fontId="11" fillId="0" borderId="0" xfId="18" applyFont="1" applyAlignment="1">
      <alignment horizontal="center" vertical="center"/>
    </xf>
    <xf numFmtId="0" fontId="6" fillId="0" borderId="29" xfId="18" applyFont="1" applyBorder="1" applyAlignment="1">
      <alignment horizontal="center" vertical="center"/>
    </xf>
    <xf numFmtId="0" fontId="11" fillId="0" borderId="36" xfId="18" applyFont="1" applyBorder="1" applyAlignment="1">
      <alignment horizontal="center" vertical="center"/>
    </xf>
    <xf numFmtId="0" fontId="49" fillId="0" borderId="29" xfId="18" applyFont="1" applyBorder="1" applyAlignment="1">
      <alignment horizontal="center" vertical="center" wrapText="1"/>
    </xf>
    <xf numFmtId="0" fontId="24" fillId="0" borderId="0" xfId="18" applyFont="1">
      <alignment vertical="center"/>
    </xf>
    <xf numFmtId="0" fontId="6" fillId="0" borderId="37" xfId="18" applyFont="1" applyBorder="1" applyAlignment="1">
      <alignment horizontal="center" vertical="center"/>
    </xf>
    <xf numFmtId="0" fontId="9" fillId="0" borderId="5" xfId="18" applyFont="1" applyBorder="1" applyAlignment="1">
      <alignment horizontal="center" vertical="center" wrapText="1"/>
    </xf>
    <xf numFmtId="0" fontId="20" fillId="0" borderId="10" xfId="18" applyFont="1" applyBorder="1" applyAlignment="1">
      <alignment horizontal="center" vertical="center" wrapText="1"/>
    </xf>
    <xf numFmtId="0" fontId="20" fillId="0" borderId="11" xfId="18" applyFont="1" applyBorder="1" applyAlignment="1">
      <alignment horizontal="center" vertical="center" wrapText="1"/>
    </xf>
    <xf numFmtId="0" fontId="11" fillId="0" borderId="37" xfId="18" applyFont="1" applyBorder="1" applyAlignment="1">
      <alignment horizontal="center" vertical="center" wrapText="1"/>
    </xf>
    <xf numFmtId="0" fontId="11" fillId="0" borderId="37" xfId="18" applyFont="1" applyBorder="1" applyAlignment="1">
      <alignment horizontal="center" vertical="center"/>
    </xf>
    <xf numFmtId="0" fontId="11" fillId="0" borderId="5" xfId="18" applyFont="1" applyBorder="1" applyAlignment="1">
      <alignment horizontal="center" vertical="center"/>
    </xf>
    <xf numFmtId="0" fontId="23" fillId="0" borderId="5" xfId="18" applyFont="1" applyBorder="1" applyAlignment="1">
      <alignment horizontal="center" vertical="center" wrapText="1"/>
    </xf>
    <xf numFmtId="0" fontId="11" fillId="0" borderId="5" xfId="18" applyFont="1" applyBorder="1" applyAlignment="1">
      <alignment horizontal="center" vertical="center" wrapText="1"/>
    </xf>
    <xf numFmtId="0" fontId="7" fillId="0" borderId="1" xfId="18" applyFont="1" applyBorder="1" applyAlignment="1">
      <alignment horizontal="center" vertical="center"/>
    </xf>
    <xf numFmtId="0" fontId="11" fillId="3" borderId="32" xfId="18" applyFont="1" applyFill="1" applyBorder="1" applyAlignment="1">
      <alignment horizontal="center" vertical="center" wrapText="1"/>
    </xf>
    <xf numFmtId="0" fontId="11" fillId="0" borderId="1" xfId="18" applyFont="1" applyBorder="1" applyAlignment="1">
      <alignment horizontal="center" vertical="center" wrapText="1"/>
    </xf>
    <xf numFmtId="0" fontId="11" fillId="0" borderId="32" xfId="18" applyFont="1" applyBorder="1" applyAlignment="1">
      <alignment horizontal="center" vertical="center"/>
    </xf>
    <xf numFmtId="0" fontId="11" fillId="10" borderId="32" xfId="18" applyFont="1" applyFill="1" applyBorder="1" applyAlignment="1">
      <alignment horizontal="center" vertical="center" wrapText="1"/>
    </xf>
    <xf numFmtId="0" fontId="7" fillId="0" borderId="2" xfId="18" applyFont="1" applyBorder="1" applyAlignment="1">
      <alignment horizontal="center" vertical="center"/>
    </xf>
    <xf numFmtId="0" fontId="7" fillId="0" borderId="29" xfId="18" applyFont="1" applyBorder="1" applyAlignment="1">
      <alignment horizontal="center" vertical="center"/>
    </xf>
    <xf numFmtId="0" fontId="26" fillId="6" borderId="29" xfId="18" applyFont="1" applyFill="1" applyBorder="1" applyAlignment="1">
      <alignment horizontal="center" vertical="center" wrapText="1"/>
    </xf>
    <xf numFmtId="0" fontId="11" fillId="3" borderId="29" xfId="18" applyFont="1" applyFill="1" applyBorder="1" applyAlignment="1">
      <alignment horizontal="center" vertical="center" wrapText="1"/>
    </xf>
    <xf numFmtId="0" fontId="11" fillId="10" borderId="29" xfId="18" applyFont="1" applyFill="1" applyBorder="1" applyAlignment="1">
      <alignment horizontal="center" vertical="center" wrapText="1"/>
    </xf>
    <xf numFmtId="0" fontId="7" fillId="0" borderId="23" xfId="18" applyFont="1" applyBorder="1" applyAlignment="1">
      <alignment horizontal="center" vertical="center"/>
    </xf>
    <xf numFmtId="0" fontId="9" fillId="7" borderId="37" xfId="18" applyFont="1" applyFill="1" applyBorder="1" applyAlignment="1">
      <alignment horizontal="center" vertical="center" wrapText="1"/>
    </xf>
    <xf numFmtId="0" fontId="11" fillId="7" borderId="39" xfId="18" applyFont="1" applyFill="1" applyBorder="1" applyAlignment="1">
      <alignment horizontal="center" vertical="center" wrapText="1"/>
    </xf>
    <xf numFmtId="0" fontId="11" fillId="7" borderId="37" xfId="18" applyFont="1" applyFill="1" applyBorder="1" applyAlignment="1">
      <alignment horizontal="center" vertical="center" wrapText="1"/>
    </xf>
    <xf numFmtId="0" fontId="11" fillId="7" borderId="23" xfId="18" applyFont="1" applyFill="1" applyBorder="1" applyAlignment="1">
      <alignment horizontal="center" vertical="center" wrapText="1"/>
    </xf>
    <xf numFmtId="0" fontId="11" fillId="7" borderId="37" xfId="18" applyFont="1" applyFill="1" applyBorder="1" applyAlignment="1">
      <alignment horizontal="center" vertical="center"/>
    </xf>
    <xf numFmtId="0" fontId="26" fillId="7" borderId="37" xfId="18" applyFont="1" applyFill="1" applyBorder="1" applyAlignment="1">
      <alignment horizontal="center" vertical="center" wrapText="1"/>
    </xf>
    <xf numFmtId="0" fontId="27" fillId="0" borderId="0" xfId="18" applyFont="1" applyAlignment="1">
      <alignment horizontal="center" vertical="center" wrapText="1"/>
    </xf>
    <xf numFmtId="0" fontId="28" fillId="0" borderId="0" xfId="18" applyFont="1" applyAlignment="1">
      <alignment horizontal="center" vertical="center"/>
    </xf>
    <xf numFmtId="0" fontId="20" fillId="0" borderId="0" xfId="18" applyFont="1" applyAlignment="1">
      <alignment horizontal="center" vertical="center" wrapText="1"/>
    </xf>
    <xf numFmtId="0" fontId="29" fillId="2" borderId="40" xfId="18" applyFont="1" applyFill="1" applyBorder="1" applyAlignment="1">
      <alignment horizontal="center" vertical="center" wrapText="1"/>
    </xf>
    <xf numFmtId="0" fontId="29" fillId="2" borderId="41" xfId="18" applyFont="1" applyFill="1" applyBorder="1" applyAlignment="1">
      <alignment horizontal="center" vertical="center" wrapText="1"/>
    </xf>
    <xf numFmtId="0" fontId="29" fillId="2" borderId="41" xfId="18" applyFont="1" applyFill="1" applyBorder="1" applyAlignment="1">
      <alignment horizontal="center" vertical="center"/>
    </xf>
    <xf numFmtId="0" fontId="29" fillId="2" borderId="42" xfId="18" applyFont="1" applyFill="1" applyBorder="1" applyAlignment="1">
      <alignment horizontal="center" vertical="center" wrapText="1"/>
    </xf>
    <xf numFmtId="0" fontId="1" fillId="0" borderId="0" xfId="18" applyAlignment="1">
      <alignment vertical="center" wrapText="1"/>
    </xf>
    <xf numFmtId="0" fontId="11" fillId="0" borderId="43" xfId="18" applyFont="1" applyBorder="1" applyAlignment="1">
      <alignment horizontal="center" vertical="center" wrapText="1"/>
    </xf>
    <xf numFmtId="0" fontId="11" fillId="0" borderId="36" xfId="18" applyFont="1" applyBorder="1">
      <alignment vertical="center"/>
    </xf>
    <xf numFmtId="0" fontId="25" fillId="0" borderId="2" xfId="18" applyFont="1" applyBorder="1" applyAlignment="1">
      <alignment horizontal="center" vertical="center" wrapText="1"/>
    </xf>
    <xf numFmtId="0" fontId="11" fillId="0" borderId="44" xfId="18" applyFont="1" applyBorder="1" applyAlignment="1">
      <alignment horizontal="center" vertical="center" wrapText="1"/>
    </xf>
    <xf numFmtId="0" fontId="24" fillId="0" borderId="0" xfId="18" applyFont="1" applyAlignment="1">
      <alignment horizontal="center" vertical="center"/>
    </xf>
    <xf numFmtId="0" fontId="11" fillId="0" borderId="45" xfId="18" applyFont="1" applyBorder="1" applyAlignment="1">
      <alignment horizontal="center" vertical="center" wrapText="1"/>
    </xf>
    <xf numFmtId="0" fontId="11" fillId="0" borderId="3" xfId="18" applyFont="1" applyBorder="1" applyAlignment="1">
      <alignment horizontal="center" vertical="center"/>
    </xf>
    <xf numFmtId="0" fontId="11" fillId="0" borderId="46" xfId="18" applyFont="1" applyBorder="1" applyAlignment="1">
      <alignment horizontal="center" vertical="center"/>
    </xf>
    <xf numFmtId="0" fontId="11" fillId="0" borderId="2" xfId="18" applyFont="1" applyBorder="1">
      <alignment vertical="center"/>
    </xf>
    <xf numFmtId="0" fontId="19" fillId="0" borderId="2" xfId="18" applyFont="1" applyBorder="1" applyAlignment="1">
      <alignment horizontal="center" vertical="center" wrapText="1"/>
    </xf>
    <xf numFmtId="0" fontId="11" fillId="0" borderId="44" xfId="18" applyFont="1" applyBorder="1" applyAlignment="1">
      <alignment horizontal="center" vertical="center"/>
    </xf>
    <xf numFmtId="0" fontId="11" fillId="0" borderId="47" xfId="18" applyFont="1" applyBorder="1" applyAlignment="1">
      <alignment horizontal="center" vertical="center" wrapText="1"/>
    </xf>
    <xf numFmtId="0" fontId="11" fillId="0" borderId="48" xfId="18" applyFont="1" applyBorder="1" applyAlignment="1">
      <alignment horizontal="center" vertical="center" wrapText="1"/>
    </xf>
    <xf numFmtId="0" fontId="25" fillId="0" borderId="48" xfId="18" applyFont="1" applyBorder="1" applyAlignment="1">
      <alignment horizontal="center" vertical="center" wrapText="1"/>
    </xf>
    <xf numFmtId="0" fontId="11" fillId="0" borderId="49" xfId="18" applyFont="1" applyBorder="1" applyAlignment="1">
      <alignment horizontal="center" vertical="center" wrapText="1"/>
    </xf>
    <xf numFmtId="0" fontId="11" fillId="0" borderId="48" xfId="18" applyFont="1" applyBorder="1">
      <alignment vertical="center"/>
    </xf>
    <xf numFmtId="0" fontId="11" fillId="0" borderId="50" xfId="18" applyFont="1" applyBorder="1" applyAlignment="1">
      <alignment horizontal="center" vertical="center" wrapText="1"/>
    </xf>
    <xf numFmtId="0" fontId="11" fillId="0" borderId="51" xfId="18" applyFont="1" applyBorder="1" applyAlignment="1">
      <alignment horizontal="center" vertical="center" wrapText="1"/>
    </xf>
    <xf numFmtId="0" fontId="11" fillId="0" borderId="0" xfId="18" applyFont="1" applyAlignment="1">
      <alignment horizontal="center" vertical="center" wrapText="1"/>
    </xf>
    <xf numFmtId="0" fontId="25" fillId="0" borderId="0" xfId="18" applyFont="1" applyAlignment="1">
      <alignment horizontal="center" vertical="center" wrapText="1"/>
    </xf>
    <xf numFmtId="0" fontId="19" fillId="0" borderId="0" xfId="18" applyFont="1" applyAlignment="1">
      <alignment horizontal="center" vertical="center" wrapText="1"/>
    </xf>
    <xf numFmtId="0" fontId="11" fillId="0" borderId="0" xfId="18" applyFont="1">
      <alignment vertical="center"/>
    </xf>
    <xf numFmtId="0" fontId="30" fillId="0" borderId="0" xfId="18" applyFont="1">
      <alignment vertical="center"/>
    </xf>
    <xf numFmtId="0" fontId="1" fillId="0" borderId="0" xfId="20">
      <alignment vertical="center"/>
    </xf>
    <xf numFmtId="0" fontId="1" fillId="0" borderId="0" xfId="20" applyAlignment="1">
      <alignment horizontal="center" vertical="center"/>
    </xf>
    <xf numFmtId="0" fontId="0" fillId="0" borderId="0" xfId="20" applyFont="1" applyAlignment="1">
      <alignment horizontal="center" vertical="center" wrapText="1"/>
    </xf>
    <xf numFmtId="0" fontId="1" fillId="0" borderId="0" xfId="20" applyAlignment="1">
      <alignment vertical="center" wrapText="1"/>
    </xf>
    <xf numFmtId="0" fontId="30" fillId="0" borderId="0" xfId="20" applyFont="1" applyAlignment="1">
      <alignment horizontal="center" vertical="center"/>
    </xf>
    <xf numFmtId="0" fontId="30" fillId="0" borderId="0" xfId="20" applyFont="1">
      <alignment vertical="center"/>
    </xf>
    <xf numFmtId="0" fontId="31" fillId="0" borderId="0" xfId="20" applyFont="1" applyAlignment="1">
      <alignment horizontal="center" vertical="center"/>
    </xf>
    <xf numFmtId="0" fontId="5" fillId="0" borderId="0" xfId="20" applyFont="1" applyAlignment="1">
      <alignment horizontal="center" vertical="center"/>
    </xf>
    <xf numFmtId="0" fontId="32" fillId="8" borderId="21" xfId="20" applyFont="1" applyFill="1" applyBorder="1" applyAlignment="1">
      <alignment horizontal="center" vertical="center" wrapText="1"/>
    </xf>
    <xf numFmtId="0" fontId="12" fillId="8" borderId="21" xfId="20" applyFont="1" applyFill="1" applyBorder="1" applyAlignment="1">
      <alignment horizontal="center" vertical="center" wrapText="1"/>
    </xf>
    <xf numFmtId="0" fontId="11" fillId="8" borderId="21" xfId="24" applyFont="1" applyFill="1" applyBorder="1" applyAlignment="1">
      <alignment horizontal="center" vertical="center" wrapText="1"/>
    </xf>
    <xf numFmtId="0" fontId="12" fillId="8" borderId="3" xfId="20" applyFont="1" applyFill="1" applyBorder="1" applyAlignment="1">
      <alignment horizontal="center" vertical="center" wrapText="1"/>
    </xf>
    <xf numFmtId="0" fontId="1" fillId="0" borderId="21" xfId="24" applyBorder="1">
      <alignment vertical="center"/>
    </xf>
    <xf numFmtId="0" fontId="11" fillId="8" borderId="21" xfId="24" applyFont="1" applyFill="1" applyBorder="1" applyAlignment="1">
      <alignment horizontal="center" vertical="center"/>
    </xf>
    <xf numFmtId="0" fontId="12" fillId="8" borderId="21" xfId="24" applyFont="1" applyFill="1" applyBorder="1" applyAlignment="1">
      <alignment horizontal="center" vertical="center"/>
    </xf>
    <xf numFmtId="0" fontId="33" fillId="0" borderId="3" xfId="24" applyFont="1" applyBorder="1" applyAlignment="1">
      <alignment horizontal="center" vertical="center"/>
    </xf>
    <xf numFmtId="0" fontId="33" fillId="0" borderId="4" xfId="24" applyFont="1" applyBorder="1" applyAlignment="1">
      <alignment horizontal="center" vertical="center"/>
    </xf>
    <xf numFmtId="0" fontId="35" fillId="0" borderId="21" xfId="18" applyFont="1" applyBorder="1" applyAlignment="1">
      <alignment horizontal="center" vertical="center" wrapText="1"/>
    </xf>
    <xf numFmtId="0" fontId="36" fillId="0" borderId="21" xfId="18" applyFont="1" applyBorder="1" applyAlignment="1">
      <alignment horizontal="center" vertical="center"/>
    </xf>
    <xf numFmtId="0" fontId="28" fillId="0" borderId="2" xfId="18" applyFont="1" applyBorder="1" applyAlignment="1">
      <alignment horizontal="center" vertical="center" wrapText="1"/>
    </xf>
    <xf numFmtId="0" fontId="38" fillId="0" borderId="2" xfId="18" applyFont="1" applyBorder="1" applyAlignment="1">
      <alignment horizontal="center" vertical="center" wrapText="1"/>
    </xf>
    <xf numFmtId="0" fontId="4" fillId="0" borderId="21" xfId="18" applyFont="1" applyBorder="1" applyAlignment="1">
      <alignment horizontal="center" vertical="center" wrapText="1"/>
    </xf>
    <xf numFmtId="0" fontId="37" fillId="0" borderId="21" xfId="18" applyFont="1" applyBorder="1" applyAlignment="1">
      <alignment horizontal="center" vertical="center" wrapText="1"/>
    </xf>
    <xf numFmtId="0" fontId="37" fillId="0" borderId="2" xfId="18" applyFont="1" applyBorder="1" applyAlignment="1">
      <alignment horizontal="center" vertical="center" wrapText="1"/>
    </xf>
    <xf numFmtId="0" fontId="28" fillId="0" borderId="21" xfId="18" applyFont="1" applyBorder="1" applyAlignment="1">
      <alignment horizontal="center" vertical="center" wrapText="1"/>
    </xf>
    <xf numFmtId="0" fontId="37" fillId="0" borderId="21" xfId="18" applyFont="1" applyBorder="1" applyAlignment="1">
      <alignment horizontal="center" vertical="center"/>
    </xf>
    <xf numFmtId="0" fontId="37" fillId="0" borderId="2" xfId="18" applyFont="1" applyBorder="1" applyAlignment="1">
      <alignment horizontal="center" vertical="center"/>
    </xf>
    <xf numFmtId="0" fontId="35" fillId="0" borderId="2" xfId="18" applyFont="1" applyBorder="1" applyAlignment="1">
      <alignment horizontal="center" vertical="center" wrapText="1"/>
    </xf>
    <xf numFmtId="0" fontId="28" fillId="0" borderId="2" xfId="18" applyFont="1" applyBorder="1" applyAlignment="1">
      <alignment horizontal="center" vertical="center"/>
    </xf>
    <xf numFmtId="0" fontId="36" fillId="0" borderId="2" xfId="18" applyFont="1" applyBorder="1" applyAlignment="1">
      <alignment horizontal="center" vertical="center"/>
    </xf>
    <xf numFmtId="0" fontId="1" fillId="0" borderId="36" xfId="18" applyBorder="1">
      <alignment vertical="center"/>
    </xf>
    <xf numFmtId="0" fontId="38" fillId="0" borderId="2" xfId="18" applyFont="1" applyBorder="1" applyAlignment="1">
      <alignment horizontal="center" vertical="center"/>
    </xf>
    <xf numFmtId="0" fontId="39" fillId="0" borderId="2" xfId="18" applyFont="1" applyBorder="1" applyAlignment="1">
      <alignment horizontal="center" vertical="center" wrapText="1"/>
    </xf>
    <xf numFmtId="0" fontId="40" fillId="0" borderId="21" xfId="18" applyFont="1" applyBorder="1" applyAlignment="1">
      <alignment horizontal="center" vertical="center" wrapText="1"/>
    </xf>
    <xf numFmtId="0" fontId="28" fillId="0" borderId="21" xfId="18" applyFont="1" applyBorder="1" applyAlignment="1">
      <alignment horizontal="center" vertical="center"/>
    </xf>
    <xf numFmtId="0" fontId="36" fillId="0" borderId="21" xfId="18" applyFont="1" applyBorder="1" applyAlignment="1">
      <alignment horizontal="center" vertical="center" wrapText="1"/>
    </xf>
    <xf numFmtId="0" fontId="38" fillId="0" borderId="21" xfId="18" applyFont="1" applyBorder="1" applyAlignment="1">
      <alignment horizontal="center" vertical="center" wrapText="1"/>
    </xf>
    <xf numFmtId="0" fontId="36" fillId="8" borderId="2" xfId="18" applyFont="1" applyFill="1" applyBorder="1" applyAlignment="1">
      <alignment horizontal="center" vertical="center" wrapText="1"/>
    </xf>
    <xf numFmtId="0" fontId="1" fillId="0" borderId="27" xfId="18" applyBorder="1" applyAlignment="1">
      <alignment vertical="center" wrapText="1"/>
    </xf>
    <xf numFmtId="0" fontId="5" fillId="0" borderId="46" xfId="18" applyFont="1" applyBorder="1" applyAlignment="1">
      <alignment horizontal="center" vertical="center"/>
    </xf>
    <xf numFmtId="0" fontId="5" fillId="0" borderId="2" xfId="18" applyFont="1" applyBorder="1" applyAlignment="1">
      <alignment horizontal="center" vertical="center"/>
    </xf>
    <xf numFmtId="0" fontId="1" fillId="0" borderId="21" xfId="18" applyBorder="1" applyAlignment="1">
      <alignment horizontal="center" vertical="center"/>
    </xf>
    <xf numFmtId="0" fontId="1" fillId="0" borderId="3" xfId="18" applyBorder="1" applyAlignment="1">
      <alignment horizontal="center" vertical="center"/>
    </xf>
    <xf numFmtId="0" fontId="5" fillId="0" borderId="9" xfId="18" applyFont="1" applyBorder="1" applyAlignment="1">
      <alignment horizontal="center" vertical="center"/>
    </xf>
    <xf numFmtId="0" fontId="19" fillId="0" borderId="25" xfId="1" applyFont="1" applyBorder="1" applyAlignment="1">
      <alignment horizontal="center" vertical="center" wrapText="1"/>
    </xf>
    <xf numFmtId="0" fontId="15" fillId="0" borderId="22" xfId="1" applyFont="1" applyBorder="1" applyAlignment="1">
      <alignment horizontal="left" vertical="center"/>
    </xf>
    <xf numFmtId="0" fontId="15" fillId="0" borderId="23" xfId="1" applyFont="1" applyBorder="1" applyAlignment="1">
      <alignment horizontal="left" vertical="center"/>
    </xf>
    <xf numFmtId="0" fontId="15" fillId="0" borderId="24" xfId="1" applyFont="1" applyBorder="1" applyAlignment="1">
      <alignment horizontal="left" vertical="center"/>
    </xf>
    <xf numFmtId="0" fontId="15" fillId="0" borderId="6" xfId="5" applyFont="1" applyBorder="1" applyAlignment="1">
      <alignment horizontal="left" vertical="center" wrapText="1"/>
    </xf>
    <xf numFmtId="0" fontId="15" fillId="0" borderId="7" xfId="5" applyFont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 wrapText="1"/>
    </xf>
    <xf numFmtId="0" fontId="16" fillId="0" borderId="12" xfId="5" applyFont="1" applyBorder="1" applyAlignment="1">
      <alignment horizontal="left" vertical="center" wrapText="1"/>
    </xf>
    <xf numFmtId="0" fontId="16" fillId="0" borderId="13" xfId="5" applyFont="1" applyBorder="1" applyAlignment="1">
      <alignment horizontal="left" vertical="center" wrapText="1"/>
    </xf>
    <xf numFmtId="0" fontId="16" fillId="0" borderId="14" xfId="5" applyFont="1" applyBorder="1" applyAlignment="1">
      <alignment horizontal="left" vertical="center" wrapText="1"/>
    </xf>
    <xf numFmtId="0" fontId="16" fillId="0" borderId="15" xfId="5" applyFont="1" applyBorder="1" applyAlignment="1">
      <alignment horizontal="left" vertical="center" wrapText="1"/>
    </xf>
    <xf numFmtId="0" fontId="16" fillId="0" borderId="0" xfId="5" applyFont="1" applyAlignment="1">
      <alignment horizontal="left" vertical="center" wrapText="1"/>
    </xf>
    <xf numFmtId="0" fontId="16" fillId="0" borderId="16" xfId="5" applyFont="1" applyBorder="1" applyAlignment="1">
      <alignment horizontal="left" vertical="center" wrapText="1"/>
    </xf>
    <xf numFmtId="0" fontId="16" fillId="0" borderId="18" xfId="5" applyFont="1" applyBorder="1" applyAlignment="1">
      <alignment horizontal="left" vertical="center" wrapText="1"/>
    </xf>
    <xf numFmtId="0" fontId="16" fillId="0" borderId="19" xfId="5" applyFont="1" applyBorder="1" applyAlignment="1">
      <alignment horizontal="left" vertical="center" wrapText="1"/>
    </xf>
    <xf numFmtId="0" fontId="16" fillId="0" borderId="20" xfId="5" applyFont="1" applyBorder="1" applyAlignment="1">
      <alignment horizontal="left" vertical="center" wrapText="1"/>
    </xf>
    <xf numFmtId="0" fontId="15" fillId="0" borderId="22" xfId="5" applyFont="1" applyBorder="1" applyAlignment="1">
      <alignment horizontal="left" vertical="center" wrapText="1"/>
    </xf>
    <xf numFmtId="0" fontId="15" fillId="0" borderId="23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 wrapText="1"/>
    </xf>
    <xf numFmtId="0" fontId="17" fillId="0" borderId="12" xfId="5" applyFont="1" applyBorder="1" applyAlignment="1">
      <alignment horizontal="left" vertical="center" wrapText="1"/>
    </xf>
    <xf numFmtId="0" fontId="17" fillId="0" borderId="13" xfId="5" applyFont="1" applyBorder="1" applyAlignment="1">
      <alignment horizontal="left" vertical="center" wrapText="1"/>
    </xf>
    <xf numFmtId="0" fontId="17" fillId="0" borderId="14" xfId="5" applyFont="1" applyBorder="1" applyAlignment="1">
      <alignment horizontal="left" vertical="center" wrapText="1"/>
    </xf>
    <xf numFmtId="0" fontId="17" fillId="0" borderId="15" xfId="5" applyFont="1" applyBorder="1" applyAlignment="1">
      <alignment horizontal="left" vertical="center" wrapText="1"/>
    </xf>
    <xf numFmtId="0" fontId="17" fillId="0" borderId="0" xfId="5" applyFont="1" applyAlignment="1">
      <alignment horizontal="left" vertical="center" wrapText="1"/>
    </xf>
    <xf numFmtId="0" fontId="17" fillId="0" borderId="16" xfId="5" applyFont="1" applyBorder="1" applyAlignment="1">
      <alignment horizontal="left" vertical="center" wrapText="1"/>
    </xf>
    <xf numFmtId="0" fontId="17" fillId="0" borderId="18" xfId="5" applyFont="1" applyBorder="1" applyAlignment="1">
      <alignment horizontal="left" vertical="center" wrapText="1"/>
    </xf>
    <xf numFmtId="0" fontId="17" fillId="0" borderId="19" xfId="5" applyFont="1" applyBorder="1" applyAlignment="1">
      <alignment horizontal="left" vertical="center" wrapText="1"/>
    </xf>
    <xf numFmtId="0" fontId="17" fillId="0" borderId="20" xfId="5" applyFont="1" applyBorder="1" applyAlignment="1">
      <alignment horizontal="left" vertical="center" wrapText="1"/>
    </xf>
    <xf numFmtId="0" fontId="11" fillId="0" borderId="3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0" fontId="11" fillId="0" borderId="30" xfId="3" applyFont="1" applyBorder="1" applyAlignment="1">
      <alignment horizontal="center" vertical="center" wrapText="1"/>
    </xf>
    <xf numFmtId="0" fontId="11" fillId="0" borderId="31" xfId="3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33" xfId="3" applyFont="1" applyBorder="1" applyAlignment="1">
      <alignment horizontal="center" vertical="center" wrapText="1"/>
    </xf>
    <xf numFmtId="0" fontId="9" fillId="0" borderId="34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9" fillId="0" borderId="11" xfId="3" applyFont="1" applyBorder="1" applyAlignment="1">
      <alignment horizontal="center" vertical="center" wrapText="1"/>
    </xf>
    <xf numFmtId="0" fontId="9" fillId="0" borderId="30" xfId="3" applyFont="1" applyBorder="1" applyAlignment="1">
      <alignment horizontal="center" vertical="center" wrapText="1"/>
    </xf>
    <xf numFmtId="0" fontId="9" fillId="0" borderId="31" xfId="3" applyFont="1" applyBorder="1" applyAlignment="1">
      <alignment horizontal="center" vertical="center" wrapText="1"/>
    </xf>
    <xf numFmtId="0" fontId="26" fillId="6" borderId="28" xfId="1" applyFont="1" applyFill="1" applyBorder="1" applyAlignment="1">
      <alignment horizontal="center" vertical="center" wrapText="1"/>
    </xf>
    <xf numFmtId="0" fontId="26" fillId="6" borderId="38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26" xfId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 vertical="center" wrapText="1"/>
    </xf>
    <xf numFmtId="0" fontId="20" fillId="0" borderId="33" xfId="1" applyFont="1" applyBorder="1" applyAlignment="1">
      <alignment horizontal="center" vertical="center" wrapText="1"/>
    </xf>
    <xf numFmtId="0" fontId="20" fillId="0" borderId="34" xfId="1" applyFont="1" applyBorder="1" applyAlignment="1">
      <alignment horizontal="center" vertical="center" wrapText="1"/>
    </xf>
    <xf numFmtId="0" fontId="20" fillId="0" borderId="10" xfId="1" applyFont="1" applyBorder="1" applyAlignment="1">
      <alignment horizontal="center" vertical="center" wrapText="1"/>
    </xf>
    <xf numFmtId="0" fontId="20" fillId="0" borderId="11" xfId="1" applyFont="1" applyBorder="1" applyAlignment="1">
      <alignment horizontal="center" vertical="center" wrapText="1"/>
    </xf>
    <xf numFmtId="0" fontId="20" fillId="0" borderId="26" xfId="1" applyFont="1" applyBorder="1" applyAlignment="1">
      <alignment horizontal="center" vertical="center" wrapText="1"/>
    </xf>
    <xf numFmtId="0" fontId="20" fillId="0" borderId="27" xfId="1" applyFont="1" applyBorder="1" applyAlignment="1">
      <alignment horizontal="center" vertical="center" wrapText="1"/>
    </xf>
    <xf numFmtId="0" fontId="4" fillId="0" borderId="21" xfId="10" applyFont="1" applyBorder="1" applyAlignment="1">
      <alignment horizontal="center" vertical="center" wrapText="1"/>
    </xf>
    <xf numFmtId="0" fontId="4" fillId="0" borderId="9" xfId="10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30" xfId="1" applyFont="1" applyBorder="1" applyAlignment="1">
      <alignment horizontal="center" vertical="center" wrapText="1"/>
    </xf>
    <xf numFmtId="0" fontId="11" fillId="0" borderId="31" xfId="1" applyFont="1" applyBorder="1" applyAlignment="1">
      <alignment horizontal="center" vertical="center" wrapText="1"/>
    </xf>
    <xf numFmtId="0" fontId="16" fillId="0" borderId="12" xfId="5" applyFont="1" applyBorder="1" applyAlignment="1">
      <alignment horizontal="left" vertical="center" wrapText="1" indent="1"/>
    </xf>
    <xf numFmtId="0" fontId="16" fillId="0" borderId="13" xfId="5" applyFont="1" applyBorder="1" applyAlignment="1">
      <alignment horizontal="left" vertical="center" wrapText="1" indent="1"/>
    </xf>
    <xf numFmtId="0" fontId="16" fillId="0" borderId="14" xfId="5" applyFont="1" applyBorder="1" applyAlignment="1">
      <alignment horizontal="left" vertical="center" wrapText="1" indent="1"/>
    </xf>
    <xf numFmtId="0" fontId="16" fillId="0" borderId="15" xfId="5" applyFont="1" applyBorder="1" applyAlignment="1">
      <alignment horizontal="left" vertical="center" wrapText="1" indent="1"/>
    </xf>
    <xf numFmtId="0" fontId="16" fillId="0" borderId="0" xfId="5" applyFont="1" applyAlignment="1">
      <alignment horizontal="left" vertical="center" wrapText="1" indent="1"/>
    </xf>
    <xf numFmtId="0" fontId="16" fillId="0" borderId="16" xfId="5" applyFont="1" applyBorder="1" applyAlignment="1">
      <alignment horizontal="left" vertical="center" wrapText="1" indent="1"/>
    </xf>
    <xf numFmtId="0" fontId="16" fillId="0" borderId="18" xfId="5" applyFont="1" applyBorder="1" applyAlignment="1">
      <alignment horizontal="left" vertical="center" wrapText="1" indent="1"/>
    </xf>
    <xf numFmtId="0" fontId="16" fillId="0" borderId="19" xfId="5" applyFont="1" applyBorder="1" applyAlignment="1">
      <alignment horizontal="left" vertical="center" wrapText="1" indent="1"/>
    </xf>
    <xf numFmtId="0" fontId="16" fillId="0" borderId="20" xfId="5" applyFont="1" applyBorder="1" applyAlignment="1">
      <alignment horizontal="left" vertical="center" wrapText="1" indent="1"/>
    </xf>
    <xf numFmtId="0" fontId="20" fillId="0" borderId="30" xfId="1" applyFont="1" applyBorder="1" applyAlignment="1">
      <alignment horizontal="center" vertical="center" wrapText="1"/>
    </xf>
    <xf numFmtId="0" fontId="20" fillId="0" borderId="31" xfId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left" vertical="center" wrapText="1"/>
    </xf>
    <xf numFmtId="0" fontId="16" fillId="0" borderId="13" xfId="1" applyFont="1" applyBorder="1" applyAlignment="1">
      <alignment horizontal="left" vertical="center" wrapText="1"/>
    </xf>
    <xf numFmtId="0" fontId="16" fillId="0" borderId="14" xfId="1" applyFont="1" applyBorder="1" applyAlignment="1">
      <alignment horizontal="left" vertical="center" wrapText="1"/>
    </xf>
    <xf numFmtId="0" fontId="16" fillId="0" borderId="15" xfId="1" applyFont="1" applyBorder="1" applyAlignment="1">
      <alignment horizontal="left" vertical="center" wrapText="1"/>
    </xf>
    <xf numFmtId="0" fontId="16" fillId="0" borderId="0" xfId="1" applyFont="1" applyAlignment="1">
      <alignment horizontal="left" vertical="center" wrapText="1"/>
    </xf>
    <xf numFmtId="0" fontId="16" fillId="0" borderId="16" xfId="1" applyFont="1" applyBorder="1" applyAlignment="1">
      <alignment horizontal="left" vertical="center" wrapText="1"/>
    </xf>
    <xf numFmtId="0" fontId="16" fillId="0" borderId="18" xfId="1" applyFont="1" applyBorder="1" applyAlignment="1">
      <alignment horizontal="left" vertical="center" wrapText="1"/>
    </xf>
    <xf numFmtId="0" fontId="16" fillId="0" borderId="19" xfId="1" applyFont="1" applyBorder="1" applyAlignment="1">
      <alignment horizontal="left" vertical="center" wrapText="1"/>
    </xf>
    <xf numFmtId="0" fontId="16" fillId="0" borderId="20" xfId="1" applyFont="1" applyBorder="1" applyAlignment="1">
      <alignment horizontal="left" vertical="center" wrapText="1"/>
    </xf>
    <xf numFmtId="0" fontId="2" fillId="0" borderId="52" xfId="3" applyFont="1" applyBorder="1" applyAlignment="1">
      <alignment horizontal="center" vertical="center"/>
    </xf>
    <xf numFmtId="0" fontId="2" fillId="0" borderId="27" xfId="3" applyFont="1" applyBorder="1" applyAlignment="1">
      <alignment horizontal="center" vertical="center"/>
    </xf>
    <xf numFmtId="0" fontId="34" fillId="0" borderId="17" xfId="1" applyFont="1" applyBorder="1" applyAlignment="1">
      <alignment horizontal="center" vertical="center"/>
    </xf>
    <xf numFmtId="0" fontId="34" fillId="0" borderId="36" xfId="1" applyFont="1" applyBorder="1" applyAlignment="1">
      <alignment horizontal="center" vertical="center"/>
    </xf>
    <xf numFmtId="0" fontId="34" fillId="0" borderId="25" xfId="1" applyFont="1" applyBorder="1" applyAlignment="1">
      <alignment horizontal="center" vertical="center"/>
    </xf>
    <xf numFmtId="0" fontId="15" fillId="0" borderId="22" xfId="11" applyFont="1" applyBorder="1" applyAlignment="1">
      <alignment horizontal="left" vertical="center"/>
    </xf>
    <xf numFmtId="0" fontId="15" fillId="0" borderId="23" xfId="11" applyFont="1" applyBorder="1" applyAlignment="1">
      <alignment horizontal="left" vertical="center"/>
    </xf>
    <xf numFmtId="0" fontId="15" fillId="0" borderId="24" xfId="11" applyFont="1" applyBorder="1" applyAlignment="1">
      <alignment horizontal="left" vertical="center"/>
    </xf>
    <xf numFmtId="0" fontId="15" fillId="0" borderId="6" xfId="12" applyFont="1" applyBorder="1" applyAlignment="1">
      <alignment horizontal="left" vertical="center" wrapText="1"/>
    </xf>
    <xf numFmtId="0" fontId="15" fillId="0" borderId="7" xfId="12" applyFont="1" applyBorder="1" applyAlignment="1">
      <alignment horizontal="left" vertical="center" wrapText="1"/>
    </xf>
    <xf numFmtId="0" fontId="15" fillId="0" borderId="8" xfId="12" applyFont="1" applyBorder="1" applyAlignment="1">
      <alignment horizontal="left" vertical="center" wrapText="1"/>
    </xf>
    <xf numFmtId="0" fontId="16" fillId="0" borderId="12" xfId="12" applyFont="1" applyBorder="1" applyAlignment="1">
      <alignment horizontal="left" vertical="center" wrapText="1"/>
    </xf>
    <xf numFmtId="0" fontId="16" fillId="0" borderId="13" xfId="12" applyFont="1" applyBorder="1" applyAlignment="1">
      <alignment horizontal="left" vertical="center" wrapText="1"/>
    </xf>
    <xf numFmtId="0" fontId="16" fillId="0" borderId="14" xfId="12" applyFont="1" applyBorder="1" applyAlignment="1">
      <alignment horizontal="left" vertical="center" wrapText="1"/>
    </xf>
    <xf numFmtId="0" fontId="16" fillId="0" borderId="15" xfId="12" applyFont="1" applyBorder="1" applyAlignment="1">
      <alignment horizontal="left" vertical="center" wrapText="1"/>
    </xf>
    <xf numFmtId="0" fontId="16" fillId="0" borderId="0" xfId="12" applyFont="1" applyAlignment="1">
      <alignment horizontal="left" vertical="center" wrapText="1"/>
    </xf>
    <xf numFmtId="0" fontId="16" fillId="0" borderId="16" xfId="12" applyFont="1" applyBorder="1" applyAlignment="1">
      <alignment horizontal="left" vertical="center" wrapText="1"/>
    </xf>
    <xf numFmtId="0" fontId="16" fillId="0" borderId="18" xfId="12" applyFont="1" applyBorder="1" applyAlignment="1">
      <alignment horizontal="left" vertical="center" wrapText="1"/>
    </xf>
    <xf numFmtId="0" fontId="16" fillId="0" borderId="19" xfId="12" applyFont="1" applyBorder="1" applyAlignment="1">
      <alignment horizontal="left" vertical="center" wrapText="1"/>
    </xf>
    <xf numFmtId="0" fontId="16" fillId="0" borderId="20" xfId="12" applyFont="1" applyBorder="1" applyAlignment="1">
      <alignment horizontal="left" vertical="center" wrapText="1"/>
    </xf>
    <xf numFmtId="0" fontId="15" fillId="0" borderId="22" xfId="12" applyFont="1" applyBorder="1" applyAlignment="1">
      <alignment horizontal="left" vertical="center" wrapText="1"/>
    </xf>
    <xf numFmtId="0" fontId="15" fillId="0" borderId="23" xfId="12" applyFont="1" applyBorder="1" applyAlignment="1">
      <alignment horizontal="left" vertical="center" wrapText="1"/>
    </xf>
    <xf numFmtId="0" fontId="15" fillId="0" borderId="24" xfId="12" applyFont="1" applyBorder="1" applyAlignment="1">
      <alignment horizontal="left" vertical="center" wrapText="1"/>
    </xf>
    <xf numFmtId="0" fontId="17" fillId="0" borderId="12" xfId="12" applyFont="1" applyBorder="1" applyAlignment="1">
      <alignment horizontal="left" vertical="center" wrapText="1"/>
    </xf>
    <xf numFmtId="0" fontId="17" fillId="0" borderId="13" xfId="12" applyFont="1" applyBorder="1" applyAlignment="1">
      <alignment horizontal="left" vertical="center" wrapText="1"/>
    </xf>
    <xf numFmtId="0" fontId="17" fillId="0" borderId="14" xfId="12" applyFont="1" applyBorder="1" applyAlignment="1">
      <alignment horizontal="left" vertical="center" wrapText="1"/>
    </xf>
    <xf numFmtId="0" fontId="17" fillId="0" borderId="15" xfId="12" applyFont="1" applyBorder="1" applyAlignment="1">
      <alignment horizontal="left" vertical="center" wrapText="1"/>
    </xf>
    <xf numFmtId="0" fontId="17" fillId="0" borderId="0" xfId="12" applyFont="1" applyAlignment="1">
      <alignment horizontal="left" vertical="center" wrapText="1"/>
    </xf>
    <xf numFmtId="0" fontId="17" fillId="0" borderId="16" xfId="12" applyFont="1" applyBorder="1" applyAlignment="1">
      <alignment horizontal="left" vertical="center" wrapText="1"/>
    </xf>
    <xf numFmtId="0" fontId="17" fillId="0" borderId="18" xfId="12" applyFont="1" applyBorder="1" applyAlignment="1">
      <alignment horizontal="left" vertical="center" wrapText="1"/>
    </xf>
    <xf numFmtId="0" fontId="17" fillId="0" borderId="19" xfId="12" applyFont="1" applyBorder="1" applyAlignment="1">
      <alignment horizontal="left" vertical="center" wrapText="1"/>
    </xf>
    <xf numFmtId="0" fontId="17" fillId="0" borderId="20" xfId="12" applyFont="1" applyBorder="1" applyAlignment="1">
      <alignment horizontal="left" vertical="center" wrapText="1"/>
    </xf>
    <xf numFmtId="0" fontId="26" fillId="6" borderId="28" xfId="11" applyFont="1" applyFill="1" applyBorder="1" applyAlignment="1">
      <alignment horizontal="center" vertical="center" wrapText="1"/>
    </xf>
    <xf numFmtId="0" fontId="26" fillId="6" borderId="38" xfId="11" applyFont="1" applyFill="1" applyBorder="1" applyAlignment="1">
      <alignment horizontal="center" vertical="center" wrapText="1"/>
    </xf>
    <xf numFmtId="0" fontId="2" fillId="0" borderId="1" xfId="11" applyFont="1" applyBorder="1" applyAlignment="1">
      <alignment horizontal="center" vertical="center"/>
    </xf>
    <xf numFmtId="0" fontId="4" fillId="0" borderId="1" xfId="11" applyFont="1" applyBorder="1" applyAlignment="1">
      <alignment horizontal="center" vertical="center"/>
    </xf>
    <xf numFmtId="0" fontId="2" fillId="0" borderId="2" xfId="11" applyFont="1" applyBorder="1" applyAlignment="1">
      <alignment horizontal="center" vertical="center"/>
    </xf>
    <xf numFmtId="0" fontId="4" fillId="0" borderId="2" xfId="11" applyFont="1" applyBorder="1" applyAlignment="1">
      <alignment horizontal="center" vertical="center"/>
    </xf>
    <xf numFmtId="0" fontId="9" fillId="0" borderId="3" xfId="11" applyFont="1" applyBorder="1" applyAlignment="1">
      <alignment horizontal="center" vertical="center" wrapText="1"/>
    </xf>
    <xf numFmtId="0" fontId="9" fillId="0" borderId="4" xfId="11" applyFont="1" applyBorder="1" applyAlignment="1">
      <alignment horizontal="center" vertical="center" wrapText="1"/>
    </xf>
    <xf numFmtId="0" fontId="9" fillId="0" borderId="10" xfId="11" applyFont="1" applyBorder="1" applyAlignment="1">
      <alignment horizontal="center" vertical="center" wrapText="1"/>
    </xf>
    <xf numFmtId="0" fontId="9" fillId="0" borderId="11" xfId="11" applyFont="1" applyBorder="1" applyAlignment="1">
      <alignment horizontal="center" vertical="center" wrapText="1"/>
    </xf>
    <xf numFmtId="0" fontId="9" fillId="0" borderId="26" xfId="11" applyFont="1" applyBorder="1" applyAlignment="1">
      <alignment horizontal="center" vertical="center" wrapText="1"/>
    </xf>
    <xf numFmtId="0" fontId="9" fillId="0" borderId="27" xfId="11" applyFont="1" applyBorder="1" applyAlignment="1">
      <alignment horizontal="center" vertical="center" wrapText="1"/>
    </xf>
    <xf numFmtId="0" fontId="20" fillId="0" borderId="33" xfId="11" applyFont="1" applyBorder="1" applyAlignment="1">
      <alignment horizontal="center" vertical="center" wrapText="1"/>
    </xf>
    <xf numFmtId="0" fontId="20" fillId="0" borderId="34" xfId="11" applyFont="1" applyBorder="1" applyAlignment="1">
      <alignment horizontal="center" vertical="center" wrapText="1"/>
    </xf>
    <xf numFmtId="0" fontId="20" fillId="0" borderId="10" xfId="11" applyFont="1" applyBorder="1" applyAlignment="1">
      <alignment horizontal="center" vertical="center" wrapText="1"/>
    </xf>
    <xf numFmtId="0" fontId="20" fillId="0" borderId="11" xfId="11" applyFont="1" applyBorder="1" applyAlignment="1">
      <alignment horizontal="center" vertical="center" wrapText="1"/>
    </xf>
    <xf numFmtId="0" fontId="20" fillId="0" borderId="26" xfId="11" applyFont="1" applyBorder="1" applyAlignment="1">
      <alignment horizontal="center" vertical="center" wrapText="1"/>
    </xf>
    <xf numFmtId="0" fontId="20" fillId="0" borderId="27" xfId="11" applyFont="1" applyBorder="1" applyAlignment="1">
      <alignment horizontal="center" vertical="center" wrapText="1"/>
    </xf>
    <xf numFmtId="0" fontId="4" fillId="0" borderId="21" xfId="17" applyFont="1" applyBorder="1" applyAlignment="1">
      <alignment horizontal="center" vertical="center" wrapText="1"/>
    </xf>
    <xf numFmtId="0" fontId="4" fillId="0" borderId="9" xfId="17" applyFont="1" applyBorder="1" applyAlignment="1">
      <alignment horizontal="center" vertical="center" wrapText="1"/>
    </xf>
    <xf numFmtId="0" fontId="11" fillId="0" borderId="3" xfId="11" applyFont="1" applyBorder="1" applyAlignment="1">
      <alignment horizontal="center" vertical="center" wrapText="1"/>
    </xf>
    <xf numFmtId="0" fontId="11" fillId="0" borderId="4" xfId="11" applyFont="1" applyBorder="1" applyAlignment="1">
      <alignment horizontal="center" vertical="center" wrapText="1"/>
    </xf>
    <xf numFmtId="0" fontId="11" fillId="0" borderId="30" xfId="11" applyFont="1" applyBorder="1" applyAlignment="1">
      <alignment horizontal="center" vertical="center" wrapText="1"/>
    </xf>
    <xf numFmtId="0" fontId="11" fillId="0" borderId="31" xfId="11" applyFont="1" applyBorder="1" applyAlignment="1">
      <alignment horizontal="center" vertical="center" wrapText="1"/>
    </xf>
    <xf numFmtId="0" fontId="16" fillId="0" borderId="12" xfId="12" applyFont="1" applyBorder="1" applyAlignment="1">
      <alignment horizontal="left" vertical="center" wrapText="1" indent="1"/>
    </xf>
    <xf numFmtId="0" fontId="16" fillId="0" borderId="13" xfId="12" applyFont="1" applyBorder="1" applyAlignment="1">
      <alignment horizontal="left" vertical="center" wrapText="1" indent="1"/>
    </xf>
    <xf numFmtId="0" fontId="16" fillId="0" borderId="14" xfId="12" applyFont="1" applyBorder="1" applyAlignment="1">
      <alignment horizontal="left" vertical="center" wrapText="1" indent="1"/>
    </xf>
    <xf numFmtId="0" fontId="16" fillId="0" borderId="15" xfId="12" applyFont="1" applyBorder="1" applyAlignment="1">
      <alignment horizontal="left" vertical="center" wrapText="1" indent="1"/>
    </xf>
    <xf numFmtId="0" fontId="16" fillId="0" borderId="0" xfId="12" applyFont="1" applyAlignment="1">
      <alignment horizontal="left" vertical="center" wrapText="1" indent="1"/>
    </xf>
    <xf numFmtId="0" fontId="16" fillId="0" borderId="16" xfId="12" applyFont="1" applyBorder="1" applyAlignment="1">
      <alignment horizontal="left" vertical="center" wrapText="1" indent="1"/>
    </xf>
    <xf numFmtId="0" fontId="16" fillId="0" borderId="18" xfId="12" applyFont="1" applyBorder="1" applyAlignment="1">
      <alignment horizontal="left" vertical="center" wrapText="1" indent="1"/>
    </xf>
    <xf numFmtId="0" fontId="16" fillId="0" borderId="19" xfId="12" applyFont="1" applyBorder="1" applyAlignment="1">
      <alignment horizontal="left" vertical="center" wrapText="1" indent="1"/>
    </xf>
    <xf numFmtId="0" fontId="16" fillId="0" borderId="20" xfId="12" applyFont="1" applyBorder="1" applyAlignment="1">
      <alignment horizontal="left" vertical="center" wrapText="1" indent="1"/>
    </xf>
    <xf numFmtId="0" fontId="20" fillId="0" borderId="30" xfId="11" applyFont="1" applyBorder="1" applyAlignment="1">
      <alignment horizontal="center" vertical="center" wrapText="1"/>
    </xf>
    <xf numFmtId="0" fontId="20" fillId="0" borderId="31" xfId="11" applyFont="1" applyBorder="1" applyAlignment="1">
      <alignment horizontal="center" vertical="center" wrapText="1"/>
    </xf>
    <xf numFmtId="0" fontId="16" fillId="0" borderId="12" xfId="11" applyFont="1" applyBorder="1" applyAlignment="1">
      <alignment horizontal="left" vertical="center" wrapText="1"/>
    </xf>
    <xf numFmtId="0" fontId="16" fillId="0" borderId="13" xfId="11" applyFont="1" applyBorder="1" applyAlignment="1">
      <alignment horizontal="left" vertical="center" wrapText="1"/>
    </xf>
    <xf numFmtId="0" fontId="16" fillId="0" borderId="14" xfId="11" applyFont="1" applyBorder="1" applyAlignment="1">
      <alignment horizontal="left" vertical="center" wrapText="1"/>
    </xf>
    <xf numFmtId="0" fontId="16" fillId="0" borderId="15" xfId="11" applyFont="1" applyBorder="1" applyAlignment="1">
      <alignment horizontal="left" vertical="center" wrapText="1"/>
    </xf>
    <xf numFmtId="0" fontId="16" fillId="0" borderId="0" xfId="11" applyFont="1" applyAlignment="1">
      <alignment horizontal="left" vertical="center" wrapText="1"/>
    </xf>
    <xf numFmtId="0" fontId="16" fillId="0" borderId="16" xfId="11" applyFont="1" applyBorder="1" applyAlignment="1">
      <alignment horizontal="left" vertical="center" wrapText="1"/>
    </xf>
    <xf numFmtId="0" fontId="16" fillId="0" borderId="18" xfId="11" applyFont="1" applyBorder="1" applyAlignment="1">
      <alignment horizontal="left" vertical="center" wrapText="1"/>
    </xf>
    <xf numFmtId="0" fontId="16" fillId="0" borderId="19" xfId="11" applyFont="1" applyBorder="1" applyAlignment="1">
      <alignment horizontal="left" vertical="center" wrapText="1"/>
    </xf>
    <xf numFmtId="0" fontId="16" fillId="0" borderId="20" xfId="11" applyFont="1" applyBorder="1" applyAlignment="1">
      <alignment horizontal="left" vertical="center" wrapText="1"/>
    </xf>
    <xf numFmtId="0" fontId="34" fillId="0" borderId="17" xfId="11" applyFont="1" applyBorder="1" applyAlignment="1">
      <alignment horizontal="center" vertical="center"/>
    </xf>
    <xf numFmtId="0" fontId="34" fillId="0" borderId="36" xfId="11" applyFont="1" applyBorder="1" applyAlignment="1">
      <alignment horizontal="center" vertical="center"/>
    </xf>
    <xf numFmtId="0" fontId="34" fillId="0" borderId="25" xfId="11" applyFont="1" applyBorder="1" applyAlignment="1">
      <alignment horizontal="center" vertical="center"/>
    </xf>
    <xf numFmtId="0" fontId="15" fillId="0" borderId="22" xfId="18" applyFont="1" applyBorder="1" applyAlignment="1">
      <alignment horizontal="left" vertical="center"/>
    </xf>
    <xf numFmtId="0" fontId="15" fillId="0" borderId="23" xfId="18" applyFont="1" applyBorder="1" applyAlignment="1">
      <alignment horizontal="left" vertical="center"/>
    </xf>
    <xf numFmtId="0" fontId="15" fillId="0" borderId="24" xfId="18" applyFont="1" applyBorder="1" applyAlignment="1">
      <alignment horizontal="left" vertical="center"/>
    </xf>
    <xf numFmtId="0" fontId="15" fillId="0" borderId="6" xfId="19" applyFont="1" applyBorder="1" applyAlignment="1">
      <alignment horizontal="left" vertical="center" wrapText="1"/>
    </xf>
    <xf numFmtId="0" fontId="15" fillId="0" borderId="7" xfId="19" applyFont="1" applyBorder="1" applyAlignment="1">
      <alignment horizontal="left" vertical="center" wrapText="1"/>
    </xf>
    <xf numFmtId="0" fontId="15" fillId="0" borderId="8" xfId="19" applyFont="1" applyBorder="1" applyAlignment="1">
      <alignment horizontal="left" vertical="center" wrapText="1"/>
    </xf>
    <xf numFmtId="0" fontId="16" fillId="0" borderId="12" xfId="19" applyFont="1" applyBorder="1" applyAlignment="1">
      <alignment horizontal="left" vertical="center" wrapText="1"/>
    </xf>
    <xf numFmtId="0" fontId="16" fillId="0" borderId="13" xfId="19" applyFont="1" applyBorder="1" applyAlignment="1">
      <alignment horizontal="left" vertical="center" wrapText="1"/>
    </xf>
    <xf numFmtId="0" fontId="16" fillId="0" borderId="14" xfId="19" applyFont="1" applyBorder="1" applyAlignment="1">
      <alignment horizontal="left" vertical="center" wrapText="1"/>
    </xf>
    <xf numFmtId="0" fontId="16" fillId="0" borderId="15" xfId="19" applyFont="1" applyBorder="1" applyAlignment="1">
      <alignment horizontal="left" vertical="center" wrapText="1"/>
    </xf>
    <xf numFmtId="0" fontId="16" fillId="0" borderId="0" xfId="19" applyFont="1" applyAlignment="1">
      <alignment horizontal="left" vertical="center" wrapText="1"/>
    </xf>
    <xf numFmtId="0" fontId="16" fillId="0" borderId="16" xfId="19" applyFont="1" applyBorder="1" applyAlignment="1">
      <alignment horizontal="left" vertical="center" wrapText="1"/>
    </xf>
    <xf numFmtId="0" fontId="16" fillId="0" borderId="18" xfId="19" applyFont="1" applyBorder="1" applyAlignment="1">
      <alignment horizontal="left" vertical="center" wrapText="1"/>
    </xf>
    <xf numFmtId="0" fontId="16" fillId="0" borderId="19" xfId="19" applyFont="1" applyBorder="1" applyAlignment="1">
      <alignment horizontal="left" vertical="center" wrapText="1"/>
    </xf>
    <xf numFmtId="0" fontId="16" fillId="0" borderId="20" xfId="19" applyFont="1" applyBorder="1" applyAlignment="1">
      <alignment horizontal="left" vertical="center" wrapText="1"/>
    </xf>
    <xf numFmtId="0" fontId="15" fillId="0" borderId="22" xfId="19" applyFont="1" applyBorder="1" applyAlignment="1">
      <alignment horizontal="left" vertical="center" wrapText="1"/>
    </xf>
    <xf numFmtId="0" fontId="15" fillId="0" borderId="23" xfId="19" applyFont="1" applyBorder="1" applyAlignment="1">
      <alignment horizontal="left" vertical="center" wrapText="1"/>
    </xf>
    <xf numFmtId="0" fontId="15" fillId="0" borderId="24" xfId="19" applyFont="1" applyBorder="1" applyAlignment="1">
      <alignment horizontal="left" vertical="center" wrapText="1"/>
    </xf>
    <xf numFmtId="0" fontId="17" fillId="0" borderId="12" xfId="19" applyFont="1" applyBorder="1" applyAlignment="1">
      <alignment horizontal="left" vertical="center" wrapText="1"/>
    </xf>
    <xf numFmtId="0" fontId="17" fillId="0" borderId="13" xfId="19" applyFont="1" applyBorder="1" applyAlignment="1">
      <alignment horizontal="left" vertical="center" wrapText="1"/>
    </xf>
    <xf numFmtId="0" fontId="17" fillId="0" borderId="14" xfId="19" applyFont="1" applyBorder="1" applyAlignment="1">
      <alignment horizontal="left" vertical="center" wrapText="1"/>
    </xf>
    <xf numFmtId="0" fontId="17" fillId="0" borderId="15" xfId="19" applyFont="1" applyBorder="1" applyAlignment="1">
      <alignment horizontal="left" vertical="center" wrapText="1"/>
    </xf>
    <xf numFmtId="0" fontId="17" fillId="0" borderId="0" xfId="19" applyFont="1" applyAlignment="1">
      <alignment horizontal="left" vertical="center" wrapText="1"/>
    </xf>
    <xf numFmtId="0" fontId="17" fillId="0" borderId="16" xfId="19" applyFont="1" applyBorder="1" applyAlignment="1">
      <alignment horizontal="left" vertical="center" wrapText="1"/>
    </xf>
    <xf numFmtId="0" fontId="17" fillId="0" borderId="18" xfId="19" applyFont="1" applyBorder="1" applyAlignment="1">
      <alignment horizontal="left" vertical="center" wrapText="1"/>
    </xf>
    <xf numFmtId="0" fontId="17" fillId="0" borderId="19" xfId="19" applyFont="1" applyBorder="1" applyAlignment="1">
      <alignment horizontal="left" vertical="center" wrapText="1"/>
    </xf>
    <xf numFmtId="0" fontId="17" fillId="0" borderId="20" xfId="19" applyFont="1" applyBorder="1" applyAlignment="1">
      <alignment horizontal="left" vertical="center" wrapText="1"/>
    </xf>
    <xf numFmtId="0" fontId="26" fillId="6" borderId="28" xfId="18" applyFont="1" applyFill="1" applyBorder="1" applyAlignment="1">
      <alignment horizontal="center" vertical="center" wrapText="1"/>
    </xf>
    <xf numFmtId="0" fontId="26" fillId="6" borderId="38" xfId="18" applyFont="1" applyFill="1" applyBorder="1" applyAlignment="1">
      <alignment horizontal="center" vertical="center" wrapText="1"/>
    </xf>
    <xf numFmtId="0" fontId="2" fillId="0" borderId="1" xfId="18" applyFont="1" applyBorder="1" applyAlignment="1">
      <alignment horizontal="center" vertical="center"/>
    </xf>
    <xf numFmtId="0" fontId="4" fillId="0" borderId="1" xfId="18" applyFont="1" applyBorder="1" applyAlignment="1">
      <alignment horizontal="center" vertical="center"/>
    </xf>
    <xf numFmtId="0" fontId="2" fillId="0" borderId="2" xfId="18" applyFont="1" applyBorder="1" applyAlignment="1">
      <alignment horizontal="center" vertical="center"/>
    </xf>
    <xf numFmtId="0" fontId="4" fillId="0" borderId="2" xfId="18" applyFont="1" applyBorder="1" applyAlignment="1">
      <alignment horizontal="center" vertical="center"/>
    </xf>
    <xf numFmtId="0" fontId="9" fillId="0" borderId="3" xfId="18" applyFont="1" applyBorder="1" applyAlignment="1">
      <alignment horizontal="center" vertical="center" wrapText="1"/>
    </xf>
    <xf numFmtId="0" fontId="9" fillId="0" borderId="4" xfId="18" applyFont="1" applyBorder="1" applyAlignment="1">
      <alignment horizontal="center" vertical="center" wrapText="1"/>
    </xf>
    <xf numFmtId="0" fontId="9" fillId="0" borderId="10" xfId="18" applyFont="1" applyBorder="1" applyAlignment="1">
      <alignment horizontal="center" vertical="center" wrapText="1"/>
    </xf>
    <xf numFmtId="0" fontId="9" fillId="0" borderId="11" xfId="18" applyFont="1" applyBorder="1" applyAlignment="1">
      <alignment horizontal="center" vertical="center" wrapText="1"/>
    </xf>
    <xf numFmtId="0" fontId="9" fillId="0" borderId="26" xfId="18" applyFont="1" applyBorder="1" applyAlignment="1">
      <alignment horizontal="center" vertical="center" wrapText="1"/>
    </xf>
    <xf numFmtId="0" fontId="9" fillId="0" borderId="27" xfId="18" applyFont="1" applyBorder="1" applyAlignment="1">
      <alignment horizontal="center" vertical="center" wrapText="1"/>
    </xf>
    <xf numFmtId="0" fontId="20" fillId="0" borderId="33" xfId="18" applyFont="1" applyBorder="1" applyAlignment="1">
      <alignment horizontal="center" vertical="center" wrapText="1"/>
    </xf>
    <xf numFmtId="0" fontId="20" fillId="0" borderId="34" xfId="18" applyFont="1" applyBorder="1" applyAlignment="1">
      <alignment horizontal="center" vertical="center" wrapText="1"/>
    </xf>
    <xf numFmtId="0" fontId="20" fillId="0" borderId="10" xfId="18" applyFont="1" applyBorder="1" applyAlignment="1">
      <alignment horizontal="center" vertical="center" wrapText="1"/>
    </xf>
    <xf numFmtId="0" fontId="20" fillId="0" borderId="11" xfId="18" applyFont="1" applyBorder="1" applyAlignment="1">
      <alignment horizontal="center" vertical="center" wrapText="1"/>
    </xf>
    <xf numFmtId="0" fontId="20" fillId="0" borderId="26" xfId="18" applyFont="1" applyBorder="1" applyAlignment="1">
      <alignment horizontal="center" vertical="center" wrapText="1"/>
    </xf>
    <xf numFmtId="0" fontId="20" fillId="0" borderId="27" xfId="18" applyFont="1" applyBorder="1" applyAlignment="1">
      <alignment horizontal="center" vertical="center" wrapText="1"/>
    </xf>
    <xf numFmtId="0" fontId="4" fillId="0" borderId="21" xfId="25" applyFont="1" applyBorder="1" applyAlignment="1">
      <alignment horizontal="center" vertical="center" wrapText="1"/>
    </xf>
    <xf numFmtId="0" fontId="4" fillId="0" borderId="9" xfId="25" applyFont="1" applyBorder="1" applyAlignment="1">
      <alignment horizontal="center" vertical="center" wrapText="1"/>
    </xf>
    <xf numFmtId="0" fontId="11" fillId="0" borderId="3" xfId="18" applyFont="1" applyBorder="1" applyAlignment="1">
      <alignment horizontal="center" vertical="center" wrapText="1"/>
    </xf>
    <xf numFmtId="0" fontId="11" fillId="0" borderId="4" xfId="18" applyFont="1" applyBorder="1" applyAlignment="1">
      <alignment horizontal="center" vertical="center" wrapText="1"/>
    </xf>
    <xf numFmtId="0" fontId="11" fillId="0" borderId="30" xfId="18" applyFont="1" applyBorder="1" applyAlignment="1">
      <alignment horizontal="center" vertical="center" wrapText="1"/>
    </xf>
    <xf numFmtId="0" fontId="11" fillId="0" borderId="31" xfId="18" applyFont="1" applyBorder="1" applyAlignment="1">
      <alignment horizontal="center" vertical="center" wrapText="1"/>
    </xf>
    <xf numFmtId="0" fontId="16" fillId="0" borderId="12" xfId="19" applyFont="1" applyBorder="1" applyAlignment="1">
      <alignment horizontal="left" vertical="center" wrapText="1" indent="1"/>
    </xf>
    <xf numFmtId="0" fontId="16" fillId="0" borderId="13" xfId="19" applyFont="1" applyBorder="1" applyAlignment="1">
      <alignment horizontal="left" vertical="center" wrapText="1" indent="1"/>
    </xf>
    <xf numFmtId="0" fontId="16" fillId="0" borderId="14" xfId="19" applyFont="1" applyBorder="1" applyAlignment="1">
      <alignment horizontal="left" vertical="center" wrapText="1" indent="1"/>
    </xf>
    <xf numFmtId="0" fontId="16" fillId="0" borderId="15" xfId="19" applyFont="1" applyBorder="1" applyAlignment="1">
      <alignment horizontal="left" vertical="center" wrapText="1" indent="1"/>
    </xf>
    <xf numFmtId="0" fontId="16" fillId="0" borderId="0" xfId="19" applyFont="1" applyAlignment="1">
      <alignment horizontal="left" vertical="center" wrapText="1" indent="1"/>
    </xf>
    <xf numFmtId="0" fontId="16" fillId="0" borderId="16" xfId="19" applyFont="1" applyBorder="1" applyAlignment="1">
      <alignment horizontal="left" vertical="center" wrapText="1" indent="1"/>
    </xf>
    <xf numFmtId="0" fontId="16" fillId="0" borderId="18" xfId="19" applyFont="1" applyBorder="1" applyAlignment="1">
      <alignment horizontal="left" vertical="center" wrapText="1" indent="1"/>
    </xf>
    <xf numFmtId="0" fontId="16" fillId="0" borderId="19" xfId="19" applyFont="1" applyBorder="1" applyAlignment="1">
      <alignment horizontal="left" vertical="center" wrapText="1" indent="1"/>
    </xf>
    <xf numFmtId="0" fontId="16" fillId="0" borderId="20" xfId="19" applyFont="1" applyBorder="1" applyAlignment="1">
      <alignment horizontal="left" vertical="center" wrapText="1" indent="1"/>
    </xf>
    <xf numFmtId="0" fontId="20" fillId="0" borderId="30" xfId="18" applyFont="1" applyBorder="1" applyAlignment="1">
      <alignment horizontal="center" vertical="center" wrapText="1"/>
    </xf>
    <xf numFmtId="0" fontId="20" fillId="0" borderId="31" xfId="18" applyFont="1" applyBorder="1" applyAlignment="1">
      <alignment horizontal="center" vertical="center" wrapText="1"/>
    </xf>
    <xf numFmtId="0" fontId="16" fillId="0" borderId="12" xfId="18" applyFont="1" applyBorder="1" applyAlignment="1">
      <alignment horizontal="left" vertical="center" wrapText="1"/>
    </xf>
    <xf numFmtId="0" fontId="16" fillId="0" borderId="13" xfId="18" applyFont="1" applyBorder="1" applyAlignment="1">
      <alignment horizontal="left" vertical="center" wrapText="1"/>
    </xf>
    <xf numFmtId="0" fontId="16" fillId="0" borderId="14" xfId="18" applyFont="1" applyBorder="1" applyAlignment="1">
      <alignment horizontal="left" vertical="center" wrapText="1"/>
    </xf>
    <xf numFmtId="0" fontId="16" fillId="0" borderId="15" xfId="18" applyFont="1" applyBorder="1" applyAlignment="1">
      <alignment horizontal="left" vertical="center" wrapText="1"/>
    </xf>
    <xf numFmtId="0" fontId="16" fillId="0" borderId="0" xfId="18" applyFont="1" applyAlignment="1">
      <alignment horizontal="left" vertical="center" wrapText="1"/>
    </xf>
    <xf numFmtId="0" fontId="16" fillId="0" borderId="16" xfId="18" applyFont="1" applyBorder="1" applyAlignment="1">
      <alignment horizontal="left" vertical="center" wrapText="1"/>
    </xf>
    <xf numFmtId="0" fontId="16" fillId="0" borderId="18" xfId="18" applyFont="1" applyBorder="1" applyAlignment="1">
      <alignment horizontal="left" vertical="center" wrapText="1"/>
    </xf>
    <xf numFmtId="0" fontId="16" fillId="0" borderId="19" xfId="18" applyFont="1" applyBorder="1" applyAlignment="1">
      <alignment horizontal="left" vertical="center" wrapText="1"/>
    </xf>
    <xf numFmtId="0" fontId="16" fillId="0" borderId="20" xfId="18" applyFont="1" applyBorder="1" applyAlignment="1">
      <alignment horizontal="left" vertical="center" wrapText="1"/>
    </xf>
    <xf numFmtId="0" fontId="34" fillId="0" borderId="17" xfId="18" applyFont="1" applyBorder="1" applyAlignment="1">
      <alignment horizontal="center" vertical="center"/>
    </xf>
    <xf numFmtId="0" fontId="34" fillId="0" borderId="36" xfId="18" applyFont="1" applyBorder="1" applyAlignment="1">
      <alignment horizontal="center" vertical="center"/>
    </xf>
    <xf numFmtId="0" fontId="34" fillId="0" borderId="25" xfId="18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center" vertical="center"/>
    </xf>
    <xf numFmtId="0" fontId="44" fillId="0" borderId="55" xfId="0" applyFont="1" applyBorder="1" applyAlignment="1">
      <alignment horizontal="center" vertical="center"/>
    </xf>
    <xf numFmtId="0" fontId="44" fillId="0" borderId="56" xfId="0" applyFont="1" applyBorder="1" applyAlignment="1">
      <alignment horizontal="center" vertical="center"/>
    </xf>
    <xf numFmtId="0" fontId="44" fillId="0" borderId="58" xfId="0" applyFont="1" applyBorder="1" applyAlignment="1">
      <alignment horizontal="center" vertical="center"/>
    </xf>
    <xf numFmtId="0" fontId="44" fillId="0" borderId="59" xfId="0" applyFont="1" applyBorder="1" applyAlignment="1">
      <alignment horizontal="center" vertical="center"/>
    </xf>
    <xf numFmtId="0" fontId="44" fillId="0" borderId="60" xfId="0" applyFont="1" applyBorder="1" applyAlignment="1">
      <alignment horizontal="center" vertical="center"/>
    </xf>
    <xf numFmtId="0" fontId="44" fillId="0" borderId="5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44" fillId="0" borderId="56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59" xfId="0" applyFont="1" applyBorder="1" applyAlignment="1">
      <alignment horizontal="center" vertical="center" wrapText="1"/>
    </xf>
    <xf numFmtId="0" fontId="44" fillId="0" borderId="60" xfId="0" applyFont="1" applyBorder="1" applyAlignment="1">
      <alignment horizontal="center" vertical="center" wrapText="1"/>
    </xf>
    <xf numFmtId="49" fontId="45" fillId="0" borderId="61" xfId="0" applyNumberFormat="1" applyFont="1" applyBorder="1" applyAlignment="1">
      <alignment horizontal="left" vertical="center" wrapText="1" indent="1"/>
    </xf>
    <xf numFmtId="49" fontId="45" fillId="0" borderId="62" xfId="0" applyNumberFormat="1" applyFont="1" applyBorder="1" applyAlignment="1">
      <alignment horizontal="left" vertical="center" wrapText="1" indent="1"/>
    </xf>
    <xf numFmtId="49" fontId="46" fillId="0" borderId="12" xfId="0" applyNumberFormat="1" applyFont="1" applyBorder="1" applyAlignment="1">
      <alignment horizontal="left" vertical="center" wrapText="1" indent="1"/>
    </xf>
    <xf numFmtId="49" fontId="46" fillId="0" borderId="13" xfId="0" applyNumberFormat="1" applyFont="1" applyBorder="1" applyAlignment="1">
      <alignment horizontal="left" vertical="center" wrapText="1" indent="1"/>
    </xf>
    <xf numFmtId="49" fontId="46" fillId="0" borderId="15" xfId="0" applyNumberFormat="1" applyFont="1" applyBorder="1" applyAlignment="1">
      <alignment horizontal="left" vertical="center" wrapText="1" indent="1"/>
    </xf>
    <xf numFmtId="49" fontId="46" fillId="0" borderId="0" xfId="0" applyNumberFormat="1" applyFont="1" applyAlignment="1">
      <alignment horizontal="left" vertical="center" wrapText="1" indent="1"/>
    </xf>
    <xf numFmtId="49" fontId="46" fillId="0" borderId="18" xfId="0" applyNumberFormat="1" applyFont="1" applyBorder="1" applyAlignment="1">
      <alignment horizontal="left" vertical="center" wrapText="1" indent="1"/>
    </xf>
    <xf numFmtId="49" fontId="46" fillId="0" borderId="19" xfId="0" applyNumberFormat="1" applyFont="1" applyBorder="1" applyAlignment="1">
      <alignment horizontal="left" vertical="center" wrapText="1" indent="1"/>
    </xf>
    <xf numFmtId="49" fontId="46" fillId="0" borderId="14" xfId="0" applyNumberFormat="1" applyFont="1" applyBorder="1" applyAlignment="1">
      <alignment horizontal="left" vertical="center" wrapText="1" indent="1"/>
    </xf>
    <xf numFmtId="49" fontId="46" fillId="0" borderId="16" xfId="0" applyNumberFormat="1" applyFont="1" applyBorder="1" applyAlignment="1">
      <alignment horizontal="left" vertical="center" wrapText="1" indent="1"/>
    </xf>
    <xf numFmtId="49" fontId="46" fillId="0" borderId="20" xfId="0" applyNumberFormat="1" applyFont="1" applyBorder="1" applyAlignment="1">
      <alignment horizontal="left" vertical="center" wrapText="1" indent="1"/>
    </xf>
    <xf numFmtId="49" fontId="45" fillId="0" borderId="63" xfId="0" applyNumberFormat="1" applyFont="1" applyBorder="1" applyAlignment="1">
      <alignment horizontal="left" vertical="center" wrapText="1" indent="1"/>
    </xf>
    <xf numFmtId="49" fontId="45" fillId="0" borderId="41" xfId="0" applyNumberFormat="1" applyFont="1" applyBorder="1" applyAlignment="1">
      <alignment horizontal="left" vertical="center" wrapText="1" indent="1"/>
    </xf>
    <xf numFmtId="49" fontId="45" fillId="0" borderId="15" xfId="0" applyNumberFormat="1" applyFont="1" applyBorder="1" applyAlignment="1">
      <alignment horizontal="left" vertical="center" wrapText="1" indent="1"/>
    </xf>
    <xf numFmtId="49" fontId="45" fillId="0" borderId="0" xfId="0" applyNumberFormat="1" applyFont="1" applyAlignment="1">
      <alignment horizontal="left" vertical="center" wrapText="1" indent="1"/>
    </xf>
    <xf numFmtId="49" fontId="45" fillId="0" borderId="18" xfId="0" applyNumberFormat="1" applyFont="1" applyBorder="1" applyAlignment="1">
      <alignment horizontal="left" vertical="center" wrapText="1" indent="1"/>
    </xf>
    <xf numFmtId="49" fontId="45" fillId="0" borderId="19" xfId="0" applyNumberFormat="1" applyFont="1" applyBorder="1" applyAlignment="1">
      <alignment horizontal="left" vertical="center" wrapText="1" indent="1"/>
    </xf>
    <xf numFmtId="0" fontId="42" fillId="0" borderId="6" xfId="1" applyFont="1" applyBorder="1" applyAlignment="1">
      <alignment horizontal="center" vertical="center" wrapText="1"/>
    </xf>
    <xf numFmtId="0" fontId="47" fillId="0" borderId="7" xfId="1" applyFont="1" applyBorder="1" applyAlignment="1">
      <alignment horizontal="center" vertical="center" wrapText="1"/>
    </xf>
    <xf numFmtId="0" fontId="47" fillId="0" borderId="64" xfId="1" applyFont="1" applyBorder="1" applyAlignment="1">
      <alignment horizontal="center" vertical="center" wrapText="1"/>
    </xf>
    <xf numFmtId="0" fontId="47" fillId="0" borderId="8" xfId="1" applyFont="1" applyBorder="1" applyAlignment="1">
      <alignment horizontal="center" vertical="center" wrapText="1"/>
    </xf>
    <xf numFmtId="0" fontId="48" fillId="0" borderId="54" xfId="1" applyFont="1" applyBorder="1" applyAlignment="1">
      <alignment horizontal="center" vertical="center" wrapText="1"/>
    </xf>
    <xf numFmtId="0" fontId="48" fillId="0" borderId="66" xfId="1" applyFont="1" applyBorder="1" applyAlignment="1">
      <alignment horizontal="center" vertical="center" wrapText="1"/>
    </xf>
    <xf numFmtId="0" fontId="48" fillId="0" borderId="70" xfId="1" applyFont="1" applyBorder="1" applyAlignment="1">
      <alignment horizontal="center" vertical="center" wrapText="1"/>
    </xf>
    <xf numFmtId="0" fontId="48" fillId="0" borderId="55" xfId="1" applyFont="1" applyBorder="1" applyAlignment="1">
      <alignment horizontal="left" vertical="center" wrapText="1"/>
    </xf>
    <xf numFmtId="0" fontId="48" fillId="0" borderId="55" xfId="1" applyFont="1" applyBorder="1" applyAlignment="1">
      <alignment horizontal="left" vertical="center"/>
    </xf>
    <xf numFmtId="0" fontId="48" fillId="0" borderId="67" xfId="1" applyFont="1" applyBorder="1" applyAlignment="1">
      <alignment horizontal="left" vertical="center" wrapText="1"/>
    </xf>
    <xf numFmtId="0" fontId="48" fillId="0" borderId="67" xfId="1" applyFont="1" applyBorder="1" applyAlignment="1">
      <alignment horizontal="left" vertical="center"/>
    </xf>
    <xf numFmtId="0" fontId="48" fillId="0" borderId="71" xfId="1" applyFont="1" applyBorder="1" applyAlignment="1">
      <alignment horizontal="left" vertical="center"/>
    </xf>
    <xf numFmtId="0" fontId="48" fillId="0" borderId="55" xfId="1" applyFont="1" applyBorder="1" applyAlignment="1">
      <alignment horizontal="center" vertical="center"/>
    </xf>
    <xf numFmtId="0" fontId="48" fillId="0" borderId="67" xfId="1" applyFont="1" applyBorder="1" applyAlignment="1">
      <alignment horizontal="center" vertical="center"/>
    </xf>
    <xf numFmtId="0" fontId="48" fillId="0" borderId="71" xfId="1" applyFont="1" applyBorder="1" applyAlignment="1">
      <alignment horizontal="center" vertical="center"/>
    </xf>
    <xf numFmtId="0" fontId="48" fillId="0" borderId="55" xfId="1" applyFont="1" applyBorder="1" applyAlignment="1">
      <alignment horizontal="center" vertical="center" wrapText="1"/>
    </xf>
    <xf numFmtId="0" fontId="48" fillId="0" borderId="67" xfId="1" applyFont="1" applyBorder="1" applyAlignment="1">
      <alignment horizontal="center" vertical="center" wrapText="1"/>
    </xf>
    <xf numFmtId="0" fontId="48" fillId="0" borderId="65" xfId="1" applyFont="1" applyBorder="1" applyAlignment="1">
      <alignment horizontal="center" vertical="center"/>
    </xf>
    <xf numFmtId="0" fontId="48" fillId="0" borderId="56" xfId="1" applyFont="1" applyBorder="1" applyAlignment="1">
      <alignment horizontal="center" vertical="center"/>
    </xf>
    <xf numFmtId="0" fontId="48" fillId="0" borderId="68" xfId="1" applyFont="1" applyBorder="1" applyAlignment="1">
      <alignment horizontal="center" vertical="center"/>
    </xf>
    <xf numFmtId="0" fontId="48" fillId="0" borderId="69" xfId="1" applyFont="1" applyBorder="1" applyAlignment="1">
      <alignment horizontal="center" vertical="center"/>
    </xf>
    <xf numFmtId="0" fontId="48" fillId="0" borderId="72" xfId="1" applyFont="1" applyBorder="1" applyAlignment="1">
      <alignment horizontal="center" vertical="center"/>
    </xf>
    <xf numFmtId="0" fontId="48" fillId="0" borderId="73" xfId="1" applyFont="1" applyBorder="1" applyAlignment="1">
      <alignment horizontal="center" vertical="center"/>
    </xf>
    <xf numFmtId="0" fontId="48" fillId="0" borderId="70" xfId="1" applyFont="1" applyBorder="1" applyAlignment="1">
      <alignment horizontal="center" vertical="center"/>
    </xf>
    <xf numFmtId="0" fontId="48" fillId="0" borderId="59" xfId="1" applyFont="1" applyBorder="1" applyAlignment="1">
      <alignment horizontal="center" vertical="center"/>
    </xf>
    <xf numFmtId="0" fontId="48" fillId="0" borderId="76" xfId="1" applyFont="1" applyBorder="1" applyAlignment="1">
      <alignment horizontal="center" vertical="center"/>
    </xf>
    <xf numFmtId="0" fontId="48" fillId="0" borderId="40" xfId="1" applyFont="1" applyBorder="1" applyAlignment="1">
      <alignment horizontal="center" vertical="center"/>
    </xf>
    <xf numFmtId="0" fontId="48" fillId="0" borderId="60" xfId="1" applyFont="1" applyBorder="1" applyAlignment="1">
      <alignment horizontal="center" vertical="center"/>
    </xf>
    <xf numFmtId="0" fontId="48" fillId="0" borderId="78" xfId="1" applyFont="1" applyBorder="1" applyAlignment="1">
      <alignment horizontal="center" vertical="center"/>
    </xf>
    <xf numFmtId="0" fontId="48" fillId="0" borderId="79" xfId="1" applyFont="1" applyBorder="1" applyAlignment="1">
      <alignment horizontal="center" vertical="center"/>
    </xf>
    <xf numFmtId="0" fontId="48" fillId="0" borderId="58" xfId="1" applyFont="1" applyBorder="1" applyAlignment="1">
      <alignment horizontal="center" vertical="center"/>
    </xf>
    <xf numFmtId="0" fontId="48" fillId="0" borderId="75" xfId="1" applyFont="1" applyBorder="1" applyAlignment="1">
      <alignment horizontal="center" vertical="center"/>
    </xf>
    <xf numFmtId="0" fontId="48" fillId="0" borderId="74" xfId="1" applyFont="1" applyBorder="1" applyAlignment="1">
      <alignment horizontal="center" vertical="center"/>
    </xf>
    <xf numFmtId="0" fontId="48" fillId="0" borderId="77" xfId="1" applyFont="1" applyBorder="1" applyAlignment="1">
      <alignment horizontal="center" vertical="center"/>
    </xf>
    <xf numFmtId="0" fontId="23" fillId="4" borderId="2" xfId="1" applyFont="1" applyFill="1" applyBorder="1" applyAlignment="1">
      <alignment horizontal="center" vertical="center" wrapText="1"/>
    </xf>
    <xf numFmtId="0" fontId="23" fillId="4" borderId="9" xfId="1" applyFont="1" applyFill="1" applyBorder="1" applyAlignment="1">
      <alignment horizontal="center" vertical="center" wrapText="1"/>
    </xf>
    <xf numFmtId="0" fontId="23" fillId="4" borderId="2" xfId="1" applyFont="1" applyFill="1" applyBorder="1" applyAlignment="1">
      <alignment horizontal="center" vertical="center"/>
    </xf>
  </cellXfs>
  <cellStyles count="26">
    <cellStyle name="백분율 2" xfId="4" xr:uid="{00000000-0005-0000-0000-000000000000}"/>
    <cellStyle name="표준" xfId="0" builtinId="0"/>
    <cellStyle name="표준 2 10" xfId="1" xr:uid="{00000000-0005-0000-0000-000002000000}"/>
    <cellStyle name="표준 2 10 17" xfId="2" xr:uid="{00000000-0005-0000-0000-000003000000}"/>
    <cellStyle name="표준 2 10 17 16" xfId="6" xr:uid="{00000000-0005-0000-0000-000004000000}"/>
    <cellStyle name="표준 2 10 17 16 8" xfId="13" xr:uid="{00000000-0005-0000-0000-000005000000}"/>
    <cellStyle name="표준 2 10 17 16 9" xfId="20" xr:uid="{00000000-0005-0000-0000-000006000000}"/>
    <cellStyle name="표준 2 10 17 25" xfId="11" xr:uid="{00000000-0005-0000-0000-000007000000}"/>
    <cellStyle name="표준 2 10 17 25 2" xfId="23" xr:uid="{00000000-0005-0000-0000-000008000000}"/>
    <cellStyle name="표준 2 10 17 28" xfId="18" xr:uid="{00000000-0005-0000-0000-000009000000}"/>
    <cellStyle name="표준 2 10 17 5" xfId="10" xr:uid="{00000000-0005-0000-0000-00000A000000}"/>
    <cellStyle name="표준 2 10 17 5 16" xfId="17" xr:uid="{00000000-0005-0000-0000-00000B000000}"/>
    <cellStyle name="표준 2 10 17 5 17" xfId="25" xr:uid="{00000000-0005-0000-0000-00000C000000}"/>
    <cellStyle name="표준 2 10 17 7" xfId="7" xr:uid="{00000000-0005-0000-0000-00000D000000}"/>
    <cellStyle name="표준 2 10 17 7 15" xfId="14" xr:uid="{00000000-0005-0000-0000-00000E000000}"/>
    <cellStyle name="표준 2 10 17 7 15 2" xfId="21" xr:uid="{00000000-0005-0000-0000-00000F000000}"/>
    <cellStyle name="표준 2 10 18 4" xfId="8" xr:uid="{00000000-0005-0000-0000-000010000000}"/>
    <cellStyle name="표준 2 10 18 4 14" xfId="15" xr:uid="{00000000-0005-0000-0000-000011000000}"/>
    <cellStyle name="표준 2 10 18 4 14 2" xfId="22" xr:uid="{00000000-0005-0000-0000-000012000000}"/>
    <cellStyle name="표준 2 10 6 3 2 2" xfId="9" xr:uid="{00000000-0005-0000-0000-000013000000}"/>
    <cellStyle name="표준 2 10 6 3 2 2 18" xfId="16" xr:uid="{00000000-0005-0000-0000-000014000000}"/>
    <cellStyle name="표준 2 10 6 3 2 2 19" xfId="24" xr:uid="{00000000-0005-0000-0000-000015000000}"/>
    <cellStyle name="표준 2 2" xfId="3" xr:uid="{00000000-0005-0000-0000-000016000000}"/>
    <cellStyle name="표준 2 3 6" xfId="5" xr:uid="{00000000-0005-0000-0000-000017000000}"/>
    <cellStyle name="표준 2 3 6 19 19" xfId="12" xr:uid="{00000000-0005-0000-0000-000018000000}"/>
    <cellStyle name="표준 2 3 6 19 20" xfId="19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64"/>
  <sheetViews>
    <sheetView topLeftCell="A26" zoomScale="85" zoomScaleNormal="85" zoomScalePageLayoutView="80" workbookViewId="0">
      <selection activeCell="P34" sqref="P34"/>
    </sheetView>
  </sheetViews>
  <sheetFormatPr defaultRowHeight="16.5"/>
  <cols>
    <col min="1" max="1" width="3.25" style="3" customWidth="1"/>
    <col min="2" max="2" width="10" style="84" customWidth="1"/>
    <col min="3" max="4" width="11.875" style="84" customWidth="1"/>
    <col min="5" max="11" width="11.875" style="2" customWidth="1"/>
    <col min="12" max="12" width="2.625" style="107" customWidth="1"/>
    <col min="13" max="17" width="11.875" style="2" customWidth="1"/>
    <col min="18" max="19" width="11.875" style="1" customWidth="1"/>
    <col min="20" max="20" width="1.625" style="2" customWidth="1"/>
    <col min="21" max="26" width="8.125" style="3" customWidth="1"/>
    <col min="27" max="16384" width="9" style="3"/>
  </cols>
  <sheetData>
    <row r="1" spans="1:26" ht="16.5" hidden="1" customHeight="1">
      <c r="A1" s="590" t="s">
        <v>0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</row>
    <row r="2" spans="1:26" ht="18" customHeight="1">
      <c r="A2" s="592" t="s">
        <v>324</v>
      </c>
      <c r="B2" s="593"/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</row>
    <row r="3" spans="1:26" ht="21" customHeight="1" thickBot="1">
      <c r="A3" s="4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7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8">
        <f>AVERAGE(R4:R28)</f>
        <v>1</v>
      </c>
      <c r="S3" s="8"/>
    </row>
    <row r="4" spans="1:26" ht="27.95" customHeight="1" thickBot="1">
      <c r="A4" s="9">
        <v>1</v>
      </c>
      <c r="B4" s="10" t="s">
        <v>17</v>
      </c>
      <c r="C4" s="594"/>
      <c r="D4" s="595"/>
      <c r="E4" s="11" t="s">
        <v>18</v>
      </c>
      <c r="F4" s="12" t="s">
        <v>19</v>
      </c>
      <c r="G4" s="12" t="s">
        <v>20</v>
      </c>
      <c r="H4" s="13" t="s">
        <v>21</v>
      </c>
      <c r="I4" s="12" t="s">
        <v>22</v>
      </c>
      <c r="J4" s="12" t="s">
        <v>23</v>
      </c>
      <c r="K4" s="12" t="s">
        <v>24</v>
      </c>
      <c r="L4" s="12"/>
      <c r="M4" s="12" t="s">
        <v>25</v>
      </c>
      <c r="N4" s="12" t="s">
        <v>26</v>
      </c>
      <c r="O4" s="11" t="s">
        <v>27</v>
      </c>
      <c r="P4" s="11" t="s">
        <v>28</v>
      </c>
      <c r="Q4" s="12" t="s">
        <v>29</v>
      </c>
      <c r="R4" s="14">
        <f>(COUNTA(C4:Q4))/12</f>
        <v>1</v>
      </c>
      <c r="S4" s="14"/>
      <c r="U4" s="552" t="s">
        <v>30</v>
      </c>
      <c r="V4" s="553"/>
      <c r="W4" s="553"/>
      <c r="X4" s="553"/>
      <c r="Y4" s="553"/>
      <c r="Z4" s="554"/>
    </row>
    <row r="5" spans="1:26" ht="27.95" customHeight="1">
      <c r="A5" s="9">
        <v>2</v>
      </c>
      <c r="B5" s="15" t="s">
        <v>31</v>
      </c>
      <c r="C5" s="596"/>
      <c r="D5" s="597"/>
      <c r="E5" s="11" t="s">
        <v>32</v>
      </c>
      <c r="F5" s="12" t="s">
        <v>33</v>
      </c>
      <c r="G5" s="12" t="s">
        <v>34</v>
      </c>
      <c r="H5" s="12" t="s">
        <v>35</v>
      </c>
      <c r="I5" s="11" t="s">
        <v>36</v>
      </c>
      <c r="J5" s="11" t="s">
        <v>596</v>
      </c>
      <c r="K5" s="16" t="s">
        <v>37</v>
      </c>
      <c r="L5" s="12"/>
      <c r="M5" s="13" t="s">
        <v>38</v>
      </c>
      <c r="N5" s="17" t="s">
        <v>39</v>
      </c>
      <c r="O5" s="12" t="s">
        <v>40</v>
      </c>
      <c r="P5" s="11" t="s">
        <v>41</v>
      </c>
      <c r="Q5" s="12" t="s">
        <v>586</v>
      </c>
      <c r="R5" s="14">
        <f t="shared" ref="R5:R22" si="0">(COUNTA(C5:Q5))/12</f>
        <v>1</v>
      </c>
      <c r="S5" s="14"/>
      <c r="U5" s="555"/>
      <c r="V5" s="556"/>
      <c r="W5" s="556"/>
      <c r="X5" s="556"/>
      <c r="Y5" s="556"/>
      <c r="Z5" s="557"/>
    </row>
    <row r="6" spans="1:26" ht="27.75" customHeight="1">
      <c r="A6" s="9">
        <v>3</v>
      </c>
      <c r="B6" s="15" t="s">
        <v>42</v>
      </c>
      <c r="C6" s="596"/>
      <c r="D6" s="597"/>
      <c r="E6" s="12" t="s">
        <v>586</v>
      </c>
      <c r="F6" s="11" t="s">
        <v>44</v>
      </c>
      <c r="G6" s="12" t="s">
        <v>45</v>
      </c>
      <c r="H6" s="11" t="s">
        <v>43</v>
      </c>
      <c r="I6" s="12" t="s">
        <v>47</v>
      </c>
      <c r="J6" s="18" t="s">
        <v>600</v>
      </c>
      <c r="K6" s="12" t="s">
        <v>48</v>
      </c>
      <c r="L6" s="12"/>
      <c r="M6" s="11" t="s">
        <v>49</v>
      </c>
      <c r="N6" s="12" t="s">
        <v>329</v>
      </c>
      <c r="O6" s="12" t="s">
        <v>50</v>
      </c>
      <c r="P6" s="12" t="s">
        <v>51</v>
      </c>
      <c r="Q6" s="12" t="s">
        <v>52</v>
      </c>
      <c r="R6" s="14">
        <f t="shared" si="0"/>
        <v>1</v>
      </c>
      <c r="S6" s="14"/>
      <c r="U6" s="558"/>
      <c r="V6" s="559"/>
      <c r="W6" s="559"/>
      <c r="X6" s="559"/>
      <c r="Y6" s="559"/>
      <c r="Z6" s="560"/>
    </row>
    <row r="7" spans="1:26" ht="27.95" customHeight="1" thickBot="1">
      <c r="A7" s="9">
        <v>4</v>
      </c>
      <c r="B7" s="10" t="s">
        <v>53</v>
      </c>
      <c r="C7" s="596"/>
      <c r="D7" s="597"/>
      <c r="E7" s="11" t="s">
        <v>54</v>
      </c>
      <c r="F7" s="18" t="s">
        <v>55</v>
      </c>
      <c r="G7" s="12" t="s">
        <v>56</v>
      </c>
      <c r="H7" s="12" t="s">
        <v>57</v>
      </c>
      <c r="I7" s="12" t="s">
        <v>329</v>
      </c>
      <c r="J7" s="12" t="s">
        <v>58</v>
      </c>
      <c r="K7" s="12" t="s">
        <v>59</v>
      </c>
      <c r="L7" s="20"/>
      <c r="M7" s="18" t="s">
        <v>598</v>
      </c>
      <c r="N7" s="11" t="s">
        <v>28</v>
      </c>
      <c r="O7" s="12" t="s">
        <v>60</v>
      </c>
      <c r="P7" s="12" t="s">
        <v>61</v>
      </c>
      <c r="Q7" s="12" t="s">
        <v>62</v>
      </c>
      <c r="R7" s="14">
        <f t="shared" si="0"/>
        <v>1</v>
      </c>
      <c r="S7" s="14"/>
      <c r="U7" s="561"/>
      <c r="V7" s="562"/>
      <c r="W7" s="562"/>
      <c r="X7" s="562"/>
      <c r="Y7" s="562"/>
      <c r="Z7" s="563"/>
    </row>
    <row r="8" spans="1:26" ht="27.95" customHeight="1" thickBot="1">
      <c r="A8" s="9">
        <v>5</v>
      </c>
      <c r="B8" s="21" t="s">
        <v>63</v>
      </c>
      <c r="C8" s="596"/>
      <c r="D8" s="597"/>
      <c r="E8" s="12" t="s">
        <v>64</v>
      </c>
      <c r="F8" s="12" t="s">
        <v>597</v>
      </c>
      <c r="G8" s="22" t="s">
        <v>65</v>
      </c>
      <c r="H8" s="12" t="s">
        <v>66</v>
      </c>
      <c r="I8" s="11" t="s">
        <v>67</v>
      </c>
      <c r="J8" s="12" t="s">
        <v>68</v>
      </c>
      <c r="K8" s="12" t="s">
        <v>69</v>
      </c>
      <c r="L8" s="22"/>
      <c r="M8" s="16" t="s">
        <v>70</v>
      </c>
      <c r="N8" s="17" t="s">
        <v>71</v>
      </c>
      <c r="O8" s="23" t="s">
        <v>72</v>
      </c>
      <c r="P8" s="12" t="s">
        <v>73</v>
      </c>
      <c r="Q8" s="18" t="s">
        <v>74</v>
      </c>
      <c r="R8" s="14">
        <f>(COUNTA(C8:Q8))/12</f>
        <v>1</v>
      </c>
      <c r="S8" s="14"/>
      <c r="U8" s="564" t="s">
        <v>75</v>
      </c>
      <c r="V8" s="565"/>
      <c r="W8" s="565"/>
      <c r="X8" s="565"/>
      <c r="Y8" s="565"/>
      <c r="Z8" s="566"/>
    </row>
    <row r="9" spans="1:26" ht="27.95" customHeight="1">
      <c r="A9" s="9">
        <v>6</v>
      </c>
      <c r="B9" s="10" t="s">
        <v>76</v>
      </c>
      <c r="C9" s="596"/>
      <c r="D9" s="597"/>
      <c r="E9" s="18" t="s">
        <v>77</v>
      </c>
      <c r="F9" s="12" t="s">
        <v>78</v>
      </c>
      <c r="G9" s="11" t="s">
        <v>27</v>
      </c>
      <c r="H9" s="12" t="s">
        <v>79</v>
      </c>
      <c r="I9" s="11" t="s">
        <v>80</v>
      </c>
      <c r="J9" s="16" t="s">
        <v>81</v>
      </c>
      <c r="K9" s="11" t="s">
        <v>82</v>
      </c>
      <c r="L9" s="12"/>
      <c r="M9" s="17" t="s">
        <v>83</v>
      </c>
      <c r="N9" s="12" t="s">
        <v>331</v>
      </c>
      <c r="O9" s="11" t="s">
        <v>594</v>
      </c>
      <c r="P9" s="12" t="s">
        <v>84</v>
      </c>
      <c r="Q9" s="24" t="s">
        <v>85</v>
      </c>
      <c r="R9" s="14">
        <f>(COUNTA(C9:Q9))/12</f>
        <v>1</v>
      </c>
      <c r="S9" s="14"/>
      <c r="U9" s="567"/>
      <c r="V9" s="568"/>
      <c r="W9" s="568"/>
      <c r="X9" s="568"/>
      <c r="Y9" s="568"/>
      <c r="Z9" s="569"/>
    </row>
    <row r="10" spans="1:26" ht="27.75" customHeight="1">
      <c r="A10" s="9">
        <v>7</v>
      </c>
      <c r="B10" s="10" t="s">
        <v>86</v>
      </c>
      <c r="C10" s="596"/>
      <c r="D10" s="597"/>
      <c r="E10" s="12" t="s">
        <v>326</v>
      </c>
      <c r="F10" s="12" t="s">
        <v>87</v>
      </c>
      <c r="G10" s="11" t="s">
        <v>88</v>
      </c>
      <c r="H10" s="12" t="s">
        <v>46</v>
      </c>
      <c r="I10" s="366" t="s">
        <v>89</v>
      </c>
      <c r="J10" s="367" t="s">
        <v>595</v>
      </c>
      <c r="K10" s="368" t="s">
        <v>91</v>
      </c>
      <c r="L10" s="25"/>
      <c r="M10" s="18" t="s">
        <v>600</v>
      </c>
      <c r="N10" s="11" t="s">
        <v>92</v>
      </c>
      <c r="O10" s="12" t="s">
        <v>93</v>
      </c>
      <c r="P10" s="11" t="s">
        <v>94</v>
      </c>
      <c r="Q10" s="12" t="s">
        <v>95</v>
      </c>
      <c r="R10" s="14">
        <f>(COUNTA(C10:Q10))/12</f>
        <v>1</v>
      </c>
      <c r="S10" s="14"/>
      <c r="U10" s="570"/>
      <c r="V10" s="571"/>
      <c r="W10" s="571"/>
      <c r="X10" s="571"/>
      <c r="Y10" s="571"/>
      <c r="Z10" s="572"/>
    </row>
    <row r="11" spans="1:26" ht="27.95" customHeight="1">
      <c r="A11" s="9">
        <v>8</v>
      </c>
      <c r="B11" s="26" t="s">
        <v>96</v>
      </c>
      <c r="C11" s="598"/>
      <c r="D11" s="599"/>
      <c r="E11" s="11" t="s">
        <v>97</v>
      </c>
      <c r="F11" s="11" t="s">
        <v>185</v>
      </c>
      <c r="G11" s="11" t="s">
        <v>52</v>
      </c>
      <c r="H11" s="12" t="s">
        <v>98</v>
      </c>
      <c r="I11" s="12" t="s">
        <v>99</v>
      </c>
      <c r="J11" s="18" t="s">
        <v>97</v>
      </c>
      <c r="K11" s="18" t="s">
        <v>100</v>
      </c>
      <c r="L11" s="12"/>
      <c r="M11" s="12" t="s">
        <v>101</v>
      </c>
      <c r="N11" s="18" t="s">
        <v>55</v>
      </c>
      <c r="O11" s="12" t="s">
        <v>102</v>
      </c>
      <c r="P11" s="12" t="s">
        <v>21</v>
      </c>
      <c r="Q11" s="12" t="s">
        <v>103</v>
      </c>
      <c r="R11" s="14">
        <f>(COUNTA(C11:Q11))/12</f>
        <v>1</v>
      </c>
      <c r="S11" s="14"/>
      <c r="U11" s="570"/>
      <c r="V11" s="571"/>
      <c r="W11" s="571"/>
      <c r="X11" s="571"/>
      <c r="Y11" s="571"/>
      <c r="Z11" s="572"/>
    </row>
    <row r="12" spans="1:26" ht="27.95" customHeight="1">
      <c r="A12" s="9">
        <v>9</v>
      </c>
      <c r="B12" s="15" t="s">
        <v>104</v>
      </c>
      <c r="C12" s="409" t="s">
        <v>333</v>
      </c>
      <c r="D12" s="410" t="s">
        <v>335</v>
      </c>
      <c r="E12" s="11" t="s">
        <v>105</v>
      </c>
      <c r="F12" s="24" t="s">
        <v>106</v>
      </c>
      <c r="G12" s="24" t="s">
        <v>107</v>
      </c>
      <c r="H12" s="24" t="s">
        <v>85</v>
      </c>
      <c r="I12" s="18" t="s">
        <v>108</v>
      </c>
      <c r="J12" s="16" t="s">
        <v>109</v>
      </c>
      <c r="K12" s="12" t="s">
        <v>22</v>
      </c>
      <c r="L12" s="18"/>
      <c r="M12" s="24" t="s">
        <v>110</v>
      </c>
      <c r="N12" s="18" t="s">
        <v>90</v>
      </c>
      <c r="O12" s="12" t="s">
        <v>111</v>
      </c>
      <c r="P12" s="576"/>
      <c r="Q12" s="577"/>
      <c r="R12" s="14">
        <f t="shared" si="0"/>
        <v>1</v>
      </c>
      <c r="S12" s="14"/>
      <c r="U12" s="570"/>
      <c r="V12" s="571"/>
      <c r="W12" s="571"/>
      <c r="X12" s="571"/>
      <c r="Y12" s="571"/>
      <c r="Z12" s="572"/>
    </row>
    <row r="13" spans="1:26" ht="27.95" customHeight="1" thickBot="1">
      <c r="A13" s="9">
        <v>10</v>
      </c>
      <c r="B13" s="21" t="s">
        <v>112</v>
      </c>
      <c r="C13" s="412" t="s">
        <v>332</v>
      </c>
      <c r="D13" s="412" t="s">
        <v>334</v>
      </c>
      <c r="E13" s="11" t="s">
        <v>114</v>
      </c>
      <c r="F13" s="27" t="s">
        <v>115</v>
      </c>
      <c r="G13" s="27" t="s">
        <v>116</v>
      </c>
      <c r="H13" s="27" t="s">
        <v>117</v>
      </c>
      <c r="I13" s="27" t="s">
        <v>118</v>
      </c>
      <c r="J13" s="27" t="s">
        <v>119</v>
      </c>
      <c r="K13" s="27" t="s">
        <v>120</v>
      </c>
      <c r="L13" s="28"/>
      <c r="M13" s="29" t="s">
        <v>121</v>
      </c>
      <c r="N13" s="12" t="s">
        <v>122</v>
      </c>
      <c r="O13" s="12" t="s">
        <v>123</v>
      </c>
      <c r="P13" s="578"/>
      <c r="Q13" s="579"/>
      <c r="R13" s="14">
        <f t="shared" si="0"/>
        <v>1</v>
      </c>
      <c r="S13" s="14"/>
      <c r="U13" s="570"/>
      <c r="V13" s="571"/>
      <c r="W13" s="571"/>
      <c r="X13" s="571"/>
      <c r="Y13" s="571"/>
      <c r="Z13" s="572"/>
    </row>
    <row r="14" spans="1:26" ht="27.95" customHeight="1">
      <c r="A14" s="30">
        <v>11</v>
      </c>
      <c r="B14" s="31" t="s">
        <v>124</v>
      </c>
      <c r="C14" s="600"/>
      <c r="D14" s="601"/>
      <c r="E14" s="32" t="s">
        <v>125</v>
      </c>
      <c r="F14" s="32" t="s">
        <v>126</v>
      </c>
      <c r="G14" s="32" t="s">
        <v>127</v>
      </c>
      <c r="H14" s="23" t="s">
        <v>128</v>
      </c>
      <c r="I14" s="32" t="s">
        <v>129</v>
      </c>
      <c r="J14" s="33" t="s">
        <v>130</v>
      </c>
      <c r="K14" s="18" t="s">
        <v>131</v>
      </c>
      <c r="L14" s="34"/>
      <c r="M14" s="18" t="s">
        <v>132</v>
      </c>
      <c r="N14" s="32" t="s">
        <v>133</v>
      </c>
      <c r="O14" s="34" t="s">
        <v>134</v>
      </c>
      <c r="P14" s="35" t="s">
        <v>135</v>
      </c>
      <c r="Q14" s="32" t="s">
        <v>136</v>
      </c>
      <c r="R14" s="14">
        <f t="shared" si="0"/>
        <v>1</v>
      </c>
      <c r="S14" s="14"/>
      <c r="U14" s="570"/>
      <c r="V14" s="571"/>
      <c r="W14" s="571"/>
      <c r="X14" s="571"/>
      <c r="Y14" s="571"/>
      <c r="Z14" s="572"/>
    </row>
    <row r="15" spans="1:26" ht="27.95" customHeight="1">
      <c r="A15" s="36">
        <v>12</v>
      </c>
      <c r="B15" s="37" t="s">
        <v>137</v>
      </c>
      <c r="C15" s="602"/>
      <c r="D15" s="603"/>
      <c r="E15" s="11" t="s">
        <v>138</v>
      </c>
      <c r="F15" s="23" t="s">
        <v>139</v>
      </c>
      <c r="G15" s="13" t="s">
        <v>936</v>
      </c>
      <c r="H15" s="11" t="s">
        <v>141</v>
      </c>
      <c r="I15" s="12" t="s">
        <v>142</v>
      </c>
      <c r="J15" s="11" t="s">
        <v>143</v>
      </c>
      <c r="K15" s="12" t="s">
        <v>144</v>
      </c>
      <c r="L15" s="12"/>
      <c r="M15" s="12" t="s">
        <v>145</v>
      </c>
      <c r="N15" s="12" t="s">
        <v>146</v>
      </c>
      <c r="O15" s="11" t="s">
        <v>147</v>
      </c>
      <c r="P15" s="12" t="s">
        <v>148</v>
      </c>
      <c r="Q15" s="16" t="s">
        <v>149</v>
      </c>
      <c r="R15" s="14">
        <f t="shared" si="0"/>
        <v>1</v>
      </c>
      <c r="S15" s="14"/>
      <c r="U15" s="570"/>
      <c r="V15" s="571"/>
      <c r="W15" s="571"/>
      <c r="X15" s="571"/>
      <c r="Y15" s="571"/>
      <c r="Z15" s="572"/>
    </row>
    <row r="16" spans="1:26" ht="27.95" customHeight="1">
      <c r="A16" s="36">
        <v>13</v>
      </c>
      <c r="B16" s="37" t="s">
        <v>150</v>
      </c>
      <c r="C16" s="602"/>
      <c r="D16" s="603"/>
      <c r="E16" s="12" t="s">
        <v>151</v>
      </c>
      <c r="F16" s="12" t="s">
        <v>152</v>
      </c>
      <c r="G16" s="11" t="s">
        <v>132</v>
      </c>
      <c r="H16" s="12" t="s">
        <v>328</v>
      </c>
      <c r="I16" s="11" t="s">
        <v>151</v>
      </c>
      <c r="J16" s="12" t="s">
        <v>153</v>
      </c>
      <c r="K16" s="12" t="s">
        <v>154</v>
      </c>
      <c r="L16" s="12"/>
      <c r="M16" s="12" t="s">
        <v>155</v>
      </c>
      <c r="N16" s="11" t="s">
        <v>156</v>
      </c>
      <c r="O16" s="12" t="s">
        <v>157</v>
      </c>
      <c r="P16" s="11" t="s">
        <v>158</v>
      </c>
      <c r="Q16" s="18" t="s">
        <v>200</v>
      </c>
      <c r="R16" s="14">
        <f>(COUNTA(C16:Q16))/12</f>
        <v>1</v>
      </c>
      <c r="S16" s="14"/>
      <c r="U16" s="570"/>
      <c r="V16" s="571"/>
      <c r="W16" s="571"/>
      <c r="X16" s="571"/>
      <c r="Y16" s="571"/>
      <c r="Z16" s="572"/>
    </row>
    <row r="17" spans="1:26" ht="27.95" customHeight="1">
      <c r="A17" s="36">
        <v>14</v>
      </c>
      <c r="B17" s="38" t="s">
        <v>159</v>
      </c>
      <c r="C17" s="602"/>
      <c r="D17" s="603"/>
      <c r="E17" s="18" t="s">
        <v>160</v>
      </c>
      <c r="F17" s="11" t="s">
        <v>161</v>
      </c>
      <c r="G17" s="18" t="s">
        <v>162</v>
      </c>
      <c r="H17" s="39" t="s">
        <v>163</v>
      </c>
      <c r="I17" s="18" t="s">
        <v>126</v>
      </c>
      <c r="J17" s="13" t="s">
        <v>164</v>
      </c>
      <c r="K17" s="18" t="s">
        <v>165</v>
      </c>
      <c r="L17" s="40"/>
      <c r="M17" s="18" t="s">
        <v>166</v>
      </c>
      <c r="N17" s="24" t="s">
        <v>167</v>
      </c>
      <c r="O17" s="18" t="s">
        <v>168</v>
      </c>
      <c r="P17" s="11" t="s">
        <v>169</v>
      </c>
      <c r="Q17" s="16" t="s">
        <v>170</v>
      </c>
      <c r="R17" s="14">
        <f t="shared" si="0"/>
        <v>1</v>
      </c>
      <c r="S17" s="14"/>
      <c r="U17" s="570"/>
      <c r="V17" s="571"/>
      <c r="W17" s="571"/>
      <c r="X17" s="571"/>
      <c r="Y17" s="571"/>
      <c r="Z17" s="572"/>
    </row>
    <row r="18" spans="1:26" ht="27.95" customHeight="1">
      <c r="A18" s="36">
        <v>15</v>
      </c>
      <c r="B18" s="21" t="s">
        <v>171</v>
      </c>
      <c r="C18" s="602"/>
      <c r="D18" s="603"/>
      <c r="E18" s="12" t="s">
        <v>172</v>
      </c>
      <c r="F18" s="11" t="s">
        <v>173</v>
      </c>
      <c r="G18" s="11" t="s">
        <v>174</v>
      </c>
      <c r="H18" s="12" t="s">
        <v>175</v>
      </c>
      <c r="I18" s="12" t="s">
        <v>176</v>
      </c>
      <c r="J18" s="12" t="s">
        <v>177</v>
      </c>
      <c r="K18" s="12" t="s">
        <v>178</v>
      </c>
      <c r="L18" s="12"/>
      <c r="M18" s="12" t="s">
        <v>179</v>
      </c>
      <c r="N18" s="11" t="s">
        <v>180</v>
      </c>
      <c r="O18" s="12" t="s">
        <v>328</v>
      </c>
      <c r="P18" s="12" t="s">
        <v>181</v>
      </c>
      <c r="Q18" s="11" t="s">
        <v>138</v>
      </c>
      <c r="R18" s="14">
        <f>(COUNTA(C18:Q18))/12</f>
        <v>1</v>
      </c>
      <c r="S18" s="14"/>
      <c r="U18" s="570"/>
      <c r="V18" s="571"/>
      <c r="W18" s="571"/>
      <c r="X18" s="571"/>
      <c r="Y18" s="571"/>
      <c r="Z18" s="572"/>
    </row>
    <row r="19" spans="1:26" ht="27.95" customHeight="1" thickBot="1">
      <c r="A19" s="36">
        <v>16</v>
      </c>
      <c r="B19" s="21" t="s">
        <v>182</v>
      </c>
      <c r="C19" s="602"/>
      <c r="D19" s="603"/>
      <c r="E19" s="23" t="s">
        <v>183</v>
      </c>
      <c r="F19" s="11" t="s">
        <v>184</v>
      </c>
      <c r="G19" s="11" t="s">
        <v>185</v>
      </c>
      <c r="H19" s="11" t="s">
        <v>186</v>
      </c>
      <c r="I19" s="16" t="s">
        <v>187</v>
      </c>
      <c r="J19" s="12" t="s">
        <v>587</v>
      </c>
      <c r="K19" s="11" t="s">
        <v>188</v>
      </c>
      <c r="L19" s="41"/>
      <c r="M19" s="12" t="s">
        <v>589</v>
      </c>
      <c r="N19" s="12" t="s">
        <v>189</v>
      </c>
      <c r="O19" s="18" t="s">
        <v>190</v>
      </c>
      <c r="P19" s="12" t="s">
        <v>191</v>
      </c>
      <c r="Q19" s="16" t="s">
        <v>192</v>
      </c>
      <c r="R19" s="14">
        <f t="shared" si="0"/>
        <v>1</v>
      </c>
      <c r="S19" s="14"/>
      <c r="U19" s="573"/>
      <c r="V19" s="574"/>
      <c r="W19" s="574"/>
      <c r="X19" s="574"/>
      <c r="Y19" s="574"/>
      <c r="Z19" s="575"/>
    </row>
    <row r="20" spans="1:26" ht="27.95" customHeight="1" thickBot="1">
      <c r="A20" s="36">
        <v>17</v>
      </c>
      <c r="B20" s="21" t="s">
        <v>193</v>
      </c>
      <c r="C20" s="604"/>
      <c r="D20" s="605"/>
      <c r="E20" s="12" t="s">
        <v>189</v>
      </c>
      <c r="F20" s="12" t="s">
        <v>194</v>
      </c>
      <c r="G20" s="12" t="s">
        <v>195</v>
      </c>
      <c r="H20" s="16" t="s">
        <v>196</v>
      </c>
      <c r="I20" s="12" t="s">
        <v>197</v>
      </c>
      <c r="J20" s="18" t="s">
        <v>198</v>
      </c>
      <c r="K20" s="12" t="s">
        <v>177</v>
      </c>
      <c r="L20" s="12"/>
      <c r="M20" s="39" t="s">
        <v>199</v>
      </c>
      <c r="N20" s="18" t="s">
        <v>200</v>
      </c>
      <c r="O20" s="11" t="s">
        <v>201</v>
      </c>
      <c r="P20" s="12" t="s">
        <v>202</v>
      </c>
      <c r="Q20" s="12" t="s">
        <v>203</v>
      </c>
      <c r="R20" s="14">
        <f>(COUNTA(C20:Q20))/12</f>
        <v>1</v>
      </c>
      <c r="S20" s="14"/>
      <c r="U20" s="549" t="s">
        <v>204</v>
      </c>
      <c r="V20" s="550"/>
      <c r="W20" s="550"/>
      <c r="X20" s="550"/>
      <c r="Y20" s="550"/>
      <c r="Z20" s="551"/>
    </row>
    <row r="21" spans="1:26" ht="27.95" customHeight="1">
      <c r="A21" s="36">
        <v>18</v>
      </c>
      <c r="B21" s="37" t="s">
        <v>205</v>
      </c>
      <c r="C21" s="429" t="s">
        <v>336</v>
      </c>
      <c r="D21" s="430" t="s">
        <v>272</v>
      </c>
      <c r="E21" s="12" t="s">
        <v>206</v>
      </c>
      <c r="F21" s="12" t="s">
        <v>588</v>
      </c>
      <c r="G21" s="11" t="s">
        <v>207</v>
      </c>
      <c r="H21" s="11" t="s">
        <v>208</v>
      </c>
      <c r="I21" s="12" t="s">
        <v>162</v>
      </c>
      <c r="J21" s="16" t="s">
        <v>209</v>
      </c>
      <c r="K21" s="23" t="s">
        <v>139</v>
      </c>
      <c r="L21" s="12"/>
      <c r="M21" s="11" t="s">
        <v>210</v>
      </c>
      <c r="N21" s="12" t="s">
        <v>211</v>
      </c>
      <c r="O21" s="12" t="s">
        <v>212</v>
      </c>
      <c r="P21" s="608"/>
      <c r="Q21" s="609"/>
      <c r="R21" s="14">
        <f t="shared" si="0"/>
        <v>1</v>
      </c>
      <c r="S21" s="14"/>
      <c r="U21" s="612"/>
      <c r="V21" s="613"/>
      <c r="W21" s="613"/>
      <c r="X21" s="613"/>
      <c r="Y21" s="613"/>
      <c r="Z21" s="614"/>
    </row>
    <row r="22" spans="1:26" ht="27.95" customHeight="1" thickBot="1">
      <c r="A22" s="42">
        <v>19</v>
      </c>
      <c r="B22" s="43" t="s">
        <v>213</v>
      </c>
      <c r="C22" s="433" t="s">
        <v>493</v>
      </c>
      <c r="D22" s="434" t="s">
        <v>336</v>
      </c>
      <c r="E22" s="29" t="s">
        <v>215</v>
      </c>
      <c r="F22" s="29" t="s">
        <v>216</v>
      </c>
      <c r="G22" s="27" t="s">
        <v>200</v>
      </c>
      <c r="H22" s="29" t="s">
        <v>217</v>
      </c>
      <c r="I22" s="44" t="s">
        <v>218</v>
      </c>
      <c r="J22" s="27" t="s">
        <v>139</v>
      </c>
      <c r="K22" s="27" t="s">
        <v>219</v>
      </c>
      <c r="L22" s="44"/>
      <c r="M22" s="27" t="s">
        <v>220</v>
      </c>
      <c r="N22" s="44" t="s">
        <v>221</v>
      </c>
      <c r="O22" s="27" t="s">
        <v>162</v>
      </c>
      <c r="P22" s="610"/>
      <c r="Q22" s="611"/>
      <c r="R22" s="14">
        <f t="shared" si="0"/>
        <v>1</v>
      </c>
      <c r="S22" s="14"/>
      <c r="U22" s="615"/>
      <c r="V22" s="616"/>
      <c r="W22" s="616"/>
      <c r="X22" s="616"/>
      <c r="Y22" s="616"/>
      <c r="Z22" s="617"/>
    </row>
    <row r="23" spans="1:26" ht="27.95" customHeight="1" thickBot="1">
      <c r="A23" s="45" t="s">
        <v>222</v>
      </c>
      <c r="B23" s="46" t="s">
        <v>223</v>
      </c>
      <c r="C23" s="602"/>
      <c r="D23" s="603"/>
      <c r="E23" s="18"/>
      <c r="F23" s="12" t="s">
        <v>327</v>
      </c>
      <c r="G23" s="24" t="s">
        <v>224</v>
      </c>
      <c r="H23" s="18"/>
      <c r="I23" s="18" t="s">
        <v>225</v>
      </c>
      <c r="J23" s="40" t="s">
        <v>221</v>
      </c>
      <c r="K23" s="18"/>
      <c r="L23" s="47"/>
      <c r="M23" s="18"/>
      <c r="N23" s="18" t="s">
        <v>177</v>
      </c>
      <c r="O23" s="24" t="s">
        <v>226</v>
      </c>
      <c r="P23" s="48"/>
      <c r="Q23" s="18" t="s">
        <v>227</v>
      </c>
      <c r="R23" s="14">
        <f>(COUNTA(C23:Q23))/7</f>
        <v>1</v>
      </c>
      <c r="S23" s="14"/>
      <c r="U23" s="618"/>
      <c r="V23" s="619"/>
      <c r="W23" s="619"/>
      <c r="X23" s="619"/>
      <c r="Y23" s="619"/>
      <c r="Z23" s="620"/>
    </row>
    <row r="24" spans="1:26" s="51" customFormat="1" ht="27.95" customHeight="1" thickBot="1">
      <c r="A24" s="49"/>
      <c r="B24" s="43" t="s">
        <v>228</v>
      </c>
      <c r="C24" s="621"/>
      <c r="D24" s="622"/>
      <c r="E24" s="27" t="s">
        <v>229</v>
      </c>
      <c r="F24" s="47" t="s">
        <v>230</v>
      </c>
      <c r="G24" s="29" t="s">
        <v>167</v>
      </c>
      <c r="H24" s="29" t="s">
        <v>231</v>
      </c>
      <c r="I24" s="27" t="s">
        <v>232</v>
      </c>
      <c r="J24" s="29" t="s">
        <v>233</v>
      </c>
      <c r="K24" s="50" t="s">
        <v>234</v>
      </c>
      <c r="L24" s="27"/>
      <c r="M24" s="29" t="s">
        <v>235</v>
      </c>
      <c r="N24" s="27" t="s">
        <v>236</v>
      </c>
      <c r="O24" s="27" t="s">
        <v>237</v>
      </c>
      <c r="P24" s="18" t="s">
        <v>200</v>
      </c>
      <c r="Q24" s="11" t="s">
        <v>158</v>
      </c>
      <c r="R24" s="14">
        <f>(COUNTA(C24:Q24))/12</f>
        <v>1</v>
      </c>
      <c r="S24" s="14"/>
      <c r="T24" s="2"/>
      <c r="U24" s="564" t="s">
        <v>238</v>
      </c>
      <c r="V24" s="565"/>
      <c r="W24" s="565"/>
      <c r="X24" s="565"/>
      <c r="Y24" s="565"/>
      <c r="Z24" s="566"/>
    </row>
    <row r="25" spans="1:26" ht="9.9499999999999993" customHeight="1" thickBot="1">
      <c r="A25" s="52"/>
      <c r="B25" s="53"/>
      <c r="C25" s="54"/>
      <c r="D25" s="55"/>
      <c r="E25" s="56"/>
      <c r="F25" s="57"/>
      <c r="G25" s="58"/>
      <c r="H25" s="59"/>
      <c r="I25" s="56"/>
      <c r="J25" s="60"/>
      <c r="K25" s="56"/>
      <c r="L25" s="56"/>
      <c r="M25" s="59"/>
      <c r="N25" s="57"/>
      <c r="O25" s="61"/>
      <c r="P25" s="56"/>
      <c r="Q25" s="56"/>
      <c r="U25" s="555"/>
      <c r="V25" s="556"/>
      <c r="W25" s="556"/>
      <c r="X25" s="556"/>
      <c r="Y25" s="556"/>
      <c r="Z25" s="557"/>
    </row>
    <row r="26" spans="1:26" ht="120" customHeight="1">
      <c r="A26" s="62"/>
      <c r="B26" s="580" t="s">
        <v>239</v>
      </c>
      <c r="C26" s="582"/>
      <c r="D26" s="583"/>
      <c r="E26" s="32" t="s">
        <v>339</v>
      </c>
      <c r="F26" s="32" t="s">
        <v>340</v>
      </c>
      <c r="G26" s="32" t="s">
        <v>593</v>
      </c>
      <c r="H26" s="32" t="s">
        <v>907</v>
      </c>
      <c r="I26" s="32" t="s">
        <v>342</v>
      </c>
      <c r="J26" s="32" t="s">
        <v>242</v>
      </c>
      <c r="K26" s="63" t="s">
        <v>243</v>
      </c>
      <c r="L26" s="64"/>
      <c r="M26" s="32" t="s">
        <v>908</v>
      </c>
      <c r="N26" s="32" t="s">
        <v>325</v>
      </c>
      <c r="O26" s="32" t="s">
        <v>244</v>
      </c>
      <c r="P26" s="32" t="s">
        <v>592</v>
      </c>
      <c r="Q26" s="32" t="s">
        <v>245</v>
      </c>
      <c r="R26" s="14">
        <f>(COUNTA(C26:Q26))/12</f>
        <v>1</v>
      </c>
      <c r="S26" s="14"/>
      <c r="U26" s="558"/>
      <c r="V26" s="559"/>
      <c r="W26" s="559"/>
      <c r="X26" s="559"/>
      <c r="Y26" s="559"/>
      <c r="Z26" s="560"/>
    </row>
    <row r="27" spans="1:26" ht="120" customHeight="1">
      <c r="A27" s="65"/>
      <c r="B27" s="581"/>
      <c r="C27" s="584"/>
      <c r="D27" s="585"/>
      <c r="E27" s="12" t="s">
        <v>519</v>
      </c>
      <c r="F27" s="12" t="s">
        <v>924</v>
      </c>
      <c r="G27" s="12" t="s">
        <v>330</v>
      </c>
      <c r="H27" s="12" t="s">
        <v>602</v>
      </c>
      <c r="I27" s="12" t="s">
        <v>931</v>
      </c>
      <c r="J27" s="12" t="s">
        <v>932</v>
      </c>
      <c r="K27" s="12" t="s">
        <v>246</v>
      </c>
      <c r="L27" s="12"/>
      <c r="M27" s="12" t="s">
        <v>934</v>
      </c>
      <c r="N27" s="12" t="s">
        <v>935</v>
      </c>
      <c r="O27" s="12" t="s">
        <v>604</v>
      </c>
      <c r="P27" s="12" t="s">
        <v>933</v>
      </c>
      <c r="Q27" s="12" t="s">
        <v>599</v>
      </c>
      <c r="U27" s="558"/>
      <c r="V27" s="559"/>
      <c r="W27" s="559"/>
      <c r="X27" s="559"/>
      <c r="Y27" s="559"/>
      <c r="Z27" s="560"/>
    </row>
    <row r="28" spans="1:26" ht="120" customHeight="1" thickBot="1">
      <c r="A28" s="66"/>
      <c r="B28" s="43" t="s">
        <v>247</v>
      </c>
      <c r="C28" s="586"/>
      <c r="D28" s="587"/>
      <c r="E28" s="67" t="s">
        <v>248</v>
      </c>
      <c r="F28" s="27" t="s">
        <v>338</v>
      </c>
      <c r="G28" s="27" t="s">
        <v>341</v>
      </c>
      <c r="H28" s="27" t="s">
        <v>249</v>
      </c>
      <c r="I28" s="27" t="s">
        <v>250</v>
      </c>
      <c r="J28" s="27" t="s">
        <v>909</v>
      </c>
      <c r="K28" s="27" t="s">
        <v>590</v>
      </c>
      <c r="L28" s="44"/>
      <c r="M28" s="27" t="s">
        <v>251</v>
      </c>
      <c r="N28" s="27" t="s">
        <v>603</v>
      </c>
      <c r="O28" s="27" t="s">
        <v>591</v>
      </c>
      <c r="P28" s="588" t="s">
        <v>248</v>
      </c>
      <c r="Q28" s="589"/>
      <c r="R28" s="14">
        <f>(COUNTA(F28:O28))/9</f>
        <v>1</v>
      </c>
      <c r="S28" s="14"/>
      <c r="U28" s="558"/>
      <c r="V28" s="559"/>
      <c r="W28" s="559"/>
      <c r="X28" s="559"/>
      <c r="Y28" s="559"/>
      <c r="Z28" s="560"/>
    </row>
    <row r="29" spans="1:26" ht="27.95" customHeight="1" thickBot="1">
      <c r="A29" s="68"/>
      <c r="B29" s="69" t="s">
        <v>253</v>
      </c>
      <c r="C29" s="70"/>
      <c r="D29" s="71"/>
      <c r="E29" s="72"/>
      <c r="F29" s="72"/>
      <c r="G29" s="72"/>
      <c r="H29" s="73"/>
      <c r="I29" s="74"/>
      <c r="J29" s="73"/>
      <c r="K29" s="73"/>
      <c r="L29" s="75"/>
      <c r="M29" s="74"/>
      <c r="N29" s="73"/>
      <c r="O29" s="73"/>
      <c r="P29" s="76"/>
      <c r="Q29" s="76"/>
      <c r="R29" s="14"/>
      <c r="S29" s="14"/>
      <c r="U29" s="558"/>
      <c r="V29" s="559"/>
      <c r="W29" s="559"/>
      <c r="X29" s="559"/>
      <c r="Y29" s="559"/>
      <c r="Z29" s="560"/>
    </row>
    <row r="30" spans="1:26" ht="9.9499999999999993" customHeight="1" thickBo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U30" s="561"/>
      <c r="V30" s="562"/>
      <c r="W30" s="562"/>
      <c r="X30" s="562"/>
      <c r="Y30" s="562"/>
      <c r="Z30" s="563"/>
    </row>
    <row r="31" spans="1:26" ht="27.95" customHeight="1">
      <c r="A31" s="78"/>
      <c r="B31" s="79"/>
      <c r="C31" s="79"/>
      <c r="D31" s="80" t="s">
        <v>254</v>
      </c>
      <c r="E31" s="81" t="s">
        <v>255</v>
      </c>
      <c r="F31" s="81" t="s">
        <v>5</v>
      </c>
      <c r="G31" s="81" t="s">
        <v>6</v>
      </c>
      <c r="H31" s="81" t="s">
        <v>256</v>
      </c>
      <c r="I31" s="81" t="s">
        <v>8</v>
      </c>
      <c r="J31" s="81" t="s">
        <v>257</v>
      </c>
      <c r="K31" s="81" t="s">
        <v>258</v>
      </c>
      <c r="L31" s="82" t="s">
        <v>259</v>
      </c>
      <c r="M31" s="81" t="s">
        <v>260</v>
      </c>
      <c r="N31" s="81" t="s">
        <v>13</v>
      </c>
      <c r="O31" s="81" t="s">
        <v>14</v>
      </c>
      <c r="P31" s="81" t="s">
        <v>15</v>
      </c>
      <c r="Q31" s="83" t="s">
        <v>16</v>
      </c>
      <c r="U31" s="623" t="s">
        <v>261</v>
      </c>
      <c r="V31" s="624"/>
      <c r="W31" s="624"/>
      <c r="X31" s="624"/>
      <c r="Y31" s="624"/>
      <c r="Z31" s="625"/>
    </row>
    <row r="32" spans="1:26" ht="27.95" customHeight="1">
      <c r="D32" s="85" t="s">
        <v>262</v>
      </c>
      <c r="E32" s="20" t="s">
        <v>47</v>
      </c>
      <c r="F32" s="12" t="s">
        <v>263</v>
      </c>
      <c r="G32" s="12" t="s">
        <v>264</v>
      </c>
      <c r="H32" s="12" t="s">
        <v>265</v>
      </c>
      <c r="I32" s="16"/>
      <c r="J32" s="16" t="s">
        <v>43</v>
      </c>
      <c r="K32" s="12" t="s">
        <v>266</v>
      </c>
      <c r="L32" s="87"/>
      <c r="M32" s="12"/>
      <c r="N32" s="12" t="s">
        <v>267</v>
      </c>
      <c r="O32" s="12" t="s">
        <v>268</v>
      </c>
      <c r="P32" s="88" t="s">
        <v>269</v>
      </c>
      <c r="Q32" s="89" t="s">
        <v>930</v>
      </c>
      <c r="T32" s="90"/>
      <c r="U32" s="626"/>
      <c r="V32" s="627"/>
      <c r="W32" s="627"/>
      <c r="X32" s="627"/>
      <c r="Y32" s="627"/>
      <c r="Z32" s="628"/>
    </row>
    <row r="33" spans="1:26" s="51" customFormat="1" ht="45.75" customHeight="1">
      <c r="A33" s="3"/>
      <c r="B33" s="84"/>
      <c r="C33" s="84"/>
      <c r="D33" s="91" t="s">
        <v>270</v>
      </c>
      <c r="E33" s="92"/>
      <c r="F33" s="16"/>
      <c r="G33" s="16"/>
      <c r="H33" s="16"/>
      <c r="I33" s="16"/>
      <c r="J33" s="16"/>
      <c r="K33" s="93"/>
      <c r="L33" s="94"/>
      <c r="M33" s="16"/>
      <c r="N33" s="16"/>
      <c r="O33" s="88"/>
      <c r="P33" s="16"/>
      <c r="Q33" s="89"/>
      <c r="R33" s="1"/>
      <c r="S33" s="1"/>
      <c r="T33" s="2"/>
      <c r="U33" s="626"/>
      <c r="V33" s="627"/>
      <c r="W33" s="627"/>
      <c r="X33" s="627"/>
      <c r="Y33" s="627"/>
      <c r="Z33" s="628"/>
    </row>
    <row r="34" spans="1:26" ht="27.95" customHeight="1">
      <c r="D34" s="91" t="s">
        <v>271</v>
      </c>
      <c r="E34" s="12"/>
      <c r="F34" s="16"/>
      <c r="G34" s="16"/>
      <c r="H34" s="12"/>
      <c r="I34" s="16" t="s">
        <v>272</v>
      </c>
      <c r="J34" s="25"/>
      <c r="K34" s="12" t="s">
        <v>343</v>
      </c>
      <c r="L34" s="87"/>
      <c r="M34" s="16"/>
      <c r="N34" s="86" t="s">
        <v>274</v>
      </c>
      <c r="O34" s="25"/>
      <c r="P34" s="25" t="s">
        <v>273</v>
      </c>
      <c r="Q34" s="95"/>
      <c r="U34" s="626"/>
      <c r="V34" s="627"/>
      <c r="W34" s="627"/>
      <c r="X34" s="627"/>
      <c r="Y34" s="627"/>
      <c r="Z34" s="628"/>
    </row>
    <row r="35" spans="1:26" ht="42" customHeight="1" thickBot="1">
      <c r="D35" s="96" t="s">
        <v>275</v>
      </c>
      <c r="E35" s="97"/>
      <c r="F35" s="98" t="s">
        <v>276</v>
      </c>
      <c r="G35" s="97" t="s">
        <v>277</v>
      </c>
      <c r="H35" s="99"/>
      <c r="I35" s="99"/>
      <c r="J35" s="99"/>
      <c r="K35" s="99" t="s">
        <v>278</v>
      </c>
      <c r="L35" s="100"/>
      <c r="M35" s="101" t="s">
        <v>279</v>
      </c>
      <c r="N35" s="97" t="s">
        <v>280</v>
      </c>
      <c r="O35" s="97" t="s">
        <v>281</v>
      </c>
      <c r="P35" s="97" t="s">
        <v>282</v>
      </c>
      <c r="Q35" s="102" t="s">
        <v>283</v>
      </c>
      <c r="U35" s="629"/>
      <c r="V35" s="630"/>
      <c r="W35" s="630"/>
      <c r="X35" s="630"/>
      <c r="Y35" s="630"/>
      <c r="Z35" s="631"/>
    </row>
    <row r="36" spans="1:26" ht="42" customHeight="1">
      <c r="D36" s="103"/>
      <c r="E36" s="104"/>
      <c r="F36" s="105"/>
      <c r="G36" s="103"/>
      <c r="H36" s="103"/>
      <c r="I36" s="103"/>
      <c r="J36" s="103"/>
      <c r="K36" s="103"/>
      <c r="L36" s="106"/>
      <c r="M36" s="103"/>
      <c r="N36" s="103"/>
      <c r="O36" s="103"/>
      <c r="P36" s="103"/>
      <c r="Q36" s="103"/>
    </row>
    <row r="37" spans="1:26" ht="42" customHeight="1">
      <c r="E37" s="2">
        <f t="shared" ref="E37:J37" si="1">COUNTBLANK(E4:E21)</f>
        <v>0</v>
      </c>
      <c r="F37" s="2">
        <f>COUNTBLANK(F4:F21)</f>
        <v>0</v>
      </c>
      <c r="G37" s="2">
        <f t="shared" si="1"/>
        <v>0</v>
      </c>
      <c r="H37" s="2">
        <f>COUNTBLANK(H4:H21)</f>
        <v>0</v>
      </c>
      <c r="I37" s="2">
        <f>COUNTBLANK(I4:I21)</f>
        <v>0</v>
      </c>
      <c r="J37" s="2">
        <f t="shared" si="1"/>
        <v>0</v>
      </c>
      <c r="K37" s="2">
        <f>COUNTBLANK(K4:K22)</f>
        <v>0</v>
      </c>
      <c r="L37" s="2"/>
      <c r="M37" s="2">
        <f>COUNTBLANK(M4:M21)</f>
        <v>0</v>
      </c>
      <c r="N37" s="2">
        <f>COUNTBLANK(N4:N21)</f>
        <v>0</v>
      </c>
      <c r="O37" s="2">
        <f>COUNTBLANK(O4:O21)</f>
        <v>0</v>
      </c>
      <c r="P37" s="2">
        <f>COUNTBLANK(P4:P20)-2</f>
        <v>0</v>
      </c>
      <c r="Q37" s="2">
        <f>COUNTBLANK(Q4:Q20)-2</f>
        <v>0</v>
      </c>
    </row>
    <row r="38" spans="1:26">
      <c r="I38" s="369" t="s">
        <v>601</v>
      </c>
      <c r="O38" s="369" t="s">
        <v>601</v>
      </c>
    </row>
    <row r="39" spans="1:26" s="108" customFormat="1">
      <c r="B39" s="84"/>
      <c r="C39" s="84"/>
      <c r="D39" s="84"/>
      <c r="E39" s="2"/>
      <c r="F39" s="2"/>
      <c r="G39" s="2"/>
      <c r="H39" s="2"/>
      <c r="I39" s="2"/>
      <c r="J39" s="2"/>
      <c r="K39" s="2"/>
      <c r="L39" s="107"/>
      <c r="M39" s="2"/>
      <c r="N39" s="2"/>
      <c r="O39" s="2"/>
      <c r="P39" s="2"/>
      <c r="Q39" s="2"/>
      <c r="R39" s="1"/>
      <c r="S39" s="1"/>
      <c r="T39" s="109"/>
    </row>
    <row r="40" spans="1:26" s="108" customFormat="1">
      <c r="B40" s="84"/>
      <c r="C40" s="84"/>
      <c r="D40" s="84"/>
      <c r="E40" s="2"/>
      <c r="F40" s="2"/>
      <c r="G40" s="2"/>
      <c r="H40" s="2"/>
      <c r="I40" s="2"/>
      <c r="J40" s="2"/>
      <c r="K40" s="2"/>
      <c r="L40" s="107"/>
      <c r="M40" s="2"/>
      <c r="N40" s="2"/>
      <c r="O40" s="2"/>
      <c r="P40" s="2"/>
      <c r="Q40" s="2"/>
      <c r="R40" s="1"/>
      <c r="S40" s="1"/>
      <c r="T40" s="109"/>
    </row>
    <row r="41" spans="1:26" s="108" customFormat="1">
      <c r="B41" s="84"/>
      <c r="C41" s="84"/>
      <c r="D41" s="84"/>
      <c r="E41" s="2"/>
      <c r="F41" s="2"/>
      <c r="G41" s="2"/>
      <c r="H41" s="2"/>
      <c r="I41" s="2"/>
      <c r="J41" s="2"/>
      <c r="K41" s="2"/>
      <c r="L41" s="107"/>
      <c r="M41" s="2"/>
      <c r="N41" s="2"/>
      <c r="O41" s="2"/>
      <c r="P41" s="2"/>
      <c r="Q41" s="2"/>
      <c r="R41" s="1"/>
      <c r="S41" s="1"/>
      <c r="T41" s="109"/>
    </row>
    <row r="42" spans="1:26" s="108" customFormat="1">
      <c r="B42" s="110"/>
      <c r="C42" s="111"/>
      <c r="D42" s="111"/>
      <c r="E42" s="109"/>
      <c r="F42" s="112"/>
      <c r="G42" s="112"/>
      <c r="H42" s="112"/>
      <c r="I42" s="112"/>
      <c r="J42" s="112"/>
      <c r="K42" s="112"/>
      <c r="L42" s="113"/>
      <c r="M42" s="112"/>
      <c r="N42" s="112"/>
      <c r="O42" s="112"/>
      <c r="P42" s="112"/>
      <c r="Q42" s="112"/>
      <c r="R42" s="114"/>
      <c r="S42" s="115"/>
      <c r="T42" s="109"/>
    </row>
    <row r="45" spans="1:26">
      <c r="D45" s="632" t="s">
        <v>284</v>
      </c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3"/>
    </row>
    <row r="46" spans="1:26" ht="21">
      <c r="A46" s="84"/>
      <c r="D46" s="116" t="s">
        <v>285</v>
      </c>
      <c r="E46" s="117" t="s">
        <v>255</v>
      </c>
      <c r="F46" s="117" t="s">
        <v>5</v>
      </c>
      <c r="G46" s="117" t="s">
        <v>6</v>
      </c>
      <c r="H46" s="117" t="s">
        <v>256</v>
      </c>
      <c r="I46" s="117" t="s">
        <v>8</v>
      </c>
      <c r="J46" s="117" t="s">
        <v>257</v>
      </c>
      <c r="K46" s="117" t="s">
        <v>258</v>
      </c>
      <c r="L46" s="118" t="s">
        <v>11</v>
      </c>
      <c r="M46" s="117" t="s">
        <v>260</v>
      </c>
      <c r="N46" s="117" t="s">
        <v>286</v>
      </c>
      <c r="O46" s="117" t="s">
        <v>14</v>
      </c>
      <c r="P46" s="117" t="s">
        <v>15</v>
      </c>
      <c r="Q46" s="117" t="s">
        <v>287</v>
      </c>
      <c r="R46" s="117" t="s">
        <v>288</v>
      </c>
      <c r="S46" s="117" t="s">
        <v>289</v>
      </c>
    </row>
    <row r="47" spans="1:26" ht="27.95" customHeight="1">
      <c r="A47" s="84"/>
      <c r="D47" s="119" t="s">
        <v>290</v>
      </c>
      <c r="E47" s="120"/>
      <c r="F47" s="121"/>
      <c r="G47" s="122"/>
      <c r="H47" s="123"/>
      <c r="I47" s="122"/>
      <c r="J47" s="124"/>
      <c r="K47" s="123"/>
      <c r="L47" s="125"/>
      <c r="M47" s="126" t="s">
        <v>291</v>
      </c>
      <c r="N47" s="127"/>
      <c r="O47" s="128" t="s">
        <v>292</v>
      </c>
      <c r="P47" s="129" t="s">
        <v>293</v>
      </c>
      <c r="Q47" s="130"/>
      <c r="R47" s="131"/>
      <c r="S47" s="132"/>
    </row>
    <row r="48" spans="1:26">
      <c r="A48" s="84"/>
      <c r="D48" s="634" t="s">
        <v>294</v>
      </c>
      <c r="E48" s="635"/>
      <c r="F48" s="635"/>
      <c r="G48" s="635"/>
      <c r="H48" s="635"/>
      <c r="I48" s="635"/>
      <c r="J48" s="635"/>
      <c r="K48" s="635"/>
      <c r="L48" s="635"/>
      <c r="M48" s="635"/>
      <c r="N48" s="635"/>
      <c r="O48" s="635"/>
      <c r="P48" s="635"/>
      <c r="Q48" s="635"/>
      <c r="R48" s="635"/>
      <c r="S48" s="636"/>
      <c r="T48" s="3"/>
    </row>
    <row r="49" spans="1:20" ht="27.95" customHeight="1">
      <c r="A49" s="84"/>
      <c r="D49" s="133" t="s">
        <v>295</v>
      </c>
      <c r="E49" s="134"/>
      <c r="F49" s="135"/>
      <c r="G49" s="134"/>
      <c r="H49" s="134"/>
      <c r="I49" s="134"/>
      <c r="J49" s="134"/>
      <c r="K49" s="136"/>
      <c r="L49" s="137"/>
      <c r="M49" s="135"/>
      <c r="N49" s="138"/>
      <c r="O49" s="135"/>
      <c r="P49" s="134"/>
      <c r="Q49" s="134"/>
      <c r="R49" s="24"/>
      <c r="S49" s="24"/>
      <c r="T49" s="3"/>
    </row>
    <row r="50" spans="1:20" ht="27.95" customHeight="1">
      <c r="A50" s="84"/>
      <c r="D50" s="133" t="s">
        <v>296</v>
      </c>
      <c r="E50" s="135" t="s">
        <v>297</v>
      </c>
      <c r="F50" s="139"/>
      <c r="G50" s="136" t="s">
        <v>298</v>
      </c>
      <c r="H50" s="136"/>
      <c r="I50" s="139"/>
      <c r="J50" s="136"/>
      <c r="K50" s="140"/>
      <c r="L50" s="137"/>
      <c r="M50" s="141"/>
      <c r="N50" s="136"/>
      <c r="O50" s="142" t="s">
        <v>299</v>
      </c>
      <c r="P50" s="136"/>
      <c r="Q50" s="142"/>
      <c r="R50" s="136"/>
      <c r="S50" s="136"/>
      <c r="T50" s="3"/>
    </row>
    <row r="51" spans="1:20" ht="27.95" customHeight="1">
      <c r="A51" s="84"/>
      <c r="D51" s="143" t="s">
        <v>300</v>
      </c>
      <c r="E51" s="144"/>
      <c r="F51" s="144"/>
      <c r="G51" s="144"/>
      <c r="H51" s="145"/>
      <c r="I51" s="145"/>
      <c r="J51" s="144"/>
      <c r="K51" s="146"/>
      <c r="L51" s="137"/>
      <c r="M51" s="147"/>
      <c r="N51" s="147"/>
      <c r="O51" s="147"/>
      <c r="P51" s="145"/>
      <c r="Q51" s="144" t="s">
        <v>301</v>
      </c>
      <c r="R51" s="148"/>
      <c r="S51" s="148"/>
      <c r="T51" s="3"/>
    </row>
    <row r="52" spans="1:20" ht="27.95" customHeight="1">
      <c r="A52" s="84"/>
      <c r="D52" s="149" t="s">
        <v>302</v>
      </c>
      <c r="E52" s="150"/>
      <c r="F52" s="150"/>
      <c r="G52" s="150"/>
      <c r="H52" s="145"/>
      <c r="I52" s="145"/>
      <c r="J52" s="151"/>
      <c r="K52" s="150"/>
      <c r="L52" s="152"/>
      <c r="M52" s="145"/>
      <c r="N52" s="145"/>
      <c r="O52" s="145"/>
      <c r="P52" s="153"/>
      <c r="Q52" s="150"/>
      <c r="R52" s="150"/>
      <c r="S52" s="150"/>
      <c r="T52" s="3"/>
    </row>
    <row r="53" spans="1:20">
      <c r="D53" s="635" t="s">
        <v>303</v>
      </c>
      <c r="E53" s="635"/>
      <c r="F53" s="635"/>
      <c r="G53" s="635"/>
      <c r="H53" s="635"/>
      <c r="I53" s="635"/>
      <c r="J53" s="635"/>
      <c r="K53" s="635"/>
      <c r="L53" s="635"/>
      <c r="M53" s="635"/>
      <c r="N53" s="635"/>
      <c r="O53" s="635"/>
      <c r="P53" s="635"/>
      <c r="Q53" s="635"/>
      <c r="R53" s="635"/>
      <c r="S53" s="635"/>
    </row>
    <row r="54" spans="1:20" ht="27.95" customHeight="1">
      <c r="D54" s="149" t="s">
        <v>304</v>
      </c>
      <c r="E54" s="148"/>
      <c r="F54" s="148"/>
      <c r="G54" s="148"/>
      <c r="H54" s="150"/>
      <c r="I54" s="148"/>
      <c r="J54" s="148"/>
      <c r="K54" s="154"/>
      <c r="L54" s="148"/>
      <c r="M54" s="145"/>
      <c r="N54" s="150"/>
      <c r="O54" s="155"/>
      <c r="P54" s="145"/>
      <c r="Q54" s="150"/>
      <c r="R54" s="150"/>
      <c r="S54" s="151"/>
    </row>
    <row r="55" spans="1:20" ht="27.95" customHeight="1">
      <c r="D55" s="156" t="s">
        <v>305</v>
      </c>
      <c r="E55" s="134"/>
      <c r="F55" s="157"/>
      <c r="G55" s="144"/>
      <c r="H55" s="134"/>
      <c r="I55" s="134"/>
      <c r="J55" s="158"/>
      <c r="K55" s="159"/>
      <c r="L55" s="147"/>
      <c r="M55" s="157"/>
      <c r="N55" s="144"/>
      <c r="O55" s="157"/>
      <c r="P55" s="147"/>
      <c r="Q55" s="134"/>
      <c r="R55" s="144"/>
      <c r="S55" s="147"/>
    </row>
    <row r="56" spans="1:20">
      <c r="D56" s="634" t="s">
        <v>306</v>
      </c>
      <c r="E56" s="635"/>
      <c r="F56" s="635"/>
      <c r="G56" s="635"/>
      <c r="H56" s="635"/>
      <c r="I56" s="635"/>
      <c r="J56" s="635"/>
      <c r="K56" s="635"/>
      <c r="L56" s="635"/>
      <c r="M56" s="635"/>
      <c r="N56" s="635"/>
      <c r="O56" s="635"/>
      <c r="P56" s="635"/>
      <c r="Q56" s="635"/>
      <c r="R56" s="635"/>
      <c r="S56" s="636"/>
    </row>
    <row r="57" spans="1:20" ht="27.95" customHeight="1">
      <c r="D57" s="160" t="s">
        <v>307</v>
      </c>
      <c r="E57" s="161"/>
      <c r="F57" s="161"/>
      <c r="G57" s="161"/>
      <c r="H57" s="162"/>
      <c r="I57" s="140"/>
      <c r="J57" s="163" t="s">
        <v>308</v>
      </c>
      <c r="K57" s="163"/>
      <c r="L57" s="162"/>
      <c r="M57" s="164"/>
      <c r="N57" s="165"/>
      <c r="O57" s="166"/>
      <c r="P57" s="166"/>
      <c r="Q57" s="167"/>
      <c r="R57" s="142"/>
      <c r="S57" s="168"/>
    </row>
    <row r="58" spans="1:20" ht="27.95" customHeight="1">
      <c r="D58" s="160" t="s">
        <v>309</v>
      </c>
      <c r="E58" s="162" t="s">
        <v>310</v>
      </c>
      <c r="F58" s="161"/>
      <c r="G58" s="142" t="s">
        <v>311</v>
      </c>
      <c r="H58" s="169"/>
      <c r="I58" s="162"/>
      <c r="J58" s="163" t="s">
        <v>312</v>
      </c>
      <c r="K58" s="162"/>
      <c r="L58" s="162"/>
      <c r="M58" s="142" t="s">
        <v>313</v>
      </c>
      <c r="N58" s="163"/>
      <c r="O58" s="139"/>
      <c r="P58" s="139"/>
      <c r="Q58" s="162"/>
      <c r="R58" s="170"/>
      <c r="S58" s="142"/>
    </row>
    <row r="59" spans="1:20" ht="27.75" customHeight="1">
      <c r="D59" s="171" t="s">
        <v>314</v>
      </c>
      <c r="E59" s="168"/>
      <c r="F59" s="142"/>
      <c r="G59" s="142"/>
      <c r="H59" s="162"/>
      <c r="I59" s="162" t="s">
        <v>315</v>
      </c>
      <c r="J59" s="162"/>
      <c r="K59" s="162"/>
      <c r="L59" s="162"/>
      <c r="M59" s="162"/>
      <c r="N59" s="162"/>
      <c r="O59" s="142"/>
      <c r="P59" s="162"/>
      <c r="Q59" s="162"/>
      <c r="R59" s="142"/>
      <c r="S59" s="162"/>
    </row>
    <row r="60" spans="1:20" ht="9.9499999999999993" customHeight="1">
      <c r="D60" s="172"/>
    </row>
    <row r="61" spans="1:20" ht="27.95" customHeight="1">
      <c r="D61" s="606" t="s">
        <v>316</v>
      </c>
      <c r="E61" s="173"/>
      <c r="F61" s="11" t="s">
        <v>317</v>
      </c>
      <c r="G61" s="174"/>
      <c r="H61" s="175"/>
      <c r="I61" s="11"/>
      <c r="J61" s="11" t="s">
        <v>318</v>
      </c>
      <c r="K61" s="11"/>
      <c r="L61" s="41" t="s">
        <v>259</v>
      </c>
      <c r="M61" s="174"/>
      <c r="N61" s="174"/>
      <c r="O61" s="11"/>
      <c r="P61" s="11" t="s">
        <v>318</v>
      </c>
      <c r="Q61" s="11"/>
      <c r="R61" s="176"/>
      <c r="S61" s="177"/>
    </row>
    <row r="62" spans="1:20" ht="27.95" customHeight="1">
      <c r="D62" s="607"/>
      <c r="G62" s="178"/>
      <c r="H62" s="179" t="s">
        <v>319</v>
      </c>
      <c r="I62" s="178"/>
      <c r="J62" s="178"/>
      <c r="K62" s="178"/>
      <c r="M62" s="180"/>
      <c r="N62" s="180"/>
      <c r="O62" s="180"/>
      <c r="P62" s="180"/>
      <c r="Q62" s="178"/>
      <c r="S62" s="181"/>
    </row>
    <row r="64" spans="1:20">
      <c r="F64" s="182"/>
      <c r="G64" s="182"/>
      <c r="H64" s="182"/>
      <c r="I64" s="182"/>
      <c r="J64" s="47"/>
      <c r="K64" s="103"/>
      <c r="L64" s="103"/>
      <c r="M64" s="47"/>
      <c r="N64" s="103"/>
      <c r="O64" s="47"/>
      <c r="P64" s="103"/>
      <c r="Q64" s="103"/>
      <c r="R64" s="103"/>
    </row>
  </sheetData>
  <mergeCells count="24">
    <mergeCell ref="D61:D62"/>
    <mergeCell ref="P21:Q22"/>
    <mergeCell ref="U21:Z23"/>
    <mergeCell ref="C23:D24"/>
    <mergeCell ref="U24:Z24"/>
    <mergeCell ref="U25:Z30"/>
    <mergeCell ref="U31:Z35"/>
    <mergeCell ref="D45:S45"/>
    <mergeCell ref="D48:S48"/>
    <mergeCell ref="D53:S53"/>
    <mergeCell ref="D56:S56"/>
    <mergeCell ref="P12:Q13"/>
    <mergeCell ref="B26:B27"/>
    <mergeCell ref="C26:D28"/>
    <mergeCell ref="P28:Q28"/>
    <mergeCell ref="A1:Q1"/>
    <mergeCell ref="A2:Q2"/>
    <mergeCell ref="C4:D11"/>
    <mergeCell ref="C14:D20"/>
    <mergeCell ref="U20:Z20"/>
    <mergeCell ref="U4:Z4"/>
    <mergeCell ref="U5:Z7"/>
    <mergeCell ref="U8:Z8"/>
    <mergeCell ref="U9:Z19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64"/>
  <sheetViews>
    <sheetView topLeftCell="A2" zoomScale="85" zoomScaleNormal="85" zoomScalePageLayoutView="80" workbookViewId="0">
      <selection activeCell="C21" sqref="C21:D22"/>
    </sheetView>
  </sheetViews>
  <sheetFormatPr defaultRowHeight="16.5"/>
  <cols>
    <col min="1" max="1" width="3.25" style="193" customWidth="1"/>
    <col min="2" max="2" width="10" style="298" customWidth="1"/>
    <col min="3" max="4" width="11.875" style="298" customWidth="1"/>
    <col min="5" max="11" width="11.875" style="192" customWidth="1"/>
    <col min="12" max="12" width="2.625" style="321" customWidth="1"/>
    <col min="13" max="17" width="11.875" style="192" customWidth="1"/>
    <col min="18" max="18" width="11.875" style="191" hidden="1" customWidth="1"/>
    <col min="19" max="19" width="11.875" style="191" customWidth="1"/>
    <col min="20" max="20" width="1.625" style="192" customWidth="1"/>
    <col min="21" max="26" width="8.125" style="193" customWidth="1"/>
    <col min="27" max="16384" width="9" style="193"/>
  </cols>
  <sheetData>
    <row r="1" spans="1:26" ht="16.5" hidden="1" customHeight="1">
      <c r="A1" s="666" t="s">
        <v>0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</row>
    <row r="2" spans="1:26" ht="18" customHeight="1">
      <c r="A2" s="668" t="s">
        <v>348</v>
      </c>
      <c r="B2" s="669"/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69"/>
      <c r="N2" s="669"/>
      <c r="O2" s="669"/>
      <c r="P2" s="669"/>
      <c r="Q2" s="669"/>
    </row>
    <row r="3" spans="1:26" ht="21" customHeight="1" thickBot="1">
      <c r="A3" s="194"/>
      <c r="B3" s="195" t="s">
        <v>1</v>
      </c>
      <c r="C3" s="196" t="s">
        <v>349</v>
      </c>
      <c r="D3" s="196" t="s">
        <v>350</v>
      </c>
      <c r="E3" s="196" t="s">
        <v>4</v>
      </c>
      <c r="F3" s="196" t="s">
        <v>5</v>
      </c>
      <c r="G3" s="196" t="s">
        <v>6</v>
      </c>
      <c r="H3" s="196" t="s">
        <v>7</v>
      </c>
      <c r="I3" s="196" t="s">
        <v>8</v>
      </c>
      <c r="J3" s="196" t="s">
        <v>351</v>
      </c>
      <c r="K3" s="196" t="s">
        <v>352</v>
      </c>
      <c r="L3" s="197" t="s">
        <v>11</v>
      </c>
      <c r="M3" s="196" t="s">
        <v>353</v>
      </c>
      <c r="N3" s="196" t="s">
        <v>13</v>
      </c>
      <c r="O3" s="196" t="s">
        <v>14</v>
      </c>
      <c r="P3" s="196" t="s">
        <v>15</v>
      </c>
      <c r="Q3" s="196" t="s">
        <v>16</v>
      </c>
      <c r="R3" s="198">
        <f>AVERAGE(R4:R28)</f>
        <v>0.97619047619047616</v>
      </c>
      <c r="S3" s="198"/>
    </row>
    <row r="4" spans="1:26" ht="27.95" customHeight="1" thickBot="1">
      <c r="A4" s="199">
        <v>1</v>
      </c>
      <c r="B4" s="200" t="s">
        <v>354</v>
      </c>
      <c r="C4" s="670"/>
      <c r="D4" s="671"/>
      <c r="E4" s="11" t="s">
        <v>355</v>
      </c>
      <c r="F4" s="201" t="s">
        <v>356</v>
      </c>
      <c r="G4" s="201" t="s">
        <v>357</v>
      </c>
      <c r="H4" s="202" t="s">
        <v>358</v>
      </c>
      <c r="I4" s="201" t="s">
        <v>22</v>
      </c>
      <c r="J4" s="201" t="s">
        <v>359</v>
      </c>
      <c r="K4" s="201" t="s">
        <v>360</v>
      </c>
      <c r="L4" s="201"/>
      <c r="M4" s="201" t="s">
        <v>361</v>
      </c>
      <c r="N4" s="201" t="s">
        <v>26</v>
      </c>
      <c r="O4" s="11" t="s">
        <v>362</v>
      </c>
      <c r="P4" s="11" t="s">
        <v>363</v>
      </c>
      <c r="Q4" s="201" t="s">
        <v>364</v>
      </c>
      <c r="R4" s="14">
        <f>(COUNTA(C4:Q4))/12</f>
        <v>1</v>
      </c>
      <c r="S4" s="14"/>
      <c r="U4" s="640" t="s">
        <v>30</v>
      </c>
      <c r="V4" s="641"/>
      <c r="W4" s="641"/>
      <c r="X4" s="641"/>
      <c r="Y4" s="641"/>
      <c r="Z4" s="642"/>
    </row>
    <row r="5" spans="1:26" ht="27.95" customHeight="1">
      <c r="A5" s="199">
        <v>2</v>
      </c>
      <c r="B5" s="203" t="s">
        <v>31</v>
      </c>
      <c r="C5" s="672"/>
      <c r="D5" s="673"/>
      <c r="E5" s="11" t="s">
        <v>365</v>
      </c>
      <c r="F5" s="201" t="s">
        <v>33</v>
      </c>
      <c r="G5" s="201" t="s">
        <v>366</v>
      </c>
      <c r="H5" s="201" t="s">
        <v>367</v>
      </c>
      <c r="I5" s="11" t="s">
        <v>368</v>
      </c>
      <c r="J5" s="11" t="s">
        <v>369</v>
      </c>
      <c r="K5" s="204" t="s">
        <v>37</v>
      </c>
      <c r="L5" s="201"/>
      <c r="M5" s="202" t="s">
        <v>38</v>
      </c>
      <c r="N5" s="205" t="s">
        <v>39</v>
      </c>
      <c r="O5" s="206" t="s">
        <v>370</v>
      </c>
      <c r="P5" s="11" t="s">
        <v>41</v>
      </c>
      <c r="Q5" s="207" t="s">
        <v>371</v>
      </c>
      <c r="R5" s="14">
        <f t="shared" ref="R5:R22" si="0">(COUNTA(C5:Q5))/12</f>
        <v>1</v>
      </c>
      <c r="S5" s="14"/>
      <c r="U5" s="643" t="s">
        <v>583</v>
      </c>
      <c r="V5" s="644"/>
      <c r="W5" s="644"/>
      <c r="X5" s="644"/>
      <c r="Y5" s="644"/>
      <c r="Z5" s="645"/>
    </row>
    <row r="6" spans="1:26" ht="27.75" customHeight="1">
      <c r="A6" s="199">
        <v>3</v>
      </c>
      <c r="B6" s="203" t="s">
        <v>372</v>
      </c>
      <c r="C6" s="672"/>
      <c r="D6" s="673"/>
      <c r="E6" s="208" t="s">
        <v>373</v>
      </c>
      <c r="F6" s="11" t="s">
        <v>374</v>
      </c>
      <c r="G6" s="201" t="s">
        <v>45</v>
      </c>
      <c r="H6" s="19" t="s">
        <v>375</v>
      </c>
      <c r="I6" s="201" t="s">
        <v>376</v>
      </c>
      <c r="J6" s="209" t="s">
        <v>377</v>
      </c>
      <c r="K6" s="201" t="s">
        <v>378</v>
      </c>
      <c r="L6" s="201"/>
      <c r="M6" s="11" t="s">
        <v>379</v>
      </c>
      <c r="N6" s="210" t="s">
        <v>329</v>
      </c>
      <c r="O6" s="201" t="s">
        <v>380</v>
      </c>
      <c r="P6" s="201" t="s">
        <v>381</v>
      </c>
      <c r="Q6" s="201" t="s">
        <v>382</v>
      </c>
      <c r="R6" s="14">
        <f t="shared" si="0"/>
        <v>1</v>
      </c>
      <c r="S6" s="14"/>
      <c r="U6" s="646"/>
      <c r="V6" s="647"/>
      <c r="W6" s="647"/>
      <c r="X6" s="647"/>
      <c r="Y6" s="647"/>
      <c r="Z6" s="648"/>
    </row>
    <row r="7" spans="1:26" ht="27.95" customHeight="1" thickBot="1">
      <c r="A7" s="199">
        <v>4</v>
      </c>
      <c r="B7" s="200" t="s">
        <v>383</v>
      </c>
      <c r="C7" s="672"/>
      <c r="D7" s="673"/>
      <c r="E7" s="206" t="s">
        <v>384</v>
      </c>
      <c r="F7" s="209" t="s">
        <v>55</v>
      </c>
      <c r="G7" s="201" t="s">
        <v>385</v>
      </c>
      <c r="H7" s="201" t="s">
        <v>386</v>
      </c>
      <c r="I7" s="210" t="s">
        <v>329</v>
      </c>
      <c r="J7" s="201" t="s">
        <v>385</v>
      </c>
      <c r="K7" s="201" t="s">
        <v>387</v>
      </c>
      <c r="L7" s="211"/>
      <c r="M7" s="209" t="s">
        <v>388</v>
      </c>
      <c r="N7" s="11" t="s">
        <v>28</v>
      </c>
      <c r="O7" s="201" t="s">
        <v>60</v>
      </c>
      <c r="P7" s="201" t="s">
        <v>389</v>
      </c>
      <c r="Q7" s="201" t="s">
        <v>62</v>
      </c>
      <c r="R7" s="14">
        <f t="shared" si="0"/>
        <v>1</v>
      </c>
      <c r="S7" s="14"/>
      <c r="U7" s="649"/>
      <c r="V7" s="650"/>
      <c r="W7" s="650"/>
      <c r="X7" s="650"/>
      <c r="Y7" s="650"/>
      <c r="Z7" s="651"/>
    </row>
    <row r="8" spans="1:26" ht="27.95" customHeight="1" thickBot="1">
      <c r="A8" s="199">
        <v>5</v>
      </c>
      <c r="B8" s="212" t="s">
        <v>390</v>
      </c>
      <c r="C8" s="672"/>
      <c r="D8" s="673"/>
      <c r="E8" s="201" t="s">
        <v>391</v>
      </c>
      <c r="F8" s="213" t="s">
        <v>392</v>
      </c>
      <c r="G8" s="214" t="s">
        <v>393</v>
      </c>
      <c r="H8" s="201" t="s">
        <v>394</v>
      </c>
      <c r="I8" s="11" t="s">
        <v>355</v>
      </c>
      <c r="J8" s="201" t="s">
        <v>395</v>
      </c>
      <c r="K8" s="201" t="s">
        <v>396</v>
      </c>
      <c r="L8" s="214"/>
      <c r="M8" s="204" t="s">
        <v>397</v>
      </c>
      <c r="N8" s="215" t="s">
        <v>71</v>
      </c>
      <c r="O8" s="216" t="s">
        <v>398</v>
      </c>
      <c r="P8" s="201" t="s">
        <v>73</v>
      </c>
      <c r="Q8" s="209" t="s">
        <v>399</v>
      </c>
      <c r="R8" s="14">
        <f>(COUNTA(C8:Q8))/12</f>
        <v>1</v>
      </c>
      <c r="S8" s="14"/>
      <c r="U8" s="652" t="s">
        <v>400</v>
      </c>
      <c r="V8" s="653"/>
      <c r="W8" s="653"/>
      <c r="X8" s="653"/>
      <c r="Y8" s="653"/>
      <c r="Z8" s="654"/>
    </row>
    <row r="9" spans="1:26" ht="27.95" customHeight="1">
      <c r="A9" s="199">
        <v>6</v>
      </c>
      <c r="B9" s="200" t="s">
        <v>401</v>
      </c>
      <c r="C9" s="672"/>
      <c r="D9" s="673"/>
      <c r="E9" s="209" t="s">
        <v>77</v>
      </c>
      <c r="F9" s="201" t="s">
        <v>78</v>
      </c>
      <c r="G9" s="11" t="s">
        <v>362</v>
      </c>
      <c r="H9" s="201" t="s">
        <v>79</v>
      </c>
      <c r="I9" s="11" t="s">
        <v>80</v>
      </c>
      <c r="J9" s="204" t="s">
        <v>360</v>
      </c>
      <c r="K9" s="11" t="s">
        <v>402</v>
      </c>
      <c r="L9" s="201"/>
      <c r="M9" s="205" t="s">
        <v>403</v>
      </c>
      <c r="N9" s="201" t="s">
        <v>357</v>
      </c>
      <c r="O9" s="11" t="s">
        <v>404</v>
      </c>
      <c r="P9" s="201" t="s">
        <v>405</v>
      </c>
      <c r="Q9" s="24" t="s">
        <v>85</v>
      </c>
      <c r="R9" s="14">
        <f>(COUNTA(C9:Q9))/12</f>
        <v>1</v>
      </c>
      <c r="S9" s="14"/>
      <c r="U9" s="655" t="s">
        <v>584</v>
      </c>
      <c r="V9" s="656"/>
      <c r="W9" s="656"/>
      <c r="X9" s="656"/>
      <c r="Y9" s="656"/>
      <c r="Z9" s="657"/>
    </row>
    <row r="10" spans="1:26" ht="27.75" customHeight="1">
      <c r="A10" s="199">
        <v>7</v>
      </c>
      <c r="B10" s="200" t="s">
        <v>406</v>
      </c>
      <c r="C10" s="672"/>
      <c r="D10" s="673"/>
      <c r="E10" s="210" t="s">
        <v>326</v>
      </c>
      <c r="F10" s="210" t="s">
        <v>87</v>
      </c>
      <c r="G10" s="206" t="s">
        <v>407</v>
      </c>
      <c r="H10" s="210" t="s">
        <v>408</v>
      </c>
      <c r="I10" s="217" t="s">
        <v>397</v>
      </c>
      <c r="J10" s="218" t="s">
        <v>409</v>
      </c>
      <c r="K10" s="219" t="s">
        <v>410</v>
      </c>
      <c r="L10" s="220"/>
      <c r="M10" s="210" t="s">
        <v>411</v>
      </c>
      <c r="N10" s="11" t="s">
        <v>412</v>
      </c>
      <c r="O10" s="210" t="s">
        <v>357</v>
      </c>
      <c r="P10" s="19" t="s">
        <v>94</v>
      </c>
      <c r="Q10" s="210" t="s">
        <v>413</v>
      </c>
      <c r="R10" s="14">
        <f>(COUNTA(C10:Q10))/12</f>
        <v>1</v>
      </c>
      <c r="S10" s="14"/>
      <c r="U10" s="658"/>
      <c r="V10" s="659"/>
      <c r="W10" s="659"/>
      <c r="X10" s="659"/>
      <c r="Y10" s="659"/>
      <c r="Z10" s="660"/>
    </row>
    <row r="11" spans="1:26" ht="27.95" customHeight="1">
      <c r="A11" s="199">
        <v>8</v>
      </c>
      <c r="B11" s="221" t="s">
        <v>414</v>
      </c>
      <c r="C11" s="674"/>
      <c r="D11" s="675"/>
      <c r="E11" s="222"/>
      <c r="F11" s="223"/>
      <c r="G11" s="189"/>
      <c r="H11" s="224" t="s">
        <v>27</v>
      </c>
      <c r="I11" s="223"/>
      <c r="J11" s="225" t="s">
        <v>415</v>
      </c>
      <c r="K11" s="226"/>
      <c r="L11" s="223"/>
      <c r="M11" s="223"/>
      <c r="N11" s="227" t="s">
        <v>55</v>
      </c>
      <c r="O11" s="224" t="s">
        <v>416</v>
      </c>
      <c r="P11" s="224" t="s">
        <v>21</v>
      </c>
      <c r="Q11" s="224" t="s">
        <v>385</v>
      </c>
      <c r="R11" s="14">
        <f>(COUNTA(C11:Q11))/12</f>
        <v>0.5</v>
      </c>
      <c r="S11" s="14"/>
      <c r="U11" s="658"/>
      <c r="V11" s="659"/>
      <c r="W11" s="659"/>
      <c r="X11" s="659"/>
      <c r="Y11" s="659"/>
      <c r="Z11" s="660"/>
    </row>
    <row r="12" spans="1:26" ht="27.95" customHeight="1">
      <c r="A12" s="199">
        <v>9</v>
      </c>
      <c r="B12" s="203" t="s">
        <v>417</v>
      </c>
      <c r="C12" s="228" t="s">
        <v>333</v>
      </c>
      <c r="D12" s="229" t="s">
        <v>335</v>
      </c>
      <c r="E12" s="11" t="s">
        <v>418</v>
      </c>
      <c r="F12" s="24" t="s">
        <v>419</v>
      </c>
      <c r="G12" s="24" t="s">
        <v>420</v>
      </c>
      <c r="H12" s="24" t="s">
        <v>85</v>
      </c>
      <c r="I12" s="209" t="s">
        <v>421</v>
      </c>
      <c r="J12" s="204" t="s">
        <v>422</v>
      </c>
      <c r="K12" s="201" t="s">
        <v>22</v>
      </c>
      <c r="L12" s="209"/>
      <c r="M12" s="24" t="s">
        <v>423</v>
      </c>
      <c r="N12" s="209" t="s">
        <v>409</v>
      </c>
      <c r="O12" s="201" t="s">
        <v>424</v>
      </c>
      <c r="P12" s="576"/>
      <c r="Q12" s="577"/>
      <c r="R12" s="14">
        <f t="shared" si="0"/>
        <v>1</v>
      </c>
      <c r="S12" s="14"/>
      <c r="U12" s="658"/>
      <c r="V12" s="659"/>
      <c r="W12" s="659"/>
      <c r="X12" s="659"/>
      <c r="Y12" s="659"/>
      <c r="Z12" s="660"/>
    </row>
    <row r="13" spans="1:26" ht="27.95" customHeight="1" thickBot="1">
      <c r="A13" s="199">
        <v>10</v>
      </c>
      <c r="B13" s="212" t="s">
        <v>425</v>
      </c>
      <c r="C13" s="230" t="s">
        <v>332</v>
      </c>
      <c r="D13" s="230" t="s">
        <v>334</v>
      </c>
      <c r="E13" s="11" t="s">
        <v>402</v>
      </c>
      <c r="F13" s="231" t="s">
        <v>426</v>
      </c>
      <c r="G13" s="213" t="s">
        <v>427</v>
      </c>
      <c r="H13" s="231" t="s">
        <v>428</v>
      </c>
      <c r="I13" s="231" t="s">
        <v>69</v>
      </c>
      <c r="J13" s="231" t="s">
        <v>113</v>
      </c>
      <c r="K13" s="231" t="s">
        <v>361</v>
      </c>
      <c r="L13" s="28"/>
      <c r="M13" s="29" t="s">
        <v>121</v>
      </c>
      <c r="N13" s="201" t="s">
        <v>420</v>
      </c>
      <c r="O13" s="201" t="s">
        <v>429</v>
      </c>
      <c r="P13" s="578"/>
      <c r="Q13" s="579"/>
      <c r="R13" s="14">
        <f t="shared" si="0"/>
        <v>1</v>
      </c>
      <c r="S13" s="14"/>
      <c r="U13" s="658"/>
      <c r="V13" s="659"/>
      <c r="W13" s="659"/>
      <c r="X13" s="659"/>
      <c r="Y13" s="659"/>
      <c r="Z13" s="660"/>
    </row>
    <row r="14" spans="1:26" ht="27.95" customHeight="1">
      <c r="A14" s="232">
        <v>11</v>
      </c>
      <c r="B14" s="233" t="s">
        <v>430</v>
      </c>
      <c r="C14" s="676"/>
      <c r="D14" s="677"/>
      <c r="E14" s="234" t="s">
        <v>431</v>
      </c>
      <c r="F14" s="234" t="s">
        <v>432</v>
      </c>
      <c r="G14" s="234" t="s">
        <v>433</v>
      </c>
      <c r="H14" s="235" t="s">
        <v>128</v>
      </c>
      <c r="I14" s="236" t="s">
        <v>347</v>
      </c>
      <c r="J14" s="33" t="s">
        <v>130</v>
      </c>
      <c r="K14" s="209" t="s">
        <v>434</v>
      </c>
      <c r="L14" s="237"/>
      <c r="M14" s="209" t="s">
        <v>435</v>
      </c>
      <c r="N14" s="234" t="s">
        <v>436</v>
      </c>
      <c r="O14" s="237" t="s">
        <v>437</v>
      </c>
      <c r="P14" s="238" t="s">
        <v>438</v>
      </c>
      <c r="Q14" s="234" t="s">
        <v>439</v>
      </c>
      <c r="R14" s="14">
        <f t="shared" si="0"/>
        <v>1</v>
      </c>
      <c r="S14" s="14"/>
      <c r="U14" s="658"/>
      <c r="V14" s="659"/>
      <c r="W14" s="659"/>
      <c r="X14" s="659"/>
      <c r="Y14" s="659"/>
      <c r="Z14" s="660"/>
    </row>
    <row r="15" spans="1:26" ht="27.95" customHeight="1">
      <c r="A15" s="239">
        <v>12</v>
      </c>
      <c r="B15" s="240" t="s">
        <v>137</v>
      </c>
      <c r="C15" s="678"/>
      <c r="D15" s="679"/>
      <c r="E15" s="11" t="s">
        <v>435</v>
      </c>
      <c r="F15" s="216" t="s">
        <v>139</v>
      </c>
      <c r="G15" s="202" t="s">
        <v>140</v>
      </c>
      <c r="H15" s="11" t="s">
        <v>440</v>
      </c>
      <c r="I15" s="201" t="s">
        <v>441</v>
      </c>
      <c r="J15" s="11" t="s">
        <v>442</v>
      </c>
      <c r="K15" s="201" t="s">
        <v>443</v>
      </c>
      <c r="L15" s="201"/>
      <c r="M15" s="201" t="s">
        <v>444</v>
      </c>
      <c r="N15" s="201" t="s">
        <v>445</v>
      </c>
      <c r="O15" s="11" t="s">
        <v>446</v>
      </c>
      <c r="P15" s="201" t="s">
        <v>447</v>
      </c>
      <c r="Q15" s="204" t="s">
        <v>448</v>
      </c>
      <c r="R15" s="14">
        <f t="shared" si="0"/>
        <v>1</v>
      </c>
      <c r="S15" s="14"/>
      <c r="U15" s="658"/>
      <c r="V15" s="659"/>
      <c r="W15" s="659"/>
      <c r="X15" s="659"/>
      <c r="Y15" s="659"/>
      <c r="Z15" s="660"/>
    </row>
    <row r="16" spans="1:26" ht="27.95" customHeight="1">
      <c r="A16" s="239">
        <v>13</v>
      </c>
      <c r="B16" s="241" t="s">
        <v>344</v>
      </c>
      <c r="C16" s="678"/>
      <c r="D16" s="679"/>
      <c r="E16" s="224" t="s">
        <v>439</v>
      </c>
      <c r="F16" s="224" t="s">
        <v>152</v>
      </c>
      <c r="G16" s="242" t="s">
        <v>435</v>
      </c>
      <c r="H16" s="223"/>
      <c r="I16" s="242" t="s">
        <v>439</v>
      </c>
      <c r="J16" s="223" t="s">
        <v>449</v>
      </c>
      <c r="K16" s="224" t="s">
        <v>450</v>
      </c>
      <c r="L16" s="223"/>
      <c r="M16" s="223"/>
      <c r="N16" s="222" t="s">
        <v>451</v>
      </c>
      <c r="O16" s="223"/>
      <c r="P16" s="243" t="s">
        <v>452</v>
      </c>
      <c r="Q16" s="243"/>
      <c r="R16" s="14"/>
      <c r="S16" s="14"/>
      <c r="U16" s="658"/>
      <c r="V16" s="659"/>
      <c r="W16" s="659"/>
      <c r="X16" s="659"/>
      <c r="Y16" s="659"/>
      <c r="Z16" s="660"/>
    </row>
    <row r="17" spans="1:26" ht="27.95" customHeight="1">
      <c r="A17" s="239">
        <v>14</v>
      </c>
      <c r="B17" s="244" t="s">
        <v>453</v>
      </c>
      <c r="C17" s="678"/>
      <c r="D17" s="679"/>
      <c r="E17" s="209" t="s">
        <v>454</v>
      </c>
      <c r="F17" s="206" t="s">
        <v>455</v>
      </c>
      <c r="G17" s="209" t="s">
        <v>456</v>
      </c>
      <c r="H17" s="245" t="s">
        <v>457</v>
      </c>
      <c r="I17" s="209" t="s">
        <v>126</v>
      </c>
      <c r="J17" s="202" t="s">
        <v>164</v>
      </c>
      <c r="K17" s="209" t="s">
        <v>165</v>
      </c>
      <c r="L17" s="246"/>
      <c r="M17" s="209" t="s">
        <v>458</v>
      </c>
      <c r="N17" s="24" t="s">
        <v>459</v>
      </c>
      <c r="O17" s="209" t="s">
        <v>460</v>
      </c>
      <c r="P17" s="11" t="s">
        <v>461</v>
      </c>
      <c r="Q17" s="204" t="s">
        <v>462</v>
      </c>
      <c r="R17" s="14">
        <f t="shared" si="0"/>
        <v>1</v>
      </c>
      <c r="S17" s="14"/>
      <c r="U17" s="658"/>
      <c r="V17" s="659"/>
      <c r="W17" s="659"/>
      <c r="X17" s="659"/>
      <c r="Y17" s="659"/>
      <c r="Z17" s="660"/>
    </row>
    <row r="18" spans="1:26" ht="27.95" customHeight="1">
      <c r="A18" s="239">
        <v>15</v>
      </c>
      <c r="B18" s="212" t="s">
        <v>463</v>
      </c>
      <c r="C18" s="678"/>
      <c r="D18" s="679"/>
      <c r="E18" s="201" t="s">
        <v>464</v>
      </c>
      <c r="F18" s="11" t="s">
        <v>465</v>
      </c>
      <c r="G18" s="11" t="s">
        <v>451</v>
      </c>
      <c r="H18" s="201" t="s">
        <v>438</v>
      </c>
      <c r="I18" s="201" t="s">
        <v>466</v>
      </c>
      <c r="J18" s="201" t="s">
        <v>467</v>
      </c>
      <c r="K18" s="201" t="s">
        <v>468</v>
      </c>
      <c r="L18" s="201"/>
      <c r="M18" s="201" t="s">
        <v>179</v>
      </c>
      <c r="N18" s="11" t="s">
        <v>180</v>
      </c>
      <c r="O18" s="210" t="s">
        <v>469</v>
      </c>
      <c r="P18" s="201" t="s">
        <v>470</v>
      </c>
      <c r="Q18" s="11" t="s">
        <v>435</v>
      </c>
      <c r="R18" s="14">
        <f>(COUNTA(C18:Q18))/12</f>
        <v>1</v>
      </c>
      <c r="S18" s="14"/>
      <c r="U18" s="658"/>
      <c r="V18" s="659"/>
      <c r="W18" s="659"/>
      <c r="X18" s="659"/>
      <c r="Y18" s="659"/>
      <c r="Z18" s="660"/>
    </row>
    <row r="19" spans="1:26" ht="27.95" customHeight="1" thickBot="1">
      <c r="A19" s="239">
        <v>16</v>
      </c>
      <c r="B19" s="212" t="s">
        <v>471</v>
      </c>
      <c r="C19" s="678"/>
      <c r="D19" s="679"/>
      <c r="E19" s="216" t="s">
        <v>472</v>
      </c>
      <c r="F19" s="11" t="s">
        <v>184</v>
      </c>
      <c r="G19" s="11" t="s">
        <v>185</v>
      </c>
      <c r="H19" s="11" t="s">
        <v>473</v>
      </c>
      <c r="I19" s="204" t="s">
        <v>474</v>
      </c>
      <c r="J19" s="201" t="s">
        <v>475</v>
      </c>
      <c r="K19" s="11" t="s">
        <v>476</v>
      </c>
      <c r="L19" s="41"/>
      <c r="M19" s="206" t="s">
        <v>477</v>
      </c>
      <c r="N19" s="201" t="s">
        <v>189</v>
      </c>
      <c r="O19" s="209" t="s">
        <v>190</v>
      </c>
      <c r="P19" s="201" t="s">
        <v>478</v>
      </c>
      <c r="Q19" s="204" t="s">
        <v>192</v>
      </c>
      <c r="R19" s="14">
        <f t="shared" si="0"/>
        <v>1</v>
      </c>
      <c r="S19" s="14"/>
      <c r="U19" s="661"/>
      <c r="V19" s="662"/>
      <c r="W19" s="662"/>
      <c r="X19" s="662"/>
      <c r="Y19" s="662"/>
      <c r="Z19" s="663"/>
    </row>
    <row r="20" spans="1:26" ht="36.75" thickBot="1">
      <c r="A20" s="239">
        <v>17</v>
      </c>
      <c r="B20" s="247" t="s">
        <v>337</v>
      </c>
      <c r="C20" s="680"/>
      <c r="D20" s="681"/>
      <c r="E20" s="248"/>
      <c r="F20" s="224" t="s">
        <v>479</v>
      </c>
      <c r="G20" s="224" t="s">
        <v>480</v>
      </c>
      <c r="H20" s="249"/>
      <c r="I20" s="224" t="s">
        <v>458</v>
      </c>
      <c r="J20" s="225"/>
      <c r="K20" s="224"/>
      <c r="L20" s="248"/>
      <c r="M20" s="248"/>
      <c r="N20" s="227" t="s">
        <v>481</v>
      </c>
      <c r="O20" s="224" t="s">
        <v>482</v>
      </c>
      <c r="P20" s="223"/>
      <c r="Q20" s="243"/>
      <c r="R20" s="14"/>
      <c r="S20" s="14"/>
      <c r="U20" s="637" t="s">
        <v>483</v>
      </c>
      <c r="V20" s="638"/>
      <c r="W20" s="638"/>
      <c r="X20" s="638"/>
      <c r="Y20" s="638"/>
      <c r="Z20" s="639"/>
    </row>
    <row r="21" spans="1:26" ht="27.95" customHeight="1">
      <c r="A21" s="239">
        <v>18</v>
      </c>
      <c r="B21" s="240" t="s">
        <v>205</v>
      </c>
      <c r="C21" s="250" t="s">
        <v>336</v>
      </c>
      <c r="D21" s="251" t="s">
        <v>484</v>
      </c>
      <c r="E21" s="201" t="s">
        <v>485</v>
      </c>
      <c r="F21" s="11" t="s">
        <v>185</v>
      </c>
      <c r="G21" s="11" t="s">
        <v>486</v>
      </c>
      <c r="H21" s="11" t="s">
        <v>208</v>
      </c>
      <c r="I21" s="201" t="s">
        <v>456</v>
      </c>
      <c r="J21" s="204" t="s">
        <v>209</v>
      </c>
      <c r="K21" s="216" t="s">
        <v>487</v>
      </c>
      <c r="L21" s="201"/>
      <c r="M21" s="11" t="s">
        <v>488</v>
      </c>
      <c r="N21" s="201" t="s">
        <v>489</v>
      </c>
      <c r="O21" s="206" t="s">
        <v>490</v>
      </c>
      <c r="P21" s="684"/>
      <c r="Q21" s="685"/>
      <c r="R21" s="14">
        <f t="shared" si="0"/>
        <v>1</v>
      </c>
      <c r="S21" s="14"/>
      <c r="U21" s="688" t="s">
        <v>491</v>
      </c>
      <c r="V21" s="689"/>
      <c r="W21" s="689"/>
      <c r="X21" s="689"/>
      <c r="Y21" s="689"/>
      <c r="Z21" s="690"/>
    </row>
    <row r="22" spans="1:26" ht="27.95" customHeight="1" thickBot="1">
      <c r="A22" s="252">
        <v>19</v>
      </c>
      <c r="B22" s="253" t="s">
        <v>492</v>
      </c>
      <c r="C22" s="254" t="s">
        <v>493</v>
      </c>
      <c r="D22" s="255" t="s">
        <v>336</v>
      </c>
      <c r="E22" s="29" t="s">
        <v>494</v>
      </c>
      <c r="F22" s="29" t="s">
        <v>495</v>
      </c>
      <c r="G22" s="231" t="s">
        <v>200</v>
      </c>
      <c r="H22" s="29" t="s">
        <v>496</v>
      </c>
      <c r="I22" s="256" t="s">
        <v>497</v>
      </c>
      <c r="J22" s="231" t="s">
        <v>487</v>
      </c>
      <c r="K22" s="231" t="s">
        <v>498</v>
      </c>
      <c r="L22" s="256"/>
      <c r="M22" s="231" t="s">
        <v>499</v>
      </c>
      <c r="N22" s="256" t="s">
        <v>221</v>
      </c>
      <c r="O22" s="231" t="s">
        <v>456</v>
      </c>
      <c r="P22" s="686"/>
      <c r="Q22" s="687"/>
      <c r="R22" s="14">
        <f t="shared" si="0"/>
        <v>1</v>
      </c>
      <c r="S22" s="14"/>
      <c r="U22" s="691"/>
      <c r="V22" s="692"/>
      <c r="W22" s="692"/>
      <c r="X22" s="692"/>
      <c r="Y22" s="692"/>
      <c r="Z22" s="693"/>
    </row>
    <row r="23" spans="1:26" ht="27.95" customHeight="1" thickBot="1">
      <c r="A23" s="257" t="s">
        <v>500</v>
      </c>
      <c r="B23" s="258" t="s">
        <v>501</v>
      </c>
      <c r="C23" s="678"/>
      <c r="D23" s="679"/>
      <c r="E23" s="209"/>
      <c r="F23" s="210" t="s">
        <v>502</v>
      </c>
      <c r="G23" s="24" t="s">
        <v>224</v>
      </c>
      <c r="H23" s="209"/>
      <c r="I23" s="209" t="s">
        <v>503</v>
      </c>
      <c r="J23" s="246" t="s">
        <v>221</v>
      </c>
      <c r="K23" s="209"/>
      <c r="L23" s="259"/>
      <c r="M23" s="209"/>
      <c r="N23" s="209" t="s">
        <v>467</v>
      </c>
      <c r="O23" s="24" t="s">
        <v>504</v>
      </c>
      <c r="P23" s="260"/>
      <c r="Q23" s="209" t="s">
        <v>164</v>
      </c>
      <c r="R23" s="14">
        <f>(COUNTA(C23:Q23))/7</f>
        <v>1</v>
      </c>
      <c r="S23" s="14"/>
      <c r="U23" s="694"/>
      <c r="V23" s="695"/>
      <c r="W23" s="695"/>
      <c r="X23" s="695"/>
      <c r="Y23" s="695"/>
      <c r="Z23" s="696"/>
    </row>
    <row r="24" spans="1:26" s="264" customFormat="1" ht="27.95" customHeight="1" thickBot="1">
      <c r="A24" s="261"/>
      <c r="B24" s="253" t="s">
        <v>505</v>
      </c>
      <c r="C24" s="697"/>
      <c r="D24" s="698"/>
      <c r="E24" s="231" t="s">
        <v>506</v>
      </c>
      <c r="F24" s="259" t="s">
        <v>230</v>
      </c>
      <c r="G24" s="29" t="s">
        <v>459</v>
      </c>
      <c r="H24" s="29" t="s">
        <v>224</v>
      </c>
      <c r="I24" s="231" t="s">
        <v>232</v>
      </c>
      <c r="J24" s="29" t="s">
        <v>233</v>
      </c>
      <c r="K24" s="262" t="s">
        <v>507</v>
      </c>
      <c r="L24" s="231"/>
      <c r="M24" s="29" t="s">
        <v>178</v>
      </c>
      <c r="N24" s="263" t="s">
        <v>345</v>
      </c>
      <c r="O24" s="263" t="s">
        <v>346</v>
      </c>
      <c r="P24" s="209" t="s">
        <v>481</v>
      </c>
      <c r="Q24" s="213" t="s">
        <v>508</v>
      </c>
      <c r="R24" s="14">
        <f>(COUNTA(C24:Q24))/12</f>
        <v>1</v>
      </c>
      <c r="S24" s="14"/>
      <c r="T24" s="192"/>
      <c r="U24" s="652" t="s">
        <v>509</v>
      </c>
      <c r="V24" s="653"/>
      <c r="W24" s="653"/>
      <c r="X24" s="653"/>
      <c r="Y24" s="653"/>
      <c r="Z24" s="654"/>
    </row>
    <row r="25" spans="1:26" ht="9.9499999999999993" customHeight="1" thickBot="1">
      <c r="A25" s="265"/>
      <c r="B25" s="266"/>
      <c r="C25" s="267"/>
      <c r="D25" s="268"/>
      <c r="E25" s="269"/>
      <c r="F25" s="270"/>
      <c r="G25" s="271"/>
      <c r="H25" s="59"/>
      <c r="I25" s="269"/>
      <c r="J25" s="272"/>
      <c r="K25" s="269"/>
      <c r="L25" s="269"/>
      <c r="M25" s="59"/>
      <c r="N25" s="270"/>
      <c r="O25" s="273"/>
      <c r="P25" s="269"/>
      <c r="Q25" s="269"/>
      <c r="U25" s="643" t="s">
        <v>585</v>
      </c>
      <c r="V25" s="644"/>
      <c r="W25" s="644"/>
      <c r="X25" s="644"/>
      <c r="Y25" s="644"/>
      <c r="Z25" s="645"/>
    </row>
    <row r="26" spans="1:26" ht="120" customHeight="1">
      <c r="A26" s="274"/>
      <c r="B26" s="580" t="s">
        <v>510</v>
      </c>
      <c r="C26" s="582"/>
      <c r="D26" s="583"/>
      <c r="E26" s="234" t="s">
        <v>240</v>
      </c>
      <c r="F26" s="234" t="s">
        <v>241</v>
      </c>
      <c r="G26" s="234" t="s">
        <v>511</v>
      </c>
      <c r="H26" s="234" t="s">
        <v>512</v>
      </c>
      <c r="I26" s="275" t="s">
        <v>513</v>
      </c>
      <c r="J26" s="234" t="s">
        <v>242</v>
      </c>
      <c r="K26" s="276" t="s">
        <v>243</v>
      </c>
      <c r="L26" s="277"/>
      <c r="M26" s="234" t="s">
        <v>514</v>
      </c>
      <c r="N26" s="234" t="s">
        <v>515</v>
      </c>
      <c r="O26" s="234" t="s">
        <v>516</v>
      </c>
      <c r="P26" s="278" t="s">
        <v>517</v>
      </c>
      <c r="Q26" s="234" t="s">
        <v>518</v>
      </c>
      <c r="R26" s="14">
        <f>(COUNTA(C26:Q26))/12</f>
        <v>1</v>
      </c>
      <c r="S26" s="14"/>
      <c r="U26" s="646"/>
      <c r="V26" s="647"/>
      <c r="W26" s="647"/>
      <c r="X26" s="647"/>
      <c r="Y26" s="647"/>
      <c r="Z26" s="648"/>
    </row>
    <row r="27" spans="1:26" ht="120" customHeight="1">
      <c r="A27" s="279"/>
      <c r="B27" s="581"/>
      <c r="C27" s="584"/>
      <c r="D27" s="585"/>
      <c r="E27" s="201" t="s">
        <v>519</v>
      </c>
      <c r="F27" s="201" t="s">
        <v>520</v>
      </c>
      <c r="G27" s="210" t="s">
        <v>521</v>
      </c>
      <c r="H27" s="210" t="s">
        <v>522</v>
      </c>
      <c r="I27" s="201" t="s">
        <v>523</v>
      </c>
      <c r="J27" s="210" t="s">
        <v>524</v>
      </c>
      <c r="K27" s="210" t="s">
        <v>525</v>
      </c>
      <c r="L27" s="201"/>
      <c r="M27" s="210" t="s">
        <v>526</v>
      </c>
      <c r="N27" s="210" t="s">
        <v>527</v>
      </c>
      <c r="O27" s="201" t="s">
        <v>528</v>
      </c>
      <c r="P27" s="201" t="s">
        <v>529</v>
      </c>
      <c r="Q27" s="201" t="s">
        <v>530</v>
      </c>
      <c r="U27" s="646"/>
      <c r="V27" s="647"/>
      <c r="W27" s="647"/>
      <c r="X27" s="647"/>
      <c r="Y27" s="647"/>
      <c r="Z27" s="648"/>
    </row>
    <row r="28" spans="1:26" ht="120" customHeight="1" thickBot="1">
      <c r="A28" s="280"/>
      <c r="B28" s="253" t="s">
        <v>247</v>
      </c>
      <c r="C28" s="586"/>
      <c r="D28" s="587"/>
      <c r="E28" s="281" t="s">
        <v>531</v>
      </c>
      <c r="F28" s="231" t="s">
        <v>532</v>
      </c>
      <c r="G28" s="282" t="s">
        <v>533</v>
      </c>
      <c r="H28" s="231" t="s">
        <v>534</v>
      </c>
      <c r="I28" s="231" t="s">
        <v>250</v>
      </c>
      <c r="J28" s="231" t="s">
        <v>535</v>
      </c>
      <c r="K28" s="231" t="s">
        <v>536</v>
      </c>
      <c r="L28" s="256"/>
      <c r="M28" s="283" t="s">
        <v>537</v>
      </c>
      <c r="N28" s="231" t="s">
        <v>252</v>
      </c>
      <c r="O28" s="231" t="s">
        <v>538</v>
      </c>
      <c r="P28" s="664" t="s">
        <v>531</v>
      </c>
      <c r="Q28" s="665"/>
      <c r="R28" s="14">
        <f>(COUNTA(F28:O28))/9</f>
        <v>1</v>
      </c>
      <c r="S28" s="14"/>
      <c r="U28" s="646"/>
      <c r="V28" s="647"/>
      <c r="W28" s="647"/>
      <c r="X28" s="647"/>
      <c r="Y28" s="647"/>
      <c r="Z28" s="648"/>
    </row>
    <row r="29" spans="1:26" ht="27.95" customHeight="1" thickBot="1">
      <c r="A29" s="284"/>
      <c r="B29" s="285" t="s">
        <v>539</v>
      </c>
      <c r="C29" s="70"/>
      <c r="D29" s="71"/>
      <c r="E29" s="286"/>
      <c r="F29" s="286"/>
      <c r="G29" s="286"/>
      <c r="H29" s="287"/>
      <c r="I29" s="288"/>
      <c r="J29" s="287"/>
      <c r="K29" s="287"/>
      <c r="L29" s="289"/>
      <c r="M29" s="288"/>
      <c r="N29" s="287"/>
      <c r="O29" s="287"/>
      <c r="P29" s="290"/>
      <c r="Q29" s="290"/>
      <c r="R29" s="14"/>
      <c r="S29" s="14"/>
      <c r="U29" s="646"/>
      <c r="V29" s="647"/>
      <c r="W29" s="647"/>
      <c r="X29" s="647"/>
      <c r="Y29" s="647"/>
      <c r="Z29" s="648"/>
    </row>
    <row r="30" spans="1:26" ht="9.9499999999999993" customHeight="1" thickBot="1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U30" s="649"/>
      <c r="V30" s="650"/>
      <c r="W30" s="650"/>
      <c r="X30" s="650"/>
      <c r="Y30" s="650"/>
      <c r="Z30" s="651"/>
    </row>
    <row r="31" spans="1:26" ht="27.95" customHeight="1">
      <c r="A31" s="292"/>
      <c r="B31" s="293"/>
      <c r="C31" s="293"/>
      <c r="D31" s="294" t="s">
        <v>254</v>
      </c>
      <c r="E31" s="295" t="s">
        <v>255</v>
      </c>
      <c r="F31" s="295" t="s">
        <v>5</v>
      </c>
      <c r="G31" s="295" t="s">
        <v>6</v>
      </c>
      <c r="H31" s="295" t="s">
        <v>256</v>
      </c>
      <c r="I31" s="295" t="s">
        <v>8</v>
      </c>
      <c r="J31" s="295" t="s">
        <v>257</v>
      </c>
      <c r="K31" s="295" t="s">
        <v>258</v>
      </c>
      <c r="L31" s="296" t="s">
        <v>259</v>
      </c>
      <c r="M31" s="295" t="s">
        <v>260</v>
      </c>
      <c r="N31" s="295" t="s">
        <v>13</v>
      </c>
      <c r="O31" s="295" t="s">
        <v>14</v>
      </c>
      <c r="P31" s="295" t="s">
        <v>15</v>
      </c>
      <c r="Q31" s="297" t="s">
        <v>16</v>
      </c>
      <c r="U31" s="699" t="s">
        <v>540</v>
      </c>
      <c r="V31" s="700"/>
      <c r="W31" s="700"/>
      <c r="X31" s="700"/>
      <c r="Y31" s="700"/>
      <c r="Z31" s="701"/>
    </row>
    <row r="32" spans="1:26" ht="27.95" customHeight="1">
      <c r="D32" s="299" t="s">
        <v>541</v>
      </c>
      <c r="E32" s="211" t="s">
        <v>542</v>
      </c>
      <c r="F32" s="201" t="s">
        <v>367</v>
      </c>
      <c r="G32" s="201" t="s">
        <v>543</v>
      </c>
      <c r="H32" s="201" t="s">
        <v>544</v>
      </c>
      <c r="I32" s="204"/>
      <c r="J32" s="201" t="s">
        <v>375</v>
      </c>
      <c r="K32" s="201" t="s">
        <v>545</v>
      </c>
      <c r="L32" s="300"/>
      <c r="M32" s="201"/>
      <c r="N32" s="201" t="s">
        <v>365</v>
      </c>
      <c r="O32" s="201" t="s">
        <v>546</v>
      </c>
      <c r="P32" s="301"/>
      <c r="Q32" s="302" t="s">
        <v>547</v>
      </c>
      <c r="T32" s="303"/>
      <c r="U32" s="702"/>
      <c r="V32" s="703"/>
      <c r="W32" s="703"/>
      <c r="X32" s="703"/>
      <c r="Y32" s="703"/>
      <c r="Z32" s="704"/>
    </row>
    <row r="33" spans="1:26" s="264" customFormat="1" ht="45.75" customHeight="1">
      <c r="A33" s="193"/>
      <c r="B33" s="298"/>
      <c r="C33" s="298"/>
      <c r="D33" s="304" t="s">
        <v>548</v>
      </c>
      <c r="E33" s="305"/>
      <c r="F33" s="204"/>
      <c r="G33" s="204"/>
      <c r="H33" s="204"/>
      <c r="I33" s="204"/>
      <c r="J33" s="204"/>
      <c r="K33" s="306"/>
      <c r="L33" s="307"/>
      <c r="M33" s="204"/>
      <c r="N33" s="204"/>
      <c r="O33" s="301"/>
      <c r="P33" s="204"/>
      <c r="Q33" s="302"/>
      <c r="R33" s="191"/>
      <c r="S33" s="191"/>
      <c r="T33" s="192"/>
      <c r="U33" s="702"/>
      <c r="V33" s="703"/>
      <c r="W33" s="703"/>
      <c r="X33" s="703"/>
      <c r="Y33" s="703"/>
      <c r="Z33" s="704"/>
    </row>
    <row r="34" spans="1:26" ht="27.95" customHeight="1">
      <c r="D34" s="304" t="s">
        <v>549</v>
      </c>
      <c r="E34" s="201"/>
      <c r="F34" s="204"/>
      <c r="G34" s="204"/>
      <c r="H34" s="201"/>
      <c r="I34" s="251" t="s">
        <v>550</v>
      </c>
      <c r="J34" s="220"/>
      <c r="K34" s="201" t="s">
        <v>551</v>
      </c>
      <c r="L34" s="300"/>
      <c r="M34" s="204"/>
      <c r="N34" s="201" t="s">
        <v>484</v>
      </c>
      <c r="O34" s="204"/>
      <c r="P34" s="201" t="s">
        <v>552</v>
      </c>
      <c r="Q34" s="308"/>
      <c r="U34" s="702"/>
      <c r="V34" s="703"/>
      <c r="W34" s="703"/>
      <c r="X34" s="703"/>
      <c r="Y34" s="703"/>
      <c r="Z34" s="704"/>
    </row>
    <row r="35" spans="1:26" ht="42" customHeight="1" thickBot="1">
      <c r="D35" s="309" t="s">
        <v>553</v>
      </c>
      <c r="E35" s="310" t="s">
        <v>493</v>
      </c>
      <c r="F35" s="311"/>
      <c r="G35" s="312" t="s">
        <v>277</v>
      </c>
      <c r="H35" s="313"/>
      <c r="I35" s="313"/>
      <c r="J35" s="313"/>
      <c r="K35" s="313" t="s">
        <v>554</v>
      </c>
      <c r="L35" s="314"/>
      <c r="M35" s="315" t="s">
        <v>555</v>
      </c>
      <c r="N35" s="312" t="s">
        <v>556</v>
      </c>
      <c r="O35" s="312" t="s">
        <v>557</v>
      </c>
      <c r="P35" s="312" t="s">
        <v>558</v>
      </c>
      <c r="Q35" s="316" t="s">
        <v>559</v>
      </c>
      <c r="U35" s="705"/>
      <c r="V35" s="706"/>
      <c r="W35" s="706"/>
      <c r="X35" s="706"/>
      <c r="Y35" s="706"/>
      <c r="Z35" s="707"/>
    </row>
    <row r="36" spans="1:26" ht="42" customHeight="1">
      <c r="D36" s="317"/>
      <c r="E36" s="318"/>
      <c r="F36" s="319"/>
      <c r="G36" s="317"/>
      <c r="H36" s="317"/>
      <c r="I36" s="317"/>
      <c r="J36" s="317"/>
      <c r="K36" s="317"/>
      <c r="L36" s="320"/>
      <c r="M36" s="317"/>
      <c r="N36" s="317"/>
      <c r="O36" s="317"/>
      <c r="P36" s="317"/>
      <c r="Q36" s="317"/>
    </row>
    <row r="37" spans="1:26" ht="42" customHeight="1">
      <c r="E37" s="192">
        <f t="shared" ref="E37:J37" si="1">COUNTBLANK(E4:E21)</f>
        <v>2</v>
      </c>
      <c r="F37" s="192">
        <f>COUNTBLANK(F4:F21)</f>
        <v>1</v>
      </c>
      <c r="G37" s="192">
        <f t="shared" si="1"/>
        <v>1</v>
      </c>
      <c r="H37" s="192">
        <f>COUNTBLANK(H4:H21)</f>
        <v>2</v>
      </c>
      <c r="I37" s="192">
        <f>COUNTBLANK(I4:I21)</f>
        <v>1</v>
      </c>
      <c r="J37" s="192">
        <f t="shared" si="1"/>
        <v>1</v>
      </c>
      <c r="K37" s="192">
        <f>COUNTBLANK(K4:K22)</f>
        <v>2</v>
      </c>
      <c r="L37" s="192"/>
      <c r="M37" s="192">
        <f>COUNTBLANK(M4:M21)</f>
        <v>3</v>
      </c>
      <c r="N37" s="192">
        <f>COUNTBLANK(N4:N21)</f>
        <v>0</v>
      </c>
      <c r="O37" s="192">
        <f>COUNTBLANK(O4:O21)</f>
        <v>1</v>
      </c>
      <c r="P37" s="192">
        <f>COUNTBLANK(P4:P20)-2</f>
        <v>1</v>
      </c>
      <c r="Q37" s="192">
        <f>COUNTBLANK(Q4:Q20)-2</f>
        <v>2</v>
      </c>
    </row>
    <row r="39" spans="1:26" s="322" customFormat="1">
      <c r="B39" s="298"/>
      <c r="C39" s="298"/>
      <c r="D39" s="298"/>
      <c r="E39" s="192"/>
      <c r="F39" s="192"/>
      <c r="G39" s="192"/>
      <c r="H39" s="192"/>
      <c r="I39" s="192"/>
      <c r="J39" s="192"/>
      <c r="K39" s="192"/>
      <c r="L39" s="321"/>
      <c r="M39" s="192"/>
      <c r="N39" s="192"/>
      <c r="O39" s="192"/>
      <c r="P39" s="192"/>
      <c r="Q39" s="192"/>
      <c r="R39" s="191"/>
      <c r="S39" s="191"/>
      <c r="T39" s="323"/>
    </row>
    <row r="40" spans="1:26" s="322" customFormat="1">
      <c r="B40" s="298"/>
      <c r="C40" s="298"/>
      <c r="D40" s="298"/>
      <c r="E40" s="192"/>
      <c r="F40" s="192"/>
      <c r="G40" s="192"/>
      <c r="H40" s="192"/>
      <c r="I40" s="192"/>
      <c r="J40" s="192"/>
      <c r="K40" s="192"/>
      <c r="L40" s="321"/>
      <c r="M40" s="192"/>
      <c r="N40" s="192"/>
      <c r="O40" s="192"/>
      <c r="P40" s="192"/>
      <c r="Q40" s="192"/>
      <c r="R40" s="191"/>
      <c r="S40" s="191"/>
      <c r="T40" s="323"/>
    </row>
    <row r="41" spans="1:26" s="322" customFormat="1">
      <c r="B41" s="298"/>
      <c r="C41" s="298"/>
      <c r="D41" s="298"/>
      <c r="E41" s="192"/>
      <c r="F41" s="192"/>
      <c r="G41" s="192"/>
      <c r="H41" s="192"/>
      <c r="I41" s="192"/>
      <c r="J41" s="192"/>
      <c r="K41" s="192"/>
      <c r="L41" s="321"/>
      <c r="M41" s="192"/>
      <c r="N41" s="192"/>
      <c r="O41" s="192"/>
      <c r="P41" s="192"/>
      <c r="Q41" s="192"/>
      <c r="R41" s="191"/>
      <c r="S41" s="191"/>
      <c r="T41" s="323"/>
    </row>
    <row r="42" spans="1:26" s="322" customFormat="1">
      <c r="B42" s="324"/>
      <c r="C42" s="325"/>
      <c r="D42" s="325"/>
      <c r="E42" s="323"/>
      <c r="F42" s="326"/>
      <c r="G42" s="326"/>
      <c r="H42" s="326"/>
      <c r="I42" s="326"/>
      <c r="J42" s="326"/>
      <c r="K42" s="326"/>
      <c r="L42" s="327"/>
      <c r="M42" s="326"/>
      <c r="N42" s="326"/>
      <c r="O42" s="326"/>
      <c r="P42" s="326"/>
      <c r="Q42" s="326"/>
      <c r="R42" s="328"/>
      <c r="S42" s="329"/>
      <c r="T42" s="323"/>
    </row>
    <row r="45" spans="1:26">
      <c r="D45" s="632" t="s">
        <v>284</v>
      </c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3"/>
    </row>
    <row r="46" spans="1:26" ht="21">
      <c r="A46" s="298"/>
      <c r="D46" s="116" t="s">
        <v>560</v>
      </c>
      <c r="E46" s="117" t="s">
        <v>255</v>
      </c>
      <c r="F46" s="117" t="s">
        <v>5</v>
      </c>
      <c r="G46" s="117" t="s">
        <v>6</v>
      </c>
      <c r="H46" s="117" t="s">
        <v>256</v>
      </c>
      <c r="I46" s="117" t="s">
        <v>8</v>
      </c>
      <c r="J46" s="117" t="s">
        <v>257</v>
      </c>
      <c r="K46" s="117" t="s">
        <v>258</v>
      </c>
      <c r="L46" s="118" t="s">
        <v>11</v>
      </c>
      <c r="M46" s="117" t="s">
        <v>260</v>
      </c>
      <c r="N46" s="117" t="s">
        <v>561</v>
      </c>
      <c r="O46" s="117" t="s">
        <v>14</v>
      </c>
      <c r="P46" s="117" t="s">
        <v>15</v>
      </c>
      <c r="Q46" s="117" t="s">
        <v>287</v>
      </c>
      <c r="R46" s="117" t="s">
        <v>288</v>
      </c>
      <c r="S46" s="117" t="s">
        <v>289</v>
      </c>
    </row>
    <row r="47" spans="1:26" ht="27.95" customHeight="1">
      <c r="A47" s="298"/>
      <c r="D47" s="119" t="s">
        <v>562</v>
      </c>
      <c r="E47" s="120"/>
      <c r="F47" s="330"/>
      <c r="G47" s="331"/>
      <c r="H47" s="332"/>
      <c r="I47" s="331"/>
      <c r="J47" s="333"/>
      <c r="K47" s="332"/>
      <c r="L47" s="334"/>
      <c r="M47" s="335" t="s">
        <v>563</v>
      </c>
      <c r="N47" s="127"/>
      <c r="O47" s="336" t="s">
        <v>564</v>
      </c>
      <c r="P47" s="129" t="s">
        <v>565</v>
      </c>
      <c r="Q47" s="130"/>
      <c r="R47" s="337"/>
      <c r="S47" s="338"/>
    </row>
    <row r="48" spans="1:26">
      <c r="A48" s="298"/>
      <c r="D48" s="708" t="s">
        <v>566</v>
      </c>
      <c r="E48" s="709"/>
      <c r="F48" s="709"/>
      <c r="G48" s="709"/>
      <c r="H48" s="709"/>
      <c r="I48" s="709"/>
      <c r="J48" s="709"/>
      <c r="K48" s="709"/>
      <c r="L48" s="709"/>
      <c r="M48" s="709"/>
      <c r="N48" s="709"/>
      <c r="O48" s="709"/>
      <c r="P48" s="709"/>
      <c r="Q48" s="709"/>
      <c r="R48" s="709"/>
      <c r="S48" s="710"/>
      <c r="T48" s="193"/>
    </row>
    <row r="49" spans="1:20" ht="27.95" customHeight="1">
      <c r="A49" s="298"/>
      <c r="D49" s="339" t="s">
        <v>295</v>
      </c>
      <c r="E49" s="340"/>
      <c r="F49" s="341"/>
      <c r="G49" s="340"/>
      <c r="H49" s="340"/>
      <c r="I49" s="340"/>
      <c r="J49" s="340"/>
      <c r="K49" s="136"/>
      <c r="L49" s="137"/>
      <c r="M49" s="341"/>
      <c r="N49" s="342"/>
      <c r="O49" s="341"/>
      <c r="P49" s="340"/>
      <c r="Q49" s="340"/>
      <c r="R49" s="24"/>
      <c r="S49" s="24"/>
      <c r="T49" s="193"/>
    </row>
    <row r="50" spans="1:20" ht="27.95" customHeight="1">
      <c r="A50" s="298"/>
      <c r="D50" s="339" t="s">
        <v>567</v>
      </c>
      <c r="E50" s="341" t="s">
        <v>568</v>
      </c>
      <c r="F50" s="139"/>
      <c r="G50" s="136" t="s">
        <v>298</v>
      </c>
      <c r="H50" s="136"/>
      <c r="I50" s="139"/>
      <c r="J50" s="136"/>
      <c r="K50" s="140"/>
      <c r="L50" s="137"/>
      <c r="M50" s="141"/>
      <c r="N50" s="136"/>
      <c r="O50" s="142" t="s">
        <v>490</v>
      </c>
      <c r="P50" s="136"/>
      <c r="Q50" s="142"/>
      <c r="R50" s="136"/>
      <c r="S50" s="136"/>
      <c r="T50" s="193"/>
    </row>
    <row r="51" spans="1:20" ht="27.95" customHeight="1">
      <c r="A51" s="298"/>
      <c r="D51" s="343" t="s">
        <v>569</v>
      </c>
      <c r="E51" s="344"/>
      <c r="F51" s="344"/>
      <c r="G51" s="344"/>
      <c r="H51" s="345"/>
      <c r="I51" s="345"/>
      <c r="J51" s="344"/>
      <c r="K51" s="346"/>
      <c r="L51" s="137"/>
      <c r="M51" s="347"/>
      <c r="N51" s="347"/>
      <c r="O51" s="347"/>
      <c r="P51" s="345"/>
      <c r="Q51" s="344" t="s">
        <v>570</v>
      </c>
      <c r="R51" s="348"/>
      <c r="S51" s="348"/>
      <c r="T51" s="193"/>
    </row>
    <row r="52" spans="1:20" ht="27.95" customHeight="1">
      <c r="A52" s="298"/>
      <c r="D52" s="349" t="s">
        <v>571</v>
      </c>
      <c r="E52" s="350"/>
      <c r="F52" s="350"/>
      <c r="G52" s="350"/>
      <c r="H52" s="345"/>
      <c r="I52" s="345"/>
      <c r="J52" s="351"/>
      <c r="K52" s="350"/>
      <c r="L52" s="152"/>
      <c r="M52" s="345"/>
      <c r="N52" s="345"/>
      <c r="O52" s="345"/>
      <c r="P52" s="352"/>
      <c r="Q52" s="350"/>
      <c r="R52" s="350"/>
      <c r="S52" s="350"/>
      <c r="T52" s="193"/>
    </row>
    <row r="53" spans="1:20">
      <c r="D53" s="709" t="s">
        <v>572</v>
      </c>
      <c r="E53" s="709"/>
      <c r="F53" s="709"/>
      <c r="G53" s="709"/>
      <c r="H53" s="709"/>
      <c r="I53" s="709"/>
      <c r="J53" s="709"/>
      <c r="K53" s="709"/>
      <c r="L53" s="709"/>
      <c r="M53" s="709"/>
      <c r="N53" s="709"/>
      <c r="O53" s="709"/>
      <c r="P53" s="709"/>
      <c r="Q53" s="709"/>
      <c r="R53" s="709"/>
      <c r="S53" s="709"/>
    </row>
    <row r="54" spans="1:20" ht="27.95" customHeight="1">
      <c r="D54" s="349" t="s">
        <v>573</v>
      </c>
      <c r="E54" s="348"/>
      <c r="F54" s="348"/>
      <c r="G54" s="348"/>
      <c r="H54" s="350"/>
      <c r="I54" s="348"/>
      <c r="J54" s="348"/>
      <c r="K54" s="353"/>
      <c r="L54" s="348"/>
      <c r="M54" s="345"/>
      <c r="N54" s="350"/>
      <c r="O54" s="354"/>
      <c r="P54" s="345"/>
      <c r="Q54" s="350"/>
      <c r="R54" s="350"/>
      <c r="S54" s="351"/>
    </row>
    <row r="55" spans="1:20" ht="27.95" customHeight="1">
      <c r="D55" s="355" t="s">
        <v>305</v>
      </c>
      <c r="E55" s="340"/>
      <c r="F55" s="356"/>
      <c r="G55" s="344"/>
      <c r="H55" s="340"/>
      <c r="I55" s="340"/>
      <c r="J55" s="357"/>
      <c r="K55" s="358"/>
      <c r="L55" s="347"/>
      <c r="M55" s="356"/>
      <c r="N55" s="344"/>
      <c r="O55" s="356"/>
      <c r="P55" s="347"/>
      <c r="Q55" s="340"/>
      <c r="R55" s="344"/>
      <c r="S55" s="347"/>
    </row>
    <row r="56" spans="1:20">
      <c r="D56" s="708" t="s">
        <v>574</v>
      </c>
      <c r="E56" s="709"/>
      <c r="F56" s="709"/>
      <c r="G56" s="709"/>
      <c r="H56" s="709"/>
      <c r="I56" s="709"/>
      <c r="J56" s="709"/>
      <c r="K56" s="709"/>
      <c r="L56" s="709"/>
      <c r="M56" s="709"/>
      <c r="N56" s="709"/>
      <c r="O56" s="709"/>
      <c r="P56" s="709"/>
      <c r="Q56" s="709"/>
      <c r="R56" s="709"/>
      <c r="S56" s="710"/>
    </row>
    <row r="57" spans="1:20" ht="27.95" customHeight="1">
      <c r="D57" s="160" t="s">
        <v>575</v>
      </c>
      <c r="E57" s="161"/>
      <c r="F57" s="161"/>
      <c r="G57" s="161"/>
      <c r="H57" s="162"/>
      <c r="I57" s="140"/>
      <c r="J57" s="163" t="s">
        <v>308</v>
      </c>
      <c r="K57" s="163"/>
      <c r="L57" s="162"/>
      <c r="M57" s="359"/>
      <c r="N57" s="165"/>
      <c r="O57" s="166"/>
      <c r="P57" s="166"/>
      <c r="Q57" s="167"/>
      <c r="R57" s="142"/>
      <c r="S57" s="168"/>
    </row>
    <row r="58" spans="1:20" ht="27.95" customHeight="1">
      <c r="D58" s="160" t="s">
        <v>576</v>
      </c>
      <c r="E58" s="162" t="s">
        <v>577</v>
      </c>
      <c r="F58" s="161"/>
      <c r="G58" s="142" t="s">
        <v>578</v>
      </c>
      <c r="H58" s="169"/>
      <c r="I58" s="162"/>
      <c r="J58" s="163" t="s">
        <v>312</v>
      </c>
      <c r="K58" s="162"/>
      <c r="L58" s="162"/>
      <c r="M58" s="142" t="s">
        <v>579</v>
      </c>
      <c r="N58" s="163"/>
      <c r="O58" s="139"/>
      <c r="P58" s="139"/>
      <c r="Q58" s="162"/>
      <c r="R58" s="170"/>
      <c r="S58" s="142"/>
    </row>
    <row r="59" spans="1:20" ht="27.75" customHeight="1">
      <c r="D59" s="171" t="s">
        <v>580</v>
      </c>
      <c r="E59" s="168"/>
      <c r="F59" s="142"/>
      <c r="G59" s="142"/>
      <c r="H59" s="162"/>
      <c r="I59" s="162" t="s">
        <v>315</v>
      </c>
      <c r="J59" s="162"/>
      <c r="K59" s="162"/>
      <c r="L59" s="162"/>
      <c r="M59" s="162"/>
      <c r="N59" s="162"/>
      <c r="O59" s="142"/>
      <c r="P59" s="162"/>
      <c r="Q59" s="162"/>
      <c r="R59" s="142"/>
      <c r="S59" s="162"/>
    </row>
    <row r="60" spans="1:20" ht="9.9499999999999993" customHeight="1">
      <c r="D60" s="360"/>
    </row>
    <row r="61" spans="1:20" ht="27.95" customHeight="1">
      <c r="D61" s="682" t="s">
        <v>316</v>
      </c>
      <c r="E61" s="173"/>
      <c r="F61" s="11" t="s">
        <v>581</v>
      </c>
      <c r="G61" s="174"/>
      <c r="H61" s="175"/>
      <c r="I61" s="11"/>
      <c r="J61" s="11" t="s">
        <v>582</v>
      </c>
      <c r="K61" s="11"/>
      <c r="L61" s="41" t="s">
        <v>259</v>
      </c>
      <c r="M61" s="174"/>
      <c r="N61" s="174"/>
      <c r="O61" s="11"/>
      <c r="P61" s="11" t="s">
        <v>582</v>
      </c>
      <c r="Q61" s="11"/>
      <c r="R61" s="361"/>
      <c r="S61" s="362"/>
    </row>
    <row r="62" spans="1:20" ht="27.95" customHeight="1">
      <c r="D62" s="683"/>
      <c r="G62" s="363"/>
      <c r="H62" s="179" t="s">
        <v>319</v>
      </c>
      <c r="I62" s="363"/>
      <c r="J62" s="363"/>
      <c r="K62" s="363"/>
      <c r="M62" s="364"/>
      <c r="N62" s="364"/>
      <c r="O62" s="364"/>
      <c r="P62" s="364"/>
      <c r="Q62" s="363"/>
      <c r="S62" s="365"/>
    </row>
    <row r="64" spans="1:20">
      <c r="F64" s="182"/>
      <c r="G64" s="182"/>
      <c r="H64" s="182"/>
      <c r="I64" s="182"/>
      <c r="J64" s="259"/>
      <c r="K64" s="317"/>
      <c r="L64" s="317"/>
      <c r="M64" s="259"/>
      <c r="N64" s="317"/>
      <c r="O64" s="259"/>
      <c r="P64" s="317"/>
      <c r="Q64" s="317"/>
      <c r="R64" s="317"/>
    </row>
  </sheetData>
  <mergeCells count="24">
    <mergeCell ref="D61:D62"/>
    <mergeCell ref="P21:Q22"/>
    <mergeCell ref="U21:Z23"/>
    <mergeCell ref="C23:D24"/>
    <mergeCell ref="U24:Z24"/>
    <mergeCell ref="U25:Z30"/>
    <mergeCell ref="U31:Z35"/>
    <mergeCell ref="D45:S45"/>
    <mergeCell ref="D48:S48"/>
    <mergeCell ref="D53:S53"/>
    <mergeCell ref="D56:S56"/>
    <mergeCell ref="P12:Q13"/>
    <mergeCell ref="B26:B27"/>
    <mergeCell ref="C26:D28"/>
    <mergeCell ref="P28:Q28"/>
    <mergeCell ref="A1:Q1"/>
    <mergeCell ref="A2:Q2"/>
    <mergeCell ref="C4:D11"/>
    <mergeCell ref="C14:D20"/>
    <mergeCell ref="U20:Z20"/>
    <mergeCell ref="U4:Z4"/>
    <mergeCell ref="U5:Z7"/>
    <mergeCell ref="U8:Z8"/>
    <mergeCell ref="U9:Z19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64"/>
  <sheetViews>
    <sheetView topLeftCell="A2" zoomScale="85" zoomScaleNormal="85" zoomScalePageLayoutView="80" workbookViewId="0">
      <selection activeCell="C21" sqref="C21:D22"/>
    </sheetView>
  </sheetViews>
  <sheetFormatPr defaultRowHeight="16.5"/>
  <cols>
    <col min="1" max="1" width="3.25" style="374" customWidth="1"/>
    <col min="2" max="2" width="10" style="480" customWidth="1"/>
    <col min="3" max="4" width="11.875" style="480" customWidth="1"/>
    <col min="5" max="11" width="11.875" style="373" customWidth="1"/>
    <col min="12" max="12" width="2.625" style="503" customWidth="1"/>
    <col min="13" max="17" width="11.875" style="373" customWidth="1"/>
    <col min="18" max="18" width="11.875" style="372" hidden="1" customWidth="1"/>
    <col min="19" max="19" width="11.875" style="372" customWidth="1"/>
    <col min="20" max="20" width="1.625" style="373" customWidth="1"/>
    <col min="21" max="26" width="8.125" style="374" customWidth="1"/>
    <col min="27" max="16384" width="9" style="374"/>
  </cols>
  <sheetData>
    <row r="1" spans="1:26" ht="16.5" hidden="1" customHeight="1">
      <c r="A1" s="740" t="s">
        <v>605</v>
      </c>
      <c r="B1" s="741"/>
      <c r="C1" s="741"/>
      <c r="D1" s="741"/>
      <c r="E1" s="741"/>
      <c r="F1" s="741"/>
      <c r="G1" s="741"/>
      <c r="H1" s="741"/>
      <c r="I1" s="741"/>
      <c r="J1" s="741"/>
      <c r="K1" s="741"/>
      <c r="L1" s="741"/>
      <c r="M1" s="741"/>
      <c r="N1" s="741"/>
      <c r="O1" s="741"/>
      <c r="P1" s="741"/>
      <c r="Q1" s="741"/>
    </row>
    <row r="2" spans="1:26" ht="18" customHeight="1">
      <c r="A2" s="742" t="s">
        <v>606</v>
      </c>
      <c r="B2" s="743"/>
      <c r="C2" s="743"/>
      <c r="D2" s="743"/>
      <c r="E2" s="743"/>
      <c r="F2" s="743"/>
      <c r="G2" s="743"/>
      <c r="H2" s="743"/>
      <c r="I2" s="743"/>
      <c r="J2" s="743"/>
      <c r="K2" s="743"/>
      <c r="L2" s="743"/>
      <c r="M2" s="743"/>
      <c r="N2" s="743"/>
      <c r="O2" s="743"/>
      <c r="P2" s="743"/>
      <c r="Q2" s="743"/>
    </row>
    <row r="3" spans="1:26" ht="21" customHeight="1" thickBot="1">
      <c r="A3" s="375"/>
      <c r="B3" s="376" t="s">
        <v>607</v>
      </c>
      <c r="C3" s="377" t="s">
        <v>608</v>
      </c>
      <c r="D3" s="377" t="s">
        <v>609</v>
      </c>
      <c r="E3" s="377" t="s">
        <v>610</v>
      </c>
      <c r="F3" s="377" t="s">
        <v>5</v>
      </c>
      <c r="G3" s="377" t="s">
        <v>6</v>
      </c>
      <c r="H3" s="377" t="s">
        <v>611</v>
      </c>
      <c r="I3" s="377" t="s">
        <v>8</v>
      </c>
      <c r="J3" s="377" t="s">
        <v>612</v>
      </c>
      <c r="K3" s="377" t="s">
        <v>613</v>
      </c>
      <c r="L3" s="378" t="s">
        <v>11</v>
      </c>
      <c r="M3" s="377" t="s">
        <v>614</v>
      </c>
      <c r="N3" s="377" t="s">
        <v>13</v>
      </c>
      <c r="O3" s="377" t="s">
        <v>14</v>
      </c>
      <c r="P3" s="377" t="s">
        <v>15</v>
      </c>
      <c r="Q3" s="377" t="s">
        <v>16</v>
      </c>
      <c r="R3" s="379">
        <f>AVERAGE(R4:R28)</f>
        <v>1</v>
      </c>
      <c r="S3" s="379"/>
    </row>
    <row r="4" spans="1:26" ht="27.95" customHeight="1" thickBot="1">
      <c r="A4" s="380">
        <v>1</v>
      </c>
      <c r="B4" s="381" t="s">
        <v>615</v>
      </c>
      <c r="C4" s="744"/>
      <c r="D4" s="745"/>
      <c r="E4" s="11" t="s">
        <v>616</v>
      </c>
      <c r="F4" s="382" t="s">
        <v>617</v>
      </c>
      <c r="G4" s="382" t="s">
        <v>618</v>
      </c>
      <c r="H4" s="383" t="s">
        <v>619</v>
      </c>
      <c r="I4" s="382" t="s">
        <v>22</v>
      </c>
      <c r="J4" s="382" t="s">
        <v>620</v>
      </c>
      <c r="K4" s="382" t="s">
        <v>621</v>
      </c>
      <c r="L4" s="382"/>
      <c r="M4" s="382" t="s">
        <v>622</v>
      </c>
      <c r="N4" s="382" t="s">
        <v>623</v>
      </c>
      <c r="O4" s="11" t="s">
        <v>624</v>
      </c>
      <c r="P4" s="11" t="s">
        <v>625</v>
      </c>
      <c r="Q4" s="382" t="s">
        <v>626</v>
      </c>
      <c r="R4" s="14">
        <f>(COUNTA(C4:Q4))/12</f>
        <v>1</v>
      </c>
      <c r="S4" s="14"/>
      <c r="U4" s="714" t="s">
        <v>627</v>
      </c>
      <c r="V4" s="715"/>
      <c r="W4" s="715"/>
      <c r="X4" s="715"/>
      <c r="Y4" s="715"/>
      <c r="Z4" s="716"/>
    </row>
    <row r="5" spans="1:26" ht="27.95" customHeight="1">
      <c r="A5" s="380">
        <v>2</v>
      </c>
      <c r="B5" s="384" t="s">
        <v>31</v>
      </c>
      <c r="C5" s="746"/>
      <c r="D5" s="747"/>
      <c r="E5" s="11" t="s">
        <v>628</v>
      </c>
      <c r="F5" s="382" t="s">
        <v>33</v>
      </c>
      <c r="G5" s="382" t="s">
        <v>629</v>
      </c>
      <c r="H5" s="382" t="s">
        <v>630</v>
      </c>
      <c r="I5" s="11" t="s">
        <v>631</v>
      </c>
      <c r="J5" s="11" t="s">
        <v>632</v>
      </c>
      <c r="K5" s="385" t="s">
        <v>633</v>
      </c>
      <c r="L5" s="382"/>
      <c r="M5" s="383" t="s">
        <v>634</v>
      </c>
      <c r="N5" s="386" t="s">
        <v>39</v>
      </c>
      <c r="O5" s="382" t="s">
        <v>635</v>
      </c>
      <c r="P5" s="11" t="s">
        <v>41</v>
      </c>
      <c r="Q5" s="387" t="s">
        <v>636</v>
      </c>
      <c r="R5" s="14">
        <f t="shared" ref="R5:R22" si="0">(COUNTA(C5:Q5))/12</f>
        <v>1</v>
      </c>
      <c r="S5" s="14"/>
      <c r="U5" s="717" t="s">
        <v>900</v>
      </c>
      <c r="V5" s="718"/>
      <c r="W5" s="718"/>
      <c r="X5" s="718"/>
      <c r="Y5" s="718"/>
      <c r="Z5" s="719"/>
    </row>
    <row r="6" spans="1:26" ht="27.75" customHeight="1">
      <c r="A6" s="380">
        <v>3</v>
      </c>
      <c r="B6" s="384" t="s">
        <v>637</v>
      </c>
      <c r="C6" s="746"/>
      <c r="D6" s="747"/>
      <c r="E6" s="387" t="s">
        <v>636</v>
      </c>
      <c r="F6" s="11" t="s">
        <v>638</v>
      </c>
      <c r="G6" s="382" t="s">
        <v>639</v>
      </c>
      <c r="H6" s="11" t="s">
        <v>640</v>
      </c>
      <c r="I6" s="382" t="s">
        <v>641</v>
      </c>
      <c r="J6" s="388" t="s">
        <v>642</v>
      </c>
      <c r="K6" s="382" t="s">
        <v>635</v>
      </c>
      <c r="L6" s="382"/>
      <c r="M6" s="11" t="s">
        <v>643</v>
      </c>
      <c r="N6" s="389" t="s">
        <v>644</v>
      </c>
      <c r="O6" s="382" t="s">
        <v>645</v>
      </c>
      <c r="P6" s="382" t="s">
        <v>646</v>
      </c>
      <c r="Q6" s="382" t="s">
        <v>647</v>
      </c>
      <c r="R6" s="14">
        <f t="shared" si="0"/>
        <v>1</v>
      </c>
      <c r="S6" s="14"/>
      <c r="U6" s="720"/>
      <c r="V6" s="721"/>
      <c r="W6" s="721"/>
      <c r="X6" s="721"/>
      <c r="Y6" s="721"/>
      <c r="Z6" s="722"/>
    </row>
    <row r="7" spans="1:26" ht="27.95" customHeight="1" thickBot="1">
      <c r="A7" s="380">
        <v>4</v>
      </c>
      <c r="B7" s="381" t="s">
        <v>648</v>
      </c>
      <c r="C7" s="746"/>
      <c r="D7" s="747"/>
      <c r="E7" s="11" t="s">
        <v>649</v>
      </c>
      <c r="F7" s="390" t="s">
        <v>55</v>
      </c>
      <c r="G7" s="382" t="s">
        <v>650</v>
      </c>
      <c r="H7" s="382" t="s">
        <v>651</v>
      </c>
      <c r="I7" s="391" t="s">
        <v>652</v>
      </c>
      <c r="J7" s="382" t="s">
        <v>653</v>
      </c>
      <c r="K7" s="382" t="s">
        <v>654</v>
      </c>
      <c r="L7" s="392"/>
      <c r="M7" s="388" t="s">
        <v>655</v>
      </c>
      <c r="N7" s="11" t="s">
        <v>625</v>
      </c>
      <c r="O7" s="382" t="s">
        <v>656</v>
      </c>
      <c r="P7" s="382" t="s">
        <v>657</v>
      </c>
      <c r="Q7" s="382" t="s">
        <v>658</v>
      </c>
      <c r="R7" s="14">
        <f t="shared" si="0"/>
        <v>1</v>
      </c>
      <c r="S7" s="14"/>
      <c r="U7" s="723"/>
      <c r="V7" s="724"/>
      <c r="W7" s="724"/>
      <c r="X7" s="724"/>
      <c r="Y7" s="724"/>
      <c r="Z7" s="725"/>
    </row>
    <row r="8" spans="1:26" ht="27.95" customHeight="1" thickBot="1">
      <c r="A8" s="380">
        <v>5</v>
      </c>
      <c r="B8" s="393" t="s">
        <v>659</v>
      </c>
      <c r="C8" s="746"/>
      <c r="D8" s="747"/>
      <c r="E8" s="382" t="s">
        <v>660</v>
      </c>
      <c r="F8" s="387" t="s">
        <v>661</v>
      </c>
      <c r="G8" s="394" t="s">
        <v>647</v>
      </c>
      <c r="H8" s="382" t="s">
        <v>662</v>
      </c>
      <c r="I8" s="11" t="s">
        <v>663</v>
      </c>
      <c r="J8" s="382" t="s">
        <v>664</v>
      </c>
      <c r="K8" s="382" t="s">
        <v>665</v>
      </c>
      <c r="L8" s="395"/>
      <c r="M8" s="396" t="s">
        <v>666</v>
      </c>
      <c r="N8" s="386" t="s">
        <v>71</v>
      </c>
      <c r="O8" s="397" t="s">
        <v>667</v>
      </c>
      <c r="P8" s="391" t="s">
        <v>668</v>
      </c>
      <c r="Q8" s="390" t="s">
        <v>669</v>
      </c>
      <c r="R8" s="14">
        <f>(COUNTA(C8:Q8))/12</f>
        <v>1</v>
      </c>
      <c r="S8" s="14"/>
      <c r="U8" s="726" t="s">
        <v>670</v>
      </c>
      <c r="V8" s="727"/>
      <c r="W8" s="727"/>
      <c r="X8" s="727"/>
      <c r="Y8" s="727"/>
      <c r="Z8" s="728"/>
    </row>
    <row r="9" spans="1:26" ht="27.95" customHeight="1">
      <c r="A9" s="380">
        <v>6</v>
      </c>
      <c r="B9" s="381" t="s">
        <v>671</v>
      </c>
      <c r="C9" s="746"/>
      <c r="D9" s="747"/>
      <c r="E9" s="390" t="s">
        <v>77</v>
      </c>
      <c r="F9" s="382" t="s">
        <v>672</v>
      </c>
      <c r="G9" s="11" t="s">
        <v>673</v>
      </c>
      <c r="H9" s="382" t="s">
        <v>674</v>
      </c>
      <c r="I9" s="11" t="s">
        <v>675</v>
      </c>
      <c r="J9" s="396" t="s">
        <v>621</v>
      </c>
      <c r="K9" s="11" t="s">
        <v>676</v>
      </c>
      <c r="L9" s="382"/>
      <c r="M9" s="386" t="s">
        <v>677</v>
      </c>
      <c r="N9" s="382" t="s">
        <v>618</v>
      </c>
      <c r="O9" s="11" t="s">
        <v>678</v>
      </c>
      <c r="P9" s="382" t="s">
        <v>679</v>
      </c>
      <c r="Q9" s="24" t="s">
        <v>85</v>
      </c>
      <c r="R9" s="14">
        <f>(COUNTA(C9:Q9))/12</f>
        <v>1</v>
      </c>
      <c r="S9" s="14"/>
      <c r="U9" s="729" t="s">
        <v>898</v>
      </c>
      <c r="V9" s="730"/>
      <c r="W9" s="730"/>
      <c r="X9" s="730"/>
      <c r="Y9" s="730"/>
      <c r="Z9" s="731"/>
    </row>
    <row r="10" spans="1:26" ht="27.75" customHeight="1">
      <c r="A10" s="380">
        <v>7</v>
      </c>
      <c r="B10" s="381" t="s">
        <v>680</v>
      </c>
      <c r="C10" s="746"/>
      <c r="D10" s="747"/>
      <c r="E10" s="389" t="s">
        <v>681</v>
      </c>
      <c r="F10" s="398" t="s">
        <v>682</v>
      </c>
      <c r="G10" s="11" t="s">
        <v>683</v>
      </c>
      <c r="H10" s="382" t="s">
        <v>684</v>
      </c>
      <c r="I10" s="399" t="s">
        <v>666</v>
      </c>
      <c r="J10" s="400" t="s">
        <v>685</v>
      </c>
      <c r="K10" s="401" t="s">
        <v>672</v>
      </c>
      <c r="L10" s="402"/>
      <c r="M10" s="388" t="s">
        <v>642</v>
      </c>
      <c r="N10" s="11" t="s">
        <v>686</v>
      </c>
      <c r="O10" s="382" t="s">
        <v>618</v>
      </c>
      <c r="P10" s="11" t="s">
        <v>94</v>
      </c>
      <c r="Q10" s="382" t="s">
        <v>687</v>
      </c>
      <c r="R10" s="14">
        <f>(COUNTA(C10:Q10))/12</f>
        <v>1</v>
      </c>
      <c r="S10" s="14"/>
      <c r="U10" s="732"/>
      <c r="V10" s="733"/>
      <c r="W10" s="733"/>
      <c r="X10" s="733"/>
      <c r="Y10" s="733"/>
      <c r="Z10" s="734"/>
    </row>
    <row r="11" spans="1:26" ht="27.95" customHeight="1">
      <c r="A11" s="380">
        <v>8</v>
      </c>
      <c r="B11" s="403" t="s">
        <v>688</v>
      </c>
      <c r="C11" s="748"/>
      <c r="D11" s="749"/>
      <c r="E11" s="222"/>
      <c r="F11" s="189"/>
      <c r="G11" s="222"/>
      <c r="H11" s="404"/>
      <c r="I11" s="405" t="s">
        <v>689</v>
      </c>
      <c r="J11" s="406"/>
      <c r="K11" s="406"/>
      <c r="L11" s="404"/>
      <c r="M11" s="407"/>
      <c r="N11" s="408" t="s">
        <v>690</v>
      </c>
      <c r="O11" s="404"/>
      <c r="P11" s="405" t="s">
        <v>619</v>
      </c>
      <c r="Q11" s="405" t="s">
        <v>650</v>
      </c>
      <c r="R11" s="14"/>
      <c r="S11" s="14"/>
      <c r="U11" s="732"/>
      <c r="V11" s="733"/>
      <c r="W11" s="733"/>
      <c r="X11" s="733"/>
      <c r="Y11" s="733"/>
      <c r="Z11" s="734"/>
    </row>
    <row r="12" spans="1:26" ht="27.95" customHeight="1">
      <c r="A12" s="380">
        <v>9</v>
      </c>
      <c r="B12" s="384" t="s">
        <v>691</v>
      </c>
      <c r="C12" s="409" t="s">
        <v>333</v>
      </c>
      <c r="D12" s="410" t="s">
        <v>335</v>
      </c>
      <c r="E12" s="11" t="s">
        <v>692</v>
      </c>
      <c r="F12" s="24" t="s">
        <v>693</v>
      </c>
      <c r="G12" s="24" t="s">
        <v>694</v>
      </c>
      <c r="H12" s="411" t="s">
        <v>695</v>
      </c>
      <c r="I12" s="390" t="s">
        <v>696</v>
      </c>
      <c r="J12" s="396" t="s">
        <v>422</v>
      </c>
      <c r="K12" s="382" t="s">
        <v>22</v>
      </c>
      <c r="L12" s="390"/>
      <c r="M12" s="24" t="s">
        <v>697</v>
      </c>
      <c r="N12" s="390" t="s">
        <v>632</v>
      </c>
      <c r="O12" s="382" t="s">
        <v>698</v>
      </c>
      <c r="P12" s="576"/>
      <c r="Q12" s="577"/>
      <c r="R12" s="14">
        <f t="shared" si="0"/>
        <v>1</v>
      </c>
      <c r="S12" s="14"/>
      <c r="U12" s="732"/>
      <c r="V12" s="733"/>
      <c r="W12" s="733"/>
      <c r="X12" s="733"/>
      <c r="Y12" s="733"/>
      <c r="Z12" s="734"/>
    </row>
    <row r="13" spans="1:26" ht="27.95" customHeight="1" thickBot="1">
      <c r="A13" s="380">
        <v>10</v>
      </c>
      <c r="B13" s="393" t="s">
        <v>699</v>
      </c>
      <c r="C13" s="412" t="s">
        <v>332</v>
      </c>
      <c r="D13" s="412" t="s">
        <v>334</v>
      </c>
      <c r="E13" s="11" t="s">
        <v>700</v>
      </c>
      <c r="F13" s="413" t="s">
        <v>701</v>
      </c>
      <c r="G13" s="414" t="s">
        <v>702</v>
      </c>
      <c r="H13" s="413" t="s">
        <v>703</v>
      </c>
      <c r="I13" s="413" t="s">
        <v>665</v>
      </c>
      <c r="J13" s="413" t="s">
        <v>704</v>
      </c>
      <c r="K13" s="413" t="s">
        <v>622</v>
      </c>
      <c r="L13" s="28"/>
      <c r="M13" s="29" t="s">
        <v>705</v>
      </c>
      <c r="N13" s="382" t="s">
        <v>694</v>
      </c>
      <c r="O13" s="382" t="s">
        <v>706</v>
      </c>
      <c r="P13" s="578"/>
      <c r="Q13" s="579"/>
      <c r="R13" s="14">
        <f t="shared" si="0"/>
        <v>1</v>
      </c>
      <c r="S13" s="14"/>
      <c r="U13" s="732"/>
      <c r="V13" s="733"/>
      <c r="W13" s="733"/>
      <c r="X13" s="733"/>
      <c r="Y13" s="733"/>
      <c r="Z13" s="734"/>
    </row>
    <row r="14" spans="1:26" ht="27.95" customHeight="1">
      <c r="A14" s="415">
        <v>11</v>
      </c>
      <c r="B14" s="416" t="s">
        <v>707</v>
      </c>
      <c r="C14" s="750"/>
      <c r="D14" s="751"/>
      <c r="E14" s="417" t="s">
        <v>708</v>
      </c>
      <c r="F14" s="417" t="s">
        <v>709</v>
      </c>
      <c r="G14" s="417" t="s">
        <v>710</v>
      </c>
      <c r="H14" s="397" t="s">
        <v>128</v>
      </c>
      <c r="I14" s="388" t="s">
        <v>711</v>
      </c>
      <c r="J14" s="33" t="s">
        <v>712</v>
      </c>
      <c r="K14" s="390" t="s">
        <v>713</v>
      </c>
      <c r="L14" s="418"/>
      <c r="M14" s="390" t="s">
        <v>714</v>
      </c>
      <c r="N14" s="417" t="s">
        <v>715</v>
      </c>
      <c r="O14" s="418" t="s">
        <v>716</v>
      </c>
      <c r="P14" s="419" t="s">
        <v>717</v>
      </c>
      <c r="Q14" s="417" t="s">
        <v>718</v>
      </c>
      <c r="R14" s="14">
        <f t="shared" si="0"/>
        <v>1</v>
      </c>
      <c r="S14" s="14"/>
      <c r="U14" s="732"/>
      <c r="V14" s="733"/>
      <c r="W14" s="733"/>
      <c r="X14" s="733"/>
      <c r="Y14" s="733"/>
      <c r="Z14" s="734"/>
    </row>
    <row r="15" spans="1:26" ht="27.95" customHeight="1">
      <c r="A15" s="420">
        <v>12</v>
      </c>
      <c r="B15" s="421" t="s">
        <v>719</v>
      </c>
      <c r="C15" s="752"/>
      <c r="D15" s="753"/>
      <c r="E15" s="11" t="s">
        <v>720</v>
      </c>
      <c r="F15" s="397" t="s">
        <v>721</v>
      </c>
      <c r="G15" s="383" t="s">
        <v>722</v>
      </c>
      <c r="H15" s="11" t="s">
        <v>723</v>
      </c>
      <c r="I15" s="382" t="s">
        <v>724</v>
      </c>
      <c r="J15" s="11" t="s">
        <v>725</v>
      </c>
      <c r="K15" s="382" t="s">
        <v>726</v>
      </c>
      <c r="L15" s="382"/>
      <c r="M15" s="382" t="s">
        <v>727</v>
      </c>
      <c r="N15" s="382" t="s">
        <v>728</v>
      </c>
      <c r="O15" s="11" t="s">
        <v>729</v>
      </c>
      <c r="P15" s="382" t="s">
        <v>730</v>
      </c>
      <c r="Q15" s="396" t="s">
        <v>731</v>
      </c>
      <c r="R15" s="14">
        <f t="shared" si="0"/>
        <v>1</v>
      </c>
      <c r="S15" s="14"/>
      <c r="U15" s="732"/>
      <c r="V15" s="733"/>
      <c r="W15" s="733"/>
      <c r="X15" s="733"/>
      <c r="Y15" s="733"/>
      <c r="Z15" s="734"/>
    </row>
    <row r="16" spans="1:26" ht="27.95" customHeight="1">
      <c r="A16" s="420">
        <v>13</v>
      </c>
      <c r="B16" s="422" t="s">
        <v>732</v>
      </c>
      <c r="C16" s="752"/>
      <c r="D16" s="753"/>
      <c r="E16" s="407"/>
      <c r="F16" s="404"/>
      <c r="G16" s="242" t="s">
        <v>902</v>
      </c>
      <c r="H16" s="405"/>
      <c r="I16" s="242" t="s">
        <v>733</v>
      </c>
      <c r="J16" s="405" t="s">
        <v>734</v>
      </c>
      <c r="K16" s="407"/>
      <c r="L16" s="404"/>
      <c r="M16" s="407"/>
      <c r="N16" s="242" t="s">
        <v>735</v>
      </c>
      <c r="O16" s="408" t="s">
        <v>711</v>
      </c>
      <c r="P16" s="242"/>
      <c r="Q16" s="408" t="s">
        <v>736</v>
      </c>
      <c r="R16" s="14"/>
      <c r="S16" s="14"/>
      <c r="U16" s="732"/>
      <c r="V16" s="733"/>
      <c r="W16" s="733"/>
      <c r="X16" s="733"/>
      <c r="Y16" s="733"/>
      <c r="Z16" s="734"/>
    </row>
    <row r="17" spans="1:26" ht="27.95" customHeight="1">
      <c r="A17" s="420">
        <v>14</v>
      </c>
      <c r="B17" s="423" t="s">
        <v>737</v>
      </c>
      <c r="C17" s="752"/>
      <c r="D17" s="753"/>
      <c r="E17" s="390" t="s">
        <v>738</v>
      </c>
      <c r="F17" s="11" t="s">
        <v>739</v>
      </c>
      <c r="G17" s="390" t="s">
        <v>740</v>
      </c>
      <c r="H17" s="424" t="s">
        <v>741</v>
      </c>
      <c r="I17" s="390" t="s">
        <v>709</v>
      </c>
      <c r="J17" s="383" t="s">
        <v>742</v>
      </c>
      <c r="K17" s="390" t="s">
        <v>743</v>
      </c>
      <c r="L17" s="425"/>
      <c r="M17" s="390" t="s">
        <v>744</v>
      </c>
      <c r="N17" s="24" t="s">
        <v>745</v>
      </c>
      <c r="O17" s="390" t="s">
        <v>746</v>
      </c>
      <c r="P17" s="11" t="s">
        <v>747</v>
      </c>
      <c r="Q17" s="396" t="s">
        <v>748</v>
      </c>
      <c r="R17" s="14">
        <f t="shared" si="0"/>
        <v>1</v>
      </c>
      <c r="S17" s="14"/>
      <c r="U17" s="732"/>
      <c r="V17" s="733"/>
      <c r="W17" s="733"/>
      <c r="X17" s="733"/>
      <c r="Y17" s="733"/>
      <c r="Z17" s="734"/>
    </row>
    <row r="18" spans="1:26" ht="27.95" customHeight="1">
      <c r="A18" s="420">
        <v>15</v>
      </c>
      <c r="B18" s="393" t="s">
        <v>749</v>
      </c>
      <c r="C18" s="752"/>
      <c r="D18" s="753"/>
      <c r="E18" s="382" t="s">
        <v>750</v>
      </c>
      <c r="F18" s="11" t="s">
        <v>751</v>
      </c>
      <c r="G18" s="11" t="s">
        <v>752</v>
      </c>
      <c r="H18" s="382" t="s">
        <v>753</v>
      </c>
      <c r="I18" s="382" t="s">
        <v>754</v>
      </c>
      <c r="J18" s="382" t="s">
        <v>755</v>
      </c>
      <c r="K18" s="382" t="s">
        <v>756</v>
      </c>
      <c r="L18" s="382"/>
      <c r="M18" s="382" t="s">
        <v>179</v>
      </c>
      <c r="N18" s="11" t="s">
        <v>757</v>
      </c>
      <c r="O18" s="426" t="s">
        <v>758</v>
      </c>
      <c r="P18" s="382" t="s">
        <v>759</v>
      </c>
      <c r="Q18" s="11" t="s">
        <v>714</v>
      </c>
      <c r="R18" s="14">
        <f>(COUNTA(C18:Q18))/12</f>
        <v>1</v>
      </c>
      <c r="S18" s="14"/>
      <c r="U18" s="732"/>
      <c r="V18" s="733"/>
      <c r="W18" s="733"/>
      <c r="X18" s="733"/>
      <c r="Y18" s="733"/>
      <c r="Z18" s="734"/>
    </row>
    <row r="19" spans="1:26" ht="27.95" customHeight="1" thickBot="1">
      <c r="A19" s="420">
        <v>16</v>
      </c>
      <c r="B19" s="393" t="s">
        <v>760</v>
      </c>
      <c r="C19" s="752"/>
      <c r="D19" s="753"/>
      <c r="E19" s="397" t="s">
        <v>761</v>
      </c>
      <c r="F19" s="11" t="s">
        <v>184</v>
      </c>
      <c r="G19" s="11" t="s">
        <v>185</v>
      </c>
      <c r="H19" s="208" t="s">
        <v>762</v>
      </c>
      <c r="I19" s="396" t="s">
        <v>763</v>
      </c>
      <c r="J19" s="387" t="s">
        <v>764</v>
      </c>
      <c r="K19" s="11" t="s">
        <v>765</v>
      </c>
      <c r="L19" s="41"/>
      <c r="M19" s="387" t="s">
        <v>766</v>
      </c>
      <c r="N19" s="382" t="s">
        <v>767</v>
      </c>
      <c r="O19" s="390" t="s">
        <v>190</v>
      </c>
      <c r="P19" s="382" t="s">
        <v>768</v>
      </c>
      <c r="Q19" s="396" t="s">
        <v>769</v>
      </c>
      <c r="R19" s="14">
        <f t="shared" si="0"/>
        <v>1</v>
      </c>
      <c r="S19" s="14"/>
      <c r="U19" s="735"/>
      <c r="V19" s="736"/>
      <c r="W19" s="736"/>
      <c r="X19" s="736"/>
      <c r="Y19" s="736"/>
      <c r="Z19" s="737"/>
    </row>
    <row r="20" spans="1:26" ht="27.95" customHeight="1" thickBot="1">
      <c r="A20" s="420">
        <v>17</v>
      </c>
      <c r="B20" s="427" t="s">
        <v>770</v>
      </c>
      <c r="C20" s="754"/>
      <c r="D20" s="755"/>
      <c r="E20" s="404"/>
      <c r="F20" s="404"/>
      <c r="G20" s="405" t="s">
        <v>771</v>
      </c>
      <c r="H20" s="428"/>
      <c r="I20" s="405"/>
      <c r="J20" s="408" t="s">
        <v>772</v>
      </c>
      <c r="K20" s="405" t="s">
        <v>773</v>
      </c>
      <c r="L20" s="405"/>
      <c r="M20" s="405"/>
      <c r="N20" s="408"/>
      <c r="O20" s="242" t="s">
        <v>774</v>
      </c>
      <c r="P20" s="407"/>
      <c r="Q20" s="404"/>
      <c r="R20" s="14"/>
      <c r="S20" s="14"/>
      <c r="U20" s="711" t="s">
        <v>775</v>
      </c>
      <c r="V20" s="712"/>
      <c r="W20" s="712"/>
      <c r="X20" s="712"/>
      <c r="Y20" s="712"/>
      <c r="Z20" s="713"/>
    </row>
    <row r="21" spans="1:26" ht="27.95" customHeight="1">
      <c r="A21" s="420">
        <v>18</v>
      </c>
      <c r="B21" s="421" t="s">
        <v>776</v>
      </c>
      <c r="C21" s="429" t="s">
        <v>336</v>
      </c>
      <c r="D21" s="430" t="s">
        <v>777</v>
      </c>
      <c r="E21" s="382" t="s">
        <v>778</v>
      </c>
      <c r="F21" s="387" t="s">
        <v>779</v>
      </c>
      <c r="G21" s="11" t="s">
        <v>780</v>
      </c>
      <c r="H21" s="11" t="s">
        <v>208</v>
      </c>
      <c r="I21" s="382" t="s">
        <v>740</v>
      </c>
      <c r="J21" s="396" t="s">
        <v>781</v>
      </c>
      <c r="K21" s="397" t="s">
        <v>721</v>
      </c>
      <c r="L21" s="382"/>
      <c r="M21" s="11" t="s">
        <v>782</v>
      </c>
      <c r="N21" s="382" t="s">
        <v>783</v>
      </c>
      <c r="O21" s="382" t="s">
        <v>784</v>
      </c>
      <c r="P21" s="758"/>
      <c r="Q21" s="759"/>
      <c r="R21" s="14">
        <f t="shared" si="0"/>
        <v>1</v>
      </c>
      <c r="S21" s="14"/>
      <c r="U21" s="762" t="s">
        <v>785</v>
      </c>
      <c r="V21" s="763"/>
      <c r="W21" s="763"/>
      <c r="X21" s="763"/>
      <c r="Y21" s="763"/>
      <c r="Z21" s="764"/>
    </row>
    <row r="22" spans="1:26" ht="27.95" customHeight="1" thickBot="1">
      <c r="A22" s="431">
        <v>19</v>
      </c>
      <c r="B22" s="432" t="s">
        <v>786</v>
      </c>
      <c r="C22" s="433" t="s">
        <v>787</v>
      </c>
      <c r="D22" s="434" t="s">
        <v>336</v>
      </c>
      <c r="E22" s="29" t="s">
        <v>788</v>
      </c>
      <c r="F22" s="29" t="s">
        <v>789</v>
      </c>
      <c r="G22" s="413" t="s">
        <v>736</v>
      </c>
      <c r="H22" s="29" t="s">
        <v>790</v>
      </c>
      <c r="I22" s="435" t="s">
        <v>791</v>
      </c>
      <c r="J22" s="413" t="s">
        <v>721</v>
      </c>
      <c r="K22" s="413" t="s">
        <v>792</v>
      </c>
      <c r="L22" s="436"/>
      <c r="M22" s="413" t="s">
        <v>793</v>
      </c>
      <c r="N22" s="437" t="s">
        <v>794</v>
      </c>
      <c r="O22" s="413" t="s">
        <v>740</v>
      </c>
      <c r="P22" s="760"/>
      <c r="Q22" s="761"/>
      <c r="R22" s="14">
        <f t="shared" si="0"/>
        <v>1</v>
      </c>
      <c r="S22" s="14"/>
      <c r="U22" s="765"/>
      <c r="V22" s="766"/>
      <c r="W22" s="766"/>
      <c r="X22" s="766"/>
      <c r="Y22" s="766"/>
      <c r="Z22" s="767"/>
    </row>
    <row r="23" spans="1:26" ht="27.95" customHeight="1" thickBot="1">
      <c r="A23" s="438" t="s">
        <v>795</v>
      </c>
      <c r="B23" s="439" t="s">
        <v>796</v>
      </c>
      <c r="C23" s="752"/>
      <c r="D23" s="753"/>
      <c r="E23" s="390"/>
      <c r="F23" s="440" t="s">
        <v>797</v>
      </c>
      <c r="G23" s="24" t="s">
        <v>798</v>
      </c>
      <c r="H23" s="390"/>
      <c r="I23" s="390" t="s">
        <v>799</v>
      </c>
      <c r="J23" s="441" t="s">
        <v>681</v>
      </c>
      <c r="K23" s="390"/>
      <c r="L23" s="442"/>
      <c r="M23" s="390"/>
      <c r="N23" s="390" t="s">
        <v>755</v>
      </c>
      <c r="O23" s="24" t="s">
        <v>800</v>
      </c>
      <c r="P23" s="385"/>
      <c r="Q23" s="390" t="s">
        <v>742</v>
      </c>
      <c r="R23" s="14">
        <f>(COUNTA(C23:Q23))/7</f>
        <v>1</v>
      </c>
      <c r="S23" s="14"/>
      <c r="U23" s="768"/>
      <c r="V23" s="769"/>
      <c r="W23" s="769"/>
      <c r="X23" s="769"/>
      <c r="Y23" s="769"/>
      <c r="Z23" s="770"/>
    </row>
    <row r="24" spans="1:26" s="446" customFormat="1" ht="27.95" customHeight="1" thickBot="1">
      <c r="A24" s="443"/>
      <c r="B24" s="432" t="s">
        <v>801</v>
      </c>
      <c r="C24" s="771"/>
      <c r="D24" s="772"/>
      <c r="E24" s="413" t="s">
        <v>802</v>
      </c>
      <c r="F24" s="442" t="s">
        <v>803</v>
      </c>
      <c r="G24" s="29" t="s">
        <v>804</v>
      </c>
      <c r="H24" s="29" t="s">
        <v>798</v>
      </c>
      <c r="I24" s="413" t="s">
        <v>232</v>
      </c>
      <c r="J24" s="29" t="s">
        <v>233</v>
      </c>
      <c r="K24" s="444" t="s">
        <v>805</v>
      </c>
      <c r="L24" s="413"/>
      <c r="M24" s="29" t="s">
        <v>806</v>
      </c>
      <c r="N24" s="445" t="s">
        <v>807</v>
      </c>
      <c r="O24" s="445" t="s">
        <v>346</v>
      </c>
      <c r="P24" s="390" t="s">
        <v>736</v>
      </c>
      <c r="Q24" s="11" t="s">
        <v>808</v>
      </c>
      <c r="R24" s="14">
        <f>(COUNTA(C24:Q24))/12</f>
        <v>1</v>
      </c>
      <c r="S24" s="14"/>
      <c r="T24" s="373"/>
      <c r="U24" s="726" t="s">
        <v>809</v>
      </c>
      <c r="V24" s="727"/>
      <c r="W24" s="727"/>
      <c r="X24" s="727"/>
      <c r="Y24" s="727"/>
      <c r="Z24" s="728"/>
    </row>
    <row r="25" spans="1:26" ht="9.9499999999999993" customHeight="1" thickBot="1">
      <c r="A25" s="447"/>
      <c r="B25" s="448"/>
      <c r="C25" s="449"/>
      <c r="D25" s="450"/>
      <c r="E25" s="451"/>
      <c r="F25" s="452"/>
      <c r="G25" s="453"/>
      <c r="H25" s="59"/>
      <c r="I25" s="451"/>
      <c r="J25" s="454"/>
      <c r="K25" s="451"/>
      <c r="L25" s="451"/>
      <c r="M25" s="59"/>
      <c r="N25" s="452"/>
      <c r="O25" s="455"/>
      <c r="P25" s="451"/>
      <c r="Q25" s="451"/>
      <c r="U25" s="717" t="s">
        <v>897</v>
      </c>
      <c r="V25" s="718"/>
      <c r="W25" s="718"/>
      <c r="X25" s="718"/>
      <c r="Y25" s="718"/>
      <c r="Z25" s="719"/>
    </row>
    <row r="26" spans="1:26" ht="120" customHeight="1">
      <c r="A26" s="456"/>
      <c r="B26" s="580" t="s">
        <v>810</v>
      </c>
      <c r="C26" s="582"/>
      <c r="D26" s="583"/>
      <c r="E26" s="417" t="s">
        <v>811</v>
      </c>
      <c r="F26" s="417" t="s">
        <v>812</v>
      </c>
      <c r="G26" s="457" t="s">
        <v>813</v>
      </c>
      <c r="H26" s="417" t="s">
        <v>814</v>
      </c>
      <c r="I26" s="417" t="s">
        <v>815</v>
      </c>
      <c r="J26" s="417" t="s">
        <v>816</v>
      </c>
      <c r="K26" s="458" t="s">
        <v>817</v>
      </c>
      <c r="L26" s="459"/>
      <c r="M26" s="460" t="s">
        <v>818</v>
      </c>
      <c r="N26" s="417" t="s">
        <v>819</v>
      </c>
      <c r="O26" s="417" t="s">
        <v>820</v>
      </c>
      <c r="P26" s="460" t="s">
        <v>821</v>
      </c>
      <c r="Q26" s="417" t="s">
        <v>822</v>
      </c>
      <c r="R26" s="14">
        <f>(COUNTA(C26:Q26))/12</f>
        <v>1</v>
      </c>
      <c r="S26" s="14"/>
      <c r="U26" s="720"/>
      <c r="V26" s="721"/>
      <c r="W26" s="721"/>
      <c r="X26" s="721"/>
      <c r="Y26" s="721"/>
      <c r="Z26" s="722"/>
    </row>
    <row r="27" spans="1:26" ht="120" customHeight="1">
      <c r="A27" s="461"/>
      <c r="B27" s="581"/>
      <c r="C27" s="584"/>
      <c r="D27" s="585"/>
      <c r="E27" s="382" t="s">
        <v>823</v>
      </c>
      <c r="F27" s="387" t="s">
        <v>824</v>
      </c>
      <c r="G27" s="382" t="s">
        <v>825</v>
      </c>
      <c r="H27" s="387" t="s">
        <v>826</v>
      </c>
      <c r="I27" s="382" t="s">
        <v>827</v>
      </c>
      <c r="J27" s="382" t="s">
        <v>828</v>
      </c>
      <c r="K27" s="382" t="s">
        <v>829</v>
      </c>
      <c r="L27" s="382"/>
      <c r="M27" s="382" t="s">
        <v>830</v>
      </c>
      <c r="N27" s="382" t="s">
        <v>831</v>
      </c>
      <c r="O27" s="387" t="s">
        <v>832</v>
      </c>
      <c r="P27" s="382" t="s">
        <v>833</v>
      </c>
      <c r="Q27" s="382" t="s">
        <v>834</v>
      </c>
      <c r="U27" s="720"/>
      <c r="V27" s="721"/>
      <c r="W27" s="721"/>
      <c r="X27" s="721"/>
      <c r="Y27" s="721"/>
      <c r="Z27" s="722"/>
    </row>
    <row r="28" spans="1:26" ht="120" customHeight="1" thickBot="1">
      <c r="A28" s="462"/>
      <c r="B28" s="432" t="s">
        <v>835</v>
      </c>
      <c r="C28" s="586"/>
      <c r="D28" s="587"/>
      <c r="E28" s="463" t="s">
        <v>836</v>
      </c>
      <c r="F28" s="413" t="s">
        <v>837</v>
      </c>
      <c r="G28" s="413" t="s">
        <v>838</v>
      </c>
      <c r="H28" s="413" t="s">
        <v>839</v>
      </c>
      <c r="I28" s="413" t="s">
        <v>840</v>
      </c>
      <c r="J28" s="413" t="s">
        <v>841</v>
      </c>
      <c r="K28" s="464" t="s">
        <v>842</v>
      </c>
      <c r="L28" s="436"/>
      <c r="M28" s="465" t="s">
        <v>843</v>
      </c>
      <c r="N28" s="413" t="s">
        <v>844</v>
      </c>
      <c r="O28" s="464" t="s">
        <v>845</v>
      </c>
      <c r="P28" s="738" t="s">
        <v>836</v>
      </c>
      <c r="Q28" s="739"/>
      <c r="R28" s="14">
        <f>(COUNTA(F28:O28))/9</f>
        <v>1</v>
      </c>
      <c r="S28" s="14"/>
      <c r="U28" s="720"/>
      <c r="V28" s="721"/>
      <c r="W28" s="721"/>
      <c r="X28" s="721"/>
      <c r="Y28" s="721"/>
      <c r="Z28" s="722"/>
    </row>
    <row r="29" spans="1:26" ht="27.95" customHeight="1" thickBot="1">
      <c r="A29" s="466"/>
      <c r="B29" s="467" t="s">
        <v>846</v>
      </c>
      <c r="C29" s="70"/>
      <c r="D29" s="71"/>
      <c r="E29" s="468"/>
      <c r="F29" s="468"/>
      <c r="G29" s="468"/>
      <c r="H29" s="469"/>
      <c r="I29" s="470"/>
      <c r="J29" s="469"/>
      <c r="K29" s="469"/>
      <c r="L29" s="471"/>
      <c r="M29" s="470"/>
      <c r="N29" s="469"/>
      <c r="O29" s="469"/>
      <c r="P29" s="472"/>
      <c r="Q29" s="472"/>
      <c r="R29" s="14"/>
      <c r="S29" s="14"/>
      <c r="U29" s="720"/>
      <c r="V29" s="721"/>
      <c r="W29" s="721"/>
      <c r="X29" s="721"/>
      <c r="Y29" s="721"/>
      <c r="Z29" s="722"/>
    </row>
    <row r="30" spans="1:26" ht="9.9499999999999993" customHeight="1" thickBot="1">
      <c r="A30" s="473"/>
      <c r="B30" s="473"/>
      <c r="C30" s="473"/>
      <c r="D30" s="473"/>
      <c r="E30" s="473"/>
      <c r="F30" s="473"/>
      <c r="G30" s="473"/>
      <c r="H30" s="473"/>
      <c r="I30" s="473"/>
      <c r="J30" s="473"/>
      <c r="K30" s="473"/>
      <c r="L30" s="473"/>
      <c r="M30" s="473"/>
      <c r="N30" s="473"/>
      <c r="O30" s="473"/>
      <c r="P30" s="473"/>
      <c r="Q30" s="473"/>
      <c r="U30" s="723"/>
      <c r="V30" s="724"/>
      <c r="W30" s="724"/>
      <c r="X30" s="724"/>
      <c r="Y30" s="724"/>
      <c r="Z30" s="725"/>
    </row>
    <row r="31" spans="1:26" ht="27.95" customHeight="1">
      <c r="A31" s="474"/>
      <c r="B31" s="475"/>
      <c r="C31" s="475"/>
      <c r="D31" s="476" t="s">
        <v>847</v>
      </c>
      <c r="E31" s="477" t="s">
        <v>255</v>
      </c>
      <c r="F31" s="477" t="s">
        <v>5</v>
      </c>
      <c r="G31" s="477" t="s">
        <v>6</v>
      </c>
      <c r="H31" s="477" t="s">
        <v>256</v>
      </c>
      <c r="I31" s="477" t="s">
        <v>8</v>
      </c>
      <c r="J31" s="477" t="s">
        <v>257</v>
      </c>
      <c r="K31" s="477" t="s">
        <v>258</v>
      </c>
      <c r="L31" s="478" t="s">
        <v>259</v>
      </c>
      <c r="M31" s="477" t="s">
        <v>260</v>
      </c>
      <c r="N31" s="477" t="s">
        <v>13</v>
      </c>
      <c r="O31" s="477" t="s">
        <v>14</v>
      </c>
      <c r="P31" s="477" t="s">
        <v>15</v>
      </c>
      <c r="Q31" s="479" t="s">
        <v>16</v>
      </c>
      <c r="U31" s="773" t="s">
        <v>848</v>
      </c>
      <c r="V31" s="774"/>
      <c r="W31" s="774"/>
      <c r="X31" s="774"/>
      <c r="Y31" s="774"/>
      <c r="Z31" s="775"/>
    </row>
    <row r="32" spans="1:26" ht="27.95" customHeight="1">
      <c r="D32" s="481" t="s">
        <v>849</v>
      </c>
      <c r="E32" s="392" t="s">
        <v>850</v>
      </c>
      <c r="F32" s="382" t="s">
        <v>630</v>
      </c>
      <c r="G32" s="382" t="s">
        <v>704</v>
      </c>
      <c r="H32" s="382" t="s">
        <v>851</v>
      </c>
      <c r="I32" s="396"/>
      <c r="J32" s="396" t="s">
        <v>640</v>
      </c>
      <c r="K32" s="382" t="s">
        <v>852</v>
      </c>
      <c r="L32" s="482"/>
      <c r="M32" s="382"/>
      <c r="N32" s="382" t="s">
        <v>628</v>
      </c>
      <c r="O32" s="382" t="s">
        <v>853</v>
      </c>
      <c r="P32" s="483"/>
      <c r="Q32" s="484" t="s">
        <v>854</v>
      </c>
      <c r="T32" s="485"/>
      <c r="U32" s="776"/>
      <c r="V32" s="777"/>
      <c r="W32" s="777"/>
      <c r="X32" s="777"/>
      <c r="Y32" s="777"/>
      <c r="Z32" s="778"/>
    </row>
    <row r="33" spans="1:26" s="446" customFormat="1" ht="45.75" customHeight="1">
      <c r="A33" s="374"/>
      <c r="B33" s="480"/>
      <c r="C33" s="480"/>
      <c r="D33" s="486" t="s">
        <v>855</v>
      </c>
      <c r="E33" s="487"/>
      <c r="F33" s="396"/>
      <c r="G33" s="396"/>
      <c r="H33" s="396"/>
      <c r="I33" s="396"/>
      <c r="J33" s="396"/>
      <c r="K33" s="488"/>
      <c r="L33" s="489"/>
      <c r="M33" s="396"/>
      <c r="N33" s="396"/>
      <c r="O33" s="483"/>
      <c r="P33" s="396"/>
      <c r="Q33" s="484"/>
      <c r="R33" s="372"/>
      <c r="S33" s="372"/>
      <c r="T33" s="373"/>
      <c r="U33" s="776"/>
      <c r="V33" s="777"/>
      <c r="W33" s="777"/>
      <c r="X33" s="777"/>
      <c r="Y33" s="777"/>
      <c r="Z33" s="778"/>
    </row>
    <row r="34" spans="1:26" ht="27.95" customHeight="1">
      <c r="D34" s="486" t="s">
        <v>856</v>
      </c>
      <c r="E34" s="382"/>
      <c r="F34" s="396"/>
      <c r="G34" s="396"/>
      <c r="H34" s="382"/>
      <c r="I34" s="396" t="s">
        <v>777</v>
      </c>
      <c r="J34" s="402"/>
      <c r="K34" s="382" t="s">
        <v>857</v>
      </c>
      <c r="L34" s="482"/>
      <c r="M34" s="396"/>
      <c r="N34" s="490" t="s">
        <v>777</v>
      </c>
      <c r="O34" s="402"/>
      <c r="P34" s="402" t="s">
        <v>858</v>
      </c>
      <c r="Q34" s="491"/>
      <c r="U34" s="776"/>
      <c r="V34" s="777"/>
      <c r="W34" s="777"/>
      <c r="X34" s="777"/>
      <c r="Y34" s="777"/>
      <c r="Z34" s="778"/>
    </row>
    <row r="35" spans="1:26" ht="42" customHeight="1" thickBot="1">
      <c r="D35" s="492" t="s">
        <v>859</v>
      </c>
      <c r="E35" s="493"/>
      <c r="F35" s="494"/>
      <c r="G35" s="493" t="s">
        <v>860</v>
      </c>
      <c r="H35" s="495"/>
      <c r="I35" s="495"/>
      <c r="J35" s="495"/>
      <c r="K35" s="495" t="s">
        <v>861</v>
      </c>
      <c r="L35" s="496"/>
      <c r="M35" s="497" t="s">
        <v>862</v>
      </c>
      <c r="N35" s="493" t="s">
        <v>863</v>
      </c>
      <c r="O35" s="493" t="s">
        <v>864</v>
      </c>
      <c r="P35" s="493" t="s">
        <v>865</v>
      </c>
      <c r="Q35" s="498" t="s">
        <v>866</v>
      </c>
      <c r="U35" s="779"/>
      <c r="V35" s="780"/>
      <c r="W35" s="780"/>
      <c r="X35" s="780"/>
      <c r="Y35" s="780"/>
      <c r="Z35" s="781"/>
    </row>
    <row r="36" spans="1:26" ht="42" customHeight="1">
      <c r="D36" s="499"/>
      <c r="E36" s="500"/>
      <c r="F36" s="501"/>
      <c r="G36" s="499"/>
      <c r="H36" s="499"/>
      <c r="I36" s="499"/>
      <c r="J36" s="499"/>
      <c r="K36" s="499"/>
      <c r="L36" s="502"/>
      <c r="M36" s="499"/>
      <c r="N36" s="499"/>
      <c r="O36" s="499"/>
      <c r="P36" s="499"/>
      <c r="Q36" s="499"/>
    </row>
    <row r="37" spans="1:26" ht="42" customHeight="1">
      <c r="E37" s="373">
        <f t="shared" ref="E37:J37" si="1">COUNTBLANK(E4:E21)</f>
        <v>3</v>
      </c>
      <c r="F37" s="373">
        <f>COUNTBLANK(F4:F21)</f>
        <v>3</v>
      </c>
      <c r="G37" s="373">
        <f t="shared" si="1"/>
        <v>1</v>
      </c>
      <c r="H37" s="373">
        <f>COUNTBLANK(H4:H21)</f>
        <v>3</v>
      </c>
      <c r="I37" s="373">
        <f>COUNTBLANK(I4:I21)</f>
        <v>1</v>
      </c>
      <c r="J37" s="373">
        <f t="shared" si="1"/>
        <v>1</v>
      </c>
      <c r="K37" s="373">
        <f>COUNTBLANK(K4:K22)</f>
        <v>2</v>
      </c>
      <c r="L37" s="373"/>
      <c r="M37" s="373">
        <f>COUNTBLANK(M4:M21)</f>
        <v>3</v>
      </c>
      <c r="N37" s="373">
        <f>COUNTBLANK(N4:N21)</f>
        <v>1</v>
      </c>
      <c r="O37" s="373">
        <f>COUNTBLANK(O4:O21)</f>
        <v>1</v>
      </c>
      <c r="P37" s="373">
        <f>COUNTBLANK(P4:P20)-2</f>
        <v>2</v>
      </c>
      <c r="Q37" s="373">
        <f>COUNTBLANK(Q4:Q20)-2</f>
        <v>1</v>
      </c>
    </row>
    <row r="39" spans="1:26" s="504" customFormat="1">
      <c r="B39" s="480"/>
      <c r="C39" s="480"/>
      <c r="D39" s="480"/>
      <c r="E39" s="373"/>
      <c r="F39" s="373"/>
      <c r="G39" s="373"/>
      <c r="H39" s="373"/>
      <c r="I39" s="373"/>
      <c r="J39" s="373"/>
      <c r="K39" s="373"/>
      <c r="L39" s="503"/>
      <c r="M39" s="373"/>
      <c r="N39" s="373"/>
      <c r="O39" s="373"/>
      <c r="P39" s="373"/>
      <c r="Q39" s="373"/>
      <c r="R39" s="372"/>
      <c r="S39" s="372"/>
      <c r="T39" s="505"/>
    </row>
    <row r="40" spans="1:26" s="504" customFormat="1">
      <c r="B40" s="480"/>
      <c r="C40" s="480"/>
      <c r="D40" s="480"/>
      <c r="E40" s="373"/>
      <c r="F40" s="373"/>
      <c r="G40" s="373"/>
      <c r="H40" s="373"/>
      <c r="I40" s="373"/>
      <c r="J40" s="373"/>
      <c r="K40" s="373"/>
      <c r="L40" s="503"/>
      <c r="M40" s="373"/>
      <c r="N40" s="373"/>
      <c r="O40" s="373"/>
      <c r="P40" s="373"/>
      <c r="Q40" s="373"/>
      <c r="R40" s="372"/>
      <c r="S40" s="372"/>
      <c r="T40" s="505"/>
    </row>
    <row r="41" spans="1:26" s="504" customFormat="1">
      <c r="B41" s="480"/>
      <c r="C41" s="480"/>
      <c r="D41" s="480"/>
      <c r="E41" s="373"/>
      <c r="F41" s="373"/>
      <c r="G41" s="373"/>
      <c r="H41" s="373"/>
      <c r="I41" s="373"/>
      <c r="J41" s="373"/>
      <c r="K41" s="373"/>
      <c r="L41" s="503"/>
      <c r="M41" s="373"/>
      <c r="N41" s="373"/>
      <c r="O41" s="373"/>
      <c r="P41" s="373"/>
      <c r="Q41" s="373"/>
      <c r="R41" s="372"/>
      <c r="S41" s="372"/>
      <c r="T41" s="505"/>
    </row>
    <row r="42" spans="1:26" s="504" customFormat="1">
      <c r="B42" s="506"/>
      <c r="C42" s="507"/>
      <c r="D42" s="507"/>
      <c r="E42" s="505"/>
      <c r="F42" s="508"/>
      <c r="G42" s="508"/>
      <c r="H42" s="508"/>
      <c r="I42" s="508"/>
      <c r="J42" s="508"/>
      <c r="K42" s="508"/>
      <c r="L42" s="509"/>
      <c r="M42" s="508"/>
      <c r="N42" s="508"/>
      <c r="O42" s="508"/>
      <c r="P42" s="508"/>
      <c r="Q42" s="508"/>
      <c r="R42" s="510"/>
      <c r="S42" s="511"/>
      <c r="T42" s="505"/>
    </row>
    <row r="45" spans="1:26">
      <c r="D45" s="632" t="s">
        <v>284</v>
      </c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3"/>
    </row>
    <row r="46" spans="1:26" ht="21">
      <c r="A46" s="480"/>
      <c r="D46" s="116" t="s">
        <v>867</v>
      </c>
      <c r="E46" s="117" t="s">
        <v>255</v>
      </c>
      <c r="F46" s="117" t="s">
        <v>5</v>
      </c>
      <c r="G46" s="117" t="s">
        <v>6</v>
      </c>
      <c r="H46" s="117" t="s">
        <v>256</v>
      </c>
      <c r="I46" s="117" t="s">
        <v>8</v>
      </c>
      <c r="J46" s="117" t="s">
        <v>257</v>
      </c>
      <c r="K46" s="117" t="s">
        <v>258</v>
      </c>
      <c r="L46" s="118" t="s">
        <v>11</v>
      </c>
      <c r="M46" s="117" t="s">
        <v>260</v>
      </c>
      <c r="N46" s="117" t="s">
        <v>868</v>
      </c>
      <c r="O46" s="117" t="s">
        <v>14</v>
      </c>
      <c r="P46" s="117" t="s">
        <v>15</v>
      </c>
      <c r="Q46" s="117" t="s">
        <v>869</v>
      </c>
      <c r="R46" s="117" t="s">
        <v>288</v>
      </c>
      <c r="S46" s="117" t="s">
        <v>289</v>
      </c>
    </row>
    <row r="47" spans="1:26" ht="27.95" customHeight="1">
      <c r="A47" s="480"/>
      <c r="D47" s="119" t="s">
        <v>870</v>
      </c>
      <c r="E47" s="120"/>
      <c r="F47" s="512"/>
      <c r="G47" s="513"/>
      <c r="H47" s="514"/>
      <c r="I47" s="513"/>
      <c r="J47" s="515"/>
      <c r="K47" s="514"/>
      <c r="L47" s="516"/>
      <c r="M47" s="517" t="s">
        <v>871</v>
      </c>
      <c r="N47" s="127"/>
      <c r="O47" s="518" t="s">
        <v>872</v>
      </c>
      <c r="P47" s="129" t="s">
        <v>873</v>
      </c>
      <c r="Q47" s="130"/>
      <c r="R47" s="519"/>
      <c r="S47" s="520"/>
    </row>
    <row r="48" spans="1:26">
      <c r="A48" s="480"/>
      <c r="D48" s="782" t="s">
        <v>874</v>
      </c>
      <c r="E48" s="783"/>
      <c r="F48" s="783"/>
      <c r="G48" s="783"/>
      <c r="H48" s="783"/>
      <c r="I48" s="783"/>
      <c r="J48" s="783"/>
      <c r="K48" s="783"/>
      <c r="L48" s="783"/>
      <c r="M48" s="783"/>
      <c r="N48" s="783"/>
      <c r="O48" s="783"/>
      <c r="P48" s="783"/>
      <c r="Q48" s="783"/>
      <c r="R48" s="783"/>
      <c r="S48" s="784"/>
      <c r="T48" s="374"/>
    </row>
    <row r="49" spans="1:20" ht="27.95" customHeight="1">
      <c r="A49" s="480"/>
      <c r="D49" s="521" t="s">
        <v>295</v>
      </c>
      <c r="E49" s="522"/>
      <c r="F49" s="523"/>
      <c r="G49" s="522"/>
      <c r="H49" s="522"/>
      <c r="I49" s="522"/>
      <c r="J49" s="522"/>
      <c r="K49" s="136"/>
      <c r="L49" s="137"/>
      <c r="M49" s="523"/>
      <c r="N49" s="524"/>
      <c r="O49" s="523"/>
      <c r="P49" s="522"/>
      <c r="Q49" s="522"/>
      <c r="R49" s="24"/>
      <c r="S49" s="24"/>
      <c r="T49" s="374"/>
    </row>
    <row r="50" spans="1:20" ht="27.95" customHeight="1">
      <c r="A50" s="480"/>
      <c r="D50" s="521" t="s">
        <v>875</v>
      </c>
      <c r="E50" s="523" t="s">
        <v>876</v>
      </c>
      <c r="F50" s="139"/>
      <c r="G50" s="136" t="s">
        <v>877</v>
      </c>
      <c r="H50" s="136"/>
      <c r="I50" s="139"/>
      <c r="J50" s="136"/>
      <c r="K50" s="140"/>
      <c r="L50" s="137"/>
      <c r="M50" s="141"/>
      <c r="N50" s="136"/>
      <c r="O50" s="142" t="s">
        <v>878</v>
      </c>
      <c r="P50" s="136"/>
      <c r="Q50" s="142"/>
      <c r="R50" s="136"/>
      <c r="S50" s="136"/>
      <c r="T50" s="374"/>
    </row>
    <row r="51" spans="1:20" ht="27.95" customHeight="1">
      <c r="A51" s="480"/>
      <c r="D51" s="525" t="s">
        <v>879</v>
      </c>
      <c r="E51" s="526"/>
      <c r="F51" s="526"/>
      <c r="G51" s="526"/>
      <c r="H51" s="527"/>
      <c r="I51" s="527"/>
      <c r="J51" s="526"/>
      <c r="K51" s="528"/>
      <c r="L51" s="137"/>
      <c r="M51" s="529"/>
      <c r="N51" s="529"/>
      <c r="O51" s="529"/>
      <c r="P51" s="527"/>
      <c r="Q51" s="526" t="s">
        <v>880</v>
      </c>
      <c r="R51" s="530"/>
      <c r="S51" s="530"/>
      <c r="T51" s="374"/>
    </row>
    <row r="52" spans="1:20" ht="27.95" customHeight="1">
      <c r="A52" s="480"/>
      <c r="D52" s="531" t="s">
        <v>881</v>
      </c>
      <c r="E52" s="532"/>
      <c r="F52" s="532"/>
      <c r="G52" s="532"/>
      <c r="H52" s="527"/>
      <c r="I52" s="527"/>
      <c r="J52" s="533"/>
      <c r="K52" s="532"/>
      <c r="L52" s="152"/>
      <c r="M52" s="527"/>
      <c r="N52" s="527"/>
      <c r="O52" s="527"/>
      <c r="P52" s="534"/>
      <c r="Q52" s="532"/>
      <c r="R52" s="532"/>
      <c r="S52" s="532"/>
      <c r="T52" s="374"/>
    </row>
    <row r="53" spans="1:20">
      <c r="D53" s="783" t="s">
        <v>882</v>
      </c>
      <c r="E53" s="783"/>
      <c r="F53" s="783"/>
      <c r="G53" s="783"/>
      <c r="H53" s="783"/>
      <c r="I53" s="783"/>
      <c r="J53" s="783"/>
      <c r="K53" s="783"/>
      <c r="L53" s="783"/>
      <c r="M53" s="783"/>
      <c r="N53" s="783"/>
      <c r="O53" s="783"/>
      <c r="P53" s="783"/>
      <c r="Q53" s="783"/>
      <c r="R53" s="783"/>
      <c r="S53" s="783"/>
    </row>
    <row r="54" spans="1:20" ht="27.95" customHeight="1">
      <c r="D54" s="531" t="s">
        <v>883</v>
      </c>
      <c r="E54" s="530"/>
      <c r="F54" s="530"/>
      <c r="G54" s="530"/>
      <c r="H54" s="532"/>
      <c r="I54" s="530"/>
      <c r="J54" s="530"/>
      <c r="K54" s="535"/>
      <c r="L54" s="530"/>
      <c r="M54" s="527"/>
      <c r="N54" s="532"/>
      <c r="O54" s="536"/>
      <c r="P54" s="527"/>
      <c r="Q54" s="532"/>
      <c r="R54" s="532"/>
      <c r="S54" s="533"/>
    </row>
    <row r="55" spans="1:20" ht="27.95" customHeight="1">
      <c r="D55" s="537" t="s">
        <v>305</v>
      </c>
      <c r="E55" s="522"/>
      <c r="F55" s="538"/>
      <c r="G55" s="526"/>
      <c r="H55" s="522"/>
      <c r="I55" s="522"/>
      <c r="J55" s="539"/>
      <c r="K55" s="540"/>
      <c r="L55" s="529"/>
      <c r="M55" s="538"/>
      <c r="N55" s="526"/>
      <c r="O55" s="538"/>
      <c r="P55" s="529"/>
      <c r="Q55" s="522"/>
      <c r="R55" s="526"/>
      <c r="S55" s="529"/>
    </row>
    <row r="56" spans="1:20">
      <c r="D56" s="782" t="s">
        <v>884</v>
      </c>
      <c r="E56" s="783"/>
      <c r="F56" s="783"/>
      <c r="G56" s="783"/>
      <c r="H56" s="783"/>
      <c r="I56" s="783"/>
      <c r="J56" s="783"/>
      <c r="K56" s="783"/>
      <c r="L56" s="783"/>
      <c r="M56" s="783"/>
      <c r="N56" s="783"/>
      <c r="O56" s="783"/>
      <c r="P56" s="783"/>
      <c r="Q56" s="783"/>
      <c r="R56" s="783"/>
      <c r="S56" s="784"/>
    </row>
    <row r="57" spans="1:20" ht="27.95" customHeight="1">
      <c r="D57" s="160" t="s">
        <v>885</v>
      </c>
      <c r="E57" s="161"/>
      <c r="F57" s="161"/>
      <c r="G57" s="161"/>
      <c r="H57" s="162"/>
      <c r="I57" s="140"/>
      <c r="J57" s="163" t="s">
        <v>886</v>
      </c>
      <c r="K57" s="163"/>
      <c r="L57" s="162"/>
      <c r="M57" s="541"/>
      <c r="N57" s="165"/>
      <c r="O57" s="166"/>
      <c r="P57" s="166"/>
      <c r="Q57" s="167"/>
      <c r="R57" s="142"/>
      <c r="S57" s="168"/>
    </row>
    <row r="58" spans="1:20" ht="27.95" customHeight="1">
      <c r="D58" s="160" t="s">
        <v>887</v>
      </c>
      <c r="E58" s="162" t="s">
        <v>888</v>
      </c>
      <c r="F58" s="161"/>
      <c r="G58" s="142" t="s">
        <v>889</v>
      </c>
      <c r="H58" s="169"/>
      <c r="I58" s="162"/>
      <c r="J58" s="163" t="s">
        <v>890</v>
      </c>
      <c r="K58" s="162"/>
      <c r="L58" s="162"/>
      <c r="M58" s="142" t="s">
        <v>891</v>
      </c>
      <c r="N58" s="163"/>
      <c r="O58" s="139"/>
      <c r="P58" s="139"/>
      <c r="Q58" s="162"/>
      <c r="R58" s="170"/>
      <c r="S58" s="142"/>
    </row>
    <row r="59" spans="1:20" ht="27.75" customHeight="1">
      <c r="D59" s="171" t="s">
        <v>892</v>
      </c>
      <c r="E59" s="168"/>
      <c r="F59" s="142"/>
      <c r="G59" s="142"/>
      <c r="H59" s="162"/>
      <c r="I59" s="162" t="s">
        <v>893</v>
      </c>
      <c r="J59" s="162"/>
      <c r="K59" s="162"/>
      <c r="L59" s="162"/>
      <c r="M59" s="162"/>
      <c r="N59" s="162"/>
      <c r="O59" s="142"/>
      <c r="P59" s="162"/>
      <c r="Q59" s="162"/>
      <c r="R59" s="142"/>
      <c r="S59" s="162"/>
    </row>
    <row r="60" spans="1:20" ht="9.9499999999999993" customHeight="1">
      <c r="D60" s="542"/>
    </row>
    <row r="61" spans="1:20" ht="27.95" customHeight="1">
      <c r="D61" s="756" t="s">
        <v>316</v>
      </c>
      <c r="E61" s="173"/>
      <c r="F61" s="11" t="s">
        <v>894</v>
      </c>
      <c r="G61" s="174"/>
      <c r="H61" s="175"/>
      <c r="I61" s="11"/>
      <c r="J61" s="11" t="s">
        <v>895</v>
      </c>
      <c r="K61" s="11"/>
      <c r="L61" s="41" t="s">
        <v>259</v>
      </c>
      <c r="M61" s="174"/>
      <c r="N61" s="174"/>
      <c r="O61" s="11"/>
      <c r="P61" s="11" t="s">
        <v>895</v>
      </c>
      <c r="Q61" s="11"/>
      <c r="R61" s="543"/>
      <c r="S61" s="544"/>
    </row>
    <row r="62" spans="1:20" ht="27.95" customHeight="1">
      <c r="D62" s="757"/>
      <c r="G62" s="545"/>
      <c r="H62" s="179" t="s">
        <v>896</v>
      </c>
      <c r="I62" s="545"/>
      <c r="J62" s="545"/>
      <c r="K62" s="545"/>
      <c r="M62" s="546"/>
      <c r="N62" s="546"/>
      <c r="O62" s="546"/>
      <c r="P62" s="546"/>
      <c r="Q62" s="545"/>
      <c r="S62" s="547"/>
    </row>
    <row r="64" spans="1:20">
      <c r="F64" s="182"/>
      <c r="G64" s="182"/>
      <c r="H64" s="182"/>
      <c r="I64" s="182"/>
      <c r="J64" s="442"/>
      <c r="K64" s="499"/>
      <c r="L64" s="499"/>
      <c r="M64" s="442"/>
      <c r="N64" s="499"/>
      <c r="O64" s="442"/>
      <c r="P64" s="499"/>
      <c r="Q64" s="499"/>
      <c r="R64" s="499"/>
    </row>
  </sheetData>
  <mergeCells count="24">
    <mergeCell ref="D61:D62"/>
    <mergeCell ref="P21:Q22"/>
    <mergeCell ref="U21:Z23"/>
    <mergeCell ref="C23:D24"/>
    <mergeCell ref="U24:Z24"/>
    <mergeCell ref="U25:Z30"/>
    <mergeCell ref="U31:Z35"/>
    <mergeCell ref="D45:S45"/>
    <mergeCell ref="D48:S48"/>
    <mergeCell ref="D53:S53"/>
    <mergeCell ref="D56:S56"/>
    <mergeCell ref="P12:Q13"/>
    <mergeCell ref="B26:B27"/>
    <mergeCell ref="C26:D28"/>
    <mergeCell ref="P28:Q28"/>
    <mergeCell ref="A1:Q1"/>
    <mergeCell ref="A2:Q2"/>
    <mergeCell ref="C4:D11"/>
    <mergeCell ref="C14:D20"/>
    <mergeCell ref="U20:Z20"/>
    <mergeCell ref="U4:Z4"/>
    <mergeCell ref="U5:Z7"/>
    <mergeCell ref="U8:Z8"/>
    <mergeCell ref="U9:Z19"/>
  </mergeCells>
  <phoneticPr fontId="3" type="noConversion"/>
  <printOptions horizontalCentered="1"/>
  <pageMargins left="0" right="0" top="0" bottom="0" header="0" footer="0"/>
  <pageSetup paperSize="9" scale="38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64"/>
  <sheetViews>
    <sheetView tabSelected="1" topLeftCell="A2" zoomScale="85" zoomScaleNormal="85" zoomScalePageLayoutView="80" workbookViewId="0">
      <selection activeCell="M12" sqref="M12"/>
    </sheetView>
  </sheetViews>
  <sheetFormatPr defaultRowHeight="16.5"/>
  <cols>
    <col min="1" max="1" width="3.25" style="3" customWidth="1"/>
    <col min="2" max="2" width="10" style="84" customWidth="1"/>
    <col min="3" max="4" width="11.875" style="84" customWidth="1"/>
    <col min="5" max="11" width="11.875" style="2" customWidth="1"/>
    <col min="12" max="12" width="2.625" style="107" customWidth="1"/>
    <col min="13" max="17" width="11.875" style="2" customWidth="1"/>
    <col min="18" max="19" width="11.875" style="1" customWidth="1"/>
    <col min="20" max="20" width="1.625" style="2" customWidth="1"/>
    <col min="21" max="26" width="8.125" style="3" customWidth="1"/>
    <col min="27" max="16384" width="9" style="3"/>
  </cols>
  <sheetData>
    <row r="1" spans="1:26" ht="16.5" hidden="1" customHeight="1">
      <c r="A1" s="590" t="s">
        <v>0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</row>
    <row r="2" spans="1:26" ht="18" customHeight="1">
      <c r="A2" s="592" t="s">
        <v>917</v>
      </c>
      <c r="B2" s="593"/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</row>
    <row r="3" spans="1:26" ht="21" customHeight="1" thickBot="1">
      <c r="A3" s="4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7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8">
        <f>AVERAGE(R4:R28)</f>
        <v>0.99275362318840576</v>
      </c>
      <c r="S3" s="8"/>
    </row>
    <row r="4" spans="1:26" ht="27.95" customHeight="1" thickBot="1">
      <c r="A4" s="9">
        <v>1</v>
      </c>
      <c r="B4" s="10" t="s">
        <v>17</v>
      </c>
      <c r="C4" s="594"/>
      <c r="D4" s="595"/>
      <c r="E4" s="11" t="s">
        <v>18</v>
      </c>
      <c r="F4" s="12" t="s">
        <v>19</v>
      </c>
      <c r="G4" s="12" t="s">
        <v>20</v>
      </c>
      <c r="H4" s="13" t="s">
        <v>21</v>
      </c>
      <c r="I4" s="12" t="s">
        <v>22</v>
      </c>
      <c r="J4" s="12" t="s">
        <v>23</v>
      </c>
      <c r="K4" s="12" t="s">
        <v>24</v>
      </c>
      <c r="L4" s="12"/>
      <c r="M4" s="12" t="s">
        <v>25</v>
      </c>
      <c r="N4" s="12" t="s">
        <v>26</v>
      </c>
      <c r="O4" s="11" t="s">
        <v>27</v>
      </c>
      <c r="P4" s="11" t="s">
        <v>28</v>
      </c>
      <c r="Q4" s="12" t="s">
        <v>29</v>
      </c>
      <c r="R4" s="14">
        <f>(COUNTA(C4:Q4))/12</f>
        <v>1</v>
      </c>
      <c r="S4" s="14"/>
      <c r="U4" s="552" t="s">
        <v>30</v>
      </c>
      <c r="V4" s="553"/>
      <c r="W4" s="553"/>
      <c r="X4" s="553"/>
      <c r="Y4" s="553"/>
      <c r="Z4" s="554"/>
    </row>
    <row r="5" spans="1:26" ht="27.95" customHeight="1">
      <c r="A5" s="9">
        <v>2</v>
      </c>
      <c r="B5" s="15" t="s">
        <v>31</v>
      </c>
      <c r="C5" s="596"/>
      <c r="D5" s="597"/>
      <c r="E5" s="11" t="s">
        <v>32</v>
      </c>
      <c r="F5" s="12" t="s">
        <v>33</v>
      </c>
      <c r="G5" s="12" t="s">
        <v>34</v>
      </c>
      <c r="H5" s="12" t="s">
        <v>35</v>
      </c>
      <c r="I5" s="11" t="s">
        <v>36</v>
      </c>
      <c r="J5" s="11" t="s">
        <v>90</v>
      </c>
      <c r="K5" s="16" t="s">
        <v>37</v>
      </c>
      <c r="L5" s="12"/>
      <c r="M5" s="13" t="s">
        <v>38</v>
      </c>
      <c r="N5" s="17" t="s">
        <v>39</v>
      </c>
      <c r="O5" s="12" t="s">
        <v>40</v>
      </c>
      <c r="P5" s="11" t="s">
        <v>41</v>
      </c>
      <c r="Q5" s="12" t="s">
        <v>586</v>
      </c>
      <c r="R5" s="14">
        <f t="shared" ref="R5:R22" si="0">(COUNTA(C5:Q5))/12</f>
        <v>1</v>
      </c>
      <c r="S5" s="14"/>
      <c r="U5" s="555"/>
      <c r="V5" s="556"/>
      <c r="W5" s="556"/>
      <c r="X5" s="556"/>
      <c r="Y5" s="556"/>
      <c r="Z5" s="557"/>
    </row>
    <row r="6" spans="1:26" ht="27.75" customHeight="1">
      <c r="A6" s="9">
        <v>3</v>
      </c>
      <c r="B6" s="15" t="s">
        <v>42</v>
      </c>
      <c r="C6" s="596"/>
      <c r="D6" s="597"/>
      <c r="E6" s="12" t="s">
        <v>586</v>
      </c>
      <c r="F6" s="11" t="s">
        <v>44</v>
      </c>
      <c r="G6" s="12" t="s">
        <v>45</v>
      </c>
      <c r="H6" s="11" t="s">
        <v>43</v>
      </c>
      <c r="I6" s="12" t="s">
        <v>47</v>
      </c>
      <c r="J6" s="18" t="s">
        <v>600</v>
      </c>
      <c r="K6" s="12" t="s">
        <v>40</v>
      </c>
      <c r="L6" s="12"/>
      <c r="M6" s="11" t="s">
        <v>49</v>
      </c>
      <c r="N6" s="12" t="s">
        <v>329</v>
      </c>
      <c r="O6" s="12" t="s">
        <v>50</v>
      </c>
      <c r="P6" s="190"/>
      <c r="Q6" s="12" t="s">
        <v>52</v>
      </c>
      <c r="R6" s="14">
        <f t="shared" si="0"/>
        <v>0.91666666666666663</v>
      </c>
      <c r="S6" s="14"/>
      <c r="U6" s="558"/>
      <c r="V6" s="559"/>
      <c r="W6" s="559"/>
      <c r="X6" s="559"/>
      <c r="Y6" s="559"/>
      <c r="Z6" s="560"/>
    </row>
    <row r="7" spans="1:26" ht="27.95" customHeight="1" thickBot="1">
      <c r="A7" s="9">
        <v>4</v>
      </c>
      <c r="B7" s="10" t="s">
        <v>53</v>
      </c>
      <c r="C7" s="596"/>
      <c r="D7" s="597"/>
      <c r="E7" s="11" t="s">
        <v>54</v>
      </c>
      <c r="F7" s="18" t="s">
        <v>55</v>
      </c>
      <c r="G7" s="12" t="s">
        <v>56</v>
      </c>
      <c r="H7" s="12" t="s">
        <v>57</v>
      </c>
      <c r="I7" s="12" t="s">
        <v>329</v>
      </c>
      <c r="J7" s="12" t="s">
        <v>56</v>
      </c>
      <c r="K7" s="12" t="s">
        <v>59</v>
      </c>
      <c r="L7" s="20"/>
      <c r="M7" s="18" t="s">
        <v>377</v>
      </c>
      <c r="N7" s="11" t="s">
        <v>28</v>
      </c>
      <c r="O7" s="12" t="s">
        <v>60</v>
      </c>
      <c r="P7" s="12" t="s">
        <v>61</v>
      </c>
      <c r="Q7" s="12" t="s">
        <v>62</v>
      </c>
      <c r="R7" s="14">
        <f t="shared" si="0"/>
        <v>1</v>
      </c>
      <c r="S7" s="14"/>
      <c r="U7" s="561"/>
      <c r="V7" s="562"/>
      <c r="W7" s="562"/>
      <c r="X7" s="562"/>
      <c r="Y7" s="562"/>
      <c r="Z7" s="563"/>
    </row>
    <row r="8" spans="1:26" ht="27.95" customHeight="1" thickBot="1">
      <c r="A8" s="9">
        <v>5</v>
      </c>
      <c r="B8" s="21" t="s">
        <v>63</v>
      </c>
      <c r="C8" s="596"/>
      <c r="D8" s="597"/>
      <c r="E8" s="12" t="s">
        <v>64</v>
      </c>
      <c r="F8" s="12" t="s">
        <v>597</v>
      </c>
      <c r="G8" s="370"/>
      <c r="H8" s="12" t="s">
        <v>66</v>
      </c>
      <c r="I8" s="11" t="s">
        <v>18</v>
      </c>
      <c r="J8" s="12" t="s">
        <v>68</v>
      </c>
      <c r="K8" s="12" t="s">
        <v>69</v>
      </c>
      <c r="L8" s="22"/>
      <c r="M8" s="16" t="s">
        <v>70</v>
      </c>
      <c r="N8" s="17" t="s">
        <v>71</v>
      </c>
      <c r="O8" s="23" t="s">
        <v>72</v>
      </c>
      <c r="P8" s="12" t="s">
        <v>73</v>
      </c>
      <c r="Q8" s="18" t="s">
        <v>74</v>
      </c>
      <c r="R8" s="14">
        <f>(COUNTA(C8:Q8))/12</f>
        <v>0.91666666666666663</v>
      </c>
      <c r="S8" s="14"/>
      <c r="U8" s="564" t="s">
        <v>75</v>
      </c>
      <c r="V8" s="565"/>
      <c r="W8" s="565"/>
      <c r="X8" s="565"/>
      <c r="Y8" s="565"/>
      <c r="Z8" s="566"/>
    </row>
    <row r="9" spans="1:26" ht="27.95" customHeight="1">
      <c r="A9" s="9">
        <v>6</v>
      </c>
      <c r="B9" s="10" t="s">
        <v>76</v>
      </c>
      <c r="C9" s="596"/>
      <c r="D9" s="597"/>
      <c r="E9" s="18" t="s">
        <v>77</v>
      </c>
      <c r="F9" s="12" t="s">
        <v>937</v>
      </c>
      <c r="G9" s="11" t="s">
        <v>27</v>
      </c>
      <c r="H9" s="12" t="s">
        <v>79</v>
      </c>
      <c r="I9" s="11" t="s">
        <v>80</v>
      </c>
      <c r="J9" s="16" t="s">
        <v>24</v>
      </c>
      <c r="K9" s="11" t="s">
        <v>82</v>
      </c>
      <c r="L9" s="12"/>
      <c r="M9" s="17" t="s">
        <v>83</v>
      </c>
      <c r="N9" s="12" t="s">
        <v>20</v>
      </c>
      <c r="O9" s="11" t="s">
        <v>404</v>
      </c>
      <c r="P9" s="12" t="s">
        <v>84</v>
      </c>
      <c r="Q9" s="24" t="s">
        <v>85</v>
      </c>
      <c r="R9" s="14">
        <f>(COUNTA(C9:Q9))/12</f>
        <v>1</v>
      </c>
      <c r="S9" s="14"/>
      <c r="U9" s="567"/>
      <c r="V9" s="568"/>
      <c r="W9" s="568"/>
      <c r="X9" s="568"/>
      <c r="Y9" s="568"/>
      <c r="Z9" s="569"/>
    </row>
    <row r="10" spans="1:26" ht="27.75" customHeight="1">
      <c r="A10" s="9">
        <v>7</v>
      </c>
      <c r="B10" s="10" t="s">
        <v>86</v>
      </c>
      <c r="C10" s="596"/>
      <c r="D10" s="597"/>
      <c r="E10" s="12" t="s">
        <v>326</v>
      </c>
      <c r="F10" s="12" t="s">
        <v>87</v>
      </c>
      <c r="G10" s="11" t="s">
        <v>88</v>
      </c>
      <c r="H10" s="12" t="s">
        <v>46</v>
      </c>
      <c r="I10" s="366" t="s">
        <v>70</v>
      </c>
      <c r="J10" s="367" t="s">
        <v>369</v>
      </c>
      <c r="K10" s="368" t="s">
        <v>78</v>
      </c>
      <c r="L10" s="25"/>
      <c r="M10" s="18" t="s">
        <v>600</v>
      </c>
      <c r="N10" s="11" t="s">
        <v>92</v>
      </c>
      <c r="O10" s="12" t="s">
        <v>20</v>
      </c>
      <c r="P10" s="11" t="s">
        <v>94</v>
      </c>
      <c r="Q10" s="12" t="s">
        <v>95</v>
      </c>
      <c r="R10" s="14">
        <f>(COUNTA(C10:Q10))/12</f>
        <v>1</v>
      </c>
      <c r="S10" s="14"/>
      <c r="U10" s="570"/>
      <c r="V10" s="571"/>
      <c r="W10" s="571"/>
      <c r="X10" s="571"/>
      <c r="Y10" s="571"/>
      <c r="Z10" s="572"/>
    </row>
    <row r="11" spans="1:26" ht="27.95" customHeight="1">
      <c r="A11" s="9">
        <v>8</v>
      </c>
      <c r="B11" s="187" t="s">
        <v>914</v>
      </c>
      <c r="C11" s="598"/>
      <c r="D11" s="599"/>
      <c r="E11" s="189" t="s">
        <v>97</v>
      </c>
      <c r="F11" s="189" t="s">
        <v>185</v>
      </c>
      <c r="G11" s="189" t="s">
        <v>52</v>
      </c>
      <c r="H11" s="851" t="s">
        <v>27</v>
      </c>
      <c r="I11" s="851" t="s">
        <v>99</v>
      </c>
      <c r="J11" s="852" t="s">
        <v>97</v>
      </c>
      <c r="K11" s="852" t="s">
        <v>100</v>
      </c>
      <c r="L11" s="851"/>
      <c r="M11" s="851" t="s">
        <v>66</v>
      </c>
      <c r="N11" s="852" t="s">
        <v>55</v>
      </c>
      <c r="O11" s="851" t="s">
        <v>102</v>
      </c>
      <c r="P11" s="851" t="s">
        <v>21</v>
      </c>
      <c r="Q11" s="851" t="s">
        <v>56</v>
      </c>
      <c r="R11" s="14">
        <f>(COUNTA(C11:Q11))/12</f>
        <v>1</v>
      </c>
      <c r="S11" s="14"/>
      <c r="U11" s="570"/>
      <c r="V11" s="571"/>
      <c r="W11" s="571"/>
      <c r="X11" s="571"/>
      <c r="Y11" s="571"/>
      <c r="Z11" s="572"/>
    </row>
    <row r="12" spans="1:26" ht="27.95" customHeight="1">
      <c r="A12" s="9">
        <v>9</v>
      </c>
      <c r="B12" s="15" t="s">
        <v>104</v>
      </c>
      <c r="C12" s="409" t="s">
        <v>333</v>
      </c>
      <c r="D12" s="410" t="s">
        <v>335</v>
      </c>
      <c r="E12" s="11" t="s">
        <v>80</v>
      </c>
      <c r="F12" s="24" t="s">
        <v>106</v>
      </c>
      <c r="G12" s="24" t="s">
        <v>107</v>
      </c>
      <c r="H12" s="24" t="s">
        <v>85</v>
      </c>
      <c r="I12" s="18" t="s">
        <v>108</v>
      </c>
      <c r="J12" s="16" t="s">
        <v>109</v>
      </c>
      <c r="K12" s="12" t="s">
        <v>22</v>
      </c>
      <c r="L12" s="18"/>
      <c r="M12" s="24" t="s">
        <v>110</v>
      </c>
      <c r="N12" s="18" t="s">
        <v>90</v>
      </c>
      <c r="O12" s="12" t="s">
        <v>111</v>
      </c>
      <c r="P12" s="576"/>
      <c r="Q12" s="577"/>
      <c r="R12" s="14">
        <f t="shared" si="0"/>
        <v>1</v>
      </c>
      <c r="S12" s="14"/>
      <c r="U12" s="570"/>
      <c r="V12" s="571"/>
      <c r="W12" s="571"/>
      <c r="X12" s="571"/>
      <c r="Y12" s="571"/>
      <c r="Z12" s="572"/>
    </row>
    <row r="13" spans="1:26" ht="27.95" customHeight="1" thickBot="1">
      <c r="A13" s="9">
        <v>10</v>
      </c>
      <c r="B13" s="21" t="s">
        <v>112</v>
      </c>
      <c r="C13" s="412" t="s">
        <v>332</v>
      </c>
      <c r="D13" s="412" t="s">
        <v>334</v>
      </c>
      <c r="E13" s="11" t="s">
        <v>82</v>
      </c>
      <c r="F13" s="27" t="s">
        <v>115</v>
      </c>
      <c r="G13" s="27" t="s">
        <v>116</v>
      </c>
      <c r="H13" s="27" t="s">
        <v>117</v>
      </c>
      <c r="I13" s="27" t="s">
        <v>69</v>
      </c>
      <c r="J13" s="27" t="s">
        <v>113</v>
      </c>
      <c r="K13" s="27" t="s">
        <v>25</v>
      </c>
      <c r="L13" s="28"/>
      <c r="M13" s="29" t="s">
        <v>121</v>
      </c>
      <c r="N13" s="12" t="s">
        <v>107</v>
      </c>
      <c r="O13" s="27" t="s">
        <v>62</v>
      </c>
      <c r="P13" s="578"/>
      <c r="Q13" s="579"/>
      <c r="R13" s="14">
        <f t="shared" si="0"/>
        <v>1</v>
      </c>
      <c r="S13" s="14"/>
      <c r="U13" s="570"/>
      <c r="V13" s="571"/>
      <c r="W13" s="571"/>
      <c r="X13" s="571"/>
      <c r="Y13" s="571"/>
      <c r="Z13" s="572"/>
    </row>
    <row r="14" spans="1:26" ht="27.95" customHeight="1">
      <c r="A14" s="30">
        <v>11</v>
      </c>
      <c r="B14" s="31" t="s">
        <v>124</v>
      </c>
      <c r="C14" s="600"/>
      <c r="D14" s="601"/>
      <c r="E14" s="32" t="s">
        <v>125</v>
      </c>
      <c r="F14" s="32" t="s">
        <v>126</v>
      </c>
      <c r="G14" s="32" t="s">
        <v>127</v>
      </c>
      <c r="H14" s="23" t="s">
        <v>128</v>
      </c>
      <c r="I14" s="32" t="s">
        <v>129</v>
      </c>
      <c r="J14" s="33" t="s">
        <v>130</v>
      </c>
      <c r="K14" s="18" t="s">
        <v>131</v>
      </c>
      <c r="L14" s="34"/>
      <c r="M14" s="18" t="s">
        <v>132</v>
      </c>
      <c r="N14" s="32" t="s">
        <v>133</v>
      </c>
      <c r="O14" s="18" t="s">
        <v>601</v>
      </c>
      <c r="P14" s="35" t="s">
        <v>135</v>
      </c>
      <c r="Q14" s="32" t="s">
        <v>136</v>
      </c>
      <c r="R14" s="14">
        <f t="shared" si="0"/>
        <v>1</v>
      </c>
      <c r="S14" s="14"/>
      <c r="U14" s="570"/>
      <c r="V14" s="571"/>
      <c r="W14" s="571"/>
      <c r="X14" s="571"/>
      <c r="Y14" s="571"/>
      <c r="Z14" s="572"/>
    </row>
    <row r="15" spans="1:26" ht="27.95" customHeight="1">
      <c r="A15" s="36">
        <v>12</v>
      </c>
      <c r="B15" s="37" t="s">
        <v>137</v>
      </c>
      <c r="C15" s="602"/>
      <c r="D15" s="603"/>
      <c r="E15" s="11" t="s">
        <v>132</v>
      </c>
      <c r="F15" s="23" t="s">
        <v>139</v>
      </c>
      <c r="G15" s="13" t="s">
        <v>936</v>
      </c>
      <c r="H15" s="11" t="s">
        <v>141</v>
      </c>
      <c r="I15" s="12" t="s">
        <v>142</v>
      </c>
      <c r="J15" s="11" t="s">
        <v>143</v>
      </c>
      <c r="K15" s="12" t="s">
        <v>144</v>
      </c>
      <c r="L15" s="12"/>
      <c r="M15" s="12" t="s">
        <v>145</v>
      </c>
      <c r="N15" s="12" t="s">
        <v>146</v>
      </c>
      <c r="O15" s="11" t="s">
        <v>147</v>
      </c>
      <c r="P15" s="12" t="s">
        <v>148</v>
      </c>
      <c r="Q15" s="16" t="s">
        <v>149</v>
      </c>
      <c r="R15" s="14">
        <f t="shared" si="0"/>
        <v>1</v>
      </c>
      <c r="S15" s="14"/>
      <c r="U15" s="570"/>
      <c r="V15" s="571"/>
      <c r="W15" s="571"/>
      <c r="X15" s="571"/>
      <c r="Y15" s="571"/>
      <c r="Z15" s="572"/>
    </row>
    <row r="16" spans="1:26" ht="27.95" customHeight="1">
      <c r="A16" s="36">
        <v>13</v>
      </c>
      <c r="B16" s="188" t="s">
        <v>916</v>
      </c>
      <c r="C16" s="602"/>
      <c r="D16" s="603"/>
      <c r="E16" s="851" t="s">
        <v>136</v>
      </c>
      <c r="F16" s="851" t="s">
        <v>152</v>
      </c>
      <c r="G16" s="189" t="s">
        <v>132</v>
      </c>
      <c r="H16" s="851" t="s">
        <v>328</v>
      </c>
      <c r="I16" s="189" t="s">
        <v>136</v>
      </c>
      <c r="J16" s="851" t="s">
        <v>153</v>
      </c>
      <c r="K16" s="851" t="s">
        <v>154</v>
      </c>
      <c r="L16" s="851"/>
      <c r="M16" s="851" t="s">
        <v>155</v>
      </c>
      <c r="N16" s="189" t="s">
        <v>156</v>
      </c>
      <c r="O16" s="851" t="s">
        <v>157</v>
      </c>
      <c r="P16" s="189" t="s">
        <v>158</v>
      </c>
      <c r="Q16" s="852" t="s">
        <v>200</v>
      </c>
      <c r="R16" s="14">
        <f>(COUNTA(C16:Q16))/12</f>
        <v>1</v>
      </c>
      <c r="S16" s="14"/>
      <c r="U16" s="570"/>
      <c r="V16" s="571"/>
      <c r="W16" s="571"/>
      <c r="X16" s="571"/>
      <c r="Y16" s="571"/>
      <c r="Z16" s="572"/>
    </row>
    <row r="17" spans="1:26" ht="27.95" customHeight="1">
      <c r="A17" s="36">
        <v>14</v>
      </c>
      <c r="B17" s="38" t="s">
        <v>159</v>
      </c>
      <c r="C17" s="602"/>
      <c r="D17" s="603"/>
      <c r="E17" s="18" t="s">
        <v>160</v>
      </c>
      <c r="F17" s="11" t="s">
        <v>161</v>
      </c>
      <c r="G17" s="18" t="s">
        <v>162</v>
      </c>
      <c r="H17" s="39" t="s">
        <v>163</v>
      </c>
      <c r="I17" s="18" t="s">
        <v>126</v>
      </c>
      <c r="J17" s="13" t="s">
        <v>164</v>
      </c>
      <c r="K17" s="18" t="s">
        <v>165</v>
      </c>
      <c r="L17" s="40"/>
      <c r="M17" s="18" t="s">
        <v>166</v>
      </c>
      <c r="N17" s="24" t="s">
        <v>167</v>
      </c>
      <c r="O17" s="18" t="s">
        <v>168</v>
      </c>
      <c r="P17" s="11" t="s">
        <v>169</v>
      </c>
      <c r="Q17" s="16" t="s">
        <v>170</v>
      </c>
      <c r="R17" s="14">
        <f t="shared" si="0"/>
        <v>1</v>
      </c>
      <c r="S17" s="14"/>
      <c r="U17" s="570"/>
      <c r="V17" s="571"/>
      <c r="W17" s="571"/>
      <c r="X17" s="571"/>
      <c r="Y17" s="571"/>
      <c r="Z17" s="572"/>
    </row>
    <row r="18" spans="1:26" ht="27.95" customHeight="1">
      <c r="A18" s="36">
        <v>15</v>
      </c>
      <c r="B18" s="21" t="s">
        <v>171</v>
      </c>
      <c r="C18" s="602"/>
      <c r="D18" s="603"/>
      <c r="E18" s="12" t="s">
        <v>172</v>
      </c>
      <c r="F18" s="11" t="s">
        <v>173</v>
      </c>
      <c r="G18" s="11" t="s">
        <v>156</v>
      </c>
      <c r="H18" s="12" t="s">
        <v>135</v>
      </c>
      <c r="I18" s="12" t="s">
        <v>176</v>
      </c>
      <c r="J18" s="12" t="s">
        <v>177</v>
      </c>
      <c r="K18" s="12" t="s">
        <v>178</v>
      </c>
      <c r="L18" s="12"/>
      <c r="M18" s="12" t="s">
        <v>179</v>
      </c>
      <c r="N18" s="11" t="s">
        <v>180</v>
      </c>
      <c r="O18" s="12" t="s">
        <v>328</v>
      </c>
      <c r="P18" s="12" t="s">
        <v>181</v>
      </c>
      <c r="Q18" s="11" t="s">
        <v>132</v>
      </c>
      <c r="R18" s="14">
        <f>(COUNTA(C18:Q18))/12</f>
        <v>1</v>
      </c>
      <c r="S18" s="14"/>
      <c r="U18" s="570"/>
      <c r="V18" s="571"/>
      <c r="W18" s="571"/>
      <c r="X18" s="571"/>
      <c r="Y18" s="571"/>
      <c r="Z18" s="572"/>
    </row>
    <row r="19" spans="1:26" ht="27.95" customHeight="1" thickBot="1">
      <c r="A19" s="36">
        <v>16</v>
      </c>
      <c r="B19" s="21" t="s">
        <v>182</v>
      </c>
      <c r="C19" s="602"/>
      <c r="D19" s="603"/>
      <c r="E19" s="23" t="s">
        <v>183</v>
      </c>
      <c r="F19" s="11" t="s">
        <v>184</v>
      </c>
      <c r="G19" s="11" t="s">
        <v>185</v>
      </c>
      <c r="H19" s="18" t="s">
        <v>601</v>
      </c>
      <c r="I19" s="16" t="s">
        <v>187</v>
      </c>
      <c r="J19" s="12" t="s">
        <v>587</v>
      </c>
      <c r="K19" s="11" t="s">
        <v>188</v>
      </c>
      <c r="L19" s="41"/>
      <c r="M19" s="12" t="s">
        <v>589</v>
      </c>
      <c r="N19" s="12" t="s">
        <v>189</v>
      </c>
      <c r="O19" s="18" t="s">
        <v>190</v>
      </c>
      <c r="P19" s="12" t="s">
        <v>191</v>
      </c>
      <c r="Q19" s="16" t="s">
        <v>192</v>
      </c>
      <c r="R19" s="14">
        <f t="shared" si="0"/>
        <v>1</v>
      </c>
      <c r="S19" s="14"/>
      <c r="U19" s="573"/>
      <c r="V19" s="574"/>
      <c r="W19" s="574"/>
      <c r="X19" s="574"/>
      <c r="Y19" s="574"/>
      <c r="Z19" s="575"/>
    </row>
    <row r="20" spans="1:26" ht="27.95" customHeight="1" thickBot="1">
      <c r="A20" s="36">
        <v>17</v>
      </c>
      <c r="B20" s="186" t="s">
        <v>915</v>
      </c>
      <c r="C20" s="604"/>
      <c r="D20" s="605"/>
      <c r="E20" s="851" t="s">
        <v>189</v>
      </c>
      <c r="F20" s="851" t="s">
        <v>194</v>
      </c>
      <c r="G20" s="851" t="s">
        <v>195</v>
      </c>
      <c r="H20" s="853" t="s">
        <v>196</v>
      </c>
      <c r="I20" s="851" t="s">
        <v>166</v>
      </c>
      <c r="J20" s="852" t="s">
        <v>198</v>
      </c>
      <c r="K20" s="851" t="s">
        <v>177</v>
      </c>
      <c r="L20" s="851"/>
      <c r="M20" s="851" t="s">
        <v>199</v>
      </c>
      <c r="N20" s="852" t="s">
        <v>200</v>
      </c>
      <c r="O20" s="189" t="s">
        <v>161</v>
      </c>
      <c r="P20" s="851" t="s">
        <v>202</v>
      </c>
      <c r="Q20" s="851" t="s">
        <v>203</v>
      </c>
      <c r="R20" s="14">
        <f>(COUNTA(C20:Q20))/12</f>
        <v>1</v>
      </c>
      <c r="S20" s="14"/>
      <c r="U20" s="549" t="s">
        <v>204</v>
      </c>
      <c r="V20" s="550"/>
      <c r="W20" s="550"/>
      <c r="X20" s="550"/>
      <c r="Y20" s="550"/>
      <c r="Z20" s="551"/>
    </row>
    <row r="21" spans="1:26" ht="27.95" customHeight="1">
      <c r="A21" s="36">
        <v>18</v>
      </c>
      <c r="B21" s="37" t="s">
        <v>205</v>
      </c>
      <c r="C21" s="429" t="s">
        <v>336</v>
      </c>
      <c r="D21" s="430" t="s">
        <v>272</v>
      </c>
      <c r="E21" s="12" t="s">
        <v>206</v>
      </c>
      <c r="F21" s="12" t="s">
        <v>588</v>
      </c>
      <c r="G21" s="11" t="s">
        <v>207</v>
      </c>
      <c r="H21" s="11" t="s">
        <v>208</v>
      </c>
      <c r="I21" s="12" t="s">
        <v>162</v>
      </c>
      <c r="J21" s="16" t="s">
        <v>209</v>
      </c>
      <c r="K21" s="23" t="s">
        <v>139</v>
      </c>
      <c r="L21" s="12"/>
      <c r="M21" s="11" t="s">
        <v>210</v>
      </c>
      <c r="N21" s="12" t="s">
        <v>211</v>
      </c>
      <c r="O21" s="12" t="s">
        <v>126</v>
      </c>
      <c r="P21" s="608"/>
      <c r="Q21" s="609"/>
      <c r="R21" s="14">
        <f t="shared" si="0"/>
        <v>1</v>
      </c>
      <c r="S21" s="14"/>
      <c r="U21" s="612" t="s">
        <v>918</v>
      </c>
      <c r="V21" s="613"/>
      <c r="W21" s="613"/>
      <c r="X21" s="613"/>
      <c r="Y21" s="613"/>
      <c r="Z21" s="614"/>
    </row>
    <row r="22" spans="1:26" ht="27.95" customHeight="1" thickBot="1">
      <c r="A22" s="42">
        <v>19</v>
      </c>
      <c r="B22" s="43" t="s">
        <v>213</v>
      </c>
      <c r="C22" s="433" t="s">
        <v>493</v>
      </c>
      <c r="D22" s="434" t="s">
        <v>336</v>
      </c>
      <c r="E22" s="29" t="s">
        <v>215</v>
      </c>
      <c r="F22" s="29" t="s">
        <v>216</v>
      </c>
      <c r="G22" s="27" t="s">
        <v>200</v>
      </c>
      <c r="H22" s="29" t="s">
        <v>217</v>
      </c>
      <c r="I22" s="44" t="s">
        <v>218</v>
      </c>
      <c r="J22" s="27" t="s">
        <v>139</v>
      </c>
      <c r="K22" s="27" t="s">
        <v>219</v>
      </c>
      <c r="L22" s="44"/>
      <c r="M22" s="27" t="s">
        <v>220</v>
      </c>
      <c r="N22" s="44" t="s">
        <v>221</v>
      </c>
      <c r="O22" s="27" t="s">
        <v>162</v>
      </c>
      <c r="P22" s="610"/>
      <c r="Q22" s="611"/>
      <c r="R22" s="14">
        <f t="shared" si="0"/>
        <v>1</v>
      </c>
      <c r="S22" s="14"/>
      <c r="U22" s="615"/>
      <c r="V22" s="616"/>
      <c r="W22" s="616"/>
      <c r="X22" s="616"/>
      <c r="Y22" s="616"/>
      <c r="Z22" s="617"/>
    </row>
    <row r="23" spans="1:26" ht="27.95" customHeight="1" thickBot="1">
      <c r="A23" s="45" t="s">
        <v>222</v>
      </c>
      <c r="B23" s="46" t="s">
        <v>223</v>
      </c>
      <c r="C23" s="602"/>
      <c r="D23" s="603"/>
      <c r="E23" s="18"/>
      <c r="F23" s="12" t="s">
        <v>327</v>
      </c>
      <c r="G23" s="24" t="s">
        <v>224</v>
      </c>
      <c r="H23" s="18"/>
      <c r="I23" s="18" t="s">
        <v>225</v>
      </c>
      <c r="J23" s="40" t="s">
        <v>221</v>
      </c>
      <c r="K23" s="18"/>
      <c r="L23" s="47"/>
      <c r="M23" s="18"/>
      <c r="N23" s="18" t="s">
        <v>177</v>
      </c>
      <c r="O23" s="24" t="s">
        <v>226</v>
      </c>
      <c r="P23" s="48"/>
      <c r="Q23" s="18" t="s">
        <v>164</v>
      </c>
      <c r="R23" s="14">
        <f>(COUNTA(C23:Q23))/7</f>
        <v>1</v>
      </c>
      <c r="S23" s="14"/>
      <c r="U23" s="618"/>
      <c r="V23" s="619"/>
      <c r="W23" s="619"/>
      <c r="X23" s="619"/>
      <c r="Y23" s="619"/>
      <c r="Z23" s="620"/>
    </row>
    <row r="24" spans="1:26" s="51" customFormat="1" ht="27.95" customHeight="1" thickBot="1">
      <c r="A24" s="49"/>
      <c r="B24" s="43" t="s">
        <v>228</v>
      </c>
      <c r="C24" s="621"/>
      <c r="D24" s="622"/>
      <c r="E24" s="27" t="s">
        <v>229</v>
      </c>
      <c r="F24" s="47" t="s">
        <v>230</v>
      </c>
      <c r="G24" s="29" t="s">
        <v>167</v>
      </c>
      <c r="H24" s="29" t="s">
        <v>224</v>
      </c>
      <c r="I24" s="27" t="s">
        <v>232</v>
      </c>
      <c r="J24" s="29" t="s">
        <v>233</v>
      </c>
      <c r="K24" s="50" t="s">
        <v>234</v>
      </c>
      <c r="L24" s="27"/>
      <c r="M24" s="29" t="s">
        <v>178</v>
      </c>
      <c r="N24" s="371" t="s">
        <v>927</v>
      </c>
      <c r="O24" s="371" t="s">
        <v>335</v>
      </c>
      <c r="P24" s="18" t="s">
        <v>200</v>
      </c>
      <c r="Q24" s="11" t="s">
        <v>158</v>
      </c>
      <c r="R24" s="14">
        <f>(COUNTA(C24:Q24))/12</f>
        <v>1</v>
      </c>
      <c r="S24" s="14"/>
      <c r="T24" s="2"/>
      <c r="U24" s="564" t="s">
        <v>238</v>
      </c>
      <c r="V24" s="565"/>
      <c r="W24" s="565"/>
      <c r="X24" s="565"/>
      <c r="Y24" s="565"/>
      <c r="Z24" s="566"/>
    </row>
    <row r="25" spans="1:26" ht="9.9499999999999993" customHeight="1" thickBot="1">
      <c r="A25" s="52"/>
      <c r="B25" s="53"/>
      <c r="C25" s="54"/>
      <c r="D25" s="55"/>
      <c r="E25" s="56"/>
      <c r="F25" s="57"/>
      <c r="G25" s="58"/>
      <c r="H25" s="59"/>
      <c r="I25" s="56"/>
      <c r="J25" s="60"/>
      <c r="K25" s="56"/>
      <c r="L25" s="56"/>
      <c r="M25" s="59"/>
      <c r="N25" s="57"/>
      <c r="O25" s="61"/>
      <c r="P25" s="56"/>
      <c r="Q25" s="56"/>
      <c r="U25" s="555"/>
      <c r="V25" s="556"/>
      <c r="W25" s="556"/>
      <c r="X25" s="556"/>
      <c r="Y25" s="556"/>
      <c r="Z25" s="557"/>
    </row>
    <row r="26" spans="1:26" ht="120" customHeight="1">
      <c r="A26" s="62"/>
      <c r="B26" s="580" t="s">
        <v>239</v>
      </c>
      <c r="C26" s="582"/>
      <c r="D26" s="583"/>
      <c r="E26" s="32" t="s">
        <v>240</v>
      </c>
      <c r="F26" s="32" t="s">
        <v>241</v>
      </c>
      <c r="G26" s="32" t="s">
        <v>593</v>
      </c>
      <c r="H26" s="32" t="s">
        <v>907</v>
      </c>
      <c r="I26" s="32" t="s">
        <v>910</v>
      </c>
      <c r="J26" s="32" t="s">
        <v>242</v>
      </c>
      <c r="K26" s="63" t="s">
        <v>243</v>
      </c>
      <c r="L26" s="64"/>
      <c r="M26" s="32" t="s">
        <v>908</v>
      </c>
      <c r="N26" s="32" t="s">
        <v>325</v>
      </c>
      <c r="O26" s="32" t="s">
        <v>911</v>
      </c>
      <c r="P26" s="32" t="s">
        <v>592</v>
      </c>
      <c r="Q26" s="32" t="s">
        <v>245</v>
      </c>
      <c r="R26" s="14">
        <f>(COUNTA(C26:Q26))/12</f>
        <v>1</v>
      </c>
      <c r="S26" s="14"/>
      <c r="U26" s="558"/>
      <c r="V26" s="559"/>
      <c r="W26" s="559"/>
      <c r="X26" s="559"/>
      <c r="Y26" s="559"/>
      <c r="Z26" s="560"/>
    </row>
    <row r="27" spans="1:26" ht="120" customHeight="1">
      <c r="A27" s="65"/>
      <c r="B27" s="581"/>
      <c r="C27" s="584"/>
      <c r="D27" s="585"/>
      <c r="E27" s="12" t="s">
        <v>919</v>
      </c>
      <c r="F27" s="12" t="s">
        <v>924</v>
      </c>
      <c r="G27" s="12" t="s">
        <v>330</v>
      </c>
      <c r="H27" s="12" t="s">
        <v>912</v>
      </c>
      <c r="I27" s="12" t="s">
        <v>920</v>
      </c>
      <c r="J27" s="12" t="s">
        <v>921</v>
      </c>
      <c r="K27" s="12" t="s">
        <v>925</v>
      </c>
      <c r="L27" s="12"/>
      <c r="M27" s="12" t="s">
        <v>923</v>
      </c>
      <c r="N27" s="12" t="s">
        <v>926</v>
      </c>
      <c r="O27" s="12" t="s">
        <v>913</v>
      </c>
      <c r="P27" s="12" t="s">
        <v>928</v>
      </c>
      <c r="Q27" s="12" t="s">
        <v>599</v>
      </c>
      <c r="U27" s="558"/>
      <c r="V27" s="559"/>
      <c r="W27" s="559"/>
      <c r="X27" s="559"/>
      <c r="Y27" s="559"/>
      <c r="Z27" s="560"/>
    </row>
    <row r="28" spans="1:26" ht="120" customHeight="1" thickBot="1">
      <c r="A28" s="66"/>
      <c r="B28" s="43" t="s">
        <v>247</v>
      </c>
      <c r="C28" s="586"/>
      <c r="D28" s="587"/>
      <c r="E28" s="67" t="s">
        <v>248</v>
      </c>
      <c r="F28" s="27" t="s">
        <v>338</v>
      </c>
      <c r="G28" s="27" t="s">
        <v>341</v>
      </c>
      <c r="H28" s="27" t="s">
        <v>249</v>
      </c>
      <c r="I28" s="27" t="s">
        <v>250</v>
      </c>
      <c r="J28" s="27" t="s">
        <v>909</v>
      </c>
      <c r="K28" s="27" t="s">
        <v>590</v>
      </c>
      <c r="L28" s="44"/>
      <c r="M28" s="27" t="s">
        <v>251</v>
      </c>
      <c r="N28" s="27" t="s">
        <v>603</v>
      </c>
      <c r="O28" s="27" t="s">
        <v>591</v>
      </c>
      <c r="P28" s="588" t="s">
        <v>248</v>
      </c>
      <c r="Q28" s="589"/>
      <c r="R28" s="14">
        <f>(COUNTA(F28:O28))/9</f>
        <v>1</v>
      </c>
      <c r="S28" s="14"/>
      <c r="U28" s="558"/>
      <c r="V28" s="559"/>
      <c r="W28" s="559"/>
      <c r="X28" s="559"/>
      <c r="Y28" s="559"/>
      <c r="Z28" s="560"/>
    </row>
    <row r="29" spans="1:26" ht="27.95" customHeight="1" thickBot="1">
      <c r="A29" s="68"/>
      <c r="B29" s="69" t="s">
        <v>253</v>
      </c>
      <c r="C29" s="70"/>
      <c r="D29" s="71"/>
      <c r="E29" s="72"/>
      <c r="F29" s="72"/>
      <c r="G29" s="72"/>
      <c r="H29" s="73"/>
      <c r="I29" s="74"/>
      <c r="J29" s="73"/>
      <c r="K29" s="73"/>
      <c r="L29" s="75"/>
      <c r="M29" s="74"/>
      <c r="N29" s="73"/>
      <c r="O29" s="73"/>
      <c r="P29" s="76"/>
      <c r="Q29" s="76"/>
      <c r="R29" s="14"/>
      <c r="S29" s="14"/>
      <c r="U29" s="558"/>
      <c r="V29" s="559"/>
      <c r="W29" s="559"/>
      <c r="X29" s="559"/>
      <c r="Y29" s="559"/>
      <c r="Z29" s="560"/>
    </row>
    <row r="30" spans="1:26" ht="9.9499999999999993" customHeight="1" thickBo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U30" s="561"/>
      <c r="V30" s="562"/>
      <c r="W30" s="562"/>
      <c r="X30" s="562"/>
      <c r="Y30" s="562"/>
      <c r="Z30" s="563"/>
    </row>
    <row r="31" spans="1:26" ht="27.95" customHeight="1">
      <c r="A31" s="78"/>
      <c r="B31" s="79"/>
      <c r="C31" s="79"/>
      <c r="D31" s="80" t="s">
        <v>254</v>
      </c>
      <c r="E31" s="81" t="s">
        <v>255</v>
      </c>
      <c r="F31" s="81" t="s">
        <v>5</v>
      </c>
      <c r="G31" s="81" t="s">
        <v>6</v>
      </c>
      <c r="H31" s="81" t="s">
        <v>256</v>
      </c>
      <c r="I31" s="81" t="s">
        <v>8</v>
      </c>
      <c r="J31" s="81" t="s">
        <v>257</v>
      </c>
      <c r="K31" s="81" t="s">
        <v>258</v>
      </c>
      <c r="L31" s="82" t="s">
        <v>259</v>
      </c>
      <c r="M31" s="81" t="s">
        <v>260</v>
      </c>
      <c r="N31" s="81" t="s">
        <v>13</v>
      </c>
      <c r="O31" s="81" t="s">
        <v>14</v>
      </c>
      <c r="P31" s="81" t="s">
        <v>15</v>
      </c>
      <c r="Q31" s="83" t="s">
        <v>16</v>
      </c>
      <c r="U31" s="623" t="s">
        <v>261</v>
      </c>
      <c r="V31" s="624"/>
      <c r="W31" s="624"/>
      <c r="X31" s="624"/>
      <c r="Y31" s="624"/>
      <c r="Z31" s="625"/>
    </row>
    <row r="32" spans="1:26" ht="27.95" customHeight="1">
      <c r="D32" s="85" t="s">
        <v>262</v>
      </c>
      <c r="E32" s="20" t="s">
        <v>47</v>
      </c>
      <c r="F32" s="12" t="s">
        <v>35</v>
      </c>
      <c r="G32" s="12" t="s">
        <v>113</v>
      </c>
      <c r="H32" s="12" t="s">
        <v>60</v>
      </c>
      <c r="I32" s="16"/>
      <c r="J32" s="16" t="s">
        <v>43</v>
      </c>
      <c r="K32" s="12" t="s">
        <v>266</v>
      </c>
      <c r="L32" s="87"/>
      <c r="M32" s="12"/>
      <c r="N32" s="12" t="s">
        <v>32</v>
      </c>
      <c r="O32" s="12" t="s">
        <v>268</v>
      </c>
      <c r="P32" s="12" t="s">
        <v>116</v>
      </c>
      <c r="Q32" s="89" t="s">
        <v>929</v>
      </c>
      <c r="T32" s="90"/>
      <c r="U32" s="626"/>
      <c r="V32" s="627"/>
      <c r="W32" s="627"/>
      <c r="X32" s="627"/>
      <c r="Y32" s="627"/>
      <c r="Z32" s="628"/>
    </row>
    <row r="33" spans="1:26" s="51" customFormat="1" ht="45.75" customHeight="1">
      <c r="A33" s="3"/>
      <c r="B33" s="84"/>
      <c r="C33" s="84"/>
      <c r="D33" s="91" t="s">
        <v>270</v>
      </c>
      <c r="E33" s="92"/>
      <c r="F33" s="16"/>
      <c r="G33" s="16"/>
      <c r="H33" s="16"/>
      <c r="I33" s="16"/>
      <c r="J33" s="16"/>
      <c r="K33" s="93"/>
      <c r="L33" s="94"/>
      <c r="M33" s="16"/>
      <c r="N33" s="16"/>
      <c r="O33" s="88"/>
      <c r="P33" s="16"/>
      <c r="Q33" s="89"/>
      <c r="R33" s="1"/>
      <c r="S33" s="1"/>
      <c r="T33" s="2"/>
      <c r="U33" s="626"/>
      <c r="V33" s="627"/>
      <c r="W33" s="627"/>
      <c r="X33" s="627"/>
      <c r="Y33" s="627"/>
      <c r="Z33" s="628"/>
    </row>
    <row r="34" spans="1:26" ht="27.95" customHeight="1">
      <c r="D34" s="91" t="s">
        <v>271</v>
      </c>
      <c r="E34" s="12"/>
      <c r="F34" s="16"/>
      <c r="G34" s="16"/>
      <c r="H34" s="12"/>
      <c r="I34" s="16" t="s">
        <v>272</v>
      </c>
      <c r="J34" s="25"/>
      <c r="K34" s="12" t="s">
        <v>343</v>
      </c>
      <c r="L34" s="87"/>
      <c r="M34" s="16"/>
      <c r="N34" s="12"/>
      <c r="O34" s="548" t="s">
        <v>922</v>
      </c>
      <c r="P34" s="25" t="s">
        <v>273</v>
      </c>
      <c r="Q34" s="95"/>
      <c r="U34" s="626"/>
      <c r="V34" s="627"/>
      <c r="W34" s="627"/>
      <c r="X34" s="627"/>
      <c r="Y34" s="627"/>
      <c r="Z34" s="628"/>
    </row>
    <row r="35" spans="1:26" ht="42" customHeight="1" thickBot="1">
      <c r="D35" s="96" t="s">
        <v>275</v>
      </c>
      <c r="E35" s="97"/>
      <c r="F35" s="97" t="s">
        <v>276</v>
      </c>
      <c r="G35" s="97" t="s">
        <v>277</v>
      </c>
      <c r="H35" s="99"/>
      <c r="I35" s="99"/>
      <c r="J35" s="99"/>
      <c r="K35" s="99" t="s">
        <v>278</v>
      </c>
      <c r="L35" s="100"/>
      <c r="M35" s="101" t="s">
        <v>279</v>
      </c>
      <c r="N35" s="97" t="s">
        <v>280</v>
      </c>
      <c r="O35" s="97" t="s">
        <v>214</v>
      </c>
      <c r="P35" s="97" t="s">
        <v>282</v>
      </c>
      <c r="Q35" s="102" t="s">
        <v>283</v>
      </c>
      <c r="U35" s="629"/>
      <c r="V35" s="630"/>
      <c r="W35" s="630"/>
      <c r="X35" s="630"/>
      <c r="Y35" s="630"/>
      <c r="Z35" s="631"/>
    </row>
    <row r="36" spans="1:26" ht="42" customHeight="1">
      <c r="D36" s="103"/>
      <c r="E36" s="104"/>
      <c r="F36" s="105"/>
      <c r="G36" s="103"/>
      <c r="H36" s="103"/>
      <c r="I36" s="103"/>
      <c r="J36" s="103"/>
      <c r="K36" s="103"/>
      <c r="L36" s="106"/>
      <c r="M36" s="103"/>
      <c r="N36" s="103"/>
      <c r="O36" s="103"/>
      <c r="P36" s="103"/>
      <c r="Q36" s="103"/>
    </row>
    <row r="37" spans="1:26" ht="42" customHeight="1">
      <c r="E37" s="2">
        <f t="shared" ref="E37:J37" si="1">COUNTBLANK(E4:E21)</f>
        <v>0</v>
      </c>
      <c r="F37" s="2">
        <f>COUNTBLANK(F4:F21)</f>
        <v>0</v>
      </c>
      <c r="G37" s="2">
        <f t="shared" si="1"/>
        <v>1</v>
      </c>
      <c r="H37" s="2">
        <f>COUNTBLANK(H4:H21)</f>
        <v>0</v>
      </c>
      <c r="I37" s="2">
        <f>COUNTBLANK(I4:I21)</f>
        <v>0</v>
      </c>
      <c r="J37" s="2">
        <f t="shared" si="1"/>
        <v>0</v>
      </c>
      <c r="K37" s="2">
        <f>COUNTBLANK(K4:K22)</f>
        <v>0</v>
      </c>
      <c r="L37" s="2"/>
      <c r="M37" s="2">
        <f>COUNTBLANK(M4:M21)</f>
        <v>0</v>
      </c>
      <c r="N37" s="2">
        <f>COUNTBLANK(N4:N21)</f>
        <v>0</v>
      </c>
      <c r="O37" s="2">
        <f>COUNTBLANK(O4:O21)</f>
        <v>0</v>
      </c>
      <c r="P37" s="2">
        <f>COUNTBLANK(P4:P20)-2</f>
        <v>1</v>
      </c>
      <c r="Q37" s="2">
        <f>COUNTBLANK(Q4:Q20)-2</f>
        <v>0</v>
      </c>
    </row>
    <row r="39" spans="1:26" s="108" customFormat="1">
      <c r="B39" s="84"/>
      <c r="C39" s="84"/>
      <c r="D39" s="84"/>
      <c r="E39" s="2"/>
      <c r="F39" s="2"/>
      <c r="G39" s="2"/>
      <c r="H39" s="2"/>
      <c r="I39" s="2"/>
      <c r="J39" s="2"/>
      <c r="K39" s="2"/>
      <c r="L39" s="107"/>
      <c r="M39" s="2"/>
      <c r="N39" s="2"/>
      <c r="O39" s="2"/>
      <c r="P39" s="2"/>
      <c r="Q39" s="2"/>
      <c r="R39" s="1"/>
      <c r="S39" s="1"/>
      <c r="T39" s="109"/>
    </row>
    <row r="40" spans="1:26" s="108" customFormat="1">
      <c r="B40" s="84"/>
      <c r="C40" s="84"/>
      <c r="D40" s="84"/>
      <c r="E40" s="2"/>
      <c r="F40" s="2"/>
      <c r="G40" s="2"/>
      <c r="H40" s="2"/>
      <c r="I40" s="2"/>
      <c r="J40" s="2"/>
      <c r="K40" s="2"/>
      <c r="L40" s="107"/>
      <c r="M40" s="2"/>
      <c r="N40" s="2"/>
      <c r="O40" s="2"/>
      <c r="P40" s="2"/>
      <c r="Q40" s="2"/>
      <c r="R40" s="1"/>
      <c r="S40" s="1"/>
      <c r="T40" s="109"/>
    </row>
    <row r="41" spans="1:26" s="108" customFormat="1">
      <c r="B41" s="84"/>
      <c r="C41" s="84"/>
      <c r="D41" s="84"/>
      <c r="E41" s="2"/>
      <c r="F41" s="2"/>
      <c r="G41" s="2"/>
      <c r="H41" s="2"/>
      <c r="I41" s="2"/>
      <c r="J41" s="2"/>
      <c r="K41" s="2"/>
      <c r="L41" s="107"/>
      <c r="M41" s="2"/>
      <c r="N41" s="2"/>
      <c r="O41" s="2"/>
      <c r="P41" s="2"/>
      <c r="Q41" s="2"/>
      <c r="R41" s="1"/>
      <c r="S41" s="1"/>
      <c r="T41" s="109"/>
    </row>
    <row r="42" spans="1:26" s="108" customFormat="1">
      <c r="B42" s="110"/>
      <c r="C42" s="111"/>
      <c r="D42" s="111"/>
      <c r="E42" s="109"/>
      <c r="F42" s="112"/>
      <c r="G42" s="112"/>
      <c r="H42" s="112"/>
      <c r="I42" s="112"/>
      <c r="J42" s="112"/>
      <c r="K42" s="112"/>
      <c r="L42" s="113"/>
      <c r="M42" s="112"/>
      <c r="N42" s="112"/>
      <c r="O42" s="112"/>
      <c r="P42" s="112"/>
      <c r="Q42" s="112"/>
      <c r="R42" s="114"/>
      <c r="S42" s="115"/>
      <c r="T42" s="109"/>
    </row>
    <row r="45" spans="1:26">
      <c r="D45" s="632" t="s">
        <v>284</v>
      </c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3"/>
    </row>
    <row r="46" spans="1:26" ht="21">
      <c r="A46" s="84"/>
      <c r="D46" s="116" t="s">
        <v>285</v>
      </c>
      <c r="E46" s="117" t="s">
        <v>255</v>
      </c>
      <c r="F46" s="117" t="s">
        <v>5</v>
      </c>
      <c r="G46" s="117" t="s">
        <v>6</v>
      </c>
      <c r="H46" s="117" t="s">
        <v>256</v>
      </c>
      <c r="I46" s="117" t="s">
        <v>8</v>
      </c>
      <c r="J46" s="117" t="s">
        <v>257</v>
      </c>
      <c r="K46" s="117" t="s">
        <v>258</v>
      </c>
      <c r="L46" s="118" t="s">
        <v>11</v>
      </c>
      <c r="M46" s="117" t="s">
        <v>260</v>
      </c>
      <c r="N46" s="117" t="s">
        <v>286</v>
      </c>
      <c r="O46" s="117" t="s">
        <v>14</v>
      </c>
      <c r="P46" s="117" t="s">
        <v>15</v>
      </c>
      <c r="Q46" s="117" t="s">
        <v>287</v>
      </c>
      <c r="R46" s="117" t="s">
        <v>288</v>
      </c>
      <c r="S46" s="117" t="s">
        <v>289</v>
      </c>
    </row>
    <row r="47" spans="1:26" ht="27.95" customHeight="1">
      <c r="A47" s="84"/>
      <c r="D47" s="119" t="s">
        <v>290</v>
      </c>
      <c r="E47" s="120"/>
      <c r="F47" s="121"/>
      <c r="G47" s="122"/>
      <c r="H47" s="123"/>
      <c r="I47" s="122"/>
      <c r="J47" s="124"/>
      <c r="K47" s="123"/>
      <c r="L47" s="125"/>
      <c r="M47" s="126" t="s">
        <v>291</v>
      </c>
      <c r="N47" s="127"/>
      <c r="O47" s="128" t="s">
        <v>292</v>
      </c>
      <c r="P47" s="129" t="s">
        <v>293</v>
      </c>
      <c r="Q47" s="130"/>
      <c r="R47" s="131"/>
      <c r="S47" s="132"/>
    </row>
    <row r="48" spans="1:26">
      <c r="A48" s="84"/>
      <c r="D48" s="634" t="s">
        <v>294</v>
      </c>
      <c r="E48" s="635"/>
      <c r="F48" s="635"/>
      <c r="G48" s="635"/>
      <c r="H48" s="635"/>
      <c r="I48" s="635"/>
      <c r="J48" s="635"/>
      <c r="K48" s="635"/>
      <c r="L48" s="635"/>
      <c r="M48" s="635"/>
      <c r="N48" s="635"/>
      <c r="O48" s="635"/>
      <c r="P48" s="635"/>
      <c r="Q48" s="635"/>
      <c r="R48" s="635"/>
      <c r="S48" s="636"/>
      <c r="T48" s="3"/>
    </row>
    <row r="49" spans="1:20" ht="27.95" customHeight="1">
      <c r="A49" s="84"/>
      <c r="D49" s="133" t="s">
        <v>295</v>
      </c>
      <c r="E49" s="134"/>
      <c r="F49" s="135"/>
      <c r="G49" s="134"/>
      <c r="H49" s="134"/>
      <c r="I49" s="134"/>
      <c r="J49" s="134"/>
      <c r="K49" s="136"/>
      <c r="L49" s="137"/>
      <c r="M49" s="135"/>
      <c r="N49" s="138"/>
      <c r="O49" s="135"/>
      <c r="P49" s="134"/>
      <c r="Q49" s="134"/>
      <c r="R49" s="24"/>
      <c r="S49" s="24"/>
      <c r="T49" s="3"/>
    </row>
    <row r="50" spans="1:20" ht="27.95" customHeight="1">
      <c r="A50" s="84"/>
      <c r="D50" s="133" t="s">
        <v>296</v>
      </c>
      <c r="E50" s="135" t="s">
        <v>297</v>
      </c>
      <c r="F50" s="139"/>
      <c r="G50" s="136" t="s">
        <v>298</v>
      </c>
      <c r="H50" s="136"/>
      <c r="I50" s="139"/>
      <c r="J50" s="136"/>
      <c r="K50" s="140"/>
      <c r="L50" s="137"/>
      <c r="M50" s="141"/>
      <c r="N50" s="136"/>
      <c r="O50" s="142" t="s">
        <v>299</v>
      </c>
      <c r="P50" s="136"/>
      <c r="Q50" s="142"/>
      <c r="R50" s="136"/>
      <c r="S50" s="136"/>
      <c r="T50" s="3"/>
    </row>
    <row r="51" spans="1:20" ht="27.95" customHeight="1">
      <c r="A51" s="84"/>
      <c r="D51" s="143" t="s">
        <v>300</v>
      </c>
      <c r="E51" s="144"/>
      <c r="F51" s="144"/>
      <c r="G51" s="144"/>
      <c r="H51" s="145"/>
      <c r="I51" s="145"/>
      <c r="J51" s="144"/>
      <c r="K51" s="146"/>
      <c r="L51" s="137"/>
      <c r="M51" s="147"/>
      <c r="N51" s="147"/>
      <c r="O51" s="147"/>
      <c r="P51" s="145"/>
      <c r="Q51" s="144" t="s">
        <v>301</v>
      </c>
      <c r="R51" s="148"/>
      <c r="S51" s="148"/>
      <c r="T51" s="3"/>
    </row>
    <row r="52" spans="1:20" ht="27.95" customHeight="1">
      <c r="A52" s="84"/>
      <c r="D52" s="149" t="s">
        <v>302</v>
      </c>
      <c r="E52" s="150"/>
      <c r="F52" s="150"/>
      <c r="G52" s="150"/>
      <c r="H52" s="145"/>
      <c r="I52" s="145"/>
      <c r="J52" s="151"/>
      <c r="K52" s="150"/>
      <c r="L52" s="152"/>
      <c r="M52" s="145"/>
      <c r="N52" s="145"/>
      <c r="O52" s="145"/>
      <c r="P52" s="153"/>
      <c r="Q52" s="150"/>
      <c r="R52" s="150"/>
      <c r="S52" s="150"/>
      <c r="T52" s="3"/>
    </row>
    <row r="53" spans="1:20">
      <c r="D53" s="635" t="s">
        <v>303</v>
      </c>
      <c r="E53" s="635"/>
      <c r="F53" s="635"/>
      <c r="G53" s="635"/>
      <c r="H53" s="635"/>
      <c r="I53" s="635"/>
      <c r="J53" s="635"/>
      <c r="K53" s="635"/>
      <c r="L53" s="635"/>
      <c r="M53" s="635"/>
      <c r="N53" s="635"/>
      <c r="O53" s="635"/>
      <c r="P53" s="635"/>
      <c r="Q53" s="635"/>
      <c r="R53" s="635"/>
      <c r="S53" s="635"/>
    </row>
    <row r="54" spans="1:20" ht="27.95" customHeight="1">
      <c r="D54" s="149" t="s">
        <v>304</v>
      </c>
      <c r="E54" s="148"/>
      <c r="F54" s="148"/>
      <c r="G54" s="148"/>
      <c r="H54" s="150"/>
      <c r="I54" s="148"/>
      <c r="J54" s="148"/>
      <c r="K54" s="154"/>
      <c r="L54" s="148"/>
      <c r="M54" s="145"/>
      <c r="N54" s="150"/>
      <c r="O54" s="155"/>
      <c r="P54" s="145"/>
      <c r="Q54" s="150"/>
      <c r="R54" s="150"/>
      <c r="S54" s="151"/>
    </row>
    <row r="55" spans="1:20" ht="27.95" customHeight="1">
      <c r="D55" s="156" t="s">
        <v>305</v>
      </c>
      <c r="E55" s="134"/>
      <c r="F55" s="157"/>
      <c r="G55" s="144"/>
      <c r="H55" s="134"/>
      <c r="I55" s="134"/>
      <c r="J55" s="158"/>
      <c r="K55" s="159"/>
      <c r="L55" s="147"/>
      <c r="M55" s="157"/>
      <c r="N55" s="144"/>
      <c r="O55" s="157"/>
      <c r="P55" s="147"/>
      <c r="Q55" s="134"/>
      <c r="R55" s="144"/>
      <c r="S55" s="147"/>
    </row>
    <row r="56" spans="1:20">
      <c r="D56" s="634" t="s">
        <v>306</v>
      </c>
      <c r="E56" s="635"/>
      <c r="F56" s="635"/>
      <c r="G56" s="635"/>
      <c r="H56" s="635"/>
      <c r="I56" s="635"/>
      <c r="J56" s="635"/>
      <c r="K56" s="635"/>
      <c r="L56" s="635"/>
      <c r="M56" s="635"/>
      <c r="N56" s="635"/>
      <c r="O56" s="635"/>
      <c r="P56" s="635"/>
      <c r="Q56" s="635"/>
      <c r="R56" s="635"/>
      <c r="S56" s="636"/>
    </row>
    <row r="57" spans="1:20" ht="27.95" customHeight="1">
      <c r="D57" s="160" t="s">
        <v>307</v>
      </c>
      <c r="E57" s="161"/>
      <c r="F57" s="161"/>
      <c r="G57" s="161"/>
      <c r="H57" s="162"/>
      <c r="I57" s="140"/>
      <c r="J57" s="163" t="s">
        <v>308</v>
      </c>
      <c r="K57" s="163"/>
      <c r="L57" s="162"/>
      <c r="M57" s="164"/>
      <c r="N57" s="165"/>
      <c r="O57" s="166"/>
      <c r="P57" s="166"/>
      <c r="Q57" s="167"/>
      <c r="R57" s="142"/>
      <c r="S57" s="168"/>
    </row>
    <row r="58" spans="1:20" ht="27.95" customHeight="1">
      <c r="D58" s="160" t="s">
        <v>309</v>
      </c>
      <c r="E58" s="162" t="s">
        <v>310</v>
      </c>
      <c r="F58" s="161"/>
      <c r="G58" s="142" t="s">
        <v>311</v>
      </c>
      <c r="H58" s="169"/>
      <c r="I58" s="162"/>
      <c r="J58" s="163" t="s">
        <v>312</v>
      </c>
      <c r="K58" s="162"/>
      <c r="L58" s="162"/>
      <c r="M58" s="142" t="s">
        <v>313</v>
      </c>
      <c r="N58" s="163"/>
      <c r="O58" s="139"/>
      <c r="P58" s="139"/>
      <c r="Q58" s="162"/>
      <c r="R58" s="170"/>
      <c r="S58" s="142"/>
    </row>
    <row r="59" spans="1:20" ht="27.75" customHeight="1">
      <c r="D59" s="171" t="s">
        <v>314</v>
      </c>
      <c r="E59" s="168"/>
      <c r="F59" s="142"/>
      <c r="G59" s="142"/>
      <c r="H59" s="162"/>
      <c r="I59" s="162" t="s">
        <v>315</v>
      </c>
      <c r="J59" s="162"/>
      <c r="K59" s="162"/>
      <c r="L59" s="162"/>
      <c r="M59" s="162"/>
      <c r="N59" s="162"/>
      <c r="O59" s="142"/>
      <c r="P59" s="162"/>
      <c r="Q59" s="162"/>
      <c r="R59" s="142"/>
      <c r="S59" s="162"/>
    </row>
    <row r="60" spans="1:20" ht="9.9499999999999993" customHeight="1">
      <c r="D60" s="172"/>
    </row>
    <row r="61" spans="1:20" ht="27.95" customHeight="1">
      <c r="D61" s="606" t="s">
        <v>316</v>
      </c>
      <c r="E61" s="173"/>
      <c r="F61" s="11" t="s">
        <v>317</v>
      </c>
      <c r="G61" s="174"/>
      <c r="H61" s="175"/>
      <c r="I61" s="11"/>
      <c r="J61" s="11" t="s">
        <v>318</v>
      </c>
      <c r="K61" s="11"/>
      <c r="L61" s="41" t="s">
        <v>259</v>
      </c>
      <c r="M61" s="174"/>
      <c r="N61" s="174"/>
      <c r="O61" s="11"/>
      <c r="P61" s="11" t="s">
        <v>318</v>
      </c>
      <c r="Q61" s="11"/>
      <c r="R61" s="176"/>
      <c r="S61" s="177"/>
    </row>
    <row r="62" spans="1:20" ht="27.95" customHeight="1">
      <c r="D62" s="607"/>
      <c r="G62" s="178"/>
      <c r="H62" s="179" t="s">
        <v>319</v>
      </c>
      <c r="I62" s="178"/>
      <c r="J62" s="178"/>
      <c r="K62" s="178"/>
      <c r="M62" s="180"/>
      <c r="N62" s="180"/>
      <c r="O62" s="180"/>
      <c r="P62" s="180"/>
      <c r="Q62" s="178"/>
      <c r="S62" s="181"/>
    </row>
    <row r="64" spans="1:20">
      <c r="F64" s="182"/>
      <c r="G64" s="182"/>
      <c r="H64" s="182"/>
      <c r="I64" s="182"/>
      <c r="J64" s="47"/>
      <c r="K64" s="103"/>
      <c r="L64" s="103"/>
      <c r="M64" s="47"/>
      <c r="N64" s="103"/>
      <c r="O64" s="47"/>
      <c r="P64" s="103"/>
      <c r="Q64" s="103"/>
      <c r="R64" s="103"/>
    </row>
  </sheetData>
  <mergeCells count="24">
    <mergeCell ref="U20:Z20"/>
    <mergeCell ref="U4:Z4"/>
    <mergeCell ref="U5:Z7"/>
    <mergeCell ref="U8:Z8"/>
    <mergeCell ref="U9:Z19"/>
    <mergeCell ref="P12:Q13"/>
    <mergeCell ref="B26:B27"/>
    <mergeCell ref="C26:D28"/>
    <mergeCell ref="P28:Q28"/>
    <mergeCell ref="A1:Q1"/>
    <mergeCell ref="A2:Q2"/>
    <mergeCell ref="C4:D11"/>
    <mergeCell ref="C14:D20"/>
    <mergeCell ref="D61:D62"/>
    <mergeCell ref="P21:Q22"/>
    <mergeCell ref="U21:Z23"/>
    <mergeCell ref="C23:D24"/>
    <mergeCell ref="U24:Z24"/>
    <mergeCell ref="U25:Z30"/>
    <mergeCell ref="U31:Z35"/>
    <mergeCell ref="D45:S45"/>
    <mergeCell ref="D48:S48"/>
    <mergeCell ref="D53:S53"/>
    <mergeCell ref="D56:S56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2">
    <pageSetUpPr fitToPage="1"/>
  </sheetPr>
  <dimension ref="B1:Q55"/>
  <sheetViews>
    <sheetView zoomScale="85" zoomScaleNormal="85" workbookViewId="0">
      <selection activeCell="H6" sqref="H6:M17"/>
    </sheetView>
  </sheetViews>
  <sheetFormatPr defaultRowHeight="16.5"/>
  <cols>
    <col min="1" max="1" width="3.625" customWidth="1"/>
    <col min="2" max="12" width="10.625" customWidth="1"/>
    <col min="13" max="13" width="15.625" customWidth="1"/>
    <col min="14" max="17" width="10.625" customWidth="1"/>
    <col min="18" max="19" width="3.625" customWidth="1"/>
  </cols>
  <sheetData>
    <row r="1" spans="2:17" ht="17.25" thickBot="1"/>
    <row r="2" spans="2:17" ht="45" customHeight="1" thickBot="1">
      <c r="B2" s="785" t="s">
        <v>903</v>
      </c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7"/>
    </row>
    <row r="3" spans="2:17" ht="6.95" customHeight="1" thickBot="1"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</row>
    <row r="4" spans="2:17" ht="39.950000000000003" customHeight="1">
      <c r="B4" s="788" t="s">
        <v>320</v>
      </c>
      <c r="C4" s="789"/>
      <c r="D4" s="789"/>
      <c r="E4" s="789"/>
      <c r="F4" s="789"/>
      <c r="G4" s="789"/>
      <c r="H4" s="789"/>
      <c r="I4" s="790"/>
      <c r="J4" s="794" t="s">
        <v>321</v>
      </c>
      <c r="K4" s="795"/>
      <c r="L4" s="795"/>
      <c r="M4" s="795"/>
      <c r="N4" s="795"/>
      <c r="O4" s="795"/>
      <c r="P4" s="795"/>
      <c r="Q4" s="796"/>
    </row>
    <row r="5" spans="2:17" ht="24.95" customHeight="1" thickBot="1">
      <c r="B5" s="791"/>
      <c r="C5" s="792"/>
      <c r="D5" s="792"/>
      <c r="E5" s="792"/>
      <c r="F5" s="792"/>
      <c r="G5" s="792"/>
      <c r="H5" s="792"/>
      <c r="I5" s="793"/>
      <c r="J5" s="797"/>
      <c r="K5" s="798"/>
      <c r="L5" s="798"/>
      <c r="M5" s="798"/>
      <c r="N5" s="798"/>
      <c r="O5" s="798"/>
      <c r="P5" s="798"/>
      <c r="Q5" s="799"/>
    </row>
    <row r="6" spans="2:17" ht="24.95" customHeight="1">
      <c r="B6" s="800" t="s">
        <v>322</v>
      </c>
      <c r="C6" s="801"/>
      <c r="D6" s="801"/>
      <c r="E6" s="801"/>
      <c r="F6" s="801"/>
      <c r="G6" s="801"/>
      <c r="H6" s="802" t="s">
        <v>906</v>
      </c>
      <c r="I6" s="803"/>
      <c r="J6" s="803"/>
      <c r="K6" s="803"/>
      <c r="L6" s="803"/>
      <c r="M6" s="803"/>
      <c r="N6" s="802" t="s">
        <v>905</v>
      </c>
      <c r="O6" s="803"/>
      <c r="P6" s="803"/>
      <c r="Q6" s="808"/>
    </row>
    <row r="7" spans="2:17" ht="24.95" customHeight="1">
      <c r="B7" s="811" t="s">
        <v>901</v>
      </c>
      <c r="C7" s="812"/>
      <c r="D7" s="812"/>
      <c r="E7" s="812"/>
      <c r="F7" s="812"/>
      <c r="G7" s="812"/>
      <c r="H7" s="804"/>
      <c r="I7" s="805"/>
      <c r="J7" s="805"/>
      <c r="K7" s="805"/>
      <c r="L7" s="805"/>
      <c r="M7" s="805"/>
      <c r="N7" s="804"/>
      <c r="O7" s="805"/>
      <c r="P7" s="805"/>
      <c r="Q7" s="809"/>
    </row>
    <row r="8" spans="2:17" ht="24.95" customHeight="1">
      <c r="B8" s="813"/>
      <c r="C8" s="814"/>
      <c r="D8" s="814"/>
      <c r="E8" s="814"/>
      <c r="F8" s="814"/>
      <c r="G8" s="814"/>
      <c r="H8" s="804"/>
      <c r="I8" s="805"/>
      <c r="J8" s="805"/>
      <c r="K8" s="805"/>
      <c r="L8" s="805"/>
      <c r="M8" s="805"/>
      <c r="N8" s="804"/>
      <c r="O8" s="805"/>
      <c r="P8" s="805"/>
      <c r="Q8" s="809"/>
    </row>
    <row r="9" spans="2:17" ht="24.95" customHeight="1">
      <c r="B9" s="813"/>
      <c r="C9" s="814"/>
      <c r="D9" s="814"/>
      <c r="E9" s="814"/>
      <c r="F9" s="814"/>
      <c r="G9" s="814"/>
      <c r="H9" s="804"/>
      <c r="I9" s="805"/>
      <c r="J9" s="805"/>
      <c r="K9" s="805"/>
      <c r="L9" s="805"/>
      <c r="M9" s="805"/>
      <c r="N9" s="804"/>
      <c r="O9" s="805"/>
      <c r="P9" s="805"/>
      <c r="Q9" s="809"/>
    </row>
    <row r="10" spans="2:17" ht="24.95" customHeight="1" thickBot="1">
      <c r="B10" s="815"/>
      <c r="C10" s="816"/>
      <c r="D10" s="816"/>
      <c r="E10" s="816"/>
      <c r="F10" s="816"/>
      <c r="G10" s="816"/>
      <c r="H10" s="804"/>
      <c r="I10" s="805"/>
      <c r="J10" s="805"/>
      <c r="K10" s="805"/>
      <c r="L10" s="805"/>
      <c r="M10" s="805"/>
      <c r="N10" s="804"/>
      <c r="O10" s="805"/>
      <c r="P10" s="805"/>
      <c r="Q10" s="809"/>
    </row>
    <row r="11" spans="2:17" ht="24.95" customHeight="1">
      <c r="B11" s="800" t="s">
        <v>323</v>
      </c>
      <c r="C11" s="801"/>
      <c r="D11" s="801"/>
      <c r="E11" s="801"/>
      <c r="F11" s="801"/>
      <c r="G11" s="801"/>
      <c r="H11" s="804"/>
      <c r="I11" s="805"/>
      <c r="J11" s="805"/>
      <c r="K11" s="805"/>
      <c r="L11" s="805"/>
      <c r="M11" s="805"/>
      <c r="N11" s="804"/>
      <c r="O11" s="805"/>
      <c r="P11" s="805"/>
      <c r="Q11" s="809"/>
    </row>
    <row r="12" spans="2:17" ht="39.950000000000003" customHeight="1">
      <c r="B12" s="811" t="s">
        <v>899</v>
      </c>
      <c r="C12" s="812"/>
      <c r="D12" s="812"/>
      <c r="E12" s="812"/>
      <c r="F12" s="812"/>
      <c r="G12" s="812"/>
      <c r="H12" s="804"/>
      <c r="I12" s="805"/>
      <c r="J12" s="805"/>
      <c r="K12" s="805"/>
      <c r="L12" s="805"/>
      <c r="M12" s="805"/>
      <c r="N12" s="804"/>
      <c r="O12" s="805"/>
      <c r="P12" s="805"/>
      <c r="Q12" s="809"/>
    </row>
    <row r="13" spans="2:17" ht="39.950000000000003" customHeight="1">
      <c r="B13" s="813"/>
      <c r="C13" s="814"/>
      <c r="D13" s="814"/>
      <c r="E13" s="814"/>
      <c r="F13" s="814"/>
      <c r="G13" s="814"/>
      <c r="H13" s="804"/>
      <c r="I13" s="805"/>
      <c r="J13" s="805"/>
      <c r="K13" s="805"/>
      <c r="L13" s="805"/>
      <c r="M13" s="805"/>
      <c r="N13" s="804"/>
      <c r="O13" s="805"/>
      <c r="P13" s="805"/>
      <c r="Q13" s="809"/>
    </row>
    <row r="14" spans="2:17" ht="39.950000000000003" customHeight="1">
      <c r="B14" s="813"/>
      <c r="C14" s="814"/>
      <c r="D14" s="814"/>
      <c r="E14" s="814"/>
      <c r="F14" s="814"/>
      <c r="G14" s="814"/>
      <c r="H14" s="804"/>
      <c r="I14" s="805"/>
      <c r="J14" s="805"/>
      <c r="K14" s="805"/>
      <c r="L14" s="805"/>
      <c r="M14" s="805"/>
      <c r="N14" s="804"/>
      <c r="O14" s="805"/>
      <c r="P14" s="805"/>
      <c r="Q14" s="809"/>
    </row>
    <row r="15" spans="2:17" ht="39.950000000000003" customHeight="1">
      <c r="B15" s="813"/>
      <c r="C15" s="814"/>
      <c r="D15" s="814"/>
      <c r="E15" s="814"/>
      <c r="F15" s="814"/>
      <c r="G15" s="814"/>
      <c r="H15" s="804"/>
      <c r="I15" s="805"/>
      <c r="J15" s="805"/>
      <c r="K15" s="805"/>
      <c r="L15" s="805"/>
      <c r="M15" s="805"/>
      <c r="N15" s="804"/>
      <c r="O15" s="805"/>
      <c r="P15" s="805"/>
      <c r="Q15" s="809"/>
    </row>
    <row r="16" spans="2:17" ht="39.950000000000003" customHeight="1">
      <c r="B16" s="813"/>
      <c r="C16" s="814"/>
      <c r="D16" s="814"/>
      <c r="E16" s="814"/>
      <c r="F16" s="814"/>
      <c r="G16" s="814"/>
      <c r="H16" s="804"/>
      <c r="I16" s="805"/>
      <c r="J16" s="805"/>
      <c r="K16" s="805"/>
      <c r="L16" s="805"/>
      <c r="M16" s="805"/>
      <c r="N16" s="804"/>
      <c r="O16" s="805"/>
      <c r="P16" s="805"/>
      <c r="Q16" s="809"/>
    </row>
    <row r="17" spans="2:17" ht="39.950000000000003" customHeight="1" thickBot="1">
      <c r="B17" s="815"/>
      <c r="C17" s="816"/>
      <c r="D17" s="816"/>
      <c r="E17" s="816"/>
      <c r="F17" s="816"/>
      <c r="G17" s="816"/>
      <c r="H17" s="806"/>
      <c r="I17" s="807"/>
      <c r="J17" s="807"/>
      <c r="K17" s="807"/>
      <c r="L17" s="807"/>
      <c r="M17" s="807"/>
      <c r="N17" s="806"/>
      <c r="O17" s="807"/>
      <c r="P17" s="807"/>
      <c r="Q17" s="810"/>
    </row>
    <row r="18" spans="2:17" ht="45" customHeight="1" thickBot="1">
      <c r="B18" s="817" t="s">
        <v>904</v>
      </c>
      <c r="C18" s="818"/>
      <c r="D18" s="818"/>
      <c r="E18" s="818"/>
      <c r="F18" s="818"/>
      <c r="G18" s="818"/>
      <c r="H18" s="818"/>
      <c r="I18" s="818"/>
      <c r="J18" s="818"/>
      <c r="K18" s="818"/>
      <c r="L18" s="818"/>
      <c r="M18" s="818"/>
      <c r="N18" s="818"/>
      <c r="O18" s="818"/>
      <c r="P18" s="819"/>
      <c r="Q18" s="820"/>
    </row>
    <row r="19" spans="2:17" ht="5.0999999999999996" customHeight="1" thickBot="1">
      <c r="B19" s="184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</row>
    <row r="20" spans="2:17" ht="24.95" customHeight="1">
      <c r="B20" s="821">
        <v>1</v>
      </c>
      <c r="C20" s="824"/>
      <c r="D20" s="825"/>
      <c r="E20" s="825"/>
      <c r="F20" s="829">
        <v>13</v>
      </c>
      <c r="G20" s="832"/>
      <c r="H20" s="829"/>
      <c r="I20" s="829"/>
      <c r="J20" s="829">
        <v>25</v>
      </c>
      <c r="K20" s="832"/>
      <c r="L20" s="829"/>
      <c r="M20" s="829"/>
      <c r="N20" s="829">
        <v>37</v>
      </c>
      <c r="O20" s="829"/>
      <c r="P20" s="834"/>
      <c r="Q20" s="835"/>
    </row>
    <row r="21" spans="2:17" ht="24.95" customHeight="1">
      <c r="B21" s="822"/>
      <c r="C21" s="826"/>
      <c r="D21" s="827"/>
      <c r="E21" s="827"/>
      <c r="F21" s="830"/>
      <c r="G21" s="833"/>
      <c r="H21" s="830"/>
      <c r="I21" s="830"/>
      <c r="J21" s="830"/>
      <c r="K21" s="833"/>
      <c r="L21" s="830"/>
      <c r="M21" s="830"/>
      <c r="N21" s="830"/>
      <c r="O21" s="830"/>
      <c r="P21" s="836"/>
      <c r="Q21" s="837"/>
    </row>
    <row r="22" spans="2:17" ht="24.95" customHeight="1">
      <c r="B22" s="823"/>
      <c r="C22" s="828"/>
      <c r="D22" s="828"/>
      <c r="E22" s="828"/>
      <c r="F22" s="831"/>
      <c r="G22" s="831"/>
      <c r="H22" s="831"/>
      <c r="I22" s="831"/>
      <c r="J22" s="831"/>
      <c r="K22" s="831"/>
      <c r="L22" s="831"/>
      <c r="M22" s="831"/>
      <c r="N22" s="831"/>
      <c r="O22" s="831"/>
      <c r="P22" s="838"/>
      <c r="Q22" s="839"/>
    </row>
    <row r="23" spans="2:17" ht="24.95" customHeight="1">
      <c r="B23" s="840">
        <v>2</v>
      </c>
      <c r="C23" s="828"/>
      <c r="D23" s="828"/>
      <c r="E23" s="828"/>
      <c r="F23" s="831">
        <v>14</v>
      </c>
      <c r="G23" s="831"/>
      <c r="H23" s="831"/>
      <c r="I23" s="831"/>
      <c r="J23" s="831">
        <v>26</v>
      </c>
      <c r="K23" s="831"/>
      <c r="L23" s="831"/>
      <c r="M23" s="831"/>
      <c r="N23" s="831">
        <v>38</v>
      </c>
      <c r="O23" s="831"/>
      <c r="P23" s="838"/>
      <c r="Q23" s="839"/>
    </row>
    <row r="24" spans="2:17" ht="24.95" customHeight="1">
      <c r="B24" s="840"/>
      <c r="C24" s="828"/>
      <c r="D24" s="828"/>
      <c r="E24" s="828"/>
      <c r="F24" s="831"/>
      <c r="G24" s="831"/>
      <c r="H24" s="831"/>
      <c r="I24" s="831"/>
      <c r="J24" s="831"/>
      <c r="K24" s="831"/>
      <c r="L24" s="831"/>
      <c r="M24" s="831"/>
      <c r="N24" s="831"/>
      <c r="O24" s="831"/>
      <c r="P24" s="838"/>
      <c r="Q24" s="839"/>
    </row>
    <row r="25" spans="2:17" ht="24.95" customHeight="1">
      <c r="B25" s="840"/>
      <c r="C25" s="828"/>
      <c r="D25" s="828"/>
      <c r="E25" s="828"/>
      <c r="F25" s="831"/>
      <c r="G25" s="831"/>
      <c r="H25" s="831"/>
      <c r="I25" s="831"/>
      <c r="J25" s="831"/>
      <c r="K25" s="831"/>
      <c r="L25" s="831"/>
      <c r="M25" s="831"/>
      <c r="N25" s="831"/>
      <c r="O25" s="831"/>
      <c r="P25" s="838"/>
      <c r="Q25" s="839"/>
    </row>
    <row r="26" spans="2:17" ht="24.95" customHeight="1">
      <c r="B26" s="840">
        <v>3</v>
      </c>
      <c r="C26" s="828"/>
      <c r="D26" s="828"/>
      <c r="E26" s="828"/>
      <c r="F26" s="831">
        <v>15</v>
      </c>
      <c r="G26" s="831"/>
      <c r="H26" s="831"/>
      <c r="I26" s="831"/>
      <c r="J26" s="831">
        <v>27</v>
      </c>
      <c r="K26" s="831"/>
      <c r="L26" s="831"/>
      <c r="M26" s="831"/>
      <c r="N26" s="831">
        <v>39</v>
      </c>
      <c r="O26" s="831"/>
      <c r="P26" s="838"/>
      <c r="Q26" s="839"/>
    </row>
    <row r="27" spans="2:17" ht="24.95" customHeight="1">
      <c r="B27" s="840"/>
      <c r="C27" s="828"/>
      <c r="D27" s="828"/>
      <c r="E27" s="828"/>
      <c r="F27" s="831"/>
      <c r="G27" s="831"/>
      <c r="H27" s="831"/>
      <c r="I27" s="831"/>
      <c r="J27" s="831"/>
      <c r="K27" s="831"/>
      <c r="L27" s="831"/>
      <c r="M27" s="831"/>
      <c r="N27" s="831"/>
      <c r="O27" s="831"/>
      <c r="P27" s="838"/>
      <c r="Q27" s="839"/>
    </row>
    <row r="28" spans="2:17" ht="24.95" customHeight="1">
      <c r="B28" s="840"/>
      <c r="C28" s="828"/>
      <c r="D28" s="828"/>
      <c r="E28" s="828"/>
      <c r="F28" s="831"/>
      <c r="G28" s="831"/>
      <c r="H28" s="831"/>
      <c r="I28" s="831"/>
      <c r="J28" s="831"/>
      <c r="K28" s="831"/>
      <c r="L28" s="831"/>
      <c r="M28" s="831"/>
      <c r="N28" s="831"/>
      <c r="O28" s="831"/>
      <c r="P28" s="838"/>
      <c r="Q28" s="839"/>
    </row>
    <row r="29" spans="2:17" ht="24.95" customHeight="1">
      <c r="B29" s="840">
        <v>4</v>
      </c>
      <c r="C29" s="828"/>
      <c r="D29" s="828"/>
      <c r="E29" s="828"/>
      <c r="F29" s="831">
        <v>16</v>
      </c>
      <c r="G29" s="831"/>
      <c r="H29" s="831"/>
      <c r="I29" s="831"/>
      <c r="J29" s="831">
        <v>28</v>
      </c>
      <c r="K29" s="831"/>
      <c r="L29" s="831"/>
      <c r="M29" s="831"/>
      <c r="N29" s="831">
        <v>40</v>
      </c>
      <c r="O29" s="831"/>
      <c r="P29" s="838"/>
      <c r="Q29" s="839"/>
    </row>
    <row r="30" spans="2:17" ht="24.95" customHeight="1">
      <c r="B30" s="840"/>
      <c r="C30" s="828"/>
      <c r="D30" s="828"/>
      <c r="E30" s="828"/>
      <c r="F30" s="831"/>
      <c r="G30" s="831"/>
      <c r="H30" s="831"/>
      <c r="I30" s="831"/>
      <c r="J30" s="831"/>
      <c r="K30" s="831"/>
      <c r="L30" s="831"/>
      <c r="M30" s="831"/>
      <c r="N30" s="831"/>
      <c r="O30" s="831"/>
      <c r="P30" s="838"/>
      <c r="Q30" s="839"/>
    </row>
    <row r="31" spans="2:17" ht="24.95" customHeight="1">
      <c r="B31" s="840"/>
      <c r="C31" s="828"/>
      <c r="D31" s="828"/>
      <c r="E31" s="828"/>
      <c r="F31" s="831"/>
      <c r="G31" s="831"/>
      <c r="H31" s="831"/>
      <c r="I31" s="831"/>
      <c r="J31" s="831"/>
      <c r="K31" s="831"/>
      <c r="L31" s="831"/>
      <c r="M31" s="831"/>
      <c r="N31" s="831"/>
      <c r="O31" s="831"/>
      <c r="P31" s="838"/>
      <c r="Q31" s="839"/>
    </row>
    <row r="32" spans="2:17" ht="24.95" customHeight="1">
      <c r="B32" s="840">
        <v>5</v>
      </c>
      <c r="C32" s="831"/>
      <c r="D32" s="831"/>
      <c r="E32" s="831"/>
      <c r="F32" s="831">
        <v>17</v>
      </c>
      <c r="G32" s="831"/>
      <c r="H32" s="831"/>
      <c r="I32" s="831"/>
      <c r="J32" s="831">
        <v>29</v>
      </c>
      <c r="K32" s="831"/>
      <c r="L32" s="831"/>
      <c r="M32" s="831"/>
      <c r="N32" s="831">
        <v>41</v>
      </c>
      <c r="O32" s="831"/>
      <c r="P32" s="838"/>
      <c r="Q32" s="839"/>
    </row>
    <row r="33" spans="2:17" ht="24.95" customHeight="1">
      <c r="B33" s="840"/>
      <c r="C33" s="831"/>
      <c r="D33" s="831"/>
      <c r="E33" s="831"/>
      <c r="F33" s="831"/>
      <c r="G33" s="831"/>
      <c r="H33" s="831"/>
      <c r="I33" s="831"/>
      <c r="J33" s="831"/>
      <c r="K33" s="831"/>
      <c r="L33" s="831"/>
      <c r="M33" s="831"/>
      <c r="N33" s="831"/>
      <c r="O33" s="831"/>
      <c r="P33" s="838"/>
      <c r="Q33" s="839"/>
    </row>
    <row r="34" spans="2:17" ht="24.95" customHeight="1">
      <c r="B34" s="840"/>
      <c r="C34" s="831"/>
      <c r="D34" s="831"/>
      <c r="E34" s="831"/>
      <c r="F34" s="831"/>
      <c r="G34" s="831"/>
      <c r="H34" s="831"/>
      <c r="I34" s="831"/>
      <c r="J34" s="831"/>
      <c r="K34" s="831"/>
      <c r="L34" s="831"/>
      <c r="M34" s="831"/>
      <c r="N34" s="831"/>
      <c r="O34" s="831"/>
      <c r="P34" s="838"/>
      <c r="Q34" s="839"/>
    </row>
    <row r="35" spans="2:17" ht="24.95" customHeight="1">
      <c r="B35" s="840">
        <v>6</v>
      </c>
      <c r="C35" s="831"/>
      <c r="D35" s="831"/>
      <c r="E35" s="831"/>
      <c r="F35" s="831">
        <v>18</v>
      </c>
      <c r="G35" s="831"/>
      <c r="H35" s="831"/>
      <c r="I35" s="831"/>
      <c r="J35" s="831">
        <v>30</v>
      </c>
      <c r="K35" s="831"/>
      <c r="L35" s="831"/>
      <c r="M35" s="831"/>
      <c r="N35" s="831">
        <v>42</v>
      </c>
      <c r="O35" s="831"/>
      <c r="P35" s="838"/>
      <c r="Q35" s="839"/>
    </row>
    <row r="36" spans="2:17" ht="24.95" customHeight="1">
      <c r="B36" s="840"/>
      <c r="C36" s="831"/>
      <c r="D36" s="831"/>
      <c r="E36" s="831"/>
      <c r="F36" s="831"/>
      <c r="G36" s="831"/>
      <c r="H36" s="831"/>
      <c r="I36" s="831"/>
      <c r="J36" s="831"/>
      <c r="K36" s="831"/>
      <c r="L36" s="831"/>
      <c r="M36" s="831"/>
      <c r="N36" s="831"/>
      <c r="O36" s="831"/>
      <c r="P36" s="838"/>
      <c r="Q36" s="839"/>
    </row>
    <row r="37" spans="2:17" ht="24.95" customHeight="1">
      <c r="B37" s="840"/>
      <c r="C37" s="831"/>
      <c r="D37" s="831"/>
      <c r="E37" s="831"/>
      <c r="F37" s="831"/>
      <c r="G37" s="831"/>
      <c r="H37" s="831"/>
      <c r="I37" s="831"/>
      <c r="J37" s="831"/>
      <c r="K37" s="831"/>
      <c r="L37" s="831"/>
      <c r="M37" s="831"/>
      <c r="N37" s="831"/>
      <c r="O37" s="831"/>
      <c r="P37" s="838"/>
      <c r="Q37" s="839"/>
    </row>
    <row r="38" spans="2:17" ht="24.95" customHeight="1">
      <c r="B38" s="840">
        <v>7</v>
      </c>
      <c r="C38" s="831"/>
      <c r="D38" s="831"/>
      <c r="E38" s="831"/>
      <c r="F38" s="831">
        <v>19</v>
      </c>
      <c r="G38" s="831"/>
      <c r="H38" s="831"/>
      <c r="I38" s="831"/>
      <c r="J38" s="831">
        <v>31</v>
      </c>
      <c r="K38" s="831"/>
      <c r="L38" s="831"/>
      <c r="M38" s="831"/>
      <c r="N38" s="831">
        <v>43</v>
      </c>
      <c r="O38" s="831"/>
      <c r="P38" s="838"/>
      <c r="Q38" s="839"/>
    </row>
    <row r="39" spans="2:17" ht="24.95" customHeight="1">
      <c r="B39" s="840"/>
      <c r="C39" s="831"/>
      <c r="D39" s="831"/>
      <c r="E39" s="831"/>
      <c r="F39" s="831"/>
      <c r="G39" s="831"/>
      <c r="H39" s="831"/>
      <c r="I39" s="831"/>
      <c r="J39" s="831"/>
      <c r="K39" s="831"/>
      <c r="L39" s="831"/>
      <c r="M39" s="831"/>
      <c r="N39" s="831"/>
      <c r="O39" s="831"/>
      <c r="P39" s="838"/>
      <c r="Q39" s="839"/>
    </row>
    <row r="40" spans="2:17" ht="24.95" customHeight="1">
      <c r="B40" s="840"/>
      <c r="C40" s="831"/>
      <c r="D40" s="831"/>
      <c r="E40" s="831"/>
      <c r="F40" s="831"/>
      <c r="G40" s="831"/>
      <c r="H40" s="831"/>
      <c r="I40" s="831"/>
      <c r="J40" s="831"/>
      <c r="K40" s="831"/>
      <c r="L40" s="831"/>
      <c r="M40" s="831"/>
      <c r="N40" s="831"/>
      <c r="O40" s="831"/>
      <c r="P40" s="838"/>
      <c r="Q40" s="839"/>
    </row>
    <row r="41" spans="2:17" ht="24.95" customHeight="1">
      <c r="B41" s="840">
        <v>8</v>
      </c>
      <c r="C41" s="831"/>
      <c r="D41" s="831"/>
      <c r="E41" s="831"/>
      <c r="F41" s="831">
        <v>20</v>
      </c>
      <c r="G41" s="831"/>
      <c r="H41" s="831"/>
      <c r="I41" s="831"/>
      <c r="J41" s="831">
        <v>32</v>
      </c>
      <c r="K41" s="831"/>
      <c r="L41" s="831"/>
      <c r="M41" s="831"/>
      <c r="N41" s="831">
        <v>44</v>
      </c>
      <c r="O41" s="831"/>
      <c r="P41" s="838"/>
      <c r="Q41" s="839"/>
    </row>
    <row r="42" spans="2:17" ht="24.95" customHeight="1">
      <c r="B42" s="840"/>
      <c r="C42" s="831"/>
      <c r="D42" s="831"/>
      <c r="E42" s="831"/>
      <c r="F42" s="831"/>
      <c r="G42" s="831"/>
      <c r="H42" s="831"/>
      <c r="I42" s="831"/>
      <c r="J42" s="831"/>
      <c r="K42" s="831"/>
      <c r="L42" s="831"/>
      <c r="M42" s="831"/>
      <c r="N42" s="831"/>
      <c r="O42" s="831"/>
      <c r="P42" s="838"/>
      <c r="Q42" s="839"/>
    </row>
    <row r="43" spans="2:17" ht="24.95" customHeight="1">
      <c r="B43" s="840"/>
      <c r="C43" s="831"/>
      <c r="D43" s="831"/>
      <c r="E43" s="831"/>
      <c r="F43" s="831"/>
      <c r="G43" s="831"/>
      <c r="H43" s="831"/>
      <c r="I43" s="831"/>
      <c r="J43" s="831"/>
      <c r="K43" s="831"/>
      <c r="L43" s="831"/>
      <c r="M43" s="831"/>
      <c r="N43" s="831"/>
      <c r="O43" s="831"/>
      <c r="P43" s="838"/>
      <c r="Q43" s="839"/>
    </row>
    <row r="44" spans="2:17" ht="24.95" customHeight="1">
      <c r="B44" s="840">
        <v>9</v>
      </c>
      <c r="C44" s="831"/>
      <c r="D44" s="831"/>
      <c r="E44" s="831"/>
      <c r="F44" s="831">
        <v>21</v>
      </c>
      <c r="G44" s="831"/>
      <c r="H44" s="831"/>
      <c r="I44" s="831"/>
      <c r="J44" s="831">
        <v>33</v>
      </c>
      <c r="K44" s="831"/>
      <c r="L44" s="831"/>
      <c r="M44" s="831"/>
      <c r="N44" s="831">
        <v>45</v>
      </c>
      <c r="O44" s="831"/>
      <c r="P44" s="838"/>
      <c r="Q44" s="839"/>
    </row>
    <row r="45" spans="2:17" ht="24.95" customHeight="1">
      <c r="B45" s="840"/>
      <c r="C45" s="831"/>
      <c r="D45" s="831"/>
      <c r="E45" s="831"/>
      <c r="F45" s="831"/>
      <c r="G45" s="831"/>
      <c r="H45" s="831"/>
      <c r="I45" s="831"/>
      <c r="J45" s="831"/>
      <c r="K45" s="831"/>
      <c r="L45" s="831"/>
      <c r="M45" s="831"/>
      <c r="N45" s="831"/>
      <c r="O45" s="831"/>
      <c r="P45" s="838"/>
      <c r="Q45" s="839"/>
    </row>
    <row r="46" spans="2:17" ht="24.95" customHeight="1">
      <c r="B46" s="840"/>
      <c r="C46" s="831"/>
      <c r="D46" s="831"/>
      <c r="E46" s="831"/>
      <c r="F46" s="831"/>
      <c r="G46" s="831"/>
      <c r="H46" s="831"/>
      <c r="I46" s="831"/>
      <c r="J46" s="831"/>
      <c r="K46" s="831"/>
      <c r="L46" s="831"/>
      <c r="M46" s="831"/>
      <c r="N46" s="831"/>
      <c r="O46" s="831"/>
      <c r="P46" s="838"/>
      <c r="Q46" s="839"/>
    </row>
    <row r="47" spans="2:17" ht="24.95" customHeight="1">
      <c r="B47" s="840">
        <v>10</v>
      </c>
      <c r="C47" s="831"/>
      <c r="D47" s="831"/>
      <c r="E47" s="831"/>
      <c r="F47" s="831">
        <v>22</v>
      </c>
      <c r="G47" s="831"/>
      <c r="H47" s="831"/>
      <c r="I47" s="831"/>
      <c r="J47" s="831">
        <v>34</v>
      </c>
      <c r="K47" s="831"/>
      <c r="L47" s="831"/>
      <c r="M47" s="831"/>
      <c r="N47" s="831">
        <v>46</v>
      </c>
      <c r="O47" s="831"/>
      <c r="P47" s="838"/>
      <c r="Q47" s="839"/>
    </row>
    <row r="48" spans="2:17" ht="24.95" customHeight="1">
      <c r="B48" s="840"/>
      <c r="C48" s="831"/>
      <c r="D48" s="831"/>
      <c r="E48" s="831"/>
      <c r="F48" s="831"/>
      <c r="G48" s="831"/>
      <c r="H48" s="831"/>
      <c r="I48" s="831"/>
      <c r="J48" s="831"/>
      <c r="K48" s="831"/>
      <c r="L48" s="831"/>
      <c r="M48" s="831"/>
      <c r="N48" s="831"/>
      <c r="O48" s="831"/>
      <c r="P48" s="838"/>
      <c r="Q48" s="839"/>
    </row>
    <row r="49" spans="2:17" ht="24.95" customHeight="1">
      <c r="B49" s="840"/>
      <c r="C49" s="831"/>
      <c r="D49" s="831"/>
      <c r="E49" s="831"/>
      <c r="F49" s="831"/>
      <c r="G49" s="831"/>
      <c r="H49" s="831"/>
      <c r="I49" s="831"/>
      <c r="J49" s="831"/>
      <c r="K49" s="831"/>
      <c r="L49" s="831"/>
      <c r="M49" s="831"/>
      <c r="N49" s="831"/>
      <c r="O49" s="831"/>
      <c r="P49" s="838"/>
      <c r="Q49" s="839"/>
    </row>
    <row r="50" spans="2:17" ht="24.95" customHeight="1">
      <c r="B50" s="840">
        <v>11</v>
      </c>
      <c r="C50" s="831"/>
      <c r="D50" s="831"/>
      <c r="E50" s="831"/>
      <c r="F50" s="831">
        <v>23</v>
      </c>
      <c r="G50" s="831"/>
      <c r="H50" s="831"/>
      <c r="I50" s="831"/>
      <c r="J50" s="831">
        <v>35</v>
      </c>
      <c r="K50" s="831"/>
      <c r="L50" s="831"/>
      <c r="M50" s="831"/>
      <c r="N50" s="831">
        <v>47</v>
      </c>
      <c r="O50" s="831"/>
      <c r="P50" s="838"/>
      <c r="Q50" s="839"/>
    </row>
    <row r="51" spans="2:17" ht="24.95" customHeight="1">
      <c r="B51" s="840"/>
      <c r="C51" s="831"/>
      <c r="D51" s="831"/>
      <c r="E51" s="831"/>
      <c r="F51" s="831"/>
      <c r="G51" s="831"/>
      <c r="H51" s="831"/>
      <c r="I51" s="831"/>
      <c r="J51" s="831"/>
      <c r="K51" s="831"/>
      <c r="L51" s="831"/>
      <c r="M51" s="831"/>
      <c r="N51" s="831"/>
      <c r="O51" s="831"/>
      <c r="P51" s="838"/>
      <c r="Q51" s="839"/>
    </row>
    <row r="52" spans="2:17" ht="24.95" customHeight="1">
      <c r="B52" s="840"/>
      <c r="C52" s="831"/>
      <c r="D52" s="831"/>
      <c r="E52" s="831"/>
      <c r="F52" s="831"/>
      <c r="G52" s="831"/>
      <c r="H52" s="831"/>
      <c r="I52" s="831"/>
      <c r="J52" s="831"/>
      <c r="K52" s="831"/>
      <c r="L52" s="831"/>
      <c r="M52" s="831"/>
      <c r="N52" s="831"/>
      <c r="O52" s="831"/>
      <c r="P52" s="838"/>
      <c r="Q52" s="839"/>
    </row>
    <row r="53" spans="2:17" ht="24.95" customHeight="1">
      <c r="B53" s="840">
        <v>12</v>
      </c>
      <c r="C53" s="831"/>
      <c r="D53" s="831"/>
      <c r="E53" s="831"/>
      <c r="F53" s="831">
        <v>24</v>
      </c>
      <c r="G53" s="831"/>
      <c r="H53" s="831"/>
      <c r="I53" s="831"/>
      <c r="J53" s="841">
        <v>36</v>
      </c>
      <c r="K53" s="831"/>
      <c r="L53" s="831"/>
      <c r="M53" s="831"/>
      <c r="N53" s="831">
        <v>48</v>
      </c>
      <c r="O53" s="831"/>
      <c r="P53" s="838"/>
      <c r="Q53" s="839"/>
    </row>
    <row r="54" spans="2:17" ht="24.95" customHeight="1">
      <c r="B54" s="847"/>
      <c r="C54" s="841"/>
      <c r="D54" s="841"/>
      <c r="E54" s="841"/>
      <c r="F54" s="841"/>
      <c r="G54" s="841"/>
      <c r="H54" s="841"/>
      <c r="I54" s="841"/>
      <c r="J54" s="849"/>
      <c r="K54" s="841"/>
      <c r="L54" s="841"/>
      <c r="M54" s="841"/>
      <c r="N54" s="841"/>
      <c r="O54" s="841"/>
      <c r="P54" s="843"/>
      <c r="Q54" s="844"/>
    </row>
    <row r="55" spans="2:17" ht="24.95" customHeight="1" thickBot="1">
      <c r="B55" s="848"/>
      <c r="C55" s="842"/>
      <c r="D55" s="842"/>
      <c r="E55" s="842"/>
      <c r="F55" s="842"/>
      <c r="G55" s="842"/>
      <c r="H55" s="842"/>
      <c r="I55" s="842"/>
      <c r="J55" s="850"/>
      <c r="K55" s="842"/>
      <c r="L55" s="842"/>
      <c r="M55" s="842"/>
      <c r="N55" s="842"/>
      <c r="O55" s="842"/>
      <c r="P55" s="845"/>
      <c r="Q55" s="846"/>
    </row>
  </sheetData>
  <mergeCells count="106"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N23:N25"/>
    <mergeCell ref="O23:Q25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B18:Q18"/>
    <mergeCell ref="B20:B22"/>
    <mergeCell ref="C20:E22"/>
    <mergeCell ref="F20:F22"/>
    <mergeCell ref="G20:I22"/>
    <mergeCell ref="J20:J22"/>
    <mergeCell ref="K20:M22"/>
    <mergeCell ref="N20:N22"/>
    <mergeCell ref="O20:Q22"/>
    <mergeCell ref="B2:Q2"/>
    <mergeCell ref="B4:I5"/>
    <mergeCell ref="J4:Q5"/>
    <mergeCell ref="B6:G6"/>
    <mergeCell ref="H6:M17"/>
    <mergeCell ref="N6:Q17"/>
    <mergeCell ref="B7:G10"/>
    <mergeCell ref="B11:G11"/>
    <mergeCell ref="B12:G17"/>
  </mergeCells>
  <phoneticPr fontId="3" type="noConversion"/>
  <printOptions horizontalCentered="1" verticalCentered="1"/>
  <pageMargins left="0" right="0" top="0" bottom="0" header="0" footer="0"/>
  <pageSetup paperSize="9" scale="52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5층 12월 원본</vt:lpstr>
      <vt:lpstr>12.1</vt:lpstr>
      <vt:lpstr>12.2</vt:lpstr>
      <vt:lpstr>12.3</vt:lpstr>
      <vt:lpstr>HOLD지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2025-12-01T08:42:21Z</cp:lastPrinted>
  <dcterms:created xsi:type="dcterms:W3CDTF">2025-11-27T08:29:19Z</dcterms:created>
  <dcterms:modified xsi:type="dcterms:W3CDTF">2025-12-02T06:43:11Z</dcterms:modified>
</cp:coreProperties>
</file>