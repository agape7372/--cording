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xr:revisionPtr revIDLastSave="0" documentId="13_ncr:1_{177A590C-FA5F-4DB5-8E60-BBFE873233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2.01" sheetId="1" r:id="rId1"/>
    <sheet name="12.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2" l="1"/>
  <c r="M37" i="2"/>
  <c r="H37" i="2"/>
  <c r="R28" i="2"/>
  <c r="R22" i="2"/>
  <c r="R17" i="2"/>
  <c r="R12" i="2"/>
  <c r="R7" i="2"/>
  <c r="E37" i="2"/>
  <c r="R13" i="2"/>
  <c r="P37" i="2"/>
  <c r="K37" i="2"/>
  <c r="G37" i="2"/>
  <c r="R26" i="2"/>
  <c r="R21" i="2"/>
  <c r="R15" i="2"/>
  <c r="R10" i="2"/>
  <c r="R6" i="2"/>
  <c r="I37" i="2"/>
  <c r="R18" i="2"/>
  <c r="R4" i="2"/>
  <c r="O37" i="2"/>
  <c r="J37" i="2"/>
  <c r="F37" i="2"/>
  <c r="R24" i="2"/>
  <c r="R19" i="2"/>
  <c r="R14" i="2"/>
  <c r="R9" i="2"/>
  <c r="R5" i="2"/>
  <c r="N37" i="2"/>
  <c r="R23" i="2"/>
  <c r="R8" i="2"/>
  <c r="R7" i="1"/>
  <c r="R24" i="1"/>
  <c r="R19" i="1"/>
  <c r="R14" i="1"/>
  <c r="R15" i="1"/>
  <c r="R11" i="1"/>
  <c r="R28" i="1"/>
  <c r="R18" i="1"/>
  <c r="R13" i="1"/>
  <c r="R9" i="1"/>
  <c r="R10" i="1"/>
  <c r="R23" i="1"/>
  <c r="R17" i="1"/>
  <c r="R12" i="1"/>
  <c r="R8" i="1"/>
  <c r="R5" i="1"/>
  <c r="R22" i="1"/>
  <c r="R26" i="1"/>
  <c r="R21" i="1"/>
  <c r="R6" i="1"/>
  <c r="R4" i="1"/>
  <c r="R3" i="2" l="1"/>
  <c r="R3" i="1"/>
</calcChain>
</file>

<file path=xl/sharedStrings.xml><?xml version="1.0" encoding="utf-8"?>
<sst xmlns="http://schemas.openxmlformats.org/spreadsheetml/2006/main" count="677" uniqueCount="594">
  <si>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</si>
  <si>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</si>
  <si>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</si>
  <si>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</si>
  <si>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</si>
  <si>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</si>
  <si>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</si>
  <si>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</si>
  <si>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</si>
  <si>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</si>
  <si>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</si>
  <si>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</si>
  <si>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</si>
  <si>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</si>
  <si>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</si>
  <si>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</si>
  <si>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</si>
  <si>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홍지민</t>
    <phoneticPr fontId="3" type="noConversion"/>
  </si>
  <si>
    <t>N서승달</t>
    <phoneticPr fontId="3" type="noConversion"/>
  </si>
  <si>
    <t>RM이난주</t>
    <phoneticPr fontId="3" type="noConversion"/>
  </si>
  <si>
    <t>RG정태두</t>
  </si>
  <si>
    <t>RM김성자10</t>
    <phoneticPr fontId="3" type="noConversion"/>
  </si>
  <si>
    <t>N임종범</t>
    <phoneticPr fontId="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</si>
  <si>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</si>
  <si>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</si>
  <si>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</si>
  <si>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</si>
  <si>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임지현</t>
  </si>
  <si>
    <t>N7최지선3</t>
  </si>
  <si>
    <t>RM이병희3</t>
    <phoneticPr fontId="3" type="noConversion"/>
  </si>
  <si>
    <t>RN정현숙4</t>
  </si>
  <si>
    <t>RN이팔원</t>
    <phoneticPr fontId="3" type="noConversion"/>
  </si>
  <si>
    <t>RN우영희2</t>
  </si>
  <si>
    <t>RM김석군</t>
    <phoneticPr fontId="17" type="noConversion"/>
  </si>
  <si>
    <t>김채린</t>
    <phoneticPr fontId="3" type="noConversion"/>
  </si>
  <si>
    <t>RN정경철</t>
    <phoneticPr fontId="3" type="noConversion"/>
  </si>
  <si>
    <t>RM김석군</t>
    <phoneticPr fontId="3" type="noConversion"/>
  </si>
  <si>
    <t>N7박성구D</t>
    <phoneticPr fontId="3" type="noConversion"/>
  </si>
  <si>
    <t>N김을언</t>
    <phoneticPr fontId="3" type="noConversion"/>
  </si>
  <si>
    <t>최예원</t>
    <phoneticPr fontId="3" type="noConversion"/>
  </si>
  <si>
    <t>RM이병희3</t>
  </si>
  <si>
    <t>RG최상근3</t>
    <phoneticPr fontId="3" type="noConversion"/>
  </si>
  <si>
    <t>RM정경철</t>
    <phoneticPr fontId="3" type="noConversion"/>
  </si>
  <si>
    <t>RG정태두</t>
    <phoneticPr fontId="3" type="noConversion"/>
  </si>
  <si>
    <t>서원빈</t>
    <phoneticPr fontId="3" type="noConversion"/>
  </si>
  <si>
    <t>N지복례</t>
    <phoneticPr fontId="17" type="noConversion"/>
  </si>
  <si>
    <t>N지복례</t>
    <phoneticPr fontId="13" type="noConversion"/>
  </si>
  <si>
    <t>N우학송</t>
    <phoneticPr fontId="13" type="noConversion"/>
  </si>
  <si>
    <t>N신기순2</t>
    <phoneticPr fontId="3" type="noConversion"/>
  </si>
  <si>
    <t>RM임낙규</t>
    <phoneticPr fontId="3" type="noConversion"/>
  </si>
  <si>
    <t>RN이진봉</t>
    <phoneticPr fontId="3" type="noConversion"/>
  </si>
  <si>
    <t>박민경</t>
    <phoneticPr fontId="3" type="noConversion"/>
  </si>
  <si>
    <t>RM서극원</t>
    <phoneticPr fontId="3" type="noConversion"/>
  </si>
  <si>
    <t>N김시철</t>
    <phoneticPr fontId="3" type="noConversion"/>
  </si>
  <si>
    <t>RM한경애4</t>
    <phoneticPr fontId="3" type="noConversion"/>
  </si>
  <si>
    <t>RM강용수</t>
    <phoneticPr fontId="3" type="noConversion"/>
  </si>
  <si>
    <t>N김정규2</t>
  </si>
  <si>
    <t>임수민</t>
    <phoneticPr fontId="3" type="noConversion"/>
  </si>
  <si>
    <t>N7김진옥7A</t>
  </si>
  <si>
    <t>N김을언</t>
    <phoneticPr fontId="17" type="noConversion"/>
  </si>
  <si>
    <t>RM이진봉</t>
    <phoneticPr fontId="3" type="noConversion"/>
  </si>
  <si>
    <t>N7지복례D</t>
    <phoneticPr fontId="3" type="noConversion"/>
  </si>
  <si>
    <t>RM권영순6</t>
  </si>
  <si>
    <t>유태현
(연차)</t>
    <phoneticPr fontId="3" type="noConversion"/>
  </si>
  <si>
    <t>강지영</t>
    <phoneticPr fontId="3" type="noConversion"/>
  </si>
  <si>
    <t>N송옥경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</si>
  <si>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</si>
  <si>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</si>
  <si>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</si>
  <si>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N송갑헌</t>
    <phoneticPr fontId="17" type="noConversion"/>
  </si>
  <si>
    <t>RN김기연5</t>
    <phoneticPr fontId="3" type="noConversion"/>
  </si>
  <si>
    <t>장해민</t>
    <phoneticPr fontId="3" type="noConversion"/>
  </si>
  <si>
    <t>RA최상근3</t>
    <phoneticPr fontId="3" type="noConversion"/>
  </si>
  <si>
    <t>RA홍선화</t>
  </si>
  <si>
    <t>C김을언
C김정규2</t>
  </si>
  <si>
    <t>RD이병희3</t>
    <phoneticPr fontId="3" type="noConversion"/>
  </si>
  <si>
    <t>RA권오운</t>
    <phoneticPr fontId="3" type="noConversion"/>
  </si>
  <si>
    <t>RA정태두</t>
    <phoneticPr fontId="3" type="noConversion"/>
  </si>
  <si>
    <t>RA서극원</t>
    <phoneticPr fontId="3" type="noConversion"/>
  </si>
  <si>
    <t>장효원</t>
    <phoneticPr fontId="3" type="noConversion"/>
  </si>
  <si>
    <t>RA임낙규</t>
    <phoneticPr fontId="3" type="noConversion"/>
  </si>
  <si>
    <t>O7구본창D</t>
    <phoneticPr fontId="3" type="noConversion"/>
  </si>
  <si>
    <t>O7박은용D</t>
    <phoneticPr fontId="3" type="noConversion"/>
  </si>
  <si>
    <t>RA이난주</t>
    <phoneticPr fontId="3" type="noConversion"/>
  </si>
  <si>
    <t>이경미
(공가)</t>
    <phoneticPr fontId="3" type="noConversion"/>
  </si>
  <si>
    <t>장세희</t>
    <phoneticPr fontId="3" type="noConversion"/>
  </si>
  <si>
    <t>RA강용수</t>
    <phoneticPr fontId="3" type="noConversion"/>
  </si>
  <si>
    <t>RA이팔원</t>
    <phoneticPr fontId="3" type="noConversion"/>
  </si>
  <si>
    <t>RS정경철</t>
    <phoneticPr fontId="3" type="noConversion"/>
  </si>
  <si>
    <t>RA유정순3</t>
    <phoneticPr fontId="3" type="noConversion"/>
  </si>
  <si>
    <t>RS권오운</t>
    <phoneticPr fontId="3" type="noConversion"/>
  </si>
  <si>
    <t>이은지4</t>
    <phoneticPr fontId="3" type="noConversion"/>
  </si>
  <si>
    <t>RD전동순</t>
    <phoneticPr fontId="3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</si>
  <si>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</si>
  <si>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</si>
  <si>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</si>
  <si>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RA우영희2</t>
  </si>
  <si>
    <t>C서승달</t>
    <phoneticPr fontId="3" type="noConversion"/>
  </si>
  <si>
    <t>C송옥경
C지복례</t>
    <phoneticPr fontId="3" type="noConversion"/>
  </si>
  <si>
    <t>정상환
(연차)</t>
    <phoneticPr fontId="3" type="noConversion"/>
  </si>
  <si>
    <t>RA정경철</t>
    <phoneticPr fontId="3" type="noConversion"/>
  </si>
  <si>
    <t>김영빈</t>
    <phoneticPr fontId="3" type="noConversion"/>
  </si>
  <si>
    <t>D유혜영4</t>
    <phoneticPr fontId="3" type="noConversion"/>
  </si>
  <si>
    <t>RA김성자10</t>
  </si>
  <si>
    <t>C우학송
C신기순2</t>
    <phoneticPr fontId="3" type="noConversion"/>
  </si>
  <si>
    <t>최예은</t>
    <phoneticPr fontId="3" type="noConversion"/>
  </si>
  <si>
    <t>C김시철</t>
    <phoneticPr fontId="3" type="noConversion"/>
  </si>
  <si>
    <t>H김을언</t>
    <phoneticPr fontId="3" type="noConversion"/>
  </si>
  <si>
    <t>RA정현숙4</t>
  </si>
  <si>
    <t>계장</t>
    <phoneticPr fontId="3" type="noConversion"/>
  </si>
  <si>
    <t>강인화</t>
    <phoneticPr fontId="3" type="noConversion"/>
  </si>
  <si>
    <t>RA김석군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</si>
  <si>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</si>
  <si>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</si>
  <si>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</si>
  <si>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* 당일시간변경</t>
    <phoneticPr fontId="3" type="noConversion"/>
  </si>
  <si>
    <t>박수진</t>
    <phoneticPr fontId="3" type="noConversion"/>
  </si>
  <si>
    <t>이나예</t>
    <phoneticPr fontId="3" type="noConversion"/>
  </si>
  <si>
    <t>단축근무</t>
    <phoneticPr fontId="3" type="noConversion"/>
  </si>
  <si>
    <t>F김택중</t>
    <phoneticPr fontId="3" type="noConversion"/>
  </si>
  <si>
    <t>F조정자
F김시철
F권용길</t>
    <phoneticPr fontId="3" type="noConversion"/>
  </si>
  <si>
    <t>F임헌수2
F양병후
F우학송
F임종범
F김정규2</t>
  </si>
  <si>
    <t>F신연애
F유혜영4</t>
    <phoneticPr fontId="3" type="noConversion"/>
  </si>
  <si>
    <t>F지복례
F서승달</t>
    <phoneticPr fontId="3" type="noConversion"/>
  </si>
  <si>
    <r>
      <t>F황종길</t>
    </r>
    <r>
      <rPr>
        <sz val="10"/>
        <rFont val="돋움"/>
        <family val="3"/>
        <charset val="129"/>
      </rPr>
      <t xml:space="preserve">
F김을언
F김진옥7
F김정규2</t>
    </r>
    <phoneticPr fontId="3" type="noConversion"/>
  </si>
  <si>
    <t>F최지선3
F박성구</t>
    <phoneticPr fontId="3" type="noConversion"/>
  </si>
  <si>
    <t>5층 재활센터 차팅확인지     2025. 12. 01  (월)</t>
    <phoneticPr fontId="3" type="noConversion"/>
  </si>
  <si>
    <t>N7유혜영4</t>
    <phoneticPr fontId="3" type="noConversion"/>
  </si>
  <si>
    <t>RA한경애4</t>
    <phoneticPr fontId="3" type="noConversion"/>
  </si>
  <si>
    <t>조정자(평)</t>
    <phoneticPr fontId="3" type="noConversion"/>
  </si>
  <si>
    <t>M우학송</t>
  </si>
  <si>
    <t>M배성범
M신연애
M조정자
M임종범</t>
  </si>
  <si>
    <t>M우학송
M김정규2</t>
  </si>
  <si>
    <t>M김진옥7
M양병후
M황종길</t>
  </si>
  <si>
    <t>M조정자
M김시철
M박은용
M신기순2
M박성구</t>
  </si>
  <si>
    <t>M최지선3
M양병후
M황종길
M임헌수2
M신기순2</t>
    <phoneticPr fontId="3" type="noConversion"/>
  </si>
  <si>
    <t>M박성구
M지복례
M김시철
C최종성</t>
    <phoneticPr fontId="3" type="noConversion"/>
  </si>
  <si>
    <t>M김을언</t>
    <phoneticPr fontId="3" type="noConversion"/>
  </si>
  <si>
    <t xml:space="preserve"> </t>
    <phoneticPr fontId="3" type="noConversion"/>
  </si>
  <si>
    <t>M김을언
M연현숙2</t>
    <phoneticPr fontId="3" type="noConversion"/>
  </si>
  <si>
    <t xml:space="preserve">
MM김석군</t>
    <phoneticPr fontId="3" type="noConversion"/>
  </si>
  <si>
    <t>MM정현숙4
MM권오운</t>
    <phoneticPr fontId="3" type="noConversion"/>
  </si>
  <si>
    <t>MM이난주
MM이병희3
MM정태두
MM유정순3
MM서극원</t>
    <phoneticPr fontId="3" type="noConversion"/>
  </si>
  <si>
    <t>MM이팔원</t>
    <phoneticPr fontId="3" type="noConversion"/>
  </si>
  <si>
    <t>M김진옥7
M구본창
M김택중
M박은용
M권용길
M지복례</t>
    <phoneticPr fontId="3" type="noConversion"/>
  </si>
  <si>
    <t>F배성범
F신기순2
F박은용</t>
    <phoneticPr fontId="3" type="noConversion"/>
  </si>
  <si>
    <t>F신기순2
F연현숙2</t>
    <phoneticPr fontId="3" type="noConversion"/>
  </si>
  <si>
    <t>MM이진봉</t>
    <phoneticPr fontId="3" type="noConversion"/>
  </si>
  <si>
    <t xml:space="preserve">김인순3님 : 재입원 RN2, RM4, MM4, RS2, RA4
김종운3님 : 재입원
</t>
    <phoneticPr fontId="3" type="noConversion"/>
  </si>
  <si>
    <t>* HOLD</t>
    <phoneticPr fontId="3" type="noConversion"/>
  </si>
  <si>
    <t>김인순3님 RA 10:15 → 11:25
임헌수2님 CA 15:15 ↔ M 15:50
김석군님 RM 14:40 → 15:50
지복례님 N 13:30 ↔ FES 09:05
김종운3님 N 10:50 → 08:30
송갑헌님 N 12:00 → 09:40
박은용님 CA 13:30 → 15:15
전동순님 RA 08:30 → 09:40
김석군님 RS 11:25 → 14:40
홍선화님 RA 12:00 → 09:40
김명배3님 RD 10:15 → 09:05
황종길님 09:40 언어추가치료 (평가예정)
유태현 대체 : 6층,소아
이경미 대체 : 6층,소아
정상환 대체 : 6층,소아</t>
    <phoneticPr fontId="3" type="noConversion"/>
  </si>
  <si>
    <t>RM이진봉</t>
    <phoneticPr fontId="3" type="noConversion"/>
  </si>
  <si>
    <t>RM이팔원</t>
    <phoneticPr fontId="3" type="noConversion"/>
  </si>
  <si>
    <t>RM1한경애4(평)</t>
    <phoneticPr fontId="3" type="noConversion"/>
  </si>
  <si>
    <t>RN1이난주(평)</t>
    <phoneticPr fontId="13" type="noConversion"/>
  </si>
  <si>
    <t>우학송(평)</t>
    <phoneticPr fontId="3" type="noConversion"/>
  </si>
  <si>
    <t>신기순2(평)</t>
    <phoneticPr fontId="3" type="noConversion"/>
  </si>
  <si>
    <t>김진옥7(평)</t>
    <phoneticPr fontId="3" type="noConversion"/>
  </si>
  <si>
    <t>지복례(평)</t>
    <phoneticPr fontId="13" type="noConversion"/>
  </si>
  <si>
    <t>H7임낙규</t>
    <phoneticPr fontId="3" type="noConversion"/>
  </si>
  <si>
    <t>RA임낙규</t>
    <phoneticPr fontId="3" type="noConversion"/>
  </si>
  <si>
    <t>임종범(평)</t>
    <phoneticPr fontId="3" type="noConversion"/>
  </si>
  <si>
    <t>유혜영4(평)</t>
    <phoneticPr fontId="3" type="noConversion"/>
  </si>
  <si>
    <t>RA1정태두(평)</t>
    <phoneticPr fontId="3" type="noConversion"/>
  </si>
  <si>
    <t>최지선3(평)</t>
    <phoneticPr fontId="3" type="noConversion"/>
  </si>
  <si>
    <t>황종길(평)</t>
    <phoneticPr fontId="3" type="noConversion"/>
  </si>
  <si>
    <t>RM김성자10</t>
    <phoneticPr fontId="17" type="noConversion"/>
  </si>
  <si>
    <t>박은용(평)</t>
    <phoneticPr fontId="3" type="noConversion"/>
  </si>
  <si>
    <t>배성범(평)</t>
    <phoneticPr fontId="3" type="noConversion"/>
  </si>
  <si>
    <t>양병후(평)</t>
    <phoneticPr fontId="3" type="noConversion"/>
  </si>
  <si>
    <t>연현숙2(평)</t>
    <phoneticPr fontId="3" type="noConversion"/>
  </si>
  <si>
    <t>O7우학송</t>
    <phoneticPr fontId="17" type="noConversion"/>
  </si>
  <si>
    <t>RA1이팔원(평)</t>
    <phoneticPr fontId="3" type="noConversion"/>
  </si>
  <si>
    <t>박성구(평)</t>
    <phoneticPr fontId="3" type="noConversion"/>
  </si>
  <si>
    <t>RA1윤소희3(평)</t>
    <phoneticPr fontId="3" type="noConversion"/>
  </si>
  <si>
    <t>김을언(평)</t>
    <phoneticPr fontId="3" type="noConversion"/>
  </si>
  <si>
    <t>RA김성자10</t>
    <phoneticPr fontId="3" type="noConversion"/>
  </si>
  <si>
    <t>RM한경애4</t>
    <phoneticPr fontId="3" type="noConversion"/>
  </si>
  <si>
    <t>신기순2(평)</t>
    <phoneticPr fontId="3" type="noConversion"/>
  </si>
  <si>
    <t>전혜옥(평)</t>
    <phoneticPr fontId="3" type="noConversion"/>
  </si>
  <si>
    <t>신연애(평)</t>
    <phoneticPr fontId="3" type="noConversion"/>
  </si>
  <si>
    <t>서승달(평)</t>
    <phoneticPr fontId="3" type="noConversion"/>
  </si>
  <si>
    <t>RA1전동순(평)</t>
    <phoneticPr fontId="3" type="noConversion"/>
  </si>
  <si>
    <t>RA1이병희3(평)</t>
    <phoneticPr fontId="3" type="noConversion"/>
  </si>
  <si>
    <t>김택중(평)</t>
    <phoneticPr fontId="3" type="noConversion"/>
  </si>
  <si>
    <t>V김시철</t>
    <phoneticPr fontId="3" type="noConversion"/>
  </si>
  <si>
    <t>RG최상근3</t>
    <phoneticPr fontId="3" type="noConversion"/>
  </si>
  <si>
    <t>RM1전동순(평)</t>
    <phoneticPr fontId="3" type="noConversion"/>
  </si>
  <si>
    <t>N황종길</t>
    <phoneticPr fontId="3" type="noConversion"/>
  </si>
  <si>
    <t>송갑헌(평)</t>
    <phoneticPr fontId="13" type="noConversion"/>
  </si>
  <si>
    <t>N유혜영4</t>
    <phoneticPr fontId="3" type="noConversion"/>
  </si>
  <si>
    <t>RM한경애4</t>
    <phoneticPr fontId="3" type="noConversion"/>
  </si>
  <si>
    <t>김시철(평)</t>
    <phoneticPr fontId="3" type="noConversion"/>
  </si>
  <si>
    <t>RN1권오운(평)</t>
    <phoneticPr fontId="3" type="noConversion"/>
  </si>
  <si>
    <t>N김진옥7</t>
    <phoneticPr fontId="3" type="noConversion"/>
  </si>
  <si>
    <t>RN1김성자10(평)</t>
    <phoneticPr fontId="3" type="noConversion"/>
  </si>
  <si>
    <t>N박은용</t>
    <phoneticPr fontId="3" type="noConversion"/>
  </si>
  <si>
    <t>RM1이진봉(평)</t>
    <phoneticPr fontId="3" type="noConversion"/>
  </si>
  <si>
    <t>배성범(평)</t>
    <phoneticPr fontId="3" type="noConversion"/>
  </si>
  <si>
    <t>RA1김석군(평)</t>
    <phoneticPr fontId="3" type="noConversion"/>
  </si>
  <si>
    <t>RS1우영희2(평)</t>
    <phoneticPr fontId="3" type="noConversion"/>
  </si>
  <si>
    <t>연현숙2(평)</t>
    <phoneticPr fontId="3" type="noConversion"/>
  </si>
  <si>
    <t>RA홍선화</t>
    <phoneticPr fontId="3" type="noConversion"/>
  </si>
  <si>
    <t>송갑헌(평)</t>
    <phoneticPr fontId="3" type="noConversion"/>
  </si>
  <si>
    <t>RS1유정순3(평)</t>
    <phoneticPr fontId="3" type="noConversion"/>
  </si>
  <si>
    <t>RS1김성자10(평)</t>
    <phoneticPr fontId="3" type="noConversion"/>
  </si>
  <si>
    <t>구본창(평)</t>
    <phoneticPr fontId="3" type="noConversion"/>
  </si>
  <si>
    <t>RS1한경애4(평)</t>
    <phoneticPr fontId="3" type="noConversion"/>
  </si>
  <si>
    <t>RG정태두</t>
    <phoneticPr fontId="3" type="noConversion"/>
  </si>
  <si>
    <t>MM임낙규
MM김석군
MM윤소희3
MM권오운</t>
    <phoneticPr fontId="3" type="noConversion"/>
  </si>
  <si>
    <t>RA홍선화</t>
    <phoneticPr fontId="3" type="noConversion"/>
  </si>
  <si>
    <t>RN윤소희3</t>
    <phoneticPr fontId="3" type="noConversion"/>
  </si>
  <si>
    <t>RM1윤소희3(평)</t>
    <phoneticPr fontId="17" type="noConversion"/>
  </si>
  <si>
    <t>박성구(평)</t>
    <phoneticPr fontId="3" type="noConversion"/>
  </si>
  <si>
    <t>RG정태두</t>
    <phoneticPr fontId="3" type="noConversion"/>
  </si>
  <si>
    <t>임헌수2(평)</t>
    <phoneticPr fontId="3" type="noConversion"/>
  </si>
  <si>
    <t>RM김성자10</t>
    <phoneticPr fontId="3" type="noConversion"/>
  </si>
  <si>
    <t>권용길(평)</t>
    <phoneticPr fontId="13" type="noConversion"/>
  </si>
  <si>
    <t>N신연애</t>
    <phoneticPr fontId="3" type="noConversion"/>
  </si>
  <si>
    <t>RS1홍선화(평)</t>
    <phoneticPr fontId="3" type="noConversion"/>
  </si>
  <si>
    <t>RS1권영순6(평)</t>
    <phoneticPr fontId="3" type="noConversion"/>
  </si>
  <si>
    <t>RA홍선화</t>
    <phoneticPr fontId="3" type="noConversion"/>
  </si>
  <si>
    <t>김정규2(평)</t>
    <phoneticPr fontId="3" type="noConversion"/>
  </si>
  <si>
    <t>RD김기연5</t>
    <phoneticPr fontId="3" type="noConversion"/>
  </si>
  <si>
    <t>RA1김기연5(평)</t>
    <phoneticPr fontId="3" type="noConversion"/>
  </si>
  <si>
    <t>RN1김석군(평)</t>
    <phoneticPr fontId="3" type="noConversion"/>
  </si>
  <si>
    <t>서승달(평)</t>
    <phoneticPr fontId="3" type="noConversion"/>
  </si>
  <si>
    <t>RG최옥자(3)</t>
    <phoneticPr fontId="3" type="noConversion"/>
  </si>
  <si>
    <t>RM1우영희2(평)</t>
    <phoneticPr fontId="3" type="noConversion"/>
  </si>
  <si>
    <t>RM홍선화</t>
    <phoneticPr fontId="3" type="noConversion"/>
  </si>
  <si>
    <t>M최지선3
Tt김을언
M신연애
M임헌수2
M김정규2
M연현숙2</t>
    <phoneticPr fontId="3" type="noConversion"/>
  </si>
  <si>
    <t>M송옥경
M임종범
M권용길
M김택중
M배성범</t>
    <phoneticPr fontId="3" type="noConversion"/>
  </si>
  <si>
    <t>RA전동순</t>
    <phoneticPr fontId="3" type="noConversion"/>
  </si>
  <si>
    <t>RA우영희2</t>
    <phoneticPr fontId="3" type="noConversion"/>
  </si>
  <si>
    <t>RN1이병희3(평)</t>
    <phoneticPr fontId="3" type="noConversion"/>
  </si>
  <si>
    <t>RM1서극원(평)</t>
    <phoneticPr fontId="3" type="noConversion"/>
  </si>
  <si>
    <t>RN1권영순6(평)</t>
    <phoneticPr fontId="3" type="noConversion"/>
  </si>
  <si>
    <t>RN1임낙규(평)</t>
    <phoneticPr fontId="3" type="noConversion"/>
  </si>
  <si>
    <t>RN1유정순3(평)</t>
    <phoneticPr fontId="3" type="noConversion"/>
  </si>
  <si>
    <t>김정규2(평)</t>
    <phoneticPr fontId="3" type="noConversion"/>
  </si>
  <si>
    <t>RS이난주1(평)</t>
    <phoneticPr fontId="3" type="noConversion"/>
  </si>
  <si>
    <t>우학송(평)</t>
    <phoneticPr fontId="3" type="noConversion"/>
  </si>
  <si>
    <t>RM1정현숙4(평)</t>
    <phoneticPr fontId="3" type="noConversion"/>
  </si>
  <si>
    <t>RG최상근3</t>
    <phoneticPr fontId="17" type="noConversion"/>
  </si>
  <si>
    <t>RM1정경철(평)</t>
    <phoneticPr fontId="3" type="noConversion"/>
  </si>
  <si>
    <t>RN1강용수(평)</t>
    <phoneticPr fontId="3" type="noConversion"/>
  </si>
  <si>
    <t>신연애(평)</t>
    <phoneticPr fontId="3" type="noConversion"/>
  </si>
  <si>
    <t>RN1홍선화(평)</t>
    <phoneticPr fontId="3" type="noConversion"/>
  </si>
  <si>
    <t>RG1정태두(평)</t>
    <phoneticPr fontId="3" type="noConversion"/>
  </si>
  <si>
    <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심옥자님, 정선숙님 퇴원
김재환님 : all hold
*이문찬2님 : COM HOLD
*송옥경님 : N, M, F, CA HOLD
*김종운3님 : N, M, F, D, V HOLD
*김명배3님 : ALL HOLD
*김인순3님 : ALL HOLD
*전혜옥님 : M2 HOLD
*이병희3님 : RM2 HOLD
*유정순3님 : RM2 HOLD
*박은용님 : CA HOLD
</t>
    </r>
    <phoneticPr fontId="3" type="noConversion"/>
  </si>
  <si>
    <t>MM김기연5
MM최상근3CPM</t>
    <phoneticPr fontId="3" type="noConversion"/>
  </si>
  <si>
    <t>RA정경철</t>
    <phoneticPr fontId="3" type="noConversion"/>
  </si>
  <si>
    <t>임헌수2(평)</t>
    <phoneticPr fontId="17" type="noConversion"/>
  </si>
  <si>
    <t>MM권영순6
MM정경철
MM강용수</t>
    <phoneticPr fontId="3" type="noConversion"/>
  </si>
  <si>
    <t>유혜영4(평)</t>
    <phoneticPr fontId="3" type="noConversion"/>
  </si>
  <si>
    <t>RS1서극원(평)</t>
    <phoneticPr fontId="3" type="noConversion"/>
  </si>
  <si>
    <t>구본창(평)</t>
    <phoneticPr fontId="3" type="noConversion"/>
  </si>
  <si>
    <t>황종길(평)</t>
    <phoneticPr fontId="3" type="noConversion"/>
  </si>
  <si>
    <t>RA한경애4</t>
    <phoneticPr fontId="3" type="noConversion"/>
  </si>
  <si>
    <t>RA전동순</t>
    <phoneticPr fontId="3" type="noConversion"/>
  </si>
  <si>
    <t>김시철(평)</t>
    <phoneticPr fontId="3" type="noConversion"/>
  </si>
  <si>
    <t>RA1정경철(평)</t>
    <phoneticPr fontId="3" type="noConversion"/>
  </si>
  <si>
    <t>RA1이진봉(평)</t>
    <phoneticPr fontId="3" type="noConversion"/>
  </si>
  <si>
    <t>RS1정현숙4(평)</t>
    <phoneticPr fontId="3" type="noConversion"/>
  </si>
  <si>
    <t>권용길(평)</t>
    <phoneticPr fontId="3" type="noConversion"/>
  </si>
  <si>
    <t>RA1임낙규(평)</t>
    <phoneticPr fontId="3" type="noConversion"/>
  </si>
  <si>
    <t>양병후(평)</t>
    <phoneticPr fontId="3" type="noConversion"/>
  </si>
  <si>
    <t>V김말분</t>
  </si>
  <si>
    <t>V권정희3</t>
    <phoneticPr fontId="3" type="noConversion"/>
  </si>
  <si>
    <t>V김홍상</t>
    <phoneticPr fontId="3" type="noConversion"/>
  </si>
  <si>
    <t>H7윤소희3A</t>
    <phoneticPr fontId="17" type="noConversion"/>
  </si>
  <si>
    <t>D김시철</t>
    <phoneticPr fontId="17" type="noConversion"/>
  </si>
  <si>
    <t>*이문찬2</t>
    <phoneticPr fontId="3" type="noConversion"/>
  </si>
  <si>
    <t xml:space="preserve"> </t>
  </si>
  <si>
    <t>*이문찬2</t>
    <phoneticPr fontId="3" type="noConversion"/>
  </si>
  <si>
    <t>*전혜옥</t>
    <phoneticPr fontId="3" type="noConversion"/>
  </si>
  <si>
    <t>통증</t>
  </si>
  <si>
    <t>W권오운D</t>
    <phoneticPr fontId="3" type="noConversion"/>
  </si>
  <si>
    <t>알봇</t>
    <phoneticPr fontId="3" type="noConversion"/>
  </si>
  <si>
    <t>W김택중A</t>
    <phoneticPr fontId="3" type="noConversion"/>
  </si>
  <si>
    <t>W전동순B</t>
    <phoneticPr fontId="17" type="noConversion"/>
  </si>
  <si>
    <t>W권용길B</t>
    <phoneticPr fontId="3" type="noConversion"/>
  </si>
  <si>
    <t>이팔원</t>
    <phoneticPr fontId="3" type="noConversion"/>
  </si>
  <si>
    <t>워크봇</t>
    <phoneticPr fontId="3" type="noConversion"/>
  </si>
  <si>
    <t>W한경애4A</t>
    <phoneticPr fontId="3" type="noConversion"/>
  </si>
  <si>
    <t>모닝워크</t>
    <phoneticPr fontId="3" type="noConversion"/>
  </si>
  <si>
    <t>스마트보드</t>
  </si>
  <si>
    <t>베러코그(5)</t>
    <phoneticPr fontId="3" type="noConversion"/>
  </si>
  <si>
    <t>전산화인지치료 시간표</t>
    <phoneticPr fontId="3" type="noConversion"/>
  </si>
  <si>
    <t>바이오
피드백</t>
    <phoneticPr fontId="3" type="noConversion"/>
  </si>
  <si>
    <t>서재학</t>
    <phoneticPr fontId="3" type="noConversion"/>
  </si>
  <si>
    <t>호흡치료</t>
    <phoneticPr fontId="3" type="noConversion"/>
  </si>
  <si>
    <t>H7윤소희A</t>
    <phoneticPr fontId="17" type="noConversion"/>
  </si>
  <si>
    <t>임낙규D</t>
    <phoneticPr fontId="3" type="noConversion"/>
  </si>
  <si>
    <t>김진옥7A</t>
    <phoneticPr fontId="3" type="noConversion"/>
  </si>
  <si>
    <t>HAND</t>
    <phoneticPr fontId="3" type="noConversion"/>
  </si>
  <si>
    <t xml:space="preserve"> </t>
    <phoneticPr fontId="3" type="noConversion"/>
  </si>
  <si>
    <t>P우학송D</t>
    <phoneticPr fontId="17" type="noConversion"/>
  </si>
  <si>
    <t>P배성범B</t>
    <phoneticPr fontId="3" type="noConversion"/>
  </si>
  <si>
    <t>수중재활</t>
    <phoneticPr fontId="3" type="noConversion"/>
  </si>
  <si>
    <t>17:00~
17:30</t>
  </si>
  <si>
    <t>16:25~
16:55</t>
  </si>
  <si>
    <t>15:50~
16:20</t>
    <phoneticPr fontId="3" type="noConversion"/>
  </si>
  <si>
    <t>14:05~
14:35</t>
    <phoneticPr fontId="3" type="noConversion"/>
  </si>
  <si>
    <t>13:30~
14:00</t>
  </si>
  <si>
    <t>12:00~ 
12:30</t>
  </si>
  <si>
    <t>11:25~
11:55</t>
  </si>
  <si>
    <t>10:15~
10:45</t>
  </si>
  <si>
    <t>8:30~
9:00</t>
  </si>
  <si>
    <t xml:space="preserve">           시간    
치료사</t>
    <phoneticPr fontId="3" type="noConversion"/>
  </si>
  <si>
    <t>수중재활 스케줄</t>
  </si>
  <si>
    <t>C연현숙2</t>
    <phoneticPr fontId="3" type="noConversion"/>
  </si>
  <si>
    <t>C배성범
C권용길</t>
    <phoneticPr fontId="3" type="noConversion"/>
  </si>
  <si>
    <t>C김진옥7</t>
    <phoneticPr fontId="3" type="noConversion"/>
  </si>
  <si>
    <t>C신연애</t>
    <phoneticPr fontId="3" type="noConversion"/>
  </si>
  <si>
    <t>C조정자</t>
    <phoneticPr fontId="3" type="noConversion"/>
  </si>
  <si>
    <t>C황종길</t>
    <phoneticPr fontId="3" type="noConversion"/>
  </si>
  <si>
    <t>C임헌수2</t>
    <phoneticPr fontId="3" type="noConversion"/>
  </si>
  <si>
    <t>C</t>
    <phoneticPr fontId="3" type="noConversion"/>
  </si>
  <si>
    <t>D박은용</t>
    <phoneticPr fontId="13" type="noConversion"/>
  </si>
  <si>
    <t>D유혜영4</t>
    <phoneticPr fontId="3" type="noConversion"/>
  </si>
  <si>
    <t>D김택중(B)
D박은용</t>
    <phoneticPr fontId="3" type="noConversion"/>
  </si>
  <si>
    <t>D유혜영4</t>
    <phoneticPr fontId="3" type="noConversion"/>
  </si>
  <si>
    <t>D</t>
    <phoneticPr fontId="3" type="noConversion"/>
  </si>
  <si>
    <t>CA</t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</si>
  <si>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</si>
  <si>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N임헌수2
N황종길</t>
    <phoneticPr fontId="3" type="noConversion"/>
  </si>
  <si>
    <t>N연현숙2</t>
    <phoneticPr fontId="3" type="noConversion"/>
  </si>
  <si>
    <t>N양병후
N권용길</t>
    <phoneticPr fontId="3" type="noConversion"/>
  </si>
  <si>
    <t>N박은용</t>
    <phoneticPr fontId="3" type="noConversion"/>
  </si>
  <si>
    <t>N신연애</t>
    <phoneticPr fontId="3" type="noConversion"/>
  </si>
  <si>
    <t>N김진옥7</t>
    <phoneticPr fontId="3" type="noConversion"/>
  </si>
  <si>
    <t>N배성범</t>
    <phoneticPr fontId="3" type="noConversion"/>
  </si>
  <si>
    <t>N조정자</t>
    <phoneticPr fontId="3" type="noConversion"/>
  </si>
  <si>
    <t>N</t>
    <phoneticPr fontId="3" type="noConversion"/>
  </si>
  <si>
    <t>추가</t>
    <phoneticPr fontId="3" type="noConversion"/>
  </si>
  <si>
    <t>임수민
(무급휴직)</t>
    <phoneticPr fontId="3" type="noConversion"/>
  </si>
  <si>
    <t>단축근무</t>
    <phoneticPr fontId="3" type="noConversion"/>
  </si>
  <si>
    <t>F최지선3
F박성구
F김명복</t>
    <phoneticPr fontId="3" type="noConversion"/>
  </si>
  <si>
    <t>F황종길
F김을언
F김진옥7
F김정규2</t>
    <phoneticPr fontId="3" type="noConversion"/>
  </si>
  <si>
    <t>F지복례
F서승달</t>
    <phoneticPr fontId="3" type="noConversion"/>
  </si>
  <si>
    <t>F신연애
F유혜영4
F김명복</t>
    <phoneticPr fontId="3" type="noConversion"/>
  </si>
  <si>
    <t>F신기순2
F송옥경
F연현숙2</t>
    <phoneticPr fontId="3" type="noConversion"/>
  </si>
  <si>
    <t>F임헌수2
F양병후
F우학송
F임종범</t>
    <phoneticPr fontId="3" type="noConversion"/>
  </si>
  <si>
    <t>F배성범
F신기순2
F김종운3
F박은용</t>
    <phoneticPr fontId="3" type="noConversion"/>
  </si>
  <si>
    <t>F김택중</t>
    <phoneticPr fontId="3" type="noConversion"/>
  </si>
  <si>
    <t>단축근무</t>
    <phoneticPr fontId="3" type="noConversion"/>
  </si>
  <si>
    <t>이나예</t>
    <phoneticPr fontId="3" type="noConversion"/>
  </si>
  <si>
    <t>박수진</t>
    <phoneticPr fontId="3" type="noConversion"/>
  </si>
  <si>
    <t>CA연현숙2</t>
    <phoneticPr fontId="3" type="noConversion"/>
  </si>
  <si>
    <t>RS우영희2</t>
  </si>
  <si>
    <t>CA최지선3</t>
  </si>
  <si>
    <t>RA김석군</t>
    <phoneticPr fontId="3" type="noConversion"/>
  </si>
  <si>
    <t>RA유정순3</t>
    <phoneticPr fontId="3" type="noConversion"/>
  </si>
  <si>
    <t>RA김성자10</t>
    <phoneticPr fontId="3" type="noConversion"/>
  </si>
  <si>
    <t>김윤종</t>
    <phoneticPr fontId="3" type="noConversion"/>
  </si>
  <si>
    <t>RA이팔원</t>
    <phoneticPr fontId="3" type="noConversion"/>
  </si>
  <si>
    <t>CA조정자</t>
    <phoneticPr fontId="3" type="noConversion"/>
  </si>
  <si>
    <t>CA배성범</t>
    <phoneticPr fontId="3" type="noConversion"/>
  </si>
  <si>
    <t>RA김석군</t>
    <phoneticPr fontId="3" type="noConversion"/>
  </si>
  <si>
    <t>강인화</t>
    <phoneticPr fontId="3" type="noConversion"/>
  </si>
  <si>
    <t>계장</t>
    <phoneticPr fontId="3" type="noConversion"/>
  </si>
  <si>
    <t>RA강용수</t>
    <phoneticPr fontId="3" type="noConversion"/>
  </si>
  <si>
    <t>RS서극원</t>
    <phoneticPr fontId="3" type="noConversion"/>
  </si>
  <si>
    <t>H김을언</t>
    <phoneticPr fontId="3" type="noConversion"/>
  </si>
  <si>
    <t>RA임낙규</t>
    <phoneticPr fontId="3" type="noConversion"/>
  </si>
  <si>
    <t>RA윤소희3</t>
    <phoneticPr fontId="17" type="noConversion"/>
  </si>
  <si>
    <t>CA김시철</t>
    <phoneticPr fontId="3" type="noConversion"/>
  </si>
  <si>
    <t>CA황종길</t>
    <phoneticPr fontId="3" type="noConversion"/>
  </si>
  <si>
    <t>C김시철</t>
    <phoneticPr fontId="3" type="noConversion"/>
  </si>
  <si>
    <t>최예은</t>
    <phoneticPr fontId="3" type="noConversion"/>
  </si>
  <si>
    <t>RA최상근3</t>
    <phoneticPr fontId="3" type="noConversion"/>
  </si>
  <si>
    <t>CA양병후</t>
    <phoneticPr fontId="3" type="noConversion"/>
  </si>
  <si>
    <t>C우학송
C신기순2</t>
    <phoneticPr fontId="3" type="noConversion"/>
  </si>
  <si>
    <t>RA임낙규</t>
    <phoneticPr fontId="3" type="noConversion"/>
  </si>
  <si>
    <t>CA권용길</t>
    <phoneticPr fontId="3" type="noConversion"/>
  </si>
  <si>
    <t>CA우학송</t>
    <phoneticPr fontId="3" type="noConversion"/>
  </si>
  <si>
    <t>RS이난주</t>
    <phoneticPr fontId="3" type="noConversion"/>
  </si>
  <si>
    <t>D유혜영4</t>
    <phoneticPr fontId="3" type="noConversion"/>
  </si>
  <si>
    <t>김영빈</t>
    <phoneticPr fontId="3" type="noConversion"/>
  </si>
  <si>
    <t>* 퇴원 및 HOLD</t>
    <phoneticPr fontId="17" type="noConversion"/>
  </si>
  <si>
    <t>정상환
(연차)</t>
    <phoneticPr fontId="3" type="noConversion"/>
  </si>
  <si>
    <t>CA김택중</t>
    <phoneticPr fontId="3" type="noConversion"/>
  </si>
  <si>
    <t>C송옥경
C지복례</t>
    <phoneticPr fontId="3" type="noConversion"/>
  </si>
  <si>
    <t>RA이병희3</t>
  </si>
  <si>
    <t>전산화인지
김명복</t>
    <phoneticPr fontId="3" type="noConversion"/>
  </si>
  <si>
    <t>CA서승달</t>
    <phoneticPr fontId="3" type="noConversion"/>
  </si>
  <si>
    <t>C서승달
C김명복</t>
    <phoneticPr fontId="3" type="noConversion"/>
  </si>
  <si>
    <t>CA신연애</t>
    <phoneticPr fontId="3" type="noConversion"/>
  </si>
  <si>
    <t>CA임헌수2</t>
    <phoneticPr fontId="17" type="noConversion"/>
  </si>
  <si>
    <t>CA신기순2</t>
  </si>
  <si>
    <t>RS임낙규</t>
    <phoneticPr fontId="3" type="noConversion"/>
  </si>
  <si>
    <t>김희수</t>
    <phoneticPr fontId="3" type="noConversion"/>
  </si>
  <si>
    <t>RA권오운</t>
    <phoneticPr fontId="3" type="noConversion"/>
  </si>
  <si>
    <t>C임종범
C송갑헌</t>
    <phoneticPr fontId="3" type="noConversion"/>
  </si>
  <si>
    <t>RA김기연5</t>
    <phoneticPr fontId="3" type="noConversion"/>
  </si>
  <si>
    <t>RD전동순</t>
    <phoneticPr fontId="3" type="noConversion"/>
  </si>
  <si>
    <t>RA홍선화</t>
    <phoneticPr fontId="3" type="noConversion"/>
  </si>
  <si>
    <t>RS권영순6</t>
    <phoneticPr fontId="3" type="noConversion"/>
  </si>
  <si>
    <t>RA정태두</t>
    <phoneticPr fontId="3" type="noConversion"/>
  </si>
  <si>
    <t>RA한경애4</t>
    <phoneticPr fontId="3" type="noConversion"/>
  </si>
  <si>
    <t>RD김기연5</t>
    <phoneticPr fontId="3" type="noConversion"/>
  </si>
  <si>
    <t>RS홍선화</t>
    <phoneticPr fontId="3" type="noConversion"/>
  </si>
  <si>
    <t>이은지4</t>
    <phoneticPr fontId="3" type="noConversion"/>
  </si>
  <si>
    <t>RS권오운</t>
    <phoneticPr fontId="3" type="noConversion"/>
  </si>
  <si>
    <t>CA김을언</t>
    <phoneticPr fontId="3" type="noConversion"/>
  </si>
  <si>
    <t>RA윤소희3</t>
    <phoneticPr fontId="3" type="noConversion"/>
  </si>
  <si>
    <t>RA이팔원</t>
    <phoneticPr fontId="3" type="noConversion"/>
  </si>
  <si>
    <t>RA최상근3</t>
    <phoneticPr fontId="3" type="noConversion"/>
  </si>
  <si>
    <t>RD김재환2</t>
    <phoneticPr fontId="3" type="noConversion"/>
  </si>
  <si>
    <t>CA박성구</t>
    <phoneticPr fontId="3" type="noConversion"/>
  </si>
  <si>
    <t>장세희</t>
    <phoneticPr fontId="3" type="noConversion"/>
  </si>
  <si>
    <t>이경미
(공가)</t>
    <phoneticPr fontId="3" type="noConversion"/>
  </si>
  <si>
    <t>RA이난주</t>
    <phoneticPr fontId="3" type="noConversion"/>
  </si>
  <si>
    <t>RS한경애4</t>
    <phoneticPr fontId="3" type="noConversion"/>
  </si>
  <si>
    <t>O7박은용D</t>
    <phoneticPr fontId="3" type="noConversion"/>
  </si>
  <si>
    <t>S구본창</t>
    <phoneticPr fontId="3" type="noConversion"/>
  </si>
  <si>
    <t>RS유정순3</t>
    <phoneticPr fontId="3" type="noConversion"/>
  </si>
  <si>
    <t>CA송갑헌</t>
    <phoneticPr fontId="3" type="noConversion"/>
  </si>
  <si>
    <t>O7구본창D</t>
    <phoneticPr fontId="3" type="noConversion"/>
  </si>
  <si>
    <t>RA임낙규</t>
    <phoneticPr fontId="3" type="noConversion"/>
  </si>
  <si>
    <t>장효원</t>
    <phoneticPr fontId="3" type="noConversion"/>
  </si>
  <si>
    <t>RA서극원</t>
    <phoneticPr fontId="3" type="noConversion"/>
  </si>
  <si>
    <t>RA정태두</t>
    <phoneticPr fontId="3" type="noConversion"/>
  </si>
  <si>
    <t>CA임종범</t>
    <phoneticPr fontId="3" type="noConversion"/>
  </si>
  <si>
    <t>RD이병희3</t>
    <phoneticPr fontId="3" type="noConversion"/>
  </si>
  <si>
    <t>C김을언</t>
    <phoneticPr fontId="3" type="noConversion"/>
  </si>
  <si>
    <t>H7임낙규D</t>
    <phoneticPr fontId="3" type="noConversion"/>
  </si>
  <si>
    <t>RA최상근3</t>
    <phoneticPr fontId="3" type="noConversion"/>
  </si>
  <si>
    <t>CA지복례</t>
    <phoneticPr fontId="13" type="noConversion"/>
  </si>
  <si>
    <t>장해민</t>
    <phoneticPr fontId="3" type="noConversion"/>
  </si>
  <si>
    <t>RG정태두</t>
    <phoneticPr fontId="3" type="noConversion"/>
  </si>
  <si>
    <t>N임종범</t>
    <phoneticPr fontId="3" type="noConversion"/>
  </si>
  <si>
    <t>N김진옥7</t>
    <phoneticPr fontId="3" type="noConversion"/>
  </si>
  <si>
    <t>N신기순2</t>
    <phoneticPr fontId="3" type="noConversion"/>
  </si>
  <si>
    <t>N우학송</t>
    <phoneticPr fontId="3" type="noConversion"/>
  </si>
  <si>
    <t>N황춘자</t>
    <phoneticPr fontId="17" type="noConversion"/>
  </si>
  <si>
    <t>RN이난주</t>
    <phoneticPr fontId="13" type="noConversion"/>
  </si>
  <si>
    <t>RM한경애4</t>
    <phoneticPr fontId="3" type="noConversion"/>
  </si>
  <si>
    <t>장수빈</t>
    <phoneticPr fontId="3" type="noConversion"/>
  </si>
  <si>
    <t>RM권영순6</t>
    <phoneticPr fontId="3" type="noConversion"/>
  </si>
  <si>
    <t>RN김명배3</t>
    <phoneticPr fontId="3" type="noConversion"/>
  </si>
  <si>
    <t>RN김성자10</t>
    <phoneticPr fontId="3" type="noConversion"/>
  </si>
  <si>
    <t>RN권오운</t>
    <phoneticPr fontId="3" type="noConversion"/>
  </si>
  <si>
    <t>N김시철</t>
    <phoneticPr fontId="3" type="noConversion"/>
  </si>
  <si>
    <t>N유혜영4</t>
  </si>
  <si>
    <t>강지영</t>
    <phoneticPr fontId="3" type="noConversion"/>
  </si>
  <si>
    <t>유태현
(연차)</t>
    <phoneticPr fontId="3" type="noConversion"/>
  </si>
  <si>
    <t>N송갑헌</t>
    <phoneticPr fontId="13" type="noConversion"/>
  </si>
  <si>
    <t>RM이난주</t>
    <phoneticPr fontId="3" type="noConversion"/>
  </si>
  <si>
    <t>N7지복례D</t>
    <phoneticPr fontId="3" type="noConversion"/>
  </si>
  <si>
    <t>RG배영자</t>
    <phoneticPr fontId="3" type="noConversion"/>
  </si>
  <si>
    <t>N7유혜영4</t>
    <phoneticPr fontId="3" type="noConversion"/>
  </si>
  <si>
    <t>RM전동순</t>
    <phoneticPr fontId="3" type="noConversion"/>
  </si>
  <si>
    <t>N지복례</t>
  </si>
  <si>
    <t>RM윤소희3</t>
    <phoneticPr fontId="17" type="noConversion"/>
  </si>
  <si>
    <t>임수민</t>
    <phoneticPr fontId="3" type="noConversion"/>
  </si>
  <si>
    <t>RM강용수</t>
    <phoneticPr fontId="3" type="noConversion"/>
  </si>
  <si>
    <t>RM이난주</t>
    <phoneticPr fontId="3" type="noConversion"/>
  </si>
  <si>
    <t>RN임낙규</t>
    <phoneticPr fontId="3" type="noConversion"/>
  </si>
  <si>
    <t>RM한경애4</t>
    <phoneticPr fontId="3" type="noConversion"/>
  </si>
  <si>
    <t>RM김성자10</t>
    <phoneticPr fontId="3" type="noConversion"/>
  </si>
  <si>
    <t>N김시철</t>
    <phoneticPr fontId="3" type="noConversion"/>
  </si>
  <si>
    <t>RN권영순6</t>
    <phoneticPr fontId="3" type="noConversion"/>
  </si>
  <si>
    <t>RM김기연5</t>
    <phoneticPr fontId="3" type="noConversion"/>
  </si>
  <si>
    <t>RM서극원</t>
    <phoneticPr fontId="3" type="noConversion"/>
  </si>
  <si>
    <t>RN이병희3</t>
  </si>
  <si>
    <t>박민경</t>
    <phoneticPr fontId="3" type="noConversion"/>
  </si>
  <si>
    <t>* 변경사항</t>
    <phoneticPr fontId="3" type="noConversion"/>
  </si>
  <si>
    <t>RM임낙규</t>
    <phoneticPr fontId="3" type="noConversion"/>
  </si>
  <si>
    <t>RM우영희2</t>
  </si>
  <si>
    <t>RM김명배3</t>
    <phoneticPr fontId="3" type="noConversion"/>
  </si>
  <si>
    <t>N신기순2</t>
    <phoneticPr fontId="3" type="noConversion"/>
  </si>
  <si>
    <t>N우학송</t>
    <phoneticPr fontId="13" type="noConversion"/>
  </si>
  <si>
    <t>N서승달</t>
    <phoneticPr fontId="3" type="noConversion"/>
  </si>
  <si>
    <t>N지복례</t>
    <phoneticPr fontId="13" type="noConversion"/>
  </si>
  <si>
    <t>N김을언</t>
    <phoneticPr fontId="3" type="noConversion"/>
  </si>
  <si>
    <t>RN김석군</t>
    <phoneticPr fontId="3" type="noConversion"/>
  </si>
  <si>
    <t>서원빈</t>
    <phoneticPr fontId="3" type="noConversion"/>
  </si>
  <si>
    <t>RG정태두</t>
    <phoneticPr fontId="3" type="noConversion"/>
  </si>
  <si>
    <t>RN홍선화</t>
    <phoneticPr fontId="3" type="noConversion"/>
  </si>
  <si>
    <t>N신연애</t>
    <phoneticPr fontId="3" type="noConversion"/>
  </si>
  <si>
    <t>N김택중</t>
    <phoneticPr fontId="3" type="noConversion"/>
  </si>
  <si>
    <t>RN강용수</t>
    <phoneticPr fontId="3" type="noConversion"/>
  </si>
  <si>
    <t>RG최상근3</t>
    <phoneticPr fontId="3" type="noConversion"/>
  </si>
  <si>
    <t>N김종운3</t>
    <phoneticPr fontId="3" type="noConversion"/>
  </si>
  <si>
    <t>RN윤소희3</t>
    <phoneticPr fontId="3" type="noConversion"/>
  </si>
  <si>
    <t>RG최상근3</t>
    <phoneticPr fontId="3" type="noConversion"/>
  </si>
  <si>
    <t>RM김재환2</t>
    <phoneticPr fontId="3" type="noConversion"/>
  </si>
  <si>
    <t>N김을언</t>
    <phoneticPr fontId="3" type="noConversion"/>
  </si>
  <si>
    <t>N구본창</t>
    <phoneticPr fontId="3" type="noConversion"/>
  </si>
  <si>
    <t>N7박성구D</t>
    <phoneticPr fontId="3" type="noConversion"/>
  </si>
  <si>
    <t>RM김석군</t>
    <phoneticPr fontId="3" type="noConversion"/>
  </si>
  <si>
    <t>N조정자</t>
    <phoneticPr fontId="3" type="noConversion"/>
  </si>
  <si>
    <t>N박은용</t>
    <phoneticPr fontId="3" type="noConversion"/>
  </si>
  <si>
    <t>N최지선3</t>
    <phoneticPr fontId="3" type="noConversion"/>
  </si>
  <si>
    <t>N황종길</t>
    <phoneticPr fontId="3" type="noConversion"/>
  </si>
  <si>
    <t>김채린</t>
    <phoneticPr fontId="3" type="noConversion"/>
  </si>
  <si>
    <t>N김명복</t>
    <phoneticPr fontId="3" type="noConversion"/>
  </si>
  <si>
    <t>RM김석군</t>
    <phoneticPr fontId="3" type="noConversion"/>
  </si>
  <si>
    <t>RM김명배3</t>
  </si>
  <si>
    <t>N송갑헌</t>
    <phoneticPr fontId="3" type="noConversion"/>
  </si>
  <si>
    <t>RM이진봉</t>
    <phoneticPr fontId="3" type="noConversion"/>
  </si>
  <si>
    <t>RM이병희3</t>
    <phoneticPr fontId="3" type="noConversion"/>
  </si>
  <si>
    <t>N배성범</t>
    <phoneticPr fontId="3" type="noConversion"/>
  </si>
  <si>
    <t>N양병후</t>
    <phoneticPr fontId="3" type="noConversion"/>
  </si>
  <si>
    <t>* 신환</t>
    <phoneticPr fontId="3" type="noConversion"/>
  </si>
  <si>
    <t>RN전동순</t>
    <phoneticPr fontId="3" type="noConversion"/>
  </si>
  <si>
    <t>N김택중</t>
    <phoneticPr fontId="3" type="noConversion"/>
  </si>
  <si>
    <t>N권용길</t>
    <phoneticPr fontId="13" type="noConversion"/>
  </si>
  <si>
    <t>N임종범</t>
    <phoneticPr fontId="3" type="noConversion"/>
  </si>
  <si>
    <t>RM김성자10</t>
    <phoneticPr fontId="3" type="noConversion"/>
  </si>
  <si>
    <t>N임헌수2</t>
    <phoneticPr fontId="3" type="noConversion"/>
  </si>
  <si>
    <t>RM이팔원</t>
    <phoneticPr fontId="3" type="noConversion"/>
  </si>
  <si>
    <t>RM이난주</t>
    <phoneticPr fontId="3" type="noConversion"/>
  </si>
  <si>
    <t>N박성구</t>
    <phoneticPr fontId="3" type="noConversion"/>
  </si>
  <si>
    <t>N서승달</t>
    <phoneticPr fontId="3" type="noConversion"/>
  </si>
  <si>
    <t>홍지민</t>
    <phoneticPr fontId="3" type="noConversion"/>
  </si>
  <si>
    <t>13:30~
14:00</t>
    <phoneticPr fontId="3" type="noConversion"/>
  </si>
  <si>
    <t>12:00~
12:30</t>
    <phoneticPr fontId="3" type="noConversion"/>
  </si>
  <si>
    <t>11:25~
11:55</t>
    <phoneticPr fontId="3" type="noConversion"/>
  </si>
  <si>
    <t>10:15~
10:45</t>
    <phoneticPr fontId="3" type="noConversion"/>
  </si>
  <si>
    <t>8:30~
9:35</t>
    <phoneticPr fontId="3" type="noConversion"/>
  </si>
  <si>
    <t>7:30~
8:00</t>
    <phoneticPr fontId="3" type="noConversion"/>
  </si>
  <si>
    <t xml:space="preserve">           시간    치료사</t>
    <phoneticPr fontId="3" type="noConversion"/>
  </si>
  <si>
    <t>재활센터 시간표     2023. 10. 31 (화)</t>
    <phoneticPr fontId="3" type="noConversion"/>
  </si>
  <si>
    <t>5층 재활센터 시간표 차팅확인지     2025. 12. 02 (화)</t>
    <phoneticPr fontId="3" type="noConversion"/>
  </si>
  <si>
    <t>MM임낙규
MM홍선화</t>
  </si>
  <si>
    <t>김명복님 : RG4, RA4, MM4, H4
배영자님 : N2, M2, F2, C2,A 전산화</t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</si>
  <si>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 COM, 추가치료는X, 아침재활은O</t>
  </si>
  <si>
    <t>RMS &amp; HAND &amp; 호흡 &amp; 바이오피드백 시간표</t>
  </si>
  <si>
    <t>RMS</t>
  </si>
  <si>
    <t>R-MS &amp; WALKBO &amp; MORNING WALK &amp; R-BO 시간표</t>
  </si>
  <si>
    <t>ESW5한경애4(목)</t>
  </si>
  <si>
    <t>M김을언
M송옥경
M연현숙2
M김종운3</t>
  </si>
  <si>
    <t>M최지선3
M양병후
M황종길
M신기순2</t>
  </si>
  <si>
    <t>M김진옥7
M구본창
M김택중
M권용길
M박은용
M지복례</t>
  </si>
  <si>
    <t>M조정자
M김시철
M신기순2
M박성구</t>
  </si>
  <si>
    <t>M송옥경
M임종범
M권용길
M김택중
M배성범</t>
  </si>
  <si>
    <t>M박성구
M지복례
M김시철
M김명복
C최종성2</t>
    <phoneticPr fontId="3" type="noConversion"/>
  </si>
  <si>
    <t>MM김명배3
MM이병희3
MM이진봉</t>
    <phoneticPr fontId="3" type="noConversion"/>
  </si>
  <si>
    <t>RA전동순</t>
    <phoneticPr fontId="3" type="noConversion"/>
  </si>
  <si>
    <t>MM김기연5
MM최상근3</t>
    <phoneticPr fontId="3" type="noConversion"/>
  </si>
  <si>
    <t>RM유정순3</t>
    <phoneticPr fontId="3" type="noConversion"/>
  </si>
  <si>
    <t>RM김재환2</t>
    <phoneticPr fontId="17" type="noConversion"/>
  </si>
  <si>
    <t>RA윤소희3</t>
    <phoneticPr fontId="17" type="noConversion"/>
  </si>
  <si>
    <t>MM김석군
MM윤소희3</t>
    <phoneticPr fontId="3" type="noConversion"/>
  </si>
  <si>
    <t>F조정자
F김시철
F권용길
F서재학</t>
    <phoneticPr fontId="3" type="noConversion"/>
  </si>
  <si>
    <t>M최지선3
Tt김을언
M신연애
M김정규2
M연현숙2
M김명복
M임헌수2</t>
    <phoneticPr fontId="3" type="noConversion"/>
  </si>
  <si>
    <t>RA1권오운(평)</t>
    <phoneticPr fontId="3" type="noConversion"/>
  </si>
  <si>
    <t>CA서재학</t>
    <phoneticPr fontId="3" type="noConversion"/>
  </si>
  <si>
    <t>김명복(평)</t>
    <phoneticPr fontId="3" type="noConversion"/>
  </si>
  <si>
    <t xml:space="preserve">전동순님 : W 삭제, 스케줄 다시
유정순님 : 시간변경
우영희2님, 이진봉님, 유혜영4님(N7) 치료사 변경 스케줄 다시
정경철님 : RN2 RA2 변경, W시간 변경,
</t>
    <phoneticPr fontId="3" type="noConversion"/>
  </si>
  <si>
    <t>RA1강용수(평)</t>
    <phoneticPr fontId="3" type="noConversion"/>
  </si>
  <si>
    <t>V김종운3</t>
    <phoneticPr fontId="3" type="noConversion"/>
  </si>
  <si>
    <t>김종운3(평)</t>
    <phoneticPr fontId="3" type="noConversion"/>
  </si>
  <si>
    <t>RN1김재환2(평)</t>
    <phoneticPr fontId="3" type="noConversion"/>
  </si>
  <si>
    <t>RM한경애4</t>
    <phoneticPr fontId="3" type="noConversion"/>
  </si>
  <si>
    <t>송옥경(평)</t>
    <phoneticPr fontId="3" type="noConversion"/>
  </si>
  <si>
    <t>RM서극원</t>
    <phoneticPr fontId="17" type="noConversion"/>
  </si>
  <si>
    <t>MM강용수
MM권오운</t>
    <phoneticPr fontId="3" type="noConversion"/>
  </si>
  <si>
    <t>RM이진봉</t>
    <phoneticPr fontId="3" type="noConversion"/>
  </si>
  <si>
    <t>RM이팔원</t>
    <phoneticPr fontId="3" type="noConversion"/>
  </si>
  <si>
    <t>RM1김명배3(평)</t>
    <phoneticPr fontId="3" type="noConversion"/>
  </si>
  <si>
    <t>RG1배영자(평)</t>
    <phoneticPr fontId="3" type="noConversion"/>
  </si>
  <si>
    <t>RD이팔원</t>
    <phoneticPr fontId="3" type="noConversion"/>
  </si>
  <si>
    <t>송옥경(평)</t>
    <phoneticPr fontId="3" type="noConversion"/>
  </si>
  <si>
    <t>RN서극원</t>
    <phoneticPr fontId="3" type="noConversion"/>
  </si>
  <si>
    <t>M김진옥7
M양병후
M황종길</t>
    <phoneticPr fontId="3" type="noConversion"/>
  </si>
  <si>
    <t>M우학송
M임헌수2
M박은용</t>
    <phoneticPr fontId="3" type="noConversion"/>
  </si>
  <si>
    <t>N조정자</t>
    <phoneticPr fontId="3" type="noConversion"/>
  </si>
  <si>
    <t>RA김기연5</t>
    <phoneticPr fontId="3" type="noConversion"/>
  </si>
  <si>
    <t>MM홍선화</t>
    <phoneticPr fontId="3" type="noConversion"/>
  </si>
  <si>
    <t>RA1김명배3(평)</t>
    <phoneticPr fontId="3" type="noConversion"/>
  </si>
  <si>
    <t>박은용(평)</t>
    <phoneticPr fontId="17" type="noConversion"/>
  </si>
  <si>
    <t>RA이진봉</t>
    <phoneticPr fontId="3" type="noConversion"/>
  </si>
  <si>
    <t>RA전동순</t>
    <phoneticPr fontId="3" type="noConversion"/>
  </si>
  <si>
    <t>RM김석군</t>
    <phoneticPr fontId="17" type="noConversion"/>
  </si>
  <si>
    <t>RG배영자</t>
    <phoneticPr fontId="3" type="noConversion"/>
  </si>
  <si>
    <t>RA유정순3</t>
    <phoneticPr fontId="3" type="noConversion"/>
  </si>
  <si>
    <t>N서재학</t>
    <phoneticPr fontId="3" type="noConversion"/>
  </si>
  <si>
    <t>RA임낙규</t>
    <phoneticPr fontId="3" type="noConversion"/>
  </si>
  <si>
    <t>RA1배영자(평)</t>
    <phoneticPr fontId="3" type="noConversion"/>
  </si>
  <si>
    <t>RA최상근3</t>
    <phoneticPr fontId="3" type="noConversion"/>
  </si>
  <si>
    <t>RM김명배3</t>
    <phoneticPr fontId="3" type="noConversion"/>
  </si>
  <si>
    <t>김진옥7(평)</t>
    <phoneticPr fontId="17" type="noConversion"/>
  </si>
  <si>
    <t>V김말분</t>
    <phoneticPr fontId="3" type="noConversion"/>
  </si>
  <si>
    <t>V김홍상</t>
    <phoneticPr fontId="3" type="noConversion"/>
  </si>
  <si>
    <t>MM이난주
MM권영순6
MM이병희3
MM정태두
MM유정순3
MM서극원</t>
    <phoneticPr fontId="3" type="noConversion"/>
  </si>
  <si>
    <t xml:space="preserve">MM권영순6
MM유정순
</t>
    <phoneticPr fontId="3" type="noConversion"/>
  </si>
  <si>
    <t>MM서극원</t>
    <phoneticPr fontId="3" type="noConversion"/>
  </si>
  <si>
    <t>RA김재환2</t>
    <phoneticPr fontId="3" type="noConversion"/>
  </si>
  <si>
    <t>RS우영희2</t>
    <phoneticPr fontId="3" type="noConversion"/>
  </si>
  <si>
    <t>김정규2님 : N,C,M.F // CA HOLD
정현숙4님 : ALL HOLD
김인순3님 : ALL HOLD
*이문찬2님 : COM HOLD
*서재학님 : M2  // H HOLD
*김재환2님 : MM4 HOLD
*배영자님 : MM2 HOLD
*정경철님 : ALL HOLD
*이진봉님 : RM2 HOLD
*전동순 : RD2, RA2 HOLD
*김시철 : D, V HOLD
*유혜영4:  N, CA HOLD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</si>
</sst>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00B050"/>
      <name val="돋움"/>
      <family val="3"/>
      <charset val="129"/>
    </font>
    <font>
      <b/>
      <sz val="10"/>
      <name val="굴림"/>
      <family val="3"/>
      <charset val="129"/>
    </font>
    <font>
      <sz val="8.5"/>
      <color rgb="FF000000"/>
      <name val="굴림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0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u/>
      <sz val="10"/>
      <name val="돋움"/>
      <family val="3"/>
      <charset val="129"/>
    </font>
    <font>
      <sz val="10"/>
      <color rgb="FFC00000"/>
      <name val="돋움"/>
      <family val="3"/>
      <charset val="129"/>
    </font>
    <font>
      <sz val="10"/>
      <color theme="1"/>
      <name val="굴림"/>
      <family val="3"/>
      <charset val="129"/>
    </font>
    <font>
      <sz val="10"/>
      <color rgb="FF0070C0"/>
      <name val="굴림"/>
      <family val="3"/>
      <charset val="129"/>
    </font>
    <font>
      <sz val="10"/>
      <name val="굴림"/>
      <family val="3"/>
      <charset val="129"/>
    </font>
    <font>
      <b/>
      <sz val="12"/>
      <color theme="1"/>
      <name val="돋움"/>
      <family val="3"/>
      <charset val="129"/>
    </font>
    <font>
      <sz val="10"/>
      <color rgb="FF00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rgb="FFC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7030A0"/>
      <name val="돋움"/>
      <family val="3"/>
      <charset val="129"/>
    </font>
    <font>
      <sz val="10"/>
      <color rgb="FF0070C0"/>
      <name val="돋움"/>
      <family val="3"/>
      <charset val="129"/>
    </font>
    <font>
      <sz val="11"/>
      <name val="맑은 고딕"/>
      <family val="3"/>
      <charset val="129"/>
      <scheme val="major"/>
    </font>
    <font>
      <u/>
      <sz val="10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sz val="8.5"/>
      <name val="굴림"/>
      <family val="3"/>
      <charset val="129"/>
    </font>
    <font>
      <b/>
      <sz val="8.5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14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176" fontId="8" fillId="0" borderId="0" xfId="1" applyNumberFormat="1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9" fontId="8" fillId="0" borderId="0" xfId="3" applyFont="1" applyFill="1" applyBorder="1" applyAlignment="1" applyProtection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21" fillId="3" borderId="2" xfId="2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 wrapText="1"/>
    </xf>
    <xf numFmtId="0" fontId="16" fillId="3" borderId="2" xfId="2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6" fillId="3" borderId="9" xfId="1" applyFont="1" applyFill="1" applyBorder="1" applyAlignment="1">
      <alignment horizontal="center" vertical="center" wrapText="1"/>
    </xf>
    <xf numFmtId="0" fontId="21" fillId="3" borderId="9" xfId="1" applyFont="1" applyFill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 wrapText="1"/>
    </xf>
    <xf numFmtId="0" fontId="22" fillId="3" borderId="2" xfId="1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21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6" fillId="0" borderId="9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0" fontId="24" fillId="0" borderId="0" xfId="1" applyFont="1">
      <alignment vertical="center"/>
    </xf>
    <xf numFmtId="0" fontId="6" fillId="0" borderId="3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22" fillId="0" borderId="10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37" xfId="2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25" fillId="4" borderId="29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6" fillId="0" borderId="0" xfId="1" applyFont="1">
      <alignment vertical="center"/>
    </xf>
    <xf numFmtId="0" fontId="12" fillId="0" borderId="2" xfId="2" applyFont="1" applyBorder="1" applyAlignment="1">
      <alignment horizontal="center" vertical="center" wrapText="1"/>
    </xf>
    <xf numFmtId="0" fontId="27" fillId="0" borderId="21" xfId="6" applyFont="1" applyBorder="1" applyAlignment="1">
      <alignment horizontal="center" vertical="center" wrapText="1"/>
    </xf>
    <xf numFmtId="0" fontId="27" fillId="0" borderId="2" xfId="6" applyFont="1" applyBorder="1" applyAlignment="1">
      <alignment horizontal="center" vertical="center" wrapText="1"/>
    </xf>
    <xf numFmtId="0" fontId="27" fillId="0" borderId="28" xfId="6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17" xfId="5" applyFont="1" applyBorder="1" applyAlignment="1">
      <alignment horizontal="center" vertical="center" wrapText="1"/>
    </xf>
    <xf numFmtId="0" fontId="20" fillId="0" borderId="2" xfId="5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 wrapText="1"/>
    </xf>
    <xf numFmtId="0" fontId="27" fillId="0" borderId="2" xfId="7" applyFont="1" applyBorder="1" applyAlignment="1">
      <alignment horizontal="center" vertical="center" wrapText="1"/>
    </xf>
    <xf numFmtId="0" fontId="27" fillId="0" borderId="2" xfId="1" applyFont="1" applyBorder="1" applyAlignment="1">
      <alignment horizontal="center" vertical="center"/>
    </xf>
    <xf numFmtId="0" fontId="27" fillId="0" borderId="29" xfId="1" applyFont="1" applyBorder="1" applyAlignment="1">
      <alignment horizontal="center" vertical="center" wrapText="1"/>
    </xf>
    <xf numFmtId="0" fontId="27" fillId="0" borderId="29" xfId="7" applyFont="1" applyBorder="1" applyAlignment="1">
      <alignment horizontal="center" vertical="center" wrapText="1"/>
    </xf>
    <xf numFmtId="0" fontId="1" fillId="0" borderId="0" xfId="10">
      <alignment vertical="center"/>
    </xf>
    <xf numFmtId="0" fontId="1" fillId="0" borderId="0" xfId="10" applyAlignment="1">
      <alignment horizontal="center" vertical="center"/>
    </xf>
    <xf numFmtId="0" fontId="5" fillId="0" borderId="0" xfId="10" applyFont="1" applyAlignment="1">
      <alignment horizontal="center" vertical="center"/>
    </xf>
    <xf numFmtId="0" fontId="26" fillId="0" borderId="0" xfId="10" applyFont="1">
      <alignment vertical="center"/>
    </xf>
    <xf numFmtId="0" fontId="1" fillId="0" borderId="0" xfId="10" applyAlignment="1">
      <alignment vertical="center" wrapText="1"/>
    </xf>
    <xf numFmtId="0" fontId="11" fillId="0" borderId="0" xfId="10" applyFont="1" applyAlignment="1">
      <alignment horizontal="center" vertical="center" wrapText="1"/>
    </xf>
    <xf numFmtId="0" fontId="11" fillId="0" borderId="0" xfId="10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0" fontId="5" fillId="0" borderId="9" xfId="10" applyFont="1" applyBorder="1" applyAlignment="1">
      <alignment horizontal="center" vertical="center"/>
    </xf>
    <xf numFmtId="0" fontId="1" fillId="0" borderId="21" xfId="10" applyBorder="1" applyAlignment="1">
      <alignment horizontal="center" vertical="center"/>
    </xf>
    <xf numFmtId="0" fontId="1" fillId="0" borderId="3" xfId="10" applyBorder="1" applyAlignment="1">
      <alignment horizontal="center" vertical="center"/>
    </xf>
    <xf numFmtId="0" fontId="11" fillId="0" borderId="21" xfId="2" applyFont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/>
    </xf>
    <xf numFmtId="0" fontId="5" fillId="0" borderId="39" xfId="10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 wrapText="1"/>
    </xf>
    <xf numFmtId="0" fontId="1" fillId="0" borderId="27" xfId="10" applyBorder="1" applyAlignment="1">
      <alignment vertical="center" wrapText="1"/>
    </xf>
    <xf numFmtId="0" fontId="29" fillId="5" borderId="2" xfId="2" applyFont="1" applyFill="1" applyBorder="1" applyAlignment="1">
      <alignment horizontal="center" vertical="center" wrapText="1"/>
    </xf>
    <xf numFmtId="0" fontId="29" fillId="0" borderId="2" xfId="2" applyFont="1" applyBorder="1" applyAlignment="1">
      <alignment horizontal="center" vertical="center" wrapText="1"/>
    </xf>
    <xf numFmtId="0" fontId="29" fillId="0" borderId="25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9" fillId="0" borderId="17" xfId="2" applyFont="1" applyBorder="1" applyAlignment="1">
      <alignment horizontal="center" vertical="center" wrapText="1"/>
    </xf>
    <xf numFmtId="0" fontId="30" fillId="0" borderId="2" xfId="2" applyFont="1" applyBorder="1" applyAlignment="1">
      <alignment horizontal="center" vertical="center" wrapText="1"/>
    </xf>
    <xf numFmtId="0" fontId="31" fillId="5" borderId="2" xfId="2" applyFont="1" applyFill="1" applyBorder="1" applyAlignment="1">
      <alignment horizontal="center" vertical="center" wrapText="1"/>
    </xf>
    <xf numFmtId="0" fontId="29" fillId="5" borderId="9" xfId="2" applyFont="1" applyFill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 wrapText="1"/>
    </xf>
    <xf numFmtId="0" fontId="22" fillId="0" borderId="21" xfId="2" applyFont="1" applyBorder="1" applyAlignment="1">
      <alignment horizontal="center" vertical="center" wrapText="1"/>
    </xf>
    <xf numFmtId="0" fontId="29" fillId="5" borderId="21" xfId="2" applyFont="1" applyFill="1" applyBorder="1" applyAlignment="1">
      <alignment horizontal="center" vertical="center" wrapText="1"/>
    </xf>
    <xf numFmtId="0" fontId="30" fillId="5" borderId="21" xfId="2" applyFont="1" applyFill="1" applyBorder="1" applyAlignment="1">
      <alignment horizontal="center" vertical="center" wrapText="1"/>
    </xf>
    <xf numFmtId="0" fontId="30" fillId="5" borderId="2" xfId="2" applyFont="1" applyFill="1" applyBorder="1" applyAlignment="1">
      <alignment horizontal="center" vertical="center" wrapText="1"/>
    </xf>
    <xf numFmtId="0" fontId="29" fillId="5" borderId="2" xfId="10" applyFont="1" applyFill="1" applyBorder="1" applyAlignment="1">
      <alignment horizontal="center" vertical="center" wrapText="1"/>
    </xf>
    <xf numFmtId="0" fontId="31" fillId="5" borderId="21" xfId="2" applyFont="1" applyFill="1" applyBorder="1" applyAlignment="1">
      <alignment horizontal="center" vertical="center" wrapText="1"/>
    </xf>
    <xf numFmtId="0" fontId="31" fillId="0" borderId="21" xfId="10" applyFont="1" applyBorder="1" applyAlignment="1">
      <alignment horizontal="center" vertical="center"/>
    </xf>
    <xf numFmtId="0" fontId="31" fillId="0" borderId="21" xfId="10" applyFont="1" applyBorder="1" applyAlignment="1">
      <alignment horizontal="center" vertical="center" wrapText="1"/>
    </xf>
    <xf numFmtId="0" fontId="29" fillId="0" borderId="21" xfId="10" applyFont="1" applyBorder="1" applyAlignment="1">
      <alignment horizontal="center" vertical="center"/>
    </xf>
    <xf numFmtId="0" fontId="33" fillId="0" borderId="21" xfId="10" applyFont="1" applyBorder="1" applyAlignment="1">
      <alignment horizontal="center" vertical="center"/>
    </xf>
    <xf numFmtId="0" fontId="30" fillId="0" borderId="21" xfId="10" applyFont="1" applyBorder="1" applyAlignment="1">
      <alignment horizontal="center" vertical="center" wrapText="1"/>
    </xf>
    <xf numFmtId="0" fontId="29" fillId="0" borderId="21" xfId="10" applyFont="1" applyBorder="1" applyAlignment="1">
      <alignment horizontal="center" vertical="center" wrapText="1"/>
    </xf>
    <xf numFmtId="0" fontId="34" fillId="0" borderId="21" xfId="10" applyFont="1" applyBorder="1" applyAlignment="1">
      <alignment horizontal="center" vertical="center" wrapText="1"/>
    </xf>
    <xf numFmtId="0" fontId="29" fillId="0" borderId="2" xfId="10" applyFont="1" applyBorder="1" applyAlignment="1">
      <alignment horizontal="center" vertical="center"/>
    </xf>
    <xf numFmtId="0" fontId="33" fillId="0" borderId="2" xfId="10" applyFont="1" applyBorder="1" applyAlignment="1">
      <alignment horizontal="center" vertical="center"/>
    </xf>
    <xf numFmtId="0" fontId="31" fillId="0" borderId="2" xfId="10" applyFont="1" applyBorder="1" applyAlignment="1">
      <alignment horizontal="center" vertical="center" wrapText="1"/>
    </xf>
    <xf numFmtId="0" fontId="35" fillId="0" borderId="2" xfId="10" applyFont="1" applyBorder="1" applyAlignment="1">
      <alignment horizontal="center" vertical="center" wrapText="1"/>
    </xf>
    <xf numFmtId="0" fontId="31" fillId="0" borderId="2" xfId="10" applyFont="1" applyBorder="1" applyAlignment="1">
      <alignment horizontal="center" vertical="center"/>
    </xf>
    <xf numFmtId="0" fontId="30" fillId="0" borderId="2" xfId="10" applyFont="1" applyBorder="1" applyAlignment="1">
      <alignment horizontal="center" vertical="center"/>
    </xf>
    <xf numFmtId="0" fontId="36" fillId="0" borderId="2" xfId="10" applyFont="1" applyBorder="1" applyAlignment="1">
      <alignment horizontal="center" vertical="center" wrapText="1"/>
    </xf>
    <xf numFmtId="0" fontId="1" fillId="0" borderId="36" xfId="10" applyBorder="1">
      <alignment vertical="center"/>
    </xf>
    <xf numFmtId="0" fontId="9" fillId="0" borderId="2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33" fillId="0" borderId="21" xfId="10" applyFont="1" applyBorder="1" applyAlignment="1">
      <alignment horizontal="center" vertical="center" wrapText="1"/>
    </xf>
    <xf numFmtId="0" fontId="4" fillId="0" borderId="21" xfId="10" applyFont="1" applyBorder="1" applyAlignment="1">
      <alignment horizontal="center" vertical="center" wrapText="1"/>
    </xf>
    <xf numFmtId="0" fontId="31" fillId="0" borderId="21" xfId="2" applyFont="1" applyBorder="1" applyAlignment="1">
      <alignment horizontal="center" vertical="center" wrapText="1"/>
    </xf>
    <xf numFmtId="0" fontId="31" fillId="0" borderId="2" xfId="2" applyFont="1" applyBorder="1" applyAlignment="1">
      <alignment horizontal="center" vertical="center" wrapText="1"/>
    </xf>
    <xf numFmtId="0" fontId="33" fillId="0" borderId="2" xfId="10" applyFont="1" applyBorder="1" applyAlignment="1">
      <alignment horizontal="center" vertical="center" wrapText="1"/>
    </xf>
    <xf numFmtId="0" fontId="36" fillId="0" borderId="21" xfId="10" applyFont="1" applyBorder="1" applyAlignment="1">
      <alignment horizontal="center" vertical="center" wrapText="1"/>
    </xf>
    <xf numFmtId="0" fontId="30" fillId="0" borderId="2" xfId="10" applyFont="1" applyBorder="1" applyAlignment="1">
      <alignment horizontal="center" vertical="center" wrapText="1"/>
    </xf>
    <xf numFmtId="0" fontId="37" fillId="0" borderId="4" xfId="12" applyFont="1" applyBorder="1" applyAlignment="1">
      <alignment horizontal="center" vertical="center"/>
    </xf>
    <xf numFmtId="0" fontId="37" fillId="0" borderId="3" xfId="12" applyFont="1" applyBorder="1" applyAlignment="1">
      <alignment horizontal="center" vertical="center"/>
    </xf>
    <xf numFmtId="0" fontId="37" fillId="5" borderId="10" xfId="2" applyFont="1" applyFill="1" applyBorder="1" applyAlignment="1">
      <alignment horizontal="center" vertical="center" wrapText="1"/>
    </xf>
    <xf numFmtId="0" fontId="38" fillId="5" borderId="5" xfId="2" applyFont="1" applyFill="1" applyBorder="1" applyAlignment="1">
      <alignment horizontal="center" vertical="center" wrapText="1"/>
    </xf>
    <xf numFmtId="0" fontId="12" fillId="5" borderId="21" xfId="12" applyFont="1" applyFill="1" applyBorder="1" applyAlignment="1">
      <alignment horizontal="center" vertical="center"/>
    </xf>
    <xf numFmtId="0" fontId="12" fillId="5" borderId="21" xfId="2" applyFont="1" applyFill="1" applyBorder="1" applyAlignment="1">
      <alignment horizontal="center" vertical="center" wrapText="1"/>
    </xf>
    <xf numFmtId="0" fontId="11" fillId="5" borderId="21" xfId="12" applyFont="1" applyFill="1" applyBorder="1" applyAlignment="1">
      <alignment horizontal="center" vertical="center"/>
    </xf>
    <xf numFmtId="0" fontId="1" fillId="0" borderId="21" xfId="12" applyBorder="1">
      <alignment vertical="center"/>
    </xf>
    <xf numFmtId="0" fontId="11" fillId="5" borderId="21" xfId="12" applyFont="1" applyFill="1" applyBorder="1" applyAlignment="1">
      <alignment horizontal="center" vertical="center" wrapText="1"/>
    </xf>
    <xf numFmtId="0" fontId="12" fillId="5" borderId="3" xfId="13" applyFont="1" applyFill="1" applyBorder="1" applyAlignment="1">
      <alignment horizontal="center" vertical="center" wrapText="1"/>
    </xf>
    <xf numFmtId="0" fontId="12" fillId="5" borderId="21" xfId="13" applyFont="1" applyFill="1" applyBorder="1" applyAlignment="1">
      <alignment horizontal="center" vertical="center" wrapText="1"/>
    </xf>
    <xf numFmtId="0" fontId="38" fillId="5" borderId="21" xfId="13" applyFont="1" applyFill="1" applyBorder="1" applyAlignment="1">
      <alignment horizontal="center" vertical="center" wrapText="1"/>
    </xf>
    <xf numFmtId="0" fontId="12" fillId="5" borderId="3" xfId="2" applyFont="1" applyFill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23" fillId="2" borderId="2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left" vertical="center" wrapText="1"/>
    </xf>
    <xf numFmtId="0" fontId="1" fillId="0" borderId="0" xfId="13">
      <alignment vertical="center"/>
    </xf>
    <xf numFmtId="0" fontId="1" fillId="0" borderId="0" xfId="13" applyAlignment="1">
      <alignment horizontal="center" vertical="center"/>
    </xf>
    <xf numFmtId="0" fontId="5" fillId="0" borderId="0" xfId="13" applyFont="1" applyAlignment="1">
      <alignment horizontal="center" vertical="center"/>
    </xf>
    <xf numFmtId="0" fontId="39" fillId="0" borderId="0" xfId="13" applyFont="1" applyAlignment="1">
      <alignment horizontal="center" vertical="center"/>
    </xf>
    <xf numFmtId="0" fontId="26" fillId="0" borderId="0" xfId="13" applyFont="1" applyAlignment="1">
      <alignment horizontal="center" vertical="center"/>
    </xf>
    <xf numFmtId="0" fontId="26" fillId="0" borderId="0" xfId="13" applyFont="1">
      <alignment vertical="center"/>
    </xf>
    <xf numFmtId="0" fontId="1" fillId="0" borderId="0" xfId="13" applyAlignment="1">
      <alignment vertical="center" wrapText="1"/>
    </xf>
    <xf numFmtId="0" fontId="0" fillId="0" borderId="0" xfId="13" applyFont="1" applyAlignment="1">
      <alignment horizontal="center" vertical="center" wrapText="1"/>
    </xf>
    <xf numFmtId="0" fontId="11" fillId="0" borderId="0" xfId="10" applyFont="1">
      <alignment vertical="center"/>
    </xf>
    <xf numFmtId="0" fontId="40" fillId="0" borderId="0" xfId="10" applyFont="1" applyAlignment="1">
      <alignment horizontal="center" vertical="center" wrapText="1"/>
    </xf>
    <xf numFmtId="0" fontId="41" fillId="0" borderId="0" xfId="10" applyFont="1" applyAlignment="1">
      <alignment horizontal="center" vertical="center" wrapText="1"/>
    </xf>
    <xf numFmtId="0" fontId="11" fillId="0" borderId="42" xfId="10" applyFont="1" applyBorder="1" applyAlignment="1">
      <alignment horizontal="center" vertical="center" wrapText="1"/>
    </xf>
    <xf numFmtId="0" fontId="11" fillId="0" borderId="43" xfId="10" applyFont="1" applyBorder="1" applyAlignment="1">
      <alignment horizontal="center" vertical="center" wrapText="1"/>
    </xf>
    <xf numFmtId="0" fontId="11" fillId="0" borderId="44" xfId="10" applyFont="1" applyBorder="1" applyAlignment="1">
      <alignment horizontal="center" vertical="center" wrapText="1"/>
    </xf>
    <xf numFmtId="0" fontId="11" fillId="0" borderId="43" xfId="10" applyFont="1" applyBorder="1">
      <alignment vertical="center"/>
    </xf>
    <xf numFmtId="0" fontId="11" fillId="0" borderId="45" xfId="10" applyFont="1" applyBorder="1" applyAlignment="1">
      <alignment horizontal="center" vertical="center" wrapText="1"/>
    </xf>
    <xf numFmtId="0" fontId="41" fillId="0" borderId="43" xfId="10" applyFont="1" applyBorder="1" applyAlignment="1">
      <alignment horizontal="center" vertical="center" wrapText="1"/>
    </xf>
    <xf numFmtId="0" fontId="11" fillId="0" borderId="46" xfId="10" applyFont="1" applyBorder="1" applyAlignment="1">
      <alignment horizontal="center" vertical="center" wrapText="1"/>
    </xf>
    <xf numFmtId="0" fontId="11" fillId="0" borderId="47" xfId="10" applyFont="1" applyBorder="1" applyAlignment="1">
      <alignment horizontal="center" vertical="center"/>
    </xf>
    <xf numFmtId="0" fontId="11" fillId="0" borderId="25" xfId="10" applyFont="1" applyBorder="1" applyAlignment="1">
      <alignment horizontal="center" vertical="center" wrapText="1"/>
    </xf>
    <xf numFmtId="0" fontId="40" fillId="0" borderId="2" xfId="10" applyFont="1" applyBorder="1" applyAlignment="1">
      <alignment horizontal="center" vertical="center" wrapText="1"/>
    </xf>
    <xf numFmtId="0" fontId="11" fillId="0" borderId="2" xfId="10" applyFont="1" applyBorder="1" applyAlignment="1">
      <alignment horizontal="center" vertical="center"/>
    </xf>
    <xf numFmtId="0" fontId="11" fillId="0" borderId="36" xfId="10" applyFont="1" applyBorder="1">
      <alignment vertical="center"/>
    </xf>
    <xf numFmtId="0" fontId="11" fillId="0" borderId="2" xfId="10" applyFont="1" applyBorder="1" applyAlignment="1">
      <alignment horizontal="center" vertical="center" wrapText="1"/>
    </xf>
    <xf numFmtId="0" fontId="11" fillId="0" borderId="48" xfId="10" applyFont="1" applyBorder="1" applyAlignment="1">
      <alignment horizontal="center" vertical="center" wrapText="1"/>
    </xf>
    <xf numFmtId="0" fontId="24" fillId="0" borderId="0" xfId="10" applyFont="1">
      <alignment vertical="center"/>
    </xf>
    <xf numFmtId="0" fontId="11" fillId="0" borderId="47" xfId="10" applyFont="1" applyBorder="1" applyAlignment="1">
      <alignment horizontal="center" vertical="center" wrapText="1"/>
    </xf>
    <xf numFmtId="0" fontId="41" fillId="0" borderId="2" xfId="10" applyFont="1" applyBorder="1" applyAlignment="1">
      <alignment horizontal="center" vertical="center" wrapText="1"/>
    </xf>
    <xf numFmtId="0" fontId="11" fillId="0" borderId="2" xfId="10" applyFont="1" applyBorder="1">
      <alignment vertical="center"/>
    </xf>
    <xf numFmtId="0" fontId="11" fillId="0" borderId="39" xfId="10" applyFont="1" applyBorder="1" applyAlignment="1">
      <alignment horizontal="center" vertical="center"/>
    </xf>
    <xf numFmtId="0" fontId="11" fillId="0" borderId="3" xfId="10" applyFont="1" applyBorder="1" applyAlignment="1">
      <alignment horizontal="center" vertical="center"/>
    </xf>
    <xf numFmtId="0" fontId="24" fillId="0" borderId="0" xfId="10" applyFont="1" applyAlignment="1">
      <alignment horizontal="center" vertical="center"/>
    </xf>
    <xf numFmtId="0" fontId="11" fillId="0" borderId="17" xfId="10" applyFont="1" applyBorder="1" applyAlignment="1">
      <alignment horizontal="center" vertical="center" wrapText="1"/>
    </xf>
    <xf numFmtId="0" fontId="11" fillId="0" borderId="49" xfId="10" applyFont="1" applyBorder="1" applyAlignment="1">
      <alignment horizontal="center" vertical="center" wrapText="1"/>
    </xf>
    <xf numFmtId="0" fontId="42" fillId="2" borderId="50" xfId="10" applyFont="1" applyFill="1" applyBorder="1" applyAlignment="1">
      <alignment horizontal="center" vertical="center" wrapText="1"/>
    </xf>
    <xf numFmtId="0" fontId="42" fillId="2" borderId="51" xfId="10" applyFont="1" applyFill="1" applyBorder="1" applyAlignment="1">
      <alignment horizontal="center" vertical="center" wrapText="1"/>
    </xf>
    <xf numFmtId="0" fontId="42" fillId="2" borderId="51" xfId="10" applyFont="1" applyFill="1" applyBorder="1" applyAlignment="1">
      <alignment horizontal="center" vertical="center"/>
    </xf>
    <xf numFmtId="0" fontId="42" fillId="2" borderId="52" xfId="10" applyFont="1" applyFill="1" applyBorder="1" applyAlignment="1">
      <alignment horizontal="center" vertical="center" wrapText="1"/>
    </xf>
    <xf numFmtId="0" fontId="22" fillId="0" borderId="0" xfId="10" applyFont="1" applyAlignment="1">
      <alignment horizontal="center" vertical="center" wrapText="1"/>
    </xf>
    <xf numFmtId="0" fontId="33" fillId="0" borderId="0" xfId="10" applyFont="1" applyAlignment="1">
      <alignment horizontal="center" vertical="center"/>
    </xf>
    <xf numFmtId="0" fontId="43" fillId="0" borderId="0" xfId="10" applyFont="1" applyAlignment="1">
      <alignment horizontal="center" vertical="center" wrapText="1"/>
    </xf>
    <xf numFmtId="0" fontId="25" fillId="6" borderId="37" xfId="10" applyFont="1" applyFill="1" applyBorder="1" applyAlignment="1">
      <alignment horizontal="center" vertical="center" wrapText="1"/>
    </xf>
    <xf numFmtId="0" fontId="11" fillId="6" borderId="37" xfId="10" applyFont="1" applyFill="1" applyBorder="1" applyAlignment="1">
      <alignment horizontal="center" vertical="center" wrapText="1"/>
    </xf>
    <xf numFmtId="0" fontId="11" fillId="6" borderId="23" xfId="10" applyFont="1" applyFill="1" applyBorder="1" applyAlignment="1">
      <alignment horizontal="center" vertical="center" wrapText="1"/>
    </xf>
    <xf numFmtId="0" fontId="11" fillId="6" borderId="37" xfId="10" applyFont="1" applyFill="1" applyBorder="1" applyAlignment="1">
      <alignment horizontal="center" vertical="center"/>
    </xf>
    <xf numFmtId="0" fontId="11" fillId="6" borderId="53" xfId="10" applyFont="1" applyFill="1" applyBorder="1" applyAlignment="1">
      <alignment horizontal="center" vertical="center" wrapText="1"/>
    </xf>
    <xf numFmtId="0" fontId="9" fillId="6" borderId="23" xfId="2" applyFont="1" applyFill="1" applyBorder="1" applyAlignment="1">
      <alignment horizontal="center" vertical="center" wrapText="1"/>
    </xf>
    <xf numFmtId="0" fontId="9" fillId="6" borderId="53" xfId="2" applyFont="1" applyFill="1" applyBorder="1" applyAlignment="1">
      <alignment horizontal="center" vertical="center" wrapText="1"/>
    </xf>
    <xf numFmtId="0" fontId="9" fillId="6" borderId="37" xfId="10" applyFont="1" applyFill="1" applyBorder="1" applyAlignment="1">
      <alignment horizontal="center" vertical="center" wrapText="1"/>
    </xf>
    <xf numFmtId="0" fontId="7" fillId="0" borderId="23" xfId="10" applyFont="1" applyBorder="1" applyAlignment="1">
      <alignment horizontal="center" vertical="center"/>
    </xf>
    <xf numFmtId="0" fontId="11" fillId="0" borderId="29" xfId="10" applyFont="1" applyBorder="1" applyAlignment="1">
      <alignment horizontal="center" vertical="center" wrapText="1"/>
    </xf>
    <xf numFmtId="0" fontId="11" fillId="0" borderId="29" xfId="10" applyFont="1" applyBorder="1" applyAlignment="1">
      <alignment horizontal="center" vertical="center"/>
    </xf>
    <xf numFmtId="0" fontId="25" fillId="4" borderId="29" xfId="10" applyFont="1" applyFill="1" applyBorder="1" applyAlignment="1">
      <alignment horizontal="center" vertical="center" wrapText="1"/>
    </xf>
    <xf numFmtId="0" fontId="9" fillId="0" borderId="29" xfId="10" applyFont="1" applyBorder="1" applyAlignment="1">
      <alignment horizontal="center" vertical="center" wrapText="1"/>
    </xf>
    <xf numFmtId="0" fontId="7" fillId="0" borderId="29" xfId="10" applyFont="1" applyBorder="1" applyAlignment="1">
      <alignment horizontal="center" vertical="center"/>
    </xf>
    <xf numFmtId="0" fontId="7" fillId="0" borderId="2" xfId="10" applyFont="1" applyBorder="1" applyAlignment="1">
      <alignment horizontal="center" vertical="center"/>
    </xf>
    <xf numFmtId="0" fontId="11" fillId="0" borderId="32" xfId="10" applyFont="1" applyBorder="1" applyAlignment="1">
      <alignment horizontal="center" vertical="center" wrapText="1"/>
    </xf>
    <xf numFmtId="0" fontId="11" fillId="0" borderId="32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 wrapText="1"/>
    </xf>
    <xf numFmtId="0" fontId="7" fillId="0" borderId="1" xfId="10" applyFont="1" applyBorder="1" applyAlignment="1">
      <alignment horizontal="center" vertical="center"/>
    </xf>
    <xf numFmtId="0" fontId="11" fillId="0" borderId="37" xfId="10" applyFont="1" applyBorder="1" applyAlignment="1">
      <alignment horizontal="center" vertical="center" wrapText="1"/>
    </xf>
    <xf numFmtId="0" fontId="11" fillId="0" borderId="5" xfId="10" applyFont="1" applyBorder="1" applyAlignment="1">
      <alignment horizontal="center" vertical="center" wrapText="1"/>
    </xf>
    <xf numFmtId="0" fontId="11" fillId="0" borderId="37" xfId="10" applyFont="1" applyBorder="1" applyAlignment="1">
      <alignment horizontal="center" vertical="center"/>
    </xf>
    <xf numFmtId="0" fontId="16" fillId="0" borderId="5" xfId="10" applyFont="1" applyBorder="1" applyAlignment="1">
      <alignment horizontal="center" vertical="center" wrapText="1"/>
    </xf>
    <xf numFmtId="0" fontId="11" fillId="0" borderId="5" xfId="10" applyFont="1" applyBorder="1" applyAlignment="1">
      <alignment horizontal="center" vertical="center"/>
    </xf>
    <xf numFmtId="0" fontId="22" fillId="0" borderId="11" xfId="10" applyFont="1" applyBorder="1" applyAlignment="1">
      <alignment horizontal="center" vertical="center" wrapText="1"/>
    </xf>
    <xf numFmtId="0" fontId="22" fillId="0" borderId="10" xfId="10" applyFont="1" applyBorder="1" applyAlignment="1">
      <alignment horizontal="center" vertical="center" wrapText="1"/>
    </xf>
    <xf numFmtId="0" fontId="9" fillId="0" borderId="5" xfId="10" applyFont="1" applyBorder="1" applyAlignment="1">
      <alignment horizontal="center" vertical="center" wrapText="1"/>
    </xf>
    <xf numFmtId="0" fontId="6" fillId="0" borderId="37" xfId="10" applyFont="1" applyBorder="1" applyAlignment="1">
      <alignment horizontal="center" vertical="center"/>
    </xf>
    <xf numFmtId="0" fontId="11" fillId="0" borderId="9" xfId="10" applyFont="1" applyBorder="1" applyAlignment="1">
      <alignment horizontal="center" vertical="center" wrapText="1"/>
    </xf>
    <xf numFmtId="0" fontId="11" fillId="0" borderId="36" xfId="10" applyFont="1" applyBorder="1" applyAlignment="1">
      <alignment horizontal="center" vertical="center"/>
    </xf>
    <xf numFmtId="0" fontId="6" fillId="0" borderId="29" xfId="10" applyFont="1" applyBorder="1" applyAlignment="1">
      <alignment horizontal="center" vertical="center"/>
    </xf>
    <xf numFmtId="0" fontId="22" fillId="0" borderId="26" xfId="10" applyFont="1" applyBorder="1" applyAlignment="1">
      <alignment horizontal="center" vertical="center" wrapText="1"/>
    </xf>
    <xf numFmtId="0" fontId="23" fillId="0" borderId="9" xfId="10" applyFont="1" applyBorder="1" applyAlignment="1">
      <alignment horizontal="center" vertical="center"/>
    </xf>
    <xf numFmtId="0" fontId="6" fillId="0" borderId="35" xfId="10" applyFont="1" applyBorder="1" applyAlignment="1">
      <alignment horizontal="center" vertical="center"/>
    </xf>
    <xf numFmtId="0" fontId="12" fillId="0" borderId="21" xfId="10" applyFont="1" applyBorder="1" applyAlignment="1">
      <alignment horizontal="center" vertical="center"/>
    </xf>
    <xf numFmtId="0" fontId="22" fillId="0" borderId="2" xfId="10" applyFont="1" applyBorder="1" applyAlignment="1">
      <alignment horizontal="center" vertical="center" wrapText="1"/>
    </xf>
    <xf numFmtId="0" fontId="6" fillId="0" borderId="9" xfId="10" applyFont="1" applyBorder="1" applyAlignment="1">
      <alignment horizontal="center" vertical="center"/>
    </xf>
    <xf numFmtId="0" fontId="16" fillId="3" borderId="2" xfId="10" applyFont="1" applyFill="1" applyBorder="1" applyAlignment="1">
      <alignment horizontal="center" vertical="center" wrapText="1"/>
    </xf>
    <xf numFmtId="0" fontId="21" fillId="3" borderId="2" xfId="10" applyFont="1" applyFill="1" applyBorder="1" applyAlignment="1">
      <alignment horizontal="center" vertical="center" wrapText="1"/>
    </xf>
    <xf numFmtId="0" fontId="12" fillId="3" borderId="9" xfId="10" applyFont="1" applyFill="1" applyBorder="1" applyAlignment="1">
      <alignment horizontal="center" vertical="center" wrapText="1"/>
    </xf>
    <xf numFmtId="0" fontId="12" fillId="3" borderId="2" xfId="10" applyFont="1" applyFill="1" applyBorder="1" applyAlignment="1">
      <alignment horizontal="center" vertical="center" wrapText="1"/>
    </xf>
    <xf numFmtId="0" fontId="12" fillId="3" borderId="2" xfId="10" applyFont="1" applyFill="1" applyBorder="1" applyAlignment="1">
      <alignment horizontal="center" vertical="center"/>
    </xf>
    <xf numFmtId="0" fontId="4" fillId="3" borderId="2" xfId="10" applyFont="1" applyFill="1" applyBorder="1" applyAlignment="1">
      <alignment horizontal="center" vertical="center" wrapText="1"/>
    </xf>
    <xf numFmtId="0" fontId="4" fillId="0" borderId="2" xfId="10" applyFont="1" applyBorder="1" applyAlignment="1">
      <alignment horizontal="center" vertical="center" wrapText="1"/>
    </xf>
    <xf numFmtId="0" fontId="11" fillId="0" borderId="9" xfId="10" applyFont="1" applyBorder="1" applyAlignment="1">
      <alignment horizontal="center" vertical="center"/>
    </xf>
    <xf numFmtId="0" fontId="12" fillId="0" borderId="5" xfId="10" applyFont="1" applyBorder="1" applyAlignment="1">
      <alignment horizontal="center" vertical="center"/>
    </xf>
    <xf numFmtId="0" fontId="9" fillId="0" borderId="17" xfId="10" applyFont="1" applyBorder="1" applyAlignment="1">
      <alignment horizontal="center" vertical="center" wrapText="1"/>
    </xf>
    <xf numFmtId="0" fontId="22" fillId="3" borderId="2" xfId="10" applyFont="1" applyFill="1" applyBorder="1" applyAlignment="1">
      <alignment horizontal="center" vertical="center" wrapText="1"/>
    </xf>
    <xf numFmtId="0" fontId="12" fillId="0" borderId="1" xfId="10" applyFont="1" applyBorder="1" applyAlignment="1">
      <alignment horizontal="center" vertical="center"/>
    </xf>
    <xf numFmtId="0" fontId="12" fillId="0" borderId="32" xfId="10" applyFont="1" applyBorder="1" applyAlignment="1">
      <alignment horizontal="center" vertical="center" wrapText="1"/>
    </xf>
    <xf numFmtId="0" fontId="22" fillId="0" borderId="32" xfId="10" applyFont="1" applyBorder="1" applyAlignment="1">
      <alignment horizontal="center" vertical="center" wrapText="1"/>
    </xf>
    <xf numFmtId="0" fontId="6" fillId="0" borderId="32" xfId="10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/>
    </xf>
    <xf numFmtId="0" fontId="9" fillId="0" borderId="9" xfId="10" applyFont="1" applyBorder="1" applyAlignment="1">
      <alignment horizontal="center" vertical="center" wrapText="1"/>
    </xf>
    <xf numFmtId="0" fontId="21" fillId="3" borderId="9" xfId="10" applyFont="1" applyFill="1" applyBorder="1" applyAlignment="1">
      <alignment horizontal="center" vertical="center" wrapText="1"/>
    </xf>
    <xf numFmtId="0" fontId="4" fillId="3" borderId="9" xfId="10" applyFont="1" applyFill="1" applyBorder="1" applyAlignment="1">
      <alignment horizontal="center" vertical="center" wrapText="1"/>
    </xf>
    <xf numFmtId="0" fontId="20" fillId="0" borderId="2" xfId="13" applyFont="1" applyBorder="1" applyAlignment="1">
      <alignment horizontal="center" vertical="center"/>
    </xf>
    <xf numFmtId="0" fontId="11" fillId="0" borderId="17" xfId="13" applyFont="1" applyBorder="1" applyAlignment="1">
      <alignment horizontal="center" vertical="center" wrapText="1"/>
    </xf>
    <xf numFmtId="0" fontId="11" fillId="0" borderId="2" xfId="13" applyFont="1" applyBorder="1" applyAlignment="1">
      <alignment horizontal="center" vertical="center"/>
    </xf>
    <xf numFmtId="0" fontId="9" fillId="0" borderId="2" xfId="10" applyFont="1" applyBorder="1" applyAlignment="1">
      <alignment horizontal="center" vertical="center" wrapText="1"/>
    </xf>
    <xf numFmtId="0" fontId="12" fillId="0" borderId="2" xfId="10" applyFont="1" applyBorder="1" applyAlignment="1">
      <alignment horizontal="center" vertical="center"/>
    </xf>
    <xf numFmtId="0" fontId="11" fillId="0" borderId="17" xfId="10" applyFont="1" applyBorder="1" applyAlignment="1">
      <alignment horizontal="center" vertical="center"/>
    </xf>
    <xf numFmtId="176" fontId="8" fillId="0" borderId="0" xfId="10" applyNumberFormat="1" applyFont="1" applyAlignment="1">
      <alignment horizontal="center" vertical="center" wrapText="1"/>
    </xf>
    <xf numFmtId="0" fontId="6" fillId="2" borderId="2" xfId="10" applyFont="1" applyFill="1" applyBorder="1" applyAlignment="1">
      <alignment horizontal="center" vertical="center" wrapText="1"/>
    </xf>
    <xf numFmtId="0" fontId="7" fillId="2" borderId="2" xfId="10" applyFont="1" applyFill="1" applyBorder="1" applyAlignment="1">
      <alignment horizontal="center" vertical="center"/>
    </xf>
    <xf numFmtId="0" fontId="6" fillId="2" borderId="2" xfId="10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center" vertical="center"/>
    </xf>
    <xf numFmtId="0" fontId="27" fillId="0" borderId="2" xfId="15" applyFont="1" applyBorder="1" applyAlignment="1">
      <alignment horizontal="center" vertical="center" wrapText="1"/>
    </xf>
    <xf numFmtId="0" fontId="27" fillId="0" borderId="2" xfId="16" applyFont="1" applyBorder="1" applyAlignment="1">
      <alignment horizontal="center" vertical="center"/>
    </xf>
    <xf numFmtId="0" fontId="27" fillId="0" borderId="29" xfId="16" applyFont="1" applyBorder="1" applyAlignment="1">
      <alignment horizontal="center" vertical="center" wrapText="1"/>
    </xf>
    <xf numFmtId="0" fontId="27" fillId="0" borderId="29" xfId="15" applyFont="1" applyBorder="1" applyAlignment="1">
      <alignment horizontal="center" vertical="center" wrapText="1"/>
    </xf>
    <xf numFmtId="0" fontId="11" fillId="5" borderId="2" xfId="10" applyFont="1" applyFill="1" applyBorder="1" applyAlignment="1">
      <alignment horizontal="center" vertical="center" wrapText="1"/>
    </xf>
    <xf numFmtId="0" fontId="27" fillId="0" borderId="21" xfId="17" applyFont="1" applyBorder="1" applyAlignment="1">
      <alignment horizontal="center" vertical="center" wrapText="1"/>
    </xf>
    <xf numFmtId="0" fontId="27" fillId="0" borderId="2" xfId="17" applyFont="1" applyBorder="1" applyAlignment="1">
      <alignment horizontal="center" vertical="center" wrapText="1"/>
    </xf>
    <xf numFmtId="0" fontId="27" fillId="0" borderId="28" xfId="17" applyFont="1" applyBorder="1" applyAlignment="1">
      <alignment horizontal="center" vertical="center" wrapText="1"/>
    </xf>
    <xf numFmtId="0" fontId="7" fillId="0" borderId="9" xfId="10" applyFont="1" applyBorder="1" applyAlignment="1">
      <alignment horizontal="center" vertical="center"/>
    </xf>
    <xf numFmtId="0" fontId="11" fillId="0" borderId="21" xfId="10" applyFont="1" applyBorder="1" applyAlignment="1">
      <alignment horizontal="center" vertical="center"/>
    </xf>
    <xf numFmtId="9" fontId="11" fillId="0" borderId="0" xfId="3" applyFont="1" applyFill="1" applyBorder="1" applyAlignment="1" applyProtection="1">
      <alignment horizontal="center" vertical="center" wrapText="1"/>
    </xf>
    <xf numFmtId="0" fontId="26" fillId="0" borderId="0" xfId="10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33" xfId="2" applyFont="1" applyBorder="1" applyAlignment="1">
      <alignment horizontal="center" vertical="center" wrapText="1"/>
    </xf>
    <xf numFmtId="0" fontId="9" fillId="0" borderId="34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30" xfId="2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center" wrapText="1"/>
    </xf>
    <xf numFmtId="0" fontId="25" fillId="4" borderId="28" xfId="1" applyFont="1" applyFill="1" applyBorder="1" applyAlignment="1">
      <alignment horizontal="center" vertical="center" wrapText="1"/>
    </xf>
    <xf numFmtId="0" fontId="25" fillId="4" borderId="38" xfId="1" applyFont="1" applyFill="1" applyBorder="1" applyAlignment="1">
      <alignment horizontal="center" vertical="center" wrapText="1"/>
    </xf>
    <xf numFmtId="0" fontId="19" fillId="0" borderId="12" xfId="4" applyFont="1" applyBorder="1" applyAlignment="1">
      <alignment horizontal="left" vertical="center" wrapText="1"/>
    </xf>
    <xf numFmtId="0" fontId="19" fillId="0" borderId="13" xfId="4" applyFont="1" applyBorder="1" applyAlignment="1">
      <alignment horizontal="left" vertical="center" wrapText="1"/>
    </xf>
    <xf numFmtId="0" fontId="19" fillId="0" borderId="14" xfId="4" applyFont="1" applyBorder="1" applyAlignment="1">
      <alignment horizontal="left" vertical="center" wrapText="1"/>
    </xf>
    <xf numFmtId="0" fontId="19" fillId="0" borderId="15" xfId="4" applyFont="1" applyBorder="1" applyAlignment="1">
      <alignment horizontal="left" vertical="center" wrapText="1"/>
    </xf>
    <xf numFmtId="0" fontId="19" fillId="0" borderId="0" xfId="4" applyFont="1" applyAlignment="1">
      <alignment horizontal="left" vertical="center" wrapText="1"/>
    </xf>
    <xf numFmtId="0" fontId="19" fillId="0" borderId="16" xfId="4" applyFont="1" applyBorder="1" applyAlignment="1">
      <alignment horizontal="left" vertical="center" wrapText="1"/>
    </xf>
    <xf numFmtId="0" fontId="19" fillId="0" borderId="18" xfId="4" applyFont="1" applyBorder="1" applyAlignment="1">
      <alignment horizontal="left" vertical="center" wrapText="1"/>
    </xf>
    <xf numFmtId="0" fontId="19" fillId="0" borderId="19" xfId="4" applyFont="1" applyBorder="1" applyAlignment="1">
      <alignment horizontal="left" vertical="center" wrapText="1"/>
    </xf>
    <xf numFmtId="0" fontId="19" fillId="0" borderId="20" xfId="4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15" fillId="0" borderId="6" xfId="4" applyFont="1" applyBorder="1" applyAlignment="1">
      <alignment horizontal="left" vertical="center" wrapText="1"/>
    </xf>
    <xf numFmtId="0" fontId="15" fillId="0" borderId="7" xfId="4" applyFont="1" applyBorder="1" applyAlignment="1">
      <alignment horizontal="left" vertical="center" wrapText="1"/>
    </xf>
    <xf numFmtId="0" fontId="15" fillId="0" borderId="8" xfId="4" applyFont="1" applyBorder="1" applyAlignment="1">
      <alignment horizontal="left" vertical="center" wrapText="1"/>
    </xf>
    <xf numFmtId="0" fontId="18" fillId="0" borderId="12" xfId="4" applyFont="1" applyBorder="1" applyAlignment="1">
      <alignment horizontal="left" vertical="center" wrapText="1"/>
    </xf>
    <xf numFmtId="0" fontId="18" fillId="0" borderId="13" xfId="4" applyFont="1" applyBorder="1" applyAlignment="1">
      <alignment horizontal="left" vertical="center" wrapText="1"/>
    </xf>
    <xf numFmtId="0" fontId="18" fillId="0" borderId="14" xfId="4" applyFont="1" applyBorder="1" applyAlignment="1">
      <alignment horizontal="left" vertical="center" wrapText="1"/>
    </xf>
    <xf numFmtId="0" fontId="18" fillId="0" borderId="15" xfId="4" applyFont="1" applyBorder="1" applyAlignment="1">
      <alignment horizontal="left" vertical="center" wrapText="1"/>
    </xf>
    <xf numFmtId="0" fontId="18" fillId="0" borderId="0" xfId="4" applyFont="1" applyAlignment="1">
      <alignment horizontal="left" vertical="center" wrapText="1"/>
    </xf>
    <xf numFmtId="0" fontId="18" fillId="0" borderId="16" xfId="4" applyFont="1" applyBorder="1" applyAlignment="1">
      <alignment horizontal="left" vertical="center" wrapText="1"/>
    </xf>
    <xf numFmtId="0" fontId="18" fillId="0" borderId="18" xfId="4" applyFont="1" applyBorder="1" applyAlignment="1">
      <alignment horizontal="left" vertical="center" wrapText="1"/>
    </xf>
    <xf numFmtId="0" fontId="18" fillId="0" borderId="19" xfId="4" applyFont="1" applyBorder="1" applyAlignment="1">
      <alignment horizontal="left" vertical="center" wrapText="1"/>
    </xf>
    <xf numFmtId="0" fontId="18" fillId="0" borderId="20" xfId="4" applyFont="1" applyBorder="1" applyAlignment="1">
      <alignment horizontal="left" vertical="center" wrapText="1"/>
    </xf>
    <xf numFmtId="0" fontId="15" fillId="0" borderId="22" xfId="4" applyFont="1" applyBorder="1" applyAlignment="1">
      <alignment horizontal="left" vertical="center" wrapText="1"/>
    </xf>
    <xf numFmtId="0" fontId="15" fillId="0" borderId="23" xfId="4" applyFont="1" applyBorder="1" applyAlignment="1">
      <alignment horizontal="left" vertical="center" wrapText="1"/>
    </xf>
    <xf numFmtId="0" fontId="15" fillId="0" borderId="24" xfId="4" applyFont="1" applyBorder="1" applyAlignment="1">
      <alignment horizontal="left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30" xfId="2" applyFont="1" applyBorder="1" applyAlignment="1">
      <alignment horizontal="center" vertical="center" wrapText="1"/>
    </xf>
    <xf numFmtId="0" fontId="11" fillId="0" borderId="31" xfId="2" applyFont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0" fontId="22" fillId="0" borderId="34" xfId="1" applyFont="1" applyBorder="1" applyAlignment="1">
      <alignment horizontal="center" vertical="center" wrapText="1"/>
    </xf>
    <xf numFmtId="0" fontId="22" fillId="0" borderId="10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0" borderId="26" xfId="1" applyFont="1" applyBorder="1" applyAlignment="1">
      <alignment horizontal="center" vertical="center" wrapText="1"/>
    </xf>
    <xf numFmtId="0" fontId="22" fillId="0" borderId="27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22" fillId="0" borderId="30" xfId="1" applyFont="1" applyBorder="1" applyAlignment="1">
      <alignment horizontal="center" vertical="center" wrapText="1"/>
    </xf>
    <xf numFmtId="0" fontId="22" fillId="0" borderId="31" xfId="1" applyFont="1" applyBorder="1" applyAlignment="1">
      <alignment horizontal="center" vertical="center" wrapText="1"/>
    </xf>
    <xf numFmtId="0" fontId="15" fillId="0" borderId="22" xfId="10" applyFont="1" applyBorder="1" applyAlignment="1">
      <alignment horizontal="left" vertical="center"/>
    </xf>
    <xf numFmtId="0" fontId="15" fillId="0" borderId="23" xfId="10" applyFont="1" applyBorder="1" applyAlignment="1">
      <alignment horizontal="left" vertical="center"/>
    </xf>
    <xf numFmtId="0" fontId="15" fillId="0" borderId="24" xfId="10" applyFont="1" applyBorder="1" applyAlignment="1">
      <alignment horizontal="left" vertical="center"/>
    </xf>
    <xf numFmtId="0" fontId="15" fillId="0" borderId="6" xfId="14" applyFont="1" applyBorder="1" applyAlignment="1">
      <alignment horizontal="left" vertical="center" wrapText="1"/>
    </xf>
    <xf numFmtId="0" fontId="15" fillId="0" borderId="7" xfId="14" applyFont="1" applyBorder="1" applyAlignment="1">
      <alignment horizontal="left" vertical="center" wrapText="1"/>
    </xf>
    <xf numFmtId="0" fontId="15" fillId="0" borderId="8" xfId="14" applyFont="1" applyBorder="1" applyAlignment="1">
      <alignment horizontal="left" vertical="center" wrapText="1"/>
    </xf>
    <xf numFmtId="0" fontId="18" fillId="0" borderId="12" xfId="14" applyFont="1" applyBorder="1" applyAlignment="1">
      <alignment horizontal="left" vertical="center" wrapText="1"/>
    </xf>
    <xf numFmtId="0" fontId="18" fillId="0" borderId="13" xfId="14" applyFont="1" applyBorder="1" applyAlignment="1">
      <alignment horizontal="left" vertical="center" wrapText="1"/>
    </xf>
    <xf numFmtId="0" fontId="18" fillId="0" borderId="14" xfId="14" applyFont="1" applyBorder="1" applyAlignment="1">
      <alignment horizontal="left" vertical="center" wrapText="1"/>
    </xf>
    <xf numFmtId="0" fontId="18" fillId="0" borderId="15" xfId="14" applyFont="1" applyBorder="1" applyAlignment="1">
      <alignment horizontal="left" vertical="center" wrapText="1"/>
    </xf>
    <xf numFmtId="0" fontId="18" fillId="0" borderId="0" xfId="14" applyFont="1" applyAlignment="1">
      <alignment horizontal="left" vertical="center" wrapText="1"/>
    </xf>
    <xf numFmtId="0" fontId="18" fillId="0" borderId="16" xfId="14" applyFont="1" applyBorder="1" applyAlignment="1">
      <alignment horizontal="left" vertical="center" wrapText="1"/>
    </xf>
    <xf numFmtId="0" fontId="18" fillId="0" borderId="18" xfId="14" applyFont="1" applyBorder="1" applyAlignment="1">
      <alignment horizontal="left" vertical="center" wrapText="1"/>
    </xf>
    <xf numFmtId="0" fontId="18" fillId="0" borderId="19" xfId="14" applyFont="1" applyBorder="1" applyAlignment="1">
      <alignment horizontal="left" vertical="center" wrapText="1"/>
    </xf>
    <xf numFmtId="0" fontId="18" fillId="0" borderId="20" xfId="14" applyFont="1" applyBorder="1" applyAlignment="1">
      <alignment horizontal="left" vertical="center" wrapText="1"/>
    </xf>
    <xf numFmtId="0" fontId="15" fillId="0" borderId="22" xfId="14" applyFont="1" applyBorder="1" applyAlignment="1">
      <alignment horizontal="left" vertical="center" wrapText="1"/>
    </xf>
    <xf numFmtId="0" fontId="15" fillId="0" borderId="23" xfId="14" applyFont="1" applyBorder="1" applyAlignment="1">
      <alignment horizontal="left" vertical="center" wrapText="1"/>
    </xf>
    <xf numFmtId="0" fontId="15" fillId="0" borderId="24" xfId="14" applyFont="1" applyBorder="1" applyAlignment="1">
      <alignment horizontal="left" vertical="center" wrapText="1"/>
    </xf>
    <xf numFmtId="0" fontId="19" fillId="0" borderId="12" xfId="14" applyFont="1" applyBorder="1" applyAlignment="1">
      <alignment horizontal="left" vertical="center" wrapText="1"/>
    </xf>
    <xf numFmtId="0" fontId="19" fillId="0" borderId="13" xfId="14" applyFont="1" applyBorder="1" applyAlignment="1">
      <alignment horizontal="left" vertical="center" wrapText="1"/>
    </xf>
    <xf numFmtId="0" fontId="19" fillId="0" borderId="14" xfId="14" applyFont="1" applyBorder="1" applyAlignment="1">
      <alignment horizontal="left" vertical="center" wrapText="1"/>
    </xf>
    <xf numFmtId="0" fontId="19" fillId="0" borderId="15" xfId="14" applyFont="1" applyBorder="1" applyAlignment="1">
      <alignment horizontal="left" vertical="center" wrapText="1"/>
    </xf>
    <xf numFmtId="0" fontId="19" fillId="0" borderId="0" xfId="14" applyFont="1" applyAlignment="1">
      <alignment horizontal="left" vertical="center" wrapText="1"/>
    </xf>
    <xf numFmtId="0" fontId="19" fillId="0" borderId="16" xfId="14" applyFont="1" applyBorder="1" applyAlignment="1">
      <alignment horizontal="left" vertical="center" wrapText="1"/>
    </xf>
    <xf numFmtId="0" fontId="19" fillId="0" borderId="18" xfId="14" applyFont="1" applyBorder="1" applyAlignment="1">
      <alignment horizontal="left" vertical="center" wrapText="1"/>
    </xf>
    <xf numFmtId="0" fontId="19" fillId="0" borderId="19" xfId="14" applyFont="1" applyBorder="1" applyAlignment="1">
      <alignment horizontal="left" vertical="center" wrapText="1"/>
    </xf>
    <xf numFmtId="0" fontId="19" fillId="0" borderId="20" xfId="14" applyFont="1" applyBorder="1" applyAlignment="1">
      <alignment horizontal="left" vertical="center" wrapText="1"/>
    </xf>
    <xf numFmtId="0" fontId="32" fillId="0" borderId="17" xfId="10" applyFont="1" applyBorder="1" applyAlignment="1">
      <alignment horizontal="center" vertical="center"/>
    </xf>
    <xf numFmtId="0" fontId="32" fillId="0" borderId="36" xfId="10" applyFont="1" applyBorder="1" applyAlignment="1">
      <alignment horizontal="center" vertical="center"/>
    </xf>
    <xf numFmtId="0" fontId="32" fillId="0" borderId="25" xfId="10" applyFont="1" applyBorder="1" applyAlignment="1">
      <alignment horizontal="center" vertical="center"/>
    </xf>
    <xf numFmtId="0" fontId="25" fillId="4" borderId="28" xfId="10" applyFont="1" applyFill="1" applyBorder="1" applyAlignment="1">
      <alignment horizontal="center" vertical="center" wrapText="1"/>
    </xf>
    <xf numFmtId="0" fontId="25" fillId="4" borderId="38" xfId="10" applyFont="1" applyFill="1" applyBorder="1" applyAlignment="1">
      <alignment horizontal="center" vertical="center" wrapText="1"/>
    </xf>
    <xf numFmtId="0" fontId="2" fillId="0" borderId="1" xfId="10" applyFont="1" applyBorder="1" applyAlignment="1">
      <alignment horizontal="center" vertical="center"/>
    </xf>
    <xf numFmtId="0" fontId="4" fillId="0" borderId="1" xfId="10" applyFont="1" applyBorder="1" applyAlignment="1">
      <alignment horizontal="center" vertical="center"/>
    </xf>
    <xf numFmtId="0" fontId="2" fillId="0" borderId="2" xfId="10" applyFont="1" applyBorder="1" applyAlignment="1">
      <alignment horizontal="center" vertical="center"/>
    </xf>
    <xf numFmtId="0" fontId="4" fillId="0" borderId="2" xfId="10" applyFont="1" applyBorder="1" applyAlignment="1">
      <alignment horizontal="center" vertical="center"/>
    </xf>
    <xf numFmtId="0" fontId="9" fillId="0" borderId="3" xfId="10" applyFont="1" applyBorder="1" applyAlignment="1">
      <alignment horizontal="center" vertical="center" wrapText="1"/>
    </xf>
    <xf numFmtId="0" fontId="9" fillId="0" borderId="4" xfId="10" applyFont="1" applyBorder="1" applyAlignment="1">
      <alignment horizontal="center" vertical="center" wrapText="1"/>
    </xf>
    <xf numFmtId="0" fontId="9" fillId="0" borderId="10" xfId="10" applyFont="1" applyBorder="1" applyAlignment="1">
      <alignment horizontal="center" vertical="center" wrapText="1"/>
    </xf>
    <xf numFmtId="0" fontId="9" fillId="0" borderId="11" xfId="10" applyFont="1" applyBorder="1" applyAlignment="1">
      <alignment horizontal="center" vertical="center" wrapText="1"/>
    </xf>
    <xf numFmtId="0" fontId="9" fillId="0" borderId="26" xfId="10" applyFont="1" applyBorder="1" applyAlignment="1">
      <alignment horizontal="center" vertical="center" wrapText="1"/>
    </xf>
    <xf numFmtId="0" fontId="9" fillId="0" borderId="27" xfId="10" applyFont="1" applyBorder="1" applyAlignment="1">
      <alignment horizontal="center" vertical="center" wrapText="1"/>
    </xf>
    <xf numFmtId="0" fontId="22" fillId="0" borderId="33" xfId="10" applyFont="1" applyBorder="1" applyAlignment="1">
      <alignment horizontal="center" vertical="center" wrapText="1"/>
    </xf>
    <xf numFmtId="0" fontId="22" fillId="0" borderId="34" xfId="10" applyFont="1" applyBorder="1" applyAlignment="1">
      <alignment horizontal="center" vertical="center" wrapText="1"/>
    </xf>
    <xf numFmtId="0" fontId="22" fillId="0" borderId="10" xfId="10" applyFont="1" applyBorder="1" applyAlignment="1">
      <alignment horizontal="center" vertical="center" wrapText="1"/>
    </xf>
    <xf numFmtId="0" fontId="22" fillId="0" borderId="11" xfId="10" applyFont="1" applyBorder="1" applyAlignment="1">
      <alignment horizontal="center" vertical="center" wrapText="1"/>
    </xf>
    <xf numFmtId="0" fontId="22" fillId="0" borderId="26" xfId="10" applyFont="1" applyBorder="1" applyAlignment="1">
      <alignment horizontal="center" vertical="center" wrapText="1"/>
    </xf>
    <xf numFmtId="0" fontId="22" fillId="0" borderId="27" xfId="10" applyFont="1" applyBorder="1" applyAlignment="1">
      <alignment horizontal="center" vertical="center" wrapText="1"/>
    </xf>
    <xf numFmtId="0" fontId="4" fillId="0" borderId="21" xfId="11" applyFont="1" applyBorder="1" applyAlignment="1">
      <alignment horizontal="center" vertical="center" wrapText="1"/>
    </xf>
    <xf numFmtId="0" fontId="4" fillId="0" borderId="9" xfId="11" applyFont="1" applyBorder="1" applyAlignment="1">
      <alignment horizontal="center" vertical="center" wrapText="1"/>
    </xf>
    <xf numFmtId="0" fontId="11" fillId="0" borderId="3" xfId="10" applyFont="1" applyBorder="1" applyAlignment="1">
      <alignment horizontal="center" vertical="center" wrapText="1"/>
    </xf>
    <xf numFmtId="0" fontId="11" fillId="0" borderId="4" xfId="10" applyFont="1" applyBorder="1" applyAlignment="1">
      <alignment horizontal="center" vertical="center" wrapText="1"/>
    </xf>
    <xf numFmtId="0" fontId="11" fillId="0" borderId="30" xfId="10" applyFont="1" applyBorder="1" applyAlignment="1">
      <alignment horizontal="center" vertical="center" wrapText="1"/>
    </xf>
    <xf numFmtId="0" fontId="11" fillId="0" borderId="31" xfId="10" applyFont="1" applyBorder="1" applyAlignment="1">
      <alignment horizontal="center" vertical="center" wrapText="1"/>
    </xf>
    <xf numFmtId="0" fontId="22" fillId="0" borderId="30" xfId="10" applyFont="1" applyBorder="1" applyAlignment="1">
      <alignment horizontal="center" vertical="center" wrapText="1"/>
    </xf>
    <xf numFmtId="0" fontId="22" fillId="0" borderId="31" xfId="10" applyFont="1" applyBorder="1" applyAlignment="1">
      <alignment horizontal="center" vertical="center" wrapText="1"/>
    </xf>
    <xf numFmtId="0" fontId="18" fillId="0" borderId="12" xfId="10" applyFont="1" applyBorder="1" applyAlignment="1">
      <alignment horizontal="left" vertical="center" wrapText="1"/>
    </xf>
    <xf numFmtId="0" fontId="18" fillId="0" borderId="13" xfId="10" applyFont="1" applyBorder="1" applyAlignment="1">
      <alignment horizontal="left" vertical="center" wrapText="1"/>
    </xf>
    <xf numFmtId="0" fontId="18" fillId="0" borderId="14" xfId="10" applyFont="1" applyBorder="1" applyAlignment="1">
      <alignment horizontal="left" vertical="center" wrapText="1"/>
    </xf>
    <xf numFmtId="0" fontId="18" fillId="0" borderId="15" xfId="10" applyFont="1" applyBorder="1" applyAlignment="1">
      <alignment horizontal="left" vertical="center" wrapText="1"/>
    </xf>
    <xf numFmtId="0" fontId="18" fillId="0" borderId="0" xfId="10" applyFont="1" applyAlignment="1">
      <alignment horizontal="left" vertical="center" wrapText="1"/>
    </xf>
    <xf numFmtId="0" fontId="18" fillId="0" borderId="16" xfId="10" applyFont="1" applyBorder="1" applyAlignment="1">
      <alignment horizontal="left" vertical="center" wrapText="1"/>
    </xf>
    <xf numFmtId="0" fontId="18" fillId="0" borderId="18" xfId="10" applyFont="1" applyBorder="1" applyAlignment="1">
      <alignment horizontal="left" vertical="center" wrapText="1"/>
    </xf>
    <xf numFmtId="0" fontId="18" fillId="0" borderId="19" xfId="10" applyFont="1" applyBorder="1" applyAlignment="1">
      <alignment horizontal="left" vertical="center" wrapText="1"/>
    </xf>
    <xf numFmtId="0" fontId="18" fillId="0" borderId="20" xfId="10" applyFont="1" applyBorder="1" applyAlignment="1">
      <alignment horizontal="left" vertical="center" wrapText="1"/>
    </xf>
    <xf numFmtId="0" fontId="2" fillId="0" borderId="41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</cellXfs>
  <cellStyles count="18">
    <cellStyle name="백분율 2" xfId="3" xr:uid="{00000000-0005-0000-0000-000000000000}"/>
    <cellStyle name="표준" xfId="0" builtinId="0"/>
    <cellStyle name="표준 2 10 17 16 8" xfId="5" xr:uid="{00000000-0005-0000-0000-000002000000}"/>
    <cellStyle name="표준 2 10 17 16 9" xfId="13" xr:uid="{00000000-0005-0000-0000-000003000000}"/>
    <cellStyle name="표준 2 10 17 25" xfId="1" xr:uid="{00000000-0005-0000-0000-000004000000}"/>
    <cellStyle name="표준 2 10 17 25 2" xfId="16" xr:uid="{00000000-0005-0000-0000-000005000000}"/>
    <cellStyle name="표준 2 10 17 28" xfId="10" xr:uid="{00000000-0005-0000-0000-000006000000}"/>
    <cellStyle name="표준 2 10 17 5 16" xfId="9" xr:uid="{00000000-0005-0000-0000-000007000000}"/>
    <cellStyle name="표준 2 10 17 5 17" xfId="11" xr:uid="{00000000-0005-0000-0000-000008000000}"/>
    <cellStyle name="표준 2 10 17 7 15" xfId="6" xr:uid="{00000000-0005-0000-0000-000009000000}"/>
    <cellStyle name="표준 2 10 17 7 15 2" xfId="17" xr:uid="{00000000-0005-0000-0000-00000A000000}"/>
    <cellStyle name="표준 2 10 18 4 14" xfId="7" xr:uid="{00000000-0005-0000-0000-00000B000000}"/>
    <cellStyle name="표준 2 10 18 4 14 2" xfId="15" xr:uid="{00000000-0005-0000-0000-00000C000000}"/>
    <cellStyle name="표준 2 10 6 3 2 2 18" xfId="8" xr:uid="{00000000-0005-0000-0000-00000D000000}"/>
    <cellStyle name="표준 2 10 6 3 2 2 19" xfId="12" xr:uid="{00000000-0005-0000-0000-00000E000000}"/>
    <cellStyle name="표준 2 2" xfId="2" xr:uid="{00000000-0005-0000-0000-00000F000000}"/>
    <cellStyle name="표준 2 3 6 19 19" xfId="4" xr:uid="{00000000-0005-0000-0000-000010000000}"/>
    <cellStyle name="표준 2 3 6 19 20" xfId="1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"/>
  <sheetViews>
    <sheetView topLeftCell="A5" zoomScale="85" zoomScaleNormal="85" zoomScalePageLayoutView="80" workbookViewId="0">
      <selection activeCell="G26" sqref="G26"/>
    </sheetView>
  </sheetViews>
  <sheetFormatPr defaultRowHeight="16.5"/>
  <cols>
    <col min="1" max="1" width="3.25" style="3" customWidth="1"/>
    <col min="2" max="2" width="10" style="79" customWidth="1"/>
    <col min="3" max="4" width="11.875" style="79" customWidth="1"/>
    <col min="5" max="11" width="11.875" style="2" customWidth="1"/>
    <col min="12" max="12" width="2.625" style="80" customWidth="1"/>
    <col min="13" max="17" width="11.875" style="2" customWidth="1"/>
    <col min="18" max="18" width="11.875" style="1" hidden="1" customWidth="1"/>
    <col min="19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26" ht="16.5" hidden="1" customHeight="1">
      <c r="A1" s="306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2" spans="1:26" ht="18" customHeight="1">
      <c r="A2" s="308" t="s">
        <v>126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3" spans="1:26" ht="21" customHeight="1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 t="e">
        <f ca="1">AVERAGE(R4:R28)</f>
        <v>#NAME?</v>
      </c>
      <c r="S3" s="8"/>
    </row>
    <row r="4" spans="1:26" ht="27.95" customHeight="1" thickBot="1">
      <c r="A4" s="9">
        <v>1</v>
      </c>
      <c r="B4" s="10" t="s">
        <v>17</v>
      </c>
      <c r="C4" s="310"/>
      <c r="D4" s="311"/>
      <c r="E4" s="11" t="s">
        <v>18</v>
      </c>
      <c r="F4" s="12" t="s">
        <v>213</v>
      </c>
      <c r="G4" s="12" t="s">
        <v>19</v>
      </c>
      <c r="H4" s="13" t="s">
        <v>218</v>
      </c>
      <c r="I4" s="12" t="s">
        <v>214</v>
      </c>
      <c r="J4" s="12" t="s">
        <v>215</v>
      </c>
      <c r="K4" s="12" t="s">
        <v>216</v>
      </c>
      <c r="L4" s="12"/>
      <c r="M4" s="12" t="s">
        <v>161</v>
      </c>
      <c r="N4" s="12" t="s">
        <v>217</v>
      </c>
      <c r="O4" s="11" t="s">
        <v>23</v>
      </c>
      <c r="P4" s="11" t="s">
        <v>184</v>
      </c>
      <c r="Q4" s="12" t="s">
        <v>25</v>
      </c>
      <c r="R4" s="14" t="e">
        <f t="shared" ref="R4:R15" ca="1" si="0">(COUNA(C4:Q4))/12</f>
        <v>#NAME?</v>
      </c>
      <c r="S4" s="14"/>
      <c r="U4" s="316" t="s">
        <v>26</v>
      </c>
      <c r="V4" s="317"/>
      <c r="W4" s="317"/>
      <c r="X4" s="317"/>
      <c r="Y4" s="317"/>
      <c r="Z4" s="318"/>
    </row>
    <row r="5" spans="1:26" ht="27.95" customHeight="1">
      <c r="A5" s="9">
        <v>2</v>
      </c>
      <c r="B5" s="15" t="s">
        <v>27</v>
      </c>
      <c r="C5" s="312"/>
      <c r="D5" s="313"/>
      <c r="E5" s="11" t="s">
        <v>170</v>
      </c>
      <c r="F5" s="12" t="s">
        <v>28</v>
      </c>
      <c r="G5" s="12" t="s">
        <v>169</v>
      </c>
      <c r="H5" s="12" t="s">
        <v>168</v>
      </c>
      <c r="I5" s="11" t="s">
        <v>29</v>
      </c>
      <c r="J5" s="11" t="s">
        <v>127</v>
      </c>
      <c r="K5" s="16" t="s">
        <v>30</v>
      </c>
      <c r="L5" s="12"/>
      <c r="M5" s="13" t="s">
        <v>31</v>
      </c>
      <c r="N5" s="17" t="s">
        <v>208</v>
      </c>
      <c r="O5" s="85" t="s">
        <v>243</v>
      </c>
      <c r="P5" s="11" t="s">
        <v>32</v>
      </c>
      <c r="Q5" s="85" t="s">
        <v>33</v>
      </c>
      <c r="R5" s="14" t="e">
        <f t="shared" ca="1" si="0"/>
        <v>#NAME?</v>
      </c>
      <c r="S5" s="14"/>
      <c r="U5" s="319" t="s">
        <v>148</v>
      </c>
      <c r="V5" s="320"/>
      <c r="W5" s="320"/>
      <c r="X5" s="320"/>
      <c r="Y5" s="320"/>
      <c r="Z5" s="321"/>
    </row>
    <row r="6" spans="1:26" ht="27.75" customHeight="1">
      <c r="A6" s="9">
        <v>3</v>
      </c>
      <c r="B6" s="15" t="s">
        <v>34</v>
      </c>
      <c r="C6" s="312"/>
      <c r="D6" s="313"/>
      <c r="E6" s="81" t="s">
        <v>166</v>
      </c>
      <c r="F6" s="11" t="s">
        <v>165</v>
      </c>
      <c r="G6" s="12" t="s">
        <v>164</v>
      </c>
      <c r="H6" s="11" t="s">
        <v>167</v>
      </c>
      <c r="I6" s="12" t="s">
        <v>129</v>
      </c>
      <c r="J6" s="18" t="s">
        <v>35</v>
      </c>
      <c r="K6" s="12" t="s">
        <v>36</v>
      </c>
      <c r="L6" s="12"/>
      <c r="M6" s="11" t="s">
        <v>37</v>
      </c>
      <c r="N6" s="12" t="s">
        <v>177</v>
      </c>
      <c r="O6" s="12" t="s">
        <v>256</v>
      </c>
      <c r="P6" s="12" t="s">
        <v>254</v>
      </c>
      <c r="Q6" s="12" t="s">
        <v>38</v>
      </c>
      <c r="R6" s="14" t="e">
        <f t="shared" ca="1" si="0"/>
        <v>#NAME?</v>
      </c>
      <c r="S6" s="14"/>
      <c r="U6" s="322"/>
      <c r="V6" s="323"/>
      <c r="W6" s="323"/>
      <c r="X6" s="323"/>
      <c r="Y6" s="323"/>
      <c r="Z6" s="324"/>
    </row>
    <row r="7" spans="1:26" ht="27.95" customHeight="1" thickBot="1">
      <c r="A7" s="9">
        <v>4</v>
      </c>
      <c r="B7" s="10" t="s">
        <v>39</v>
      </c>
      <c r="C7" s="312"/>
      <c r="D7" s="313"/>
      <c r="E7" s="85" t="s">
        <v>212</v>
      </c>
      <c r="F7" s="18" t="s">
        <v>40</v>
      </c>
      <c r="G7" s="12" t="s">
        <v>41</v>
      </c>
      <c r="H7" s="12" t="s">
        <v>211</v>
      </c>
      <c r="I7" s="12" t="s">
        <v>244</v>
      </c>
      <c r="J7" s="12" t="s">
        <v>41</v>
      </c>
      <c r="K7" s="12" t="s">
        <v>245</v>
      </c>
      <c r="L7" s="19"/>
      <c r="M7" s="18" t="s">
        <v>42</v>
      </c>
      <c r="N7" s="11" t="s">
        <v>24</v>
      </c>
      <c r="O7" s="12" t="s">
        <v>246</v>
      </c>
      <c r="P7" s="12" t="s">
        <v>247</v>
      </c>
      <c r="Q7" s="12" t="s">
        <v>248</v>
      </c>
      <c r="R7" s="14" t="e">
        <f t="shared" ca="1" si="0"/>
        <v>#NAME?</v>
      </c>
      <c r="S7" s="14"/>
      <c r="U7" s="325"/>
      <c r="V7" s="326"/>
      <c r="W7" s="326"/>
      <c r="X7" s="326"/>
      <c r="Y7" s="326"/>
      <c r="Z7" s="327"/>
    </row>
    <row r="8" spans="1:26" ht="27.95" customHeight="1" thickBot="1">
      <c r="A8" s="9">
        <v>5</v>
      </c>
      <c r="B8" s="20" t="s">
        <v>44</v>
      </c>
      <c r="C8" s="312"/>
      <c r="D8" s="313"/>
      <c r="E8" s="12" t="s">
        <v>225</v>
      </c>
      <c r="F8" s="85" t="s">
        <v>45</v>
      </c>
      <c r="G8" s="21" t="s">
        <v>179</v>
      </c>
      <c r="H8" s="12" t="s">
        <v>46</v>
      </c>
      <c r="I8" s="11" t="s">
        <v>226</v>
      </c>
      <c r="J8" s="12" t="s">
        <v>47</v>
      </c>
      <c r="K8" s="12" t="s">
        <v>48</v>
      </c>
      <c r="L8" s="21"/>
      <c r="M8" s="16" t="s">
        <v>229</v>
      </c>
      <c r="N8" s="17" t="s">
        <v>228</v>
      </c>
      <c r="O8" s="22" t="s">
        <v>49</v>
      </c>
      <c r="P8" s="12" t="s">
        <v>242</v>
      </c>
      <c r="Q8" s="18" t="s">
        <v>50</v>
      </c>
      <c r="R8" s="14" t="e">
        <f t="shared" ca="1" si="0"/>
        <v>#NAME?</v>
      </c>
      <c r="S8" s="14"/>
      <c r="U8" s="328" t="s">
        <v>149</v>
      </c>
      <c r="V8" s="329"/>
      <c r="W8" s="329"/>
      <c r="X8" s="329"/>
      <c r="Y8" s="329"/>
      <c r="Z8" s="330"/>
    </row>
    <row r="9" spans="1:26" ht="27.95" customHeight="1">
      <c r="A9" s="9">
        <v>6</v>
      </c>
      <c r="B9" s="10" t="s">
        <v>51</v>
      </c>
      <c r="C9" s="312"/>
      <c r="D9" s="313"/>
      <c r="E9" s="18" t="s">
        <v>234</v>
      </c>
      <c r="F9" s="12" t="s">
        <v>235</v>
      </c>
      <c r="G9" s="11" t="s">
        <v>23</v>
      </c>
      <c r="H9" s="12" t="s">
        <v>236</v>
      </c>
      <c r="I9" s="11" t="s">
        <v>53</v>
      </c>
      <c r="J9" s="16" t="s">
        <v>21</v>
      </c>
      <c r="K9" s="11" t="s">
        <v>54</v>
      </c>
      <c r="L9" s="12"/>
      <c r="M9" s="17" t="s">
        <v>237</v>
      </c>
      <c r="N9" s="12" t="s">
        <v>19</v>
      </c>
      <c r="O9" s="11" t="s">
        <v>238</v>
      </c>
      <c r="P9" s="12" t="s">
        <v>55</v>
      </c>
      <c r="Q9" s="23" t="s">
        <v>239</v>
      </c>
      <c r="R9" s="14" t="e">
        <f t="shared" ca="1" si="0"/>
        <v>#NAME?</v>
      </c>
      <c r="S9" s="14"/>
      <c r="U9" s="297" t="s">
        <v>249</v>
      </c>
      <c r="V9" s="298"/>
      <c r="W9" s="298"/>
      <c r="X9" s="298"/>
      <c r="Y9" s="298"/>
      <c r="Z9" s="299"/>
    </row>
    <row r="10" spans="1:26" ht="27.75" customHeight="1">
      <c r="A10" s="9">
        <v>7</v>
      </c>
      <c r="B10" s="10" t="s">
        <v>57</v>
      </c>
      <c r="C10" s="312"/>
      <c r="D10" s="313"/>
      <c r="E10" s="12" t="s">
        <v>186</v>
      </c>
      <c r="F10" s="12" t="s">
        <v>58</v>
      </c>
      <c r="G10" s="85" t="s">
        <v>59</v>
      </c>
      <c r="H10" s="12" t="s">
        <v>187</v>
      </c>
      <c r="I10" s="86" t="s">
        <v>188</v>
      </c>
      <c r="J10" s="87" t="s">
        <v>60</v>
      </c>
      <c r="K10" s="88" t="s">
        <v>52</v>
      </c>
      <c r="L10" s="24"/>
      <c r="M10" s="12" t="s">
        <v>227</v>
      </c>
      <c r="N10" s="11" t="s">
        <v>61</v>
      </c>
      <c r="O10" s="12" t="s">
        <v>19</v>
      </c>
      <c r="P10" s="11" t="s">
        <v>62</v>
      </c>
      <c r="Q10" s="12" t="s">
        <v>189</v>
      </c>
      <c r="R10" s="14" t="e">
        <f t="shared" ca="1" si="0"/>
        <v>#NAME?</v>
      </c>
      <c r="S10" s="14"/>
      <c r="U10" s="300"/>
      <c r="V10" s="301"/>
      <c r="W10" s="301"/>
      <c r="X10" s="301"/>
      <c r="Y10" s="301"/>
      <c r="Z10" s="302"/>
    </row>
    <row r="11" spans="1:26" ht="27.95" customHeight="1">
      <c r="A11" s="9">
        <v>8</v>
      </c>
      <c r="B11" s="25" t="s">
        <v>63</v>
      </c>
      <c r="C11" s="314"/>
      <c r="D11" s="315"/>
      <c r="E11" s="26"/>
      <c r="F11" s="27"/>
      <c r="G11" s="28"/>
      <c r="H11" s="29"/>
      <c r="I11" s="27"/>
      <c r="J11" s="30"/>
      <c r="K11" s="31"/>
      <c r="L11" s="27"/>
      <c r="M11" s="27"/>
      <c r="N11" s="32"/>
      <c r="O11" s="29"/>
      <c r="P11" s="29"/>
      <c r="Q11" s="29"/>
      <c r="R11" s="14" t="e">
        <f t="shared" ca="1" si="0"/>
        <v>#NAME?</v>
      </c>
      <c r="S11" s="14"/>
      <c r="U11" s="300"/>
      <c r="V11" s="301"/>
      <c r="W11" s="301"/>
      <c r="X11" s="301"/>
      <c r="Y11" s="301"/>
      <c r="Z11" s="302"/>
    </row>
    <row r="12" spans="1:26" ht="27.95" customHeight="1">
      <c r="A12" s="9">
        <v>9</v>
      </c>
      <c r="B12" s="15" t="s">
        <v>64</v>
      </c>
      <c r="C12" s="82" t="s">
        <v>190</v>
      </c>
      <c r="D12" s="83" t="s">
        <v>191</v>
      </c>
      <c r="E12" s="11" t="s">
        <v>192</v>
      </c>
      <c r="F12" s="23" t="s">
        <v>193</v>
      </c>
      <c r="G12" s="23" t="s">
        <v>194</v>
      </c>
      <c r="H12" s="23" t="s">
        <v>56</v>
      </c>
      <c r="I12" s="18" t="s">
        <v>195</v>
      </c>
      <c r="J12" s="16" t="s">
        <v>196</v>
      </c>
      <c r="K12" s="12" t="s">
        <v>20</v>
      </c>
      <c r="L12" s="18"/>
      <c r="M12" s="23" t="s">
        <v>66</v>
      </c>
      <c r="N12" s="18" t="s">
        <v>197</v>
      </c>
      <c r="O12" s="12" t="s">
        <v>67</v>
      </c>
      <c r="P12" s="331"/>
      <c r="Q12" s="332"/>
      <c r="R12" s="14" t="e">
        <f t="shared" ca="1" si="0"/>
        <v>#NAME?</v>
      </c>
      <c r="S12" s="14"/>
      <c r="U12" s="300"/>
      <c r="V12" s="301"/>
      <c r="W12" s="301"/>
      <c r="X12" s="301"/>
      <c r="Y12" s="301"/>
      <c r="Z12" s="302"/>
    </row>
    <row r="13" spans="1:26" ht="27.95" customHeight="1" thickBot="1">
      <c r="A13" s="9">
        <v>10</v>
      </c>
      <c r="B13" s="20" t="s">
        <v>68</v>
      </c>
      <c r="C13" s="84" t="s">
        <v>151</v>
      </c>
      <c r="D13" s="84" t="s">
        <v>152</v>
      </c>
      <c r="E13" s="11" t="s">
        <v>153</v>
      </c>
      <c r="F13" s="33" t="s">
        <v>154</v>
      </c>
      <c r="G13" s="85" t="s">
        <v>69</v>
      </c>
      <c r="H13" s="33" t="s">
        <v>155</v>
      </c>
      <c r="I13" s="33" t="s">
        <v>156</v>
      </c>
      <c r="J13" s="33" t="s">
        <v>157</v>
      </c>
      <c r="K13" s="33" t="s">
        <v>22</v>
      </c>
      <c r="L13" s="34"/>
      <c r="M13" s="35" t="s">
        <v>70</v>
      </c>
      <c r="N13" s="12" t="s">
        <v>65</v>
      </c>
      <c r="O13" s="12" t="s">
        <v>43</v>
      </c>
      <c r="P13" s="333"/>
      <c r="Q13" s="334"/>
      <c r="R13" s="14" t="e">
        <f t="shared" ca="1" si="0"/>
        <v>#NAME?</v>
      </c>
      <c r="S13" s="14"/>
      <c r="U13" s="300"/>
      <c r="V13" s="301"/>
      <c r="W13" s="301"/>
      <c r="X13" s="301"/>
      <c r="Y13" s="301"/>
      <c r="Z13" s="302"/>
    </row>
    <row r="14" spans="1:26" ht="27.95" customHeight="1">
      <c r="A14" s="36">
        <v>11</v>
      </c>
      <c r="B14" s="37" t="s">
        <v>71</v>
      </c>
      <c r="C14" s="335"/>
      <c r="D14" s="336"/>
      <c r="E14" s="38" t="s">
        <v>158</v>
      </c>
      <c r="F14" s="38" t="s">
        <v>72</v>
      </c>
      <c r="G14" s="38" t="s">
        <v>159</v>
      </c>
      <c r="H14" s="22" t="s">
        <v>73</v>
      </c>
      <c r="I14" s="85" t="s">
        <v>160</v>
      </c>
      <c r="J14" s="39" t="s">
        <v>74</v>
      </c>
      <c r="K14" s="18" t="s">
        <v>75</v>
      </c>
      <c r="L14" s="40"/>
      <c r="M14" s="18" t="s">
        <v>76</v>
      </c>
      <c r="N14" s="38" t="s">
        <v>161</v>
      </c>
      <c r="O14" s="40" t="s">
        <v>162</v>
      </c>
      <c r="P14" s="41" t="s">
        <v>163</v>
      </c>
      <c r="Q14" s="38" t="s">
        <v>78</v>
      </c>
      <c r="R14" s="14" t="e">
        <f t="shared" ca="1" si="0"/>
        <v>#NAME?</v>
      </c>
      <c r="S14" s="14"/>
      <c r="U14" s="300"/>
      <c r="V14" s="301"/>
      <c r="W14" s="301"/>
      <c r="X14" s="301"/>
      <c r="Y14" s="301"/>
      <c r="Z14" s="302"/>
    </row>
    <row r="15" spans="1:26" ht="27.95" customHeight="1">
      <c r="A15" s="42">
        <v>12</v>
      </c>
      <c r="B15" s="43" t="s">
        <v>79</v>
      </c>
      <c r="C15" s="337"/>
      <c r="D15" s="338"/>
      <c r="E15" s="11" t="s">
        <v>76</v>
      </c>
      <c r="F15" s="22" t="s">
        <v>80</v>
      </c>
      <c r="G15" s="13" t="s">
        <v>565</v>
      </c>
      <c r="H15" s="11" t="s">
        <v>81</v>
      </c>
      <c r="I15" s="12" t="s">
        <v>202</v>
      </c>
      <c r="J15" s="11" t="s">
        <v>203</v>
      </c>
      <c r="K15" s="12" t="s">
        <v>204</v>
      </c>
      <c r="L15" s="12"/>
      <c r="M15" s="12" t="s">
        <v>205</v>
      </c>
      <c r="N15" s="12" t="s">
        <v>206</v>
      </c>
      <c r="O15" s="11" t="s">
        <v>82</v>
      </c>
      <c r="P15" s="12" t="s">
        <v>207</v>
      </c>
      <c r="Q15" s="16" t="s">
        <v>83</v>
      </c>
      <c r="R15" s="14" t="e">
        <f t="shared" ca="1" si="0"/>
        <v>#NAME?</v>
      </c>
      <c r="S15" s="14"/>
      <c r="U15" s="300"/>
      <c r="V15" s="301"/>
      <c r="W15" s="301"/>
      <c r="X15" s="301"/>
      <c r="Y15" s="301"/>
      <c r="Z15" s="302"/>
    </row>
    <row r="16" spans="1:26" ht="27.95" customHeight="1">
      <c r="A16" s="42">
        <v>13</v>
      </c>
      <c r="B16" s="44" t="s">
        <v>84</v>
      </c>
      <c r="C16" s="337"/>
      <c r="D16" s="338"/>
      <c r="E16" s="29"/>
      <c r="F16" s="29"/>
      <c r="G16" s="45"/>
      <c r="H16" s="27"/>
      <c r="I16" s="45"/>
      <c r="J16" s="29"/>
      <c r="K16" s="29"/>
      <c r="L16" s="27"/>
      <c r="M16" s="27"/>
      <c r="N16" s="26"/>
      <c r="O16" s="27"/>
      <c r="P16" s="46"/>
      <c r="Q16" s="46"/>
      <c r="R16" s="14"/>
      <c r="S16" s="14"/>
      <c r="U16" s="300"/>
      <c r="V16" s="301"/>
      <c r="W16" s="301"/>
      <c r="X16" s="301"/>
      <c r="Y16" s="301"/>
      <c r="Z16" s="302"/>
    </row>
    <row r="17" spans="1:26" ht="27.95" customHeight="1">
      <c r="A17" s="42">
        <v>14</v>
      </c>
      <c r="B17" s="47" t="s">
        <v>85</v>
      </c>
      <c r="C17" s="337"/>
      <c r="D17" s="338"/>
      <c r="E17" s="18" t="s">
        <v>173</v>
      </c>
      <c r="F17" s="85" t="s">
        <v>171</v>
      </c>
      <c r="G17" s="18" t="s">
        <v>86</v>
      </c>
      <c r="H17" s="12" t="s">
        <v>172</v>
      </c>
      <c r="I17" s="18" t="s">
        <v>72</v>
      </c>
      <c r="J17" s="13" t="s">
        <v>87</v>
      </c>
      <c r="K17" s="18" t="s">
        <v>88</v>
      </c>
      <c r="L17" s="48"/>
      <c r="M17" s="18" t="s">
        <v>174</v>
      </c>
      <c r="N17" s="23" t="s">
        <v>89</v>
      </c>
      <c r="O17" s="18" t="s">
        <v>175</v>
      </c>
      <c r="P17" s="11" t="s">
        <v>90</v>
      </c>
      <c r="Q17" s="16" t="s">
        <v>176</v>
      </c>
      <c r="R17" s="14" t="e">
        <f ca="1">(COUNA(C17:Q17))/12</f>
        <v>#NAME?</v>
      </c>
      <c r="S17" s="14"/>
      <c r="U17" s="300"/>
      <c r="V17" s="301"/>
      <c r="W17" s="301"/>
      <c r="X17" s="301"/>
      <c r="Y17" s="301"/>
      <c r="Z17" s="302"/>
    </row>
    <row r="18" spans="1:26" ht="27.95" customHeight="1">
      <c r="A18" s="42">
        <v>15</v>
      </c>
      <c r="B18" s="20" t="s">
        <v>91</v>
      </c>
      <c r="C18" s="337"/>
      <c r="D18" s="338"/>
      <c r="E18" s="12" t="s">
        <v>219</v>
      </c>
      <c r="F18" s="11" t="s">
        <v>223</v>
      </c>
      <c r="G18" s="11" t="s">
        <v>128</v>
      </c>
      <c r="H18" s="12" t="s">
        <v>77</v>
      </c>
      <c r="I18" s="12" t="s">
        <v>220</v>
      </c>
      <c r="J18" s="12" t="s">
        <v>221</v>
      </c>
      <c r="K18" s="12" t="s">
        <v>92</v>
      </c>
      <c r="L18" s="12"/>
      <c r="M18" s="12" t="s">
        <v>222</v>
      </c>
      <c r="N18" s="11" t="s">
        <v>224</v>
      </c>
      <c r="O18" s="12" t="s">
        <v>233</v>
      </c>
      <c r="P18" s="12" t="s">
        <v>93</v>
      </c>
      <c r="Q18" s="11" t="s">
        <v>76</v>
      </c>
      <c r="R18" s="14" t="e">
        <f ca="1">(COUNA(C18:Q18))/12</f>
        <v>#NAME?</v>
      </c>
      <c r="S18" s="14"/>
      <c r="U18" s="300"/>
      <c r="V18" s="301"/>
      <c r="W18" s="301"/>
      <c r="X18" s="301"/>
      <c r="Y18" s="301"/>
      <c r="Z18" s="302"/>
    </row>
    <row r="19" spans="1:26" ht="27.95" customHeight="1">
      <c r="A19" s="42">
        <v>16</v>
      </c>
      <c r="B19" s="20" t="s">
        <v>94</v>
      </c>
      <c r="C19" s="337"/>
      <c r="D19" s="338"/>
      <c r="E19" s="22" t="s">
        <v>95</v>
      </c>
      <c r="F19" s="11" t="s">
        <v>178</v>
      </c>
      <c r="G19" s="11" t="s">
        <v>96</v>
      </c>
      <c r="H19" s="11" t="s">
        <v>179</v>
      </c>
      <c r="I19" s="16" t="s">
        <v>180</v>
      </c>
      <c r="J19" s="12" t="s">
        <v>97</v>
      </c>
      <c r="K19" s="11" t="s">
        <v>181</v>
      </c>
      <c r="L19" s="49"/>
      <c r="M19" s="85" t="s">
        <v>271</v>
      </c>
      <c r="N19" s="12" t="s">
        <v>182</v>
      </c>
      <c r="O19" s="18" t="s">
        <v>183</v>
      </c>
      <c r="P19" s="12" t="s">
        <v>98</v>
      </c>
      <c r="Q19" s="16" t="s">
        <v>184</v>
      </c>
      <c r="R19" s="14" t="e">
        <f ca="1">(COUNA(C19:Q19))/12</f>
        <v>#NAME?</v>
      </c>
      <c r="S19" s="14"/>
      <c r="U19" s="300"/>
      <c r="V19" s="301"/>
      <c r="W19" s="301"/>
      <c r="X19" s="301"/>
      <c r="Y19" s="301"/>
      <c r="Z19" s="302"/>
    </row>
    <row r="20" spans="1:26" ht="24">
      <c r="A20" s="42">
        <v>17</v>
      </c>
      <c r="B20" s="50" t="s">
        <v>99</v>
      </c>
      <c r="C20" s="339"/>
      <c r="D20" s="340"/>
      <c r="E20" s="51"/>
      <c r="F20" s="29"/>
      <c r="G20" s="29"/>
      <c r="H20" s="52"/>
      <c r="I20" s="29"/>
      <c r="J20" s="30"/>
      <c r="K20" s="29"/>
      <c r="L20" s="51"/>
      <c r="M20" s="51"/>
      <c r="N20" s="32"/>
      <c r="O20" s="29"/>
      <c r="P20" s="27"/>
      <c r="Q20" s="46"/>
      <c r="R20" s="14"/>
      <c r="S20" s="14"/>
      <c r="U20" s="300"/>
      <c r="V20" s="301"/>
      <c r="W20" s="301"/>
      <c r="X20" s="301"/>
      <c r="Y20" s="301"/>
      <c r="Z20" s="302"/>
    </row>
    <row r="21" spans="1:26" ht="27.95" customHeight="1">
      <c r="A21" s="42">
        <v>18</v>
      </c>
      <c r="B21" s="43" t="s">
        <v>101</v>
      </c>
      <c r="C21" s="90" t="s">
        <v>232</v>
      </c>
      <c r="D21" s="91" t="s">
        <v>102</v>
      </c>
      <c r="E21" s="12" t="s">
        <v>240</v>
      </c>
      <c r="F21" s="11" t="s">
        <v>96</v>
      </c>
      <c r="G21" s="11" t="s">
        <v>241</v>
      </c>
      <c r="H21" s="11" t="s">
        <v>103</v>
      </c>
      <c r="I21" s="12" t="s">
        <v>86</v>
      </c>
      <c r="J21" s="16" t="s">
        <v>264</v>
      </c>
      <c r="K21" s="22" t="s">
        <v>265</v>
      </c>
      <c r="L21" s="12"/>
      <c r="M21" s="11" t="s">
        <v>104</v>
      </c>
      <c r="N21" s="12" t="s">
        <v>266</v>
      </c>
      <c r="O21" s="85" t="s">
        <v>270</v>
      </c>
      <c r="P21" s="341"/>
      <c r="Q21" s="342"/>
      <c r="R21" s="14" t="e">
        <f ca="1">(COUNA(C21:Q21))/12</f>
        <v>#NAME?</v>
      </c>
      <c r="S21" s="14"/>
      <c r="U21" s="300"/>
      <c r="V21" s="301"/>
      <c r="W21" s="301"/>
      <c r="X21" s="301"/>
      <c r="Y21" s="301"/>
      <c r="Z21" s="302"/>
    </row>
    <row r="22" spans="1:26" ht="27.95" customHeight="1" thickBot="1">
      <c r="A22" s="53">
        <v>19</v>
      </c>
      <c r="B22" s="54" t="s">
        <v>105</v>
      </c>
      <c r="C22" s="92" t="s">
        <v>106</v>
      </c>
      <c r="D22" s="93" t="s">
        <v>259</v>
      </c>
      <c r="E22" s="35" t="s">
        <v>257</v>
      </c>
      <c r="F22" s="35" t="s">
        <v>260</v>
      </c>
      <c r="G22" s="33" t="s">
        <v>261</v>
      </c>
      <c r="H22" s="35" t="s">
        <v>262</v>
      </c>
      <c r="I22" s="55" t="s">
        <v>263</v>
      </c>
      <c r="J22" s="33" t="s">
        <v>160</v>
      </c>
      <c r="K22" s="33" t="s">
        <v>107</v>
      </c>
      <c r="L22" s="55"/>
      <c r="M22" s="33" t="s">
        <v>255</v>
      </c>
      <c r="N22" s="55" t="s">
        <v>108</v>
      </c>
      <c r="O22" s="33" t="s">
        <v>86</v>
      </c>
      <c r="P22" s="343"/>
      <c r="Q22" s="344"/>
      <c r="R22" s="14" t="e">
        <f ca="1">(COUNA(C22:Q22))/12</f>
        <v>#NAME?</v>
      </c>
      <c r="S22" s="14"/>
      <c r="U22" s="300"/>
      <c r="V22" s="301"/>
      <c r="W22" s="301"/>
      <c r="X22" s="301"/>
      <c r="Y22" s="301"/>
      <c r="Z22" s="302"/>
    </row>
    <row r="23" spans="1:26" ht="27.95" customHeight="1" thickBot="1">
      <c r="A23" s="56" t="s">
        <v>109</v>
      </c>
      <c r="B23" s="57" t="s">
        <v>110</v>
      </c>
      <c r="C23" s="337"/>
      <c r="D23" s="338"/>
      <c r="E23" s="18" t="s">
        <v>267</v>
      </c>
      <c r="F23" s="12" t="s">
        <v>258</v>
      </c>
      <c r="G23" s="23" t="s">
        <v>111</v>
      </c>
      <c r="H23" s="18" t="s">
        <v>268</v>
      </c>
      <c r="I23" s="18" t="s">
        <v>198</v>
      </c>
      <c r="J23" s="48" t="s">
        <v>108</v>
      </c>
      <c r="K23" s="18" t="s">
        <v>185</v>
      </c>
      <c r="L23" s="58"/>
      <c r="M23" s="18"/>
      <c r="N23" s="18" t="s">
        <v>269</v>
      </c>
      <c r="O23" s="23" t="s">
        <v>129</v>
      </c>
      <c r="P23" s="59"/>
      <c r="Q23" s="18" t="s">
        <v>87</v>
      </c>
      <c r="R23" s="14" t="e">
        <f ca="1">(COUNA(C23:Q23))/7</f>
        <v>#NAME?</v>
      </c>
      <c r="S23" s="14"/>
      <c r="U23" s="303"/>
      <c r="V23" s="304"/>
      <c r="W23" s="304"/>
      <c r="X23" s="304"/>
      <c r="Y23" s="304"/>
      <c r="Z23" s="305"/>
    </row>
    <row r="24" spans="1:26" s="62" customFormat="1" ht="27.95" customHeight="1" thickBot="1">
      <c r="A24" s="60"/>
      <c r="B24" s="54" t="s">
        <v>112</v>
      </c>
      <c r="C24" s="345"/>
      <c r="D24" s="346"/>
      <c r="E24" s="33" t="s">
        <v>113</v>
      </c>
      <c r="F24" s="58" t="s">
        <v>114</v>
      </c>
      <c r="G24" s="35" t="s">
        <v>89</v>
      </c>
      <c r="H24" s="35" t="s">
        <v>199</v>
      </c>
      <c r="I24" s="33" t="s">
        <v>164</v>
      </c>
      <c r="J24" s="35" t="s">
        <v>200</v>
      </c>
      <c r="K24" s="61" t="s">
        <v>201</v>
      </c>
      <c r="L24" s="33"/>
      <c r="M24" s="35" t="s">
        <v>92</v>
      </c>
      <c r="N24" s="89" t="s">
        <v>210</v>
      </c>
      <c r="O24" s="89" t="s">
        <v>251</v>
      </c>
      <c r="P24" s="18" t="s">
        <v>100</v>
      </c>
      <c r="Q24" s="85" t="s">
        <v>252</v>
      </c>
      <c r="R24" s="14" t="e">
        <f ca="1">(COUNA(C24:Q24))/12</f>
        <v>#NAME?</v>
      </c>
      <c r="S24" s="14"/>
      <c r="T24" s="2"/>
      <c r="U24" s="328" t="s">
        <v>115</v>
      </c>
      <c r="V24" s="329"/>
      <c r="W24" s="329"/>
      <c r="X24" s="329"/>
      <c r="Y24" s="329"/>
      <c r="Z24" s="330"/>
    </row>
    <row r="25" spans="1:26" ht="9.9499999999999993" customHeight="1" thickBot="1">
      <c r="A25" s="63"/>
      <c r="B25" s="64"/>
      <c r="C25" s="65"/>
      <c r="D25" s="66"/>
      <c r="E25" s="67"/>
      <c r="F25" s="68"/>
      <c r="G25" s="69"/>
      <c r="H25" s="70"/>
      <c r="I25" s="67"/>
      <c r="J25" s="71"/>
      <c r="K25" s="67"/>
      <c r="L25" s="67"/>
      <c r="M25" s="70"/>
      <c r="N25" s="68"/>
      <c r="O25" s="72"/>
      <c r="P25" s="67"/>
      <c r="Q25" s="67"/>
      <c r="U25" s="319" t="s">
        <v>150</v>
      </c>
      <c r="V25" s="320"/>
      <c r="W25" s="320"/>
      <c r="X25" s="320"/>
      <c r="Y25" s="320"/>
      <c r="Z25" s="321"/>
    </row>
    <row r="26" spans="1:26" ht="120" customHeight="1">
      <c r="A26" s="73"/>
      <c r="B26" s="287" t="s">
        <v>116</v>
      </c>
      <c r="C26" s="289"/>
      <c r="D26" s="290"/>
      <c r="E26" s="38" t="s">
        <v>137</v>
      </c>
      <c r="F26" s="38" t="s">
        <v>139</v>
      </c>
      <c r="G26" s="38" t="s">
        <v>136</v>
      </c>
      <c r="H26" s="38" t="s">
        <v>135</v>
      </c>
      <c r="I26" s="38" t="s">
        <v>144</v>
      </c>
      <c r="J26" s="38" t="s">
        <v>131</v>
      </c>
      <c r="K26" s="74" t="s">
        <v>132</v>
      </c>
      <c r="L26" s="75"/>
      <c r="M26" s="38" t="s">
        <v>133</v>
      </c>
      <c r="N26" s="38" t="s">
        <v>134</v>
      </c>
      <c r="O26" s="38" t="s">
        <v>231</v>
      </c>
      <c r="P26" s="38" t="s">
        <v>230</v>
      </c>
      <c r="Q26" s="38" t="s">
        <v>130</v>
      </c>
      <c r="R26" s="14" t="e">
        <f ca="1">(COUNA(C26:Q26))/12</f>
        <v>#NAME?</v>
      </c>
      <c r="S26" s="14"/>
      <c r="U26" s="322"/>
      <c r="V26" s="323"/>
      <c r="W26" s="323"/>
      <c r="X26" s="323"/>
      <c r="Y26" s="323"/>
      <c r="Z26" s="324"/>
    </row>
    <row r="27" spans="1:26" ht="120" customHeight="1">
      <c r="A27" s="76"/>
      <c r="B27" s="288"/>
      <c r="C27" s="291"/>
      <c r="D27" s="292"/>
      <c r="E27" s="12" t="s">
        <v>138</v>
      </c>
      <c r="F27" s="12" t="s">
        <v>140</v>
      </c>
      <c r="G27" s="12"/>
      <c r="H27" s="12" t="s">
        <v>141</v>
      </c>
      <c r="I27" s="12"/>
      <c r="J27" s="12" t="s">
        <v>142</v>
      </c>
      <c r="K27" s="12" t="s">
        <v>143</v>
      </c>
      <c r="L27" s="12"/>
      <c r="M27" s="12" t="s">
        <v>147</v>
      </c>
      <c r="N27" s="12" t="s">
        <v>209</v>
      </c>
      <c r="O27" s="12"/>
      <c r="P27" s="12" t="s">
        <v>250</v>
      </c>
      <c r="Q27" s="12" t="s">
        <v>253</v>
      </c>
      <c r="U27" s="322"/>
      <c r="V27" s="323"/>
      <c r="W27" s="323"/>
      <c r="X27" s="323"/>
      <c r="Y27" s="323"/>
      <c r="Z27" s="324"/>
    </row>
    <row r="28" spans="1:26" ht="120" customHeight="1" thickBot="1">
      <c r="A28" s="77"/>
      <c r="B28" s="54" t="s">
        <v>117</v>
      </c>
      <c r="C28" s="293"/>
      <c r="D28" s="294"/>
      <c r="E28" s="78" t="s">
        <v>118</v>
      </c>
      <c r="F28" s="33" t="s">
        <v>119</v>
      </c>
      <c r="G28" s="33" t="s">
        <v>145</v>
      </c>
      <c r="H28" s="33" t="s">
        <v>120</v>
      </c>
      <c r="I28" s="33" t="s">
        <v>121</v>
      </c>
      <c r="J28" s="33" t="s">
        <v>146</v>
      </c>
      <c r="K28" s="33" t="s">
        <v>122</v>
      </c>
      <c r="L28" s="55"/>
      <c r="M28" s="33" t="s">
        <v>123</v>
      </c>
      <c r="N28" s="33" t="s">
        <v>124</v>
      </c>
      <c r="O28" s="33" t="s">
        <v>125</v>
      </c>
      <c r="P28" s="295" t="s">
        <v>118</v>
      </c>
      <c r="Q28" s="296"/>
      <c r="R28" s="14" t="e">
        <f ca="1">(COUNA(F28:O28))/9</f>
        <v>#NAME?</v>
      </c>
      <c r="S28" s="14"/>
      <c r="U28" s="322"/>
      <c r="V28" s="323"/>
      <c r="W28" s="323"/>
      <c r="X28" s="323"/>
      <c r="Y28" s="323"/>
      <c r="Z28" s="324"/>
    </row>
  </sheetData>
  <mergeCells count="16">
    <mergeCell ref="B26:B27"/>
    <mergeCell ref="C26:D28"/>
    <mergeCell ref="P28:Q28"/>
    <mergeCell ref="U9:Z23"/>
    <mergeCell ref="A1:Q1"/>
    <mergeCell ref="A2:Q2"/>
    <mergeCell ref="C4:D11"/>
    <mergeCell ref="U4:Z4"/>
    <mergeCell ref="U5:Z7"/>
    <mergeCell ref="U8:Z8"/>
    <mergeCell ref="P12:Q13"/>
    <mergeCell ref="C14:D20"/>
    <mergeCell ref="P21:Q22"/>
    <mergeCell ref="C23:D24"/>
    <mergeCell ref="U24:Z24"/>
    <mergeCell ref="U25:Z28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4"/>
  <sheetViews>
    <sheetView tabSelected="1" topLeftCell="A14" zoomScale="85" zoomScaleNormal="85" zoomScalePageLayoutView="80" workbookViewId="0">
      <selection activeCell="U21" sqref="U21:Z30"/>
    </sheetView>
  </sheetViews>
  <sheetFormatPr defaultRowHeight="16.5"/>
  <cols>
    <col min="1" max="1" width="3.25" style="94" customWidth="1"/>
    <col min="2" max="2" width="10" style="98" customWidth="1"/>
    <col min="3" max="4" width="11.875" style="98" customWidth="1"/>
    <col min="5" max="11" width="11.875" style="95" customWidth="1"/>
    <col min="12" max="12" width="2.625" style="97" customWidth="1"/>
    <col min="13" max="17" width="11.875" style="95" customWidth="1"/>
    <col min="18" max="18" width="11.875" style="96" hidden="1" customWidth="1"/>
    <col min="19" max="19" width="11.875" style="96" customWidth="1"/>
    <col min="20" max="20" width="1.625" style="95" customWidth="1"/>
    <col min="21" max="26" width="8.125" style="94" customWidth="1"/>
    <col min="27" max="16384" width="9" style="94"/>
  </cols>
  <sheetData>
    <row r="1" spans="1:26" ht="16.5" hidden="1" customHeight="1">
      <c r="A1" s="379" t="s">
        <v>525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</row>
    <row r="2" spans="1:26" ht="18" customHeight="1">
      <c r="A2" s="381" t="s">
        <v>526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26" ht="21" customHeight="1" thickBot="1">
      <c r="A3" s="274"/>
      <c r="B3" s="273" t="s">
        <v>524</v>
      </c>
      <c r="C3" s="271" t="s">
        <v>523</v>
      </c>
      <c r="D3" s="271" t="s">
        <v>3</v>
      </c>
      <c r="E3" s="271" t="s">
        <v>522</v>
      </c>
      <c r="F3" s="271" t="s">
        <v>5</v>
      </c>
      <c r="G3" s="271" t="s">
        <v>6</v>
      </c>
      <c r="H3" s="271" t="s">
        <v>521</v>
      </c>
      <c r="I3" s="271" t="s">
        <v>8</v>
      </c>
      <c r="J3" s="271" t="s">
        <v>520</v>
      </c>
      <c r="K3" s="271" t="s">
        <v>519</v>
      </c>
      <c r="L3" s="272" t="s">
        <v>11</v>
      </c>
      <c r="M3" s="271" t="s">
        <v>518</v>
      </c>
      <c r="N3" s="271" t="s">
        <v>13</v>
      </c>
      <c r="O3" s="271" t="s">
        <v>14</v>
      </c>
      <c r="P3" s="271" t="s">
        <v>15</v>
      </c>
      <c r="Q3" s="271" t="s">
        <v>16</v>
      </c>
      <c r="R3" s="270" t="e">
        <f ca="1">AVERAGE(R4:R28)</f>
        <v>#NAME?</v>
      </c>
      <c r="S3" s="270"/>
    </row>
    <row r="4" spans="1:26" ht="27.95" customHeight="1" thickBot="1">
      <c r="A4" s="260">
        <v>1</v>
      </c>
      <c r="B4" s="267" t="s">
        <v>517</v>
      </c>
      <c r="C4" s="383"/>
      <c r="D4" s="384"/>
      <c r="E4" s="11" t="s">
        <v>516</v>
      </c>
      <c r="F4" s="190" t="s">
        <v>515</v>
      </c>
      <c r="G4" s="190" t="s">
        <v>514</v>
      </c>
      <c r="H4" s="253" t="s">
        <v>513</v>
      </c>
      <c r="I4" s="190" t="s">
        <v>20</v>
      </c>
      <c r="J4" s="190" t="s">
        <v>512</v>
      </c>
      <c r="K4" s="190" t="s">
        <v>511</v>
      </c>
      <c r="L4" s="190"/>
      <c r="M4" s="190" t="s">
        <v>510</v>
      </c>
      <c r="N4" s="190" t="s">
        <v>509</v>
      </c>
      <c r="O4" s="11" t="s">
        <v>464</v>
      </c>
      <c r="P4" s="11" t="s">
        <v>508</v>
      </c>
      <c r="Q4" s="190" t="s">
        <v>507</v>
      </c>
      <c r="R4" s="14" t="e">
        <f t="shared" ref="R4:R10" ca="1" si="0">(COUNA(C4:Q4))/12</f>
        <v>#NAME?</v>
      </c>
      <c r="S4" s="14"/>
      <c r="U4" s="350" t="s">
        <v>506</v>
      </c>
      <c r="V4" s="351"/>
      <c r="W4" s="351"/>
      <c r="X4" s="351"/>
      <c r="Y4" s="351"/>
      <c r="Z4" s="352"/>
    </row>
    <row r="5" spans="1:26" ht="27.95" customHeight="1">
      <c r="A5" s="260">
        <v>2</v>
      </c>
      <c r="B5" s="261" t="s">
        <v>27</v>
      </c>
      <c r="C5" s="385"/>
      <c r="D5" s="386"/>
      <c r="E5" s="11" t="s">
        <v>327</v>
      </c>
      <c r="F5" s="190" t="s">
        <v>28</v>
      </c>
      <c r="G5" s="190" t="s">
        <v>505</v>
      </c>
      <c r="H5" s="190" t="s">
        <v>504</v>
      </c>
      <c r="I5" s="11" t="s">
        <v>503</v>
      </c>
      <c r="J5" s="11" t="s">
        <v>502</v>
      </c>
      <c r="K5" s="236" t="s">
        <v>501</v>
      </c>
      <c r="L5" s="190"/>
      <c r="M5" s="253" t="s">
        <v>31</v>
      </c>
      <c r="N5" s="268" t="s">
        <v>500</v>
      </c>
      <c r="O5" s="190" t="s">
        <v>499</v>
      </c>
      <c r="P5" s="11" t="s">
        <v>32</v>
      </c>
      <c r="Q5" s="190" t="s">
        <v>498</v>
      </c>
      <c r="R5" s="14" t="e">
        <f t="shared" ca="1" si="0"/>
        <v>#NAME?</v>
      </c>
      <c r="S5" s="14"/>
      <c r="U5" s="353" t="s">
        <v>528</v>
      </c>
      <c r="V5" s="354"/>
      <c r="W5" s="354"/>
      <c r="X5" s="354"/>
      <c r="Y5" s="354"/>
      <c r="Z5" s="355"/>
    </row>
    <row r="6" spans="1:26" ht="27.75" customHeight="1">
      <c r="A6" s="260">
        <v>3</v>
      </c>
      <c r="B6" s="261" t="s">
        <v>497</v>
      </c>
      <c r="C6" s="385"/>
      <c r="D6" s="386"/>
      <c r="E6" s="190" t="s">
        <v>551</v>
      </c>
      <c r="F6" s="11" t="s">
        <v>496</v>
      </c>
      <c r="G6" s="190" t="s">
        <v>495</v>
      </c>
      <c r="H6" s="11" t="s">
        <v>494</v>
      </c>
      <c r="I6" s="190" t="s">
        <v>493</v>
      </c>
      <c r="J6" s="236" t="s">
        <v>564</v>
      </c>
      <c r="K6" s="190" t="s">
        <v>492</v>
      </c>
      <c r="L6" s="190"/>
      <c r="M6" s="11" t="s">
        <v>491</v>
      </c>
      <c r="N6" s="188" t="s">
        <v>577</v>
      </c>
      <c r="O6" s="190" t="s">
        <v>490</v>
      </c>
      <c r="P6" s="190" t="s">
        <v>584</v>
      </c>
      <c r="Q6" s="190" t="s">
        <v>489</v>
      </c>
      <c r="R6" s="14" t="e">
        <f t="shared" ca="1" si="0"/>
        <v>#NAME?</v>
      </c>
      <c r="S6" s="14"/>
      <c r="U6" s="356"/>
      <c r="V6" s="357"/>
      <c r="W6" s="357"/>
      <c r="X6" s="357"/>
      <c r="Y6" s="357"/>
      <c r="Z6" s="358"/>
    </row>
    <row r="7" spans="1:26" ht="27.95" customHeight="1" thickBot="1">
      <c r="A7" s="260">
        <v>4</v>
      </c>
      <c r="B7" s="267" t="s">
        <v>39</v>
      </c>
      <c r="C7" s="385"/>
      <c r="D7" s="386"/>
      <c r="E7" s="11" t="s">
        <v>488</v>
      </c>
      <c r="F7" s="236" t="s">
        <v>40</v>
      </c>
      <c r="G7" s="190" t="s">
        <v>487</v>
      </c>
      <c r="H7" s="190" t="s">
        <v>486</v>
      </c>
      <c r="I7" s="190" t="s">
        <v>485</v>
      </c>
      <c r="J7" s="190" t="s">
        <v>484</v>
      </c>
      <c r="K7" s="190" t="s">
        <v>483</v>
      </c>
      <c r="L7" s="199"/>
      <c r="M7" s="236" t="s">
        <v>327</v>
      </c>
      <c r="N7" s="11" t="s">
        <v>482</v>
      </c>
      <c r="O7" s="190" t="s">
        <v>481</v>
      </c>
      <c r="P7" s="190" t="s">
        <v>480</v>
      </c>
      <c r="Q7" s="190" t="s">
        <v>479</v>
      </c>
      <c r="R7" s="14" t="e">
        <f t="shared" ca="1" si="0"/>
        <v>#NAME?</v>
      </c>
      <c r="S7" s="14"/>
      <c r="U7" s="359"/>
      <c r="V7" s="360"/>
      <c r="W7" s="360"/>
      <c r="X7" s="360"/>
      <c r="Y7" s="360"/>
      <c r="Z7" s="361"/>
    </row>
    <row r="8" spans="1:26" ht="27.95" customHeight="1" thickBot="1">
      <c r="A8" s="260">
        <v>5</v>
      </c>
      <c r="B8" s="251" t="s">
        <v>478</v>
      </c>
      <c r="C8" s="385"/>
      <c r="D8" s="386"/>
      <c r="E8" s="190" t="s">
        <v>477</v>
      </c>
      <c r="F8" s="279" t="s">
        <v>543</v>
      </c>
      <c r="G8" s="11" t="s">
        <v>476</v>
      </c>
      <c r="H8" s="190" t="s">
        <v>475</v>
      </c>
      <c r="I8" s="11" t="s">
        <v>474</v>
      </c>
      <c r="J8" s="190" t="s">
        <v>473</v>
      </c>
      <c r="K8" s="190" t="s">
        <v>472</v>
      </c>
      <c r="L8" s="269"/>
      <c r="M8" s="188" t="s">
        <v>471</v>
      </c>
      <c r="N8" s="268" t="s">
        <v>470</v>
      </c>
      <c r="O8" s="242" t="s">
        <v>469</v>
      </c>
      <c r="P8" s="190" t="s">
        <v>544</v>
      </c>
      <c r="Q8" s="236" t="s">
        <v>580</v>
      </c>
      <c r="R8" s="14" t="e">
        <f t="shared" ca="1" si="0"/>
        <v>#NAME?</v>
      </c>
      <c r="S8" s="14"/>
      <c r="U8" s="362" t="s">
        <v>468</v>
      </c>
      <c r="V8" s="363"/>
      <c r="W8" s="363"/>
      <c r="X8" s="363"/>
      <c r="Y8" s="363"/>
      <c r="Z8" s="364"/>
    </row>
    <row r="9" spans="1:26" ht="27.95" customHeight="1">
      <c r="A9" s="260">
        <v>6</v>
      </c>
      <c r="B9" s="267" t="s">
        <v>467</v>
      </c>
      <c r="C9" s="385"/>
      <c r="D9" s="386"/>
      <c r="E9" s="236" t="s">
        <v>466</v>
      </c>
      <c r="F9" s="190" t="s">
        <v>465</v>
      </c>
      <c r="G9" s="11" t="s">
        <v>464</v>
      </c>
      <c r="H9" s="190" t="s">
        <v>463</v>
      </c>
      <c r="I9" s="11" t="s">
        <v>462</v>
      </c>
      <c r="J9" s="188" t="s">
        <v>461</v>
      </c>
      <c r="K9" s="11" t="s">
        <v>460</v>
      </c>
      <c r="L9" s="190"/>
      <c r="M9" s="268" t="s">
        <v>459</v>
      </c>
      <c r="N9" s="190" t="s">
        <v>458</v>
      </c>
      <c r="O9" s="11" t="s">
        <v>188</v>
      </c>
      <c r="P9" s="190" t="s">
        <v>457</v>
      </c>
      <c r="Q9" s="23" t="s">
        <v>56</v>
      </c>
      <c r="R9" s="14" t="e">
        <f t="shared" ca="1" si="0"/>
        <v>#NAME?</v>
      </c>
      <c r="S9" s="14"/>
      <c r="U9" s="365" t="s">
        <v>552</v>
      </c>
      <c r="V9" s="366"/>
      <c r="W9" s="366"/>
      <c r="X9" s="366"/>
      <c r="Y9" s="366"/>
      <c r="Z9" s="367"/>
    </row>
    <row r="10" spans="1:26" ht="27.75" customHeight="1">
      <c r="A10" s="260">
        <v>7</v>
      </c>
      <c r="B10" s="267" t="s">
        <v>456</v>
      </c>
      <c r="C10" s="385"/>
      <c r="D10" s="386"/>
      <c r="E10" s="188" t="s">
        <v>455</v>
      </c>
      <c r="F10" s="190" t="s">
        <v>454</v>
      </c>
      <c r="G10" s="11" t="s">
        <v>556</v>
      </c>
      <c r="H10" s="190" t="s">
        <v>453</v>
      </c>
      <c r="I10" s="266" t="s">
        <v>563</v>
      </c>
      <c r="J10" s="265" t="s">
        <v>452</v>
      </c>
      <c r="K10" s="264" t="s">
        <v>567</v>
      </c>
      <c r="L10" s="186"/>
      <c r="M10" s="236" t="s">
        <v>451</v>
      </c>
      <c r="N10" s="11" t="s">
        <v>450</v>
      </c>
      <c r="O10" s="190" t="s">
        <v>449</v>
      </c>
      <c r="P10" s="11" t="s">
        <v>62</v>
      </c>
      <c r="Q10" s="190" t="s">
        <v>448</v>
      </c>
      <c r="R10" s="14" t="e">
        <f t="shared" ca="1" si="0"/>
        <v>#NAME?</v>
      </c>
      <c r="S10" s="14"/>
      <c r="U10" s="368"/>
      <c r="V10" s="369"/>
      <c r="W10" s="369"/>
      <c r="X10" s="369"/>
      <c r="Y10" s="369"/>
      <c r="Z10" s="370"/>
    </row>
    <row r="11" spans="1:26" ht="27.95" customHeight="1">
      <c r="A11" s="260">
        <v>8</v>
      </c>
      <c r="B11" s="263" t="s">
        <v>447</v>
      </c>
      <c r="C11" s="387"/>
      <c r="D11" s="388"/>
      <c r="E11" s="26"/>
      <c r="F11" s="28"/>
      <c r="G11" s="26"/>
      <c r="H11" s="245"/>
      <c r="I11" s="248"/>
      <c r="J11" s="262"/>
      <c r="K11" s="262"/>
      <c r="L11" s="245"/>
      <c r="M11" s="246"/>
      <c r="N11" s="247"/>
      <c r="O11" s="245"/>
      <c r="P11" s="248"/>
      <c r="Q11" s="248"/>
      <c r="R11" s="14"/>
      <c r="S11" s="14"/>
      <c r="U11" s="368"/>
      <c r="V11" s="369"/>
      <c r="W11" s="369"/>
      <c r="X11" s="369"/>
      <c r="Y11" s="369"/>
      <c r="Z11" s="370"/>
    </row>
    <row r="12" spans="1:26" ht="27.95" customHeight="1">
      <c r="A12" s="260">
        <v>9</v>
      </c>
      <c r="B12" s="261" t="s">
        <v>446</v>
      </c>
      <c r="C12" s="280" t="s">
        <v>445</v>
      </c>
      <c r="D12" s="281" t="s">
        <v>557</v>
      </c>
      <c r="E12" s="11" t="s">
        <v>444</v>
      </c>
      <c r="F12" s="23" t="s">
        <v>443</v>
      </c>
      <c r="G12" s="23" t="s">
        <v>558</v>
      </c>
      <c r="H12" s="23" t="s">
        <v>559</v>
      </c>
      <c r="I12" s="236" t="s">
        <v>442</v>
      </c>
      <c r="J12" s="188" t="s">
        <v>441</v>
      </c>
      <c r="K12" s="190" t="s">
        <v>20</v>
      </c>
      <c r="L12" s="236"/>
      <c r="M12" s="23" t="s">
        <v>570</v>
      </c>
      <c r="N12" s="236" t="s">
        <v>578</v>
      </c>
      <c r="O12" s="190" t="s">
        <v>440</v>
      </c>
      <c r="P12" s="331"/>
      <c r="Q12" s="332"/>
      <c r="R12" s="14" t="e">
        <f ca="1">(COUNA(C12:Q12))/12</f>
        <v>#NAME?</v>
      </c>
      <c r="S12" s="14"/>
      <c r="U12" s="368"/>
      <c r="V12" s="369"/>
      <c r="W12" s="369"/>
      <c r="X12" s="369"/>
      <c r="Y12" s="369"/>
      <c r="Z12" s="370"/>
    </row>
    <row r="13" spans="1:26" ht="27.95" customHeight="1" thickBot="1">
      <c r="A13" s="260">
        <v>10</v>
      </c>
      <c r="B13" s="251" t="s">
        <v>439</v>
      </c>
      <c r="C13" s="282" t="s">
        <v>561</v>
      </c>
      <c r="D13" s="282" t="s">
        <v>562</v>
      </c>
      <c r="E13" s="11" t="s">
        <v>438</v>
      </c>
      <c r="F13" s="217" t="s">
        <v>437</v>
      </c>
      <c r="G13" s="269" t="s">
        <v>436</v>
      </c>
      <c r="H13" s="217" t="s">
        <v>435</v>
      </c>
      <c r="I13" s="217" t="s">
        <v>434</v>
      </c>
      <c r="J13" s="217" t="s">
        <v>433</v>
      </c>
      <c r="K13" s="217" t="s">
        <v>432</v>
      </c>
      <c r="L13" s="34"/>
      <c r="M13" s="35" t="s">
        <v>218</v>
      </c>
      <c r="N13" s="190" t="s">
        <v>65</v>
      </c>
      <c r="O13" s="190" t="s">
        <v>431</v>
      </c>
      <c r="P13" s="333"/>
      <c r="Q13" s="334"/>
      <c r="R13" s="14" t="e">
        <f ca="1">(COUNA(C13:Q13))/12</f>
        <v>#NAME?</v>
      </c>
      <c r="S13" s="14"/>
      <c r="U13" s="368"/>
      <c r="V13" s="369"/>
      <c r="W13" s="369"/>
      <c r="X13" s="369"/>
      <c r="Y13" s="369"/>
      <c r="Z13" s="370"/>
    </row>
    <row r="14" spans="1:26" ht="27.95" customHeight="1">
      <c r="A14" s="259">
        <v>11</v>
      </c>
      <c r="B14" s="258" t="s">
        <v>430</v>
      </c>
      <c r="C14" s="389"/>
      <c r="D14" s="390"/>
      <c r="E14" s="223" t="s">
        <v>429</v>
      </c>
      <c r="F14" s="223" t="s">
        <v>428</v>
      </c>
      <c r="G14" s="223" t="s">
        <v>427</v>
      </c>
      <c r="H14" s="242" t="s">
        <v>73</v>
      </c>
      <c r="I14" s="236" t="s">
        <v>582</v>
      </c>
      <c r="J14" s="39" t="s">
        <v>426</v>
      </c>
      <c r="K14" s="236" t="s">
        <v>425</v>
      </c>
      <c r="L14" s="257"/>
      <c r="M14" s="236" t="s">
        <v>393</v>
      </c>
      <c r="N14" s="223" t="s">
        <v>424</v>
      </c>
      <c r="O14" s="257" t="s">
        <v>579</v>
      </c>
      <c r="P14" s="256" t="s">
        <v>423</v>
      </c>
      <c r="Q14" s="223" t="s">
        <v>422</v>
      </c>
      <c r="R14" s="14" t="e">
        <f ca="1">(COUNA(C14:Q14))/12</f>
        <v>#NAME?</v>
      </c>
      <c r="S14" s="14"/>
      <c r="U14" s="368"/>
      <c r="V14" s="369"/>
      <c r="W14" s="369"/>
      <c r="X14" s="369"/>
      <c r="Y14" s="369"/>
      <c r="Z14" s="370"/>
    </row>
    <row r="15" spans="1:26" ht="27.95" customHeight="1">
      <c r="A15" s="244">
        <v>12</v>
      </c>
      <c r="B15" s="243" t="s">
        <v>421</v>
      </c>
      <c r="C15" s="391"/>
      <c r="D15" s="392"/>
      <c r="E15" s="11" t="s">
        <v>549</v>
      </c>
      <c r="F15" s="242" t="s">
        <v>420</v>
      </c>
      <c r="G15" s="253" t="s">
        <v>565</v>
      </c>
      <c r="H15" s="11" t="s">
        <v>419</v>
      </c>
      <c r="I15" s="190" t="s">
        <v>566</v>
      </c>
      <c r="J15" s="11" t="s">
        <v>418</v>
      </c>
      <c r="K15" s="190" t="s">
        <v>417</v>
      </c>
      <c r="L15" s="190"/>
      <c r="M15" s="190" t="s">
        <v>258</v>
      </c>
      <c r="N15" s="190" t="s">
        <v>416</v>
      </c>
      <c r="O15" s="11" t="s">
        <v>415</v>
      </c>
      <c r="P15" s="190" t="s">
        <v>414</v>
      </c>
      <c r="Q15" s="188" t="s">
        <v>413</v>
      </c>
      <c r="R15" s="14" t="e">
        <f ca="1">(COUNA(C15:Q15))/12</f>
        <v>#NAME?</v>
      </c>
      <c r="S15" s="14"/>
      <c r="U15" s="368"/>
      <c r="V15" s="369"/>
      <c r="W15" s="369"/>
      <c r="X15" s="369"/>
      <c r="Y15" s="369"/>
      <c r="Z15" s="370"/>
    </row>
    <row r="16" spans="1:26" ht="27.95" customHeight="1">
      <c r="A16" s="244">
        <v>13</v>
      </c>
      <c r="B16" s="255" t="s">
        <v>412</v>
      </c>
      <c r="C16" s="391"/>
      <c r="D16" s="392"/>
      <c r="E16" s="246"/>
      <c r="F16" s="245"/>
      <c r="G16" s="45"/>
      <c r="H16" s="248"/>
      <c r="I16" s="45"/>
      <c r="J16" s="248"/>
      <c r="K16" s="246"/>
      <c r="L16" s="245"/>
      <c r="M16" s="246"/>
      <c r="N16" s="45"/>
      <c r="O16" s="247"/>
      <c r="P16" s="45"/>
      <c r="Q16" s="247"/>
      <c r="R16" s="14"/>
      <c r="S16" s="14"/>
      <c r="U16" s="368"/>
      <c r="V16" s="369"/>
      <c r="W16" s="369"/>
      <c r="X16" s="369"/>
      <c r="Y16" s="369"/>
      <c r="Z16" s="370"/>
    </row>
    <row r="17" spans="1:26" ht="27.95" customHeight="1">
      <c r="A17" s="244">
        <v>14</v>
      </c>
      <c r="B17" s="254" t="s">
        <v>411</v>
      </c>
      <c r="C17" s="391"/>
      <c r="D17" s="392"/>
      <c r="E17" s="236" t="s">
        <v>410</v>
      </c>
      <c r="F17" s="11" t="s">
        <v>409</v>
      </c>
      <c r="G17" s="236" t="s">
        <v>553</v>
      </c>
      <c r="H17" s="190" t="s">
        <v>555</v>
      </c>
      <c r="I17" s="236" t="s">
        <v>408</v>
      </c>
      <c r="J17" s="253" t="s">
        <v>407</v>
      </c>
      <c r="K17" s="236" t="s">
        <v>407</v>
      </c>
      <c r="L17" s="252"/>
      <c r="M17" s="236" t="s">
        <v>406</v>
      </c>
      <c r="N17" s="23" t="s">
        <v>89</v>
      </c>
      <c r="O17" s="236" t="s">
        <v>405</v>
      </c>
      <c r="P17" s="11" t="s">
        <v>404</v>
      </c>
      <c r="Q17" s="188" t="s">
        <v>573</v>
      </c>
      <c r="R17" s="14" t="e">
        <f ca="1">(COUNA(C17:Q17))/12</f>
        <v>#NAME?</v>
      </c>
      <c r="S17" s="14"/>
      <c r="U17" s="368"/>
      <c r="V17" s="369"/>
      <c r="W17" s="369"/>
      <c r="X17" s="369"/>
      <c r="Y17" s="369"/>
      <c r="Z17" s="370"/>
    </row>
    <row r="18" spans="1:26" ht="27.95" customHeight="1">
      <c r="A18" s="244">
        <v>15</v>
      </c>
      <c r="B18" s="251" t="s">
        <v>403</v>
      </c>
      <c r="C18" s="391"/>
      <c r="D18" s="392"/>
      <c r="E18" s="190" t="s">
        <v>402</v>
      </c>
      <c r="F18" s="11" t="s">
        <v>401</v>
      </c>
      <c r="G18" s="11" t="s">
        <v>400</v>
      </c>
      <c r="H18" s="190" t="s">
        <v>399</v>
      </c>
      <c r="I18" s="190" t="s">
        <v>398</v>
      </c>
      <c r="J18" s="190" t="s">
        <v>397</v>
      </c>
      <c r="K18" s="190" t="s">
        <v>396</v>
      </c>
      <c r="L18" s="190"/>
      <c r="M18" s="190" t="s">
        <v>83</v>
      </c>
      <c r="N18" s="11" t="s">
        <v>395</v>
      </c>
      <c r="O18" s="188"/>
      <c r="P18" s="190" t="s">
        <v>394</v>
      </c>
      <c r="Q18" s="11" t="s">
        <v>393</v>
      </c>
      <c r="R18" s="14" t="e">
        <f ca="1">(COUNA(C18:Q18))/12</f>
        <v>#NAME?</v>
      </c>
      <c r="S18" s="14"/>
      <c r="U18" s="368"/>
      <c r="V18" s="369"/>
      <c r="W18" s="369"/>
      <c r="X18" s="369"/>
      <c r="Y18" s="369"/>
      <c r="Z18" s="370"/>
    </row>
    <row r="19" spans="1:26" s="97" customFormat="1" ht="27.95" customHeight="1" thickBot="1">
      <c r="A19" s="283">
        <v>16</v>
      </c>
      <c r="B19" s="267" t="s">
        <v>392</v>
      </c>
      <c r="C19" s="391"/>
      <c r="D19" s="392"/>
      <c r="E19" s="284" t="s">
        <v>391</v>
      </c>
      <c r="F19" s="11" t="s">
        <v>390</v>
      </c>
      <c r="G19" s="11" t="s">
        <v>96</v>
      </c>
      <c r="H19" s="11" t="s">
        <v>389</v>
      </c>
      <c r="I19" s="188" t="s">
        <v>388</v>
      </c>
      <c r="J19" s="190" t="s">
        <v>387</v>
      </c>
      <c r="K19" s="11" t="s">
        <v>386</v>
      </c>
      <c r="L19" s="49"/>
      <c r="M19" s="190" t="s">
        <v>385</v>
      </c>
      <c r="N19" s="190" t="s">
        <v>77</v>
      </c>
      <c r="O19" s="236" t="s">
        <v>384</v>
      </c>
      <c r="P19" s="190" t="s">
        <v>383</v>
      </c>
      <c r="Q19" s="188" t="s">
        <v>382</v>
      </c>
      <c r="R19" s="285" t="e">
        <f ca="1">(COUNA(C19:Q19))/12</f>
        <v>#NAME?</v>
      </c>
      <c r="S19" s="285"/>
      <c r="T19" s="286"/>
      <c r="U19" s="371"/>
      <c r="V19" s="372"/>
      <c r="W19" s="372"/>
      <c r="X19" s="372"/>
      <c r="Y19" s="372"/>
      <c r="Z19" s="373"/>
    </row>
    <row r="20" spans="1:26" ht="27.95" customHeight="1" thickBot="1">
      <c r="A20" s="244">
        <v>17</v>
      </c>
      <c r="B20" s="250" t="s">
        <v>381</v>
      </c>
      <c r="C20" s="393"/>
      <c r="D20" s="394"/>
      <c r="E20" s="245"/>
      <c r="F20" s="245"/>
      <c r="G20" s="248"/>
      <c r="H20" s="249"/>
      <c r="I20" s="248"/>
      <c r="J20" s="247"/>
      <c r="K20" s="248"/>
      <c r="L20" s="248"/>
      <c r="M20" s="248"/>
      <c r="N20" s="247"/>
      <c r="O20" s="45"/>
      <c r="P20" s="246"/>
      <c r="Q20" s="245"/>
      <c r="R20" s="14"/>
      <c r="S20" s="14"/>
      <c r="U20" s="347" t="s">
        <v>380</v>
      </c>
      <c r="V20" s="348"/>
      <c r="W20" s="348"/>
      <c r="X20" s="348"/>
      <c r="Y20" s="348"/>
      <c r="Z20" s="349"/>
    </row>
    <row r="21" spans="1:26" ht="27.95" customHeight="1">
      <c r="A21" s="244">
        <v>18</v>
      </c>
      <c r="B21" s="243" t="s">
        <v>379</v>
      </c>
      <c r="C21" s="275" t="s">
        <v>541</v>
      </c>
      <c r="D21" s="276" t="s">
        <v>378</v>
      </c>
      <c r="E21" s="190" t="s">
        <v>377</v>
      </c>
      <c r="F21" s="190" t="s">
        <v>551</v>
      </c>
      <c r="G21" s="11" t="s">
        <v>376</v>
      </c>
      <c r="H21" s="11" t="s">
        <v>103</v>
      </c>
      <c r="I21" s="190" t="s">
        <v>362</v>
      </c>
      <c r="J21" s="188" t="s">
        <v>375</v>
      </c>
      <c r="K21" s="242" t="s">
        <v>374</v>
      </c>
      <c r="L21" s="190"/>
      <c r="M21" s="11" t="s">
        <v>373</v>
      </c>
      <c r="N21" s="190" t="s">
        <v>372</v>
      </c>
      <c r="O21" s="190" t="s">
        <v>371</v>
      </c>
      <c r="P21" s="397"/>
      <c r="Q21" s="398"/>
      <c r="R21" s="14" t="e">
        <f ca="1">(COUNA(C21:Q21))/12</f>
        <v>#NAME?</v>
      </c>
      <c r="S21" s="14"/>
      <c r="U21" s="353" t="s">
        <v>593</v>
      </c>
      <c r="V21" s="354"/>
      <c r="W21" s="354"/>
      <c r="X21" s="354"/>
      <c r="Y21" s="354"/>
      <c r="Z21" s="355"/>
    </row>
    <row r="22" spans="1:26" ht="27.95" customHeight="1" thickBot="1">
      <c r="A22" s="241">
        <v>19</v>
      </c>
      <c r="B22" s="220" t="s">
        <v>370</v>
      </c>
      <c r="C22" s="277" t="s">
        <v>369</v>
      </c>
      <c r="D22" s="278" t="s">
        <v>576</v>
      </c>
      <c r="E22" s="35" t="s">
        <v>368</v>
      </c>
      <c r="F22" s="35" t="s">
        <v>367</v>
      </c>
      <c r="G22" s="217" t="s">
        <v>550</v>
      </c>
      <c r="H22" s="35" t="s">
        <v>575</v>
      </c>
      <c r="I22" s="218" t="s">
        <v>366</v>
      </c>
      <c r="J22" s="217" t="s">
        <v>365</v>
      </c>
      <c r="K22" s="217" t="s">
        <v>364</v>
      </c>
      <c r="L22" s="218"/>
      <c r="M22" s="217" t="s">
        <v>363</v>
      </c>
      <c r="N22" s="218" t="s">
        <v>574</v>
      </c>
      <c r="O22" s="217" t="s">
        <v>362</v>
      </c>
      <c r="P22" s="399"/>
      <c r="Q22" s="400"/>
      <c r="R22" s="14" t="e">
        <f ca="1">(COUNA(C22:Q22))/12</f>
        <v>#NAME?</v>
      </c>
      <c r="S22" s="14"/>
      <c r="U22" s="356"/>
      <c r="V22" s="357"/>
      <c r="W22" s="357"/>
      <c r="X22" s="357"/>
      <c r="Y22" s="357"/>
      <c r="Z22" s="358"/>
    </row>
    <row r="23" spans="1:26" ht="27.95" customHeight="1">
      <c r="A23" s="240" t="s">
        <v>361</v>
      </c>
      <c r="B23" s="239" t="s">
        <v>360</v>
      </c>
      <c r="C23" s="391"/>
      <c r="D23" s="392"/>
      <c r="E23" s="236" t="s">
        <v>586</v>
      </c>
      <c r="F23" s="236" t="s">
        <v>268</v>
      </c>
      <c r="G23" s="23" t="s">
        <v>359</v>
      </c>
      <c r="H23" s="236"/>
      <c r="I23" s="236" t="s">
        <v>358</v>
      </c>
      <c r="J23" s="252" t="s">
        <v>545</v>
      </c>
      <c r="K23" s="252" t="s">
        <v>585</v>
      </c>
      <c r="L23" s="100"/>
      <c r="M23" s="236" t="s">
        <v>554</v>
      </c>
      <c r="N23" s="236" t="s">
        <v>581</v>
      </c>
      <c r="O23" s="23" t="s">
        <v>357</v>
      </c>
      <c r="P23" s="236" t="s">
        <v>587</v>
      </c>
      <c r="Q23" s="236" t="s">
        <v>356</v>
      </c>
      <c r="R23" s="14" t="e">
        <f ca="1">(COUNA(C23:Q23))/7</f>
        <v>#NAME?</v>
      </c>
      <c r="S23" s="14"/>
      <c r="U23" s="356"/>
      <c r="V23" s="357"/>
      <c r="W23" s="357"/>
      <c r="X23" s="357"/>
      <c r="Y23" s="357"/>
      <c r="Z23" s="358"/>
    </row>
    <row r="24" spans="1:26" s="192" customFormat="1" ht="27.95" customHeight="1" thickBot="1">
      <c r="A24" s="238"/>
      <c r="B24" s="220" t="s">
        <v>355</v>
      </c>
      <c r="C24" s="401"/>
      <c r="D24" s="402"/>
      <c r="E24" s="217" t="s">
        <v>114</v>
      </c>
      <c r="F24" s="100" t="s">
        <v>354</v>
      </c>
      <c r="G24" s="35" t="s">
        <v>353</v>
      </c>
      <c r="H24" s="35" t="s">
        <v>352</v>
      </c>
      <c r="I24" s="217" t="s">
        <v>351</v>
      </c>
      <c r="J24" s="35" t="s">
        <v>350</v>
      </c>
      <c r="K24" s="237" t="s">
        <v>349</v>
      </c>
      <c r="L24" s="217"/>
      <c r="M24" s="35" t="s">
        <v>571</v>
      </c>
      <c r="N24" s="217" t="s">
        <v>202</v>
      </c>
      <c r="O24" s="217" t="s">
        <v>592</v>
      </c>
      <c r="P24" s="236" t="s">
        <v>583</v>
      </c>
      <c r="Q24" s="11" t="s">
        <v>591</v>
      </c>
      <c r="R24" s="14" t="e">
        <f ca="1">(COUNA(C24:Q24))/12</f>
        <v>#NAME?</v>
      </c>
      <c r="S24" s="14"/>
      <c r="T24" s="95"/>
      <c r="U24" s="356"/>
      <c r="V24" s="357"/>
      <c r="W24" s="357"/>
      <c r="X24" s="357"/>
      <c r="Y24" s="357"/>
      <c r="Z24" s="358"/>
    </row>
    <row r="25" spans="1:26" ht="9.9499999999999993" customHeight="1" thickBot="1">
      <c r="A25" s="235"/>
      <c r="B25" s="234"/>
      <c r="C25" s="233"/>
      <c r="D25" s="232"/>
      <c r="E25" s="227"/>
      <c r="F25" s="229"/>
      <c r="G25" s="231"/>
      <c r="H25" s="70"/>
      <c r="I25" s="227"/>
      <c r="J25" s="230"/>
      <c r="K25" s="227"/>
      <c r="L25" s="227"/>
      <c r="M25" s="70"/>
      <c r="N25" s="229"/>
      <c r="O25" s="228"/>
      <c r="P25" s="227"/>
      <c r="Q25" s="227"/>
      <c r="U25" s="356"/>
      <c r="V25" s="357"/>
      <c r="W25" s="357"/>
      <c r="X25" s="357"/>
      <c r="Y25" s="357"/>
      <c r="Z25" s="358"/>
    </row>
    <row r="26" spans="1:26" ht="120" customHeight="1">
      <c r="A26" s="226"/>
      <c r="B26" s="287" t="s">
        <v>348</v>
      </c>
      <c r="C26" s="289"/>
      <c r="D26" s="290"/>
      <c r="E26" s="223" t="s">
        <v>137</v>
      </c>
      <c r="F26" s="223" t="s">
        <v>534</v>
      </c>
      <c r="G26" s="223" t="s">
        <v>539</v>
      </c>
      <c r="H26" s="223" t="s">
        <v>535</v>
      </c>
      <c r="I26" s="223" t="s">
        <v>536</v>
      </c>
      <c r="J26" s="223" t="s">
        <v>131</v>
      </c>
      <c r="K26" s="225" t="s">
        <v>130</v>
      </c>
      <c r="L26" s="224"/>
      <c r="M26" s="223" t="s">
        <v>568</v>
      </c>
      <c r="N26" s="223" t="s">
        <v>537</v>
      </c>
      <c r="O26" s="223" t="s">
        <v>538</v>
      </c>
      <c r="P26" s="223" t="s">
        <v>548</v>
      </c>
      <c r="Q26" s="223" t="s">
        <v>569</v>
      </c>
      <c r="R26" s="14" t="e">
        <f ca="1">(COUNA(C26:Q26))/12</f>
        <v>#NAME?</v>
      </c>
      <c r="S26" s="14"/>
      <c r="U26" s="356"/>
      <c r="V26" s="357"/>
      <c r="W26" s="357"/>
      <c r="X26" s="357"/>
      <c r="Y26" s="357"/>
      <c r="Z26" s="358"/>
    </row>
    <row r="27" spans="1:26" ht="120" customHeight="1">
      <c r="A27" s="222"/>
      <c r="B27" s="288"/>
      <c r="C27" s="291"/>
      <c r="D27" s="292"/>
      <c r="E27" s="190" t="s">
        <v>542</v>
      </c>
      <c r="F27" s="190" t="s">
        <v>546</v>
      </c>
      <c r="G27" s="190" t="s">
        <v>540</v>
      </c>
      <c r="H27" s="190" t="s">
        <v>560</v>
      </c>
      <c r="I27" s="190" t="s">
        <v>527</v>
      </c>
      <c r="J27" s="190" t="s">
        <v>588</v>
      </c>
      <c r="K27" s="190"/>
      <c r="L27" s="190"/>
      <c r="M27" s="190" t="s">
        <v>572</v>
      </c>
      <c r="N27" s="190"/>
      <c r="O27" s="190"/>
      <c r="P27" s="190" t="s">
        <v>590</v>
      </c>
      <c r="Q27" s="190" t="s">
        <v>589</v>
      </c>
      <c r="U27" s="356"/>
      <c r="V27" s="357"/>
      <c r="W27" s="357"/>
      <c r="X27" s="357"/>
      <c r="Y27" s="357"/>
      <c r="Z27" s="358"/>
    </row>
    <row r="28" spans="1:26" ht="120" customHeight="1" thickBot="1">
      <c r="A28" s="221"/>
      <c r="B28" s="220" t="s">
        <v>347</v>
      </c>
      <c r="C28" s="293"/>
      <c r="D28" s="294"/>
      <c r="E28" s="219" t="s">
        <v>346</v>
      </c>
      <c r="F28" s="217" t="s">
        <v>345</v>
      </c>
      <c r="G28" s="217" t="s">
        <v>344</v>
      </c>
      <c r="H28" s="217" t="s">
        <v>547</v>
      </c>
      <c r="I28" s="217" t="s">
        <v>343</v>
      </c>
      <c r="J28" s="217" t="s">
        <v>342</v>
      </c>
      <c r="K28" s="217" t="s">
        <v>341</v>
      </c>
      <c r="L28" s="218"/>
      <c r="M28" s="217" t="s">
        <v>340</v>
      </c>
      <c r="N28" s="217" t="s">
        <v>339</v>
      </c>
      <c r="O28" s="217" t="s">
        <v>338</v>
      </c>
      <c r="P28" s="377" t="s">
        <v>337</v>
      </c>
      <c r="Q28" s="378"/>
      <c r="R28" s="14" t="e">
        <f ca="1">(COUNA(F28:O28))/9</f>
        <v>#NAME?</v>
      </c>
      <c r="S28" s="14"/>
      <c r="U28" s="356"/>
      <c r="V28" s="357"/>
      <c r="W28" s="357"/>
      <c r="X28" s="357"/>
      <c r="Y28" s="357"/>
      <c r="Z28" s="358"/>
    </row>
    <row r="29" spans="1:26" ht="27.95" customHeight="1" thickBot="1">
      <c r="A29" s="216"/>
      <c r="B29" s="215" t="s">
        <v>336</v>
      </c>
      <c r="C29" s="214"/>
      <c r="D29" s="213"/>
      <c r="E29" s="212"/>
      <c r="F29" s="212"/>
      <c r="G29" s="212"/>
      <c r="H29" s="209"/>
      <c r="I29" s="210"/>
      <c r="J29" s="209"/>
      <c r="K29" s="209"/>
      <c r="L29" s="211"/>
      <c r="M29" s="210"/>
      <c r="N29" s="209"/>
      <c r="O29" s="209"/>
      <c r="P29" s="208"/>
      <c r="Q29" s="208"/>
      <c r="R29" s="14"/>
      <c r="S29" s="14"/>
      <c r="U29" s="356"/>
      <c r="V29" s="357"/>
      <c r="W29" s="357"/>
      <c r="X29" s="357"/>
      <c r="Y29" s="357"/>
      <c r="Z29" s="358"/>
    </row>
    <row r="30" spans="1:26" ht="9.9499999999999993" customHeight="1" thickBot="1">
      <c r="A30" s="207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U30" s="359"/>
      <c r="V30" s="360"/>
      <c r="W30" s="360"/>
      <c r="X30" s="360"/>
      <c r="Y30" s="360"/>
      <c r="Z30" s="361"/>
    </row>
    <row r="31" spans="1:26" ht="27.95" customHeight="1">
      <c r="A31" s="206"/>
      <c r="B31" s="205"/>
      <c r="C31" s="205"/>
      <c r="D31" s="204" t="s">
        <v>335</v>
      </c>
      <c r="E31" s="202" t="s">
        <v>308</v>
      </c>
      <c r="F31" s="202" t="s">
        <v>5</v>
      </c>
      <c r="G31" s="202" t="s">
        <v>6</v>
      </c>
      <c r="H31" s="202" t="s">
        <v>307</v>
      </c>
      <c r="I31" s="202" t="s">
        <v>8</v>
      </c>
      <c r="J31" s="202" t="s">
        <v>306</v>
      </c>
      <c r="K31" s="202" t="s">
        <v>305</v>
      </c>
      <c r="L31" s="203" t="s">
        <v>273</v>
      </c>
      <c r="M31" s="202" t="s">
        <v>304</v>
      </c>
      <c r="N31" s="202" t="s">
        <v>13</v>
      </c>
      <c r="O31" s="202" t="s">
        <v>14</v>
      </c>
      <c r="P31" s="202" t="s">
        <v>15</v>
      </c>
      <c r="Q31" s="201" t="s">
        <v>16</v>
      </c>
      <c r="U31" s="403" t="s">
        <v>529</v>
      </c>
      <c r="V31" s="404"/>
      <c r="W31" s="404"/>
      <c r="X31" s="404"/>
      <c r="Y31" s="404"/>
      <c r="Z31" s="405"/>
    </row>
    <row r="32" spans="1:26" ht="27.95" customHeight="1">
      <c r="D32" s="200" t="s">
        <v>334</v>
      </c>
      <c r="E32" s="199" t="s">
        <v>333</v>
      </c>
      <c r="F32" s="190" t="s">
        <v>332</v>
      </c>
      <c r="G32" s="190" t="s">
        <v>331</v>
      </c>
      <c r="H32" s="190" t="s">
        <v>330</v>
      </c>
      <c r="I32" s="188"/>
      <c r="J32" s="188" t="s">
        <v>329</v>
      </c>
      <c r="K32" s="190" t="s">
        <v>328</v>
      </c>
      <c r="L32" s="189"/>
      <c r="M32" s="190"/>
      <c r="N32" s="190" t="s">
        <v>327</v>
      </c>
      <c r="O32" s="190" t="s">
        <v>326</v>
      </c>
      <c r="P32" s="194"/>
      <c r="Q32" s="193" t="s">
        <v>325</v>
      </c>
      <c r="T32" s="198"/>
      <c r="U32" s="406"/>
      <c r="V32" s="407"/>
      <c r="W32" s="407"/>
      <c r="X32" s="407"/>
      <c r="Y32" s="407"/>
      <c r="Z32" s="408"/>
    </row>
    <row r="33" spans="1:26" s="192" customFormat="1" ht="45.75" customHeight="1">
      <c r="A33" s="94"/>
      <c r="B33" s="98"/>
      <c r="C33" s="98"/>
      <c r="D33" s="191" t="s">
        <v>324</v>
      </c>
      <c r="E33" s="197"/>
      <c r="F33" s="188"/>
      <c r="G33" s="188"/>
      <c r="H33" s="188"/>
      <c r="I33" s="188"/>
      <c r="J33" s="188"/>
      <c r="K33" s="196"/>
      <c r="L33" s="195"/>
      <c r="M33" s="188"/>
      <c r="N33" s="188"/>
      <c r="O33" s="194"/>
      <c r="P33" s="188"/>
      <c r="Q33" s="193"/>
      <c r="R33" s="96"/>
      <c r="S33" s="96"/>
      <c r="T33" s="95"/>
      <c r="U33" s="406"/>
      <c r="V33" s="407"/>
      <c r="W33" s="407"/>
      <c r="X33" s="407"/>
      <c r="Y33" s="407"/>
      <c r="Z33" s="408"/>
    </row>
    <row r="34" spans="1:26" ht="27.95" customHeight="1">
      <c r="D34" s="191" t="s">
        <v>323</v>
      </c>
      <c r="E34" s="190"/>
      <c r="F34" s="188"/>
      <c r="G34" s="188"/>
      <c r="H34" s="190"/>
      <c r="I34" s="188" t="s">
        <v>322</v>
      </c>
      <c r="J34" s="186"/>
      <c r="K34" s="190" t="s">
        <v>321</v>
      </c>
      <c r="L34" s="189"/>
      <c r="M34" s="188"/>
      <c r="N34" s="187" t="s">
        <v>320</v>
      </c>
      <c r="O34" s="186"/>
      <c r="P34" s="186" t="s">
        <v>319</v>
      </c>
      <c r="Q34" s="185"/>
      <c r="U34" s="406"/>
      <c r="V34" s="407"/>
      <c r="W34" s="407"/>
      <c r="X34" s="407"/>
      <c r="Y34" s="407"/>
      <c r="Z34" s="408"/>
    </row>
    <row r="35" spans="1:26" ht="42" customHeight="1" thickBot="1">
      <c r="D35" s="184" t="s">
        <v>318</v>
      </c>
      <c r="E35" s="179"/>
      <c r="F35" s="183"/>
      <c r="G35" s="179" t="s">
        <v>317</v>
      </c>
      <c r="H35" s="182"/>
      <c r="I35" s="182"/>
      <c r="J35" s="182"/>
      <c r="K35" s="182" t="s">
        <v>316</v>
      </c>
      <c r="L35" s="181"/>
      <c r="M35" s="180" t="s">
        <v>315</v>
      </c>
      <c r="N35" s="179" t="s">
        <v>314</v>
      </c>
      <c r="O35" s="179" t="s">
        <v>313</v>
      </c>
      <c r="P35" s="179" t="s">
        <v>312</v>
      </c>
      <c r="Q35" s="178" t="s">
        <v>311</v>
      </c>
      <c r="U35" s="409"/>
      <c r="V35" s="410"/>
      <c r="W35" s="410"/>
      <c r="X35" s="410"/>
      <c r="Y35" s="410"/>
      <c r="Z35" s="411"/>
    </row>
    <row r="36" spans="1:26" ht="42" customHeight="1">
      <c r="D36" s="99"/>
      <c r="E36" s="177"/>
      <c r="F36" s="176"/>
      <c r="G36" s="99"/>
      <c r="H36" s="99"/>
      <c r="I36" s="99"/>
      <c r="J36" s="99"/>
      <c r="K36" s="99"/>
      <c r="L36" s="175"/>
      <c r="M36" s="99"/>
      <c r="N36" s="99"/>
      <c r="O36" s="99"/>
      <c r="P36" s="99"/>
      <c r="Q36" s="99"/>
    </row>
    <row r="37" spans="1:26" ht="42" customHeight="1">
      <c r="E37" s="95" t="e">
        <f t="shared" ref="E37:J37" ca="1" si="1">COUNBLANK(E4:E21)</f>
        <v>#NAME?</v>
      </c>
      <c r="F37" s="95" t="e">
        <f t="shared" ca="1" si="1"/>
        <v>#NAME?</v>
      </c>
      <c r="G37" s="95" t="e">
        <f t="shared" ca="1" si="1"/>
        <v>#NAME?</v>
      </c>
      <c r="H37" s="95" t="e">
        <f t="shared" ca="1" si="1"/>
        <v>#NAME?</v>
      </c>
      <c r="I37" s="95" t="e">
        <f t="shared" ca="1" si="1"/>
        <v>#NAME?</v>
      </c>
      <c r="J37" s="95" t="e">
        <f t="shared" ca="1" si="1"/>
        <v>#NAME?</v>
      </c>
      <c r="K37" s="95" t="e">
        <f ca="1">COUNBLANK(K4:K22)</f>
        <v>#NAME?</v>
      </c>
      <c r="L37" s="95"/>
      <c r="M37" s="95" t="e">
        <f ca="1">COUNBLANK(M4:M21)</f>
        <v>#NAME?</v>
      </c>
      <c r="N37" s="95" t="e">
        <f ca="1">COUNBLANK(N4:N21)</f>
        <v>#NAME?</v>
      </c>
      <c r="O37" s="95" t="e">
        <f ca="1">COUNBLANK(O4:O21)</f>
        <v>#NAME?</v>
      </c>
      <c r="P37" s="95" t="e">
        <f ca="1">COUNBLANK(P4:P20)-2</f>
        <v>#NAME?</v>
      </c>
      <c r="Q37" s="95" t="e">
        <f ca="1">COUNBLANK(Q4:Q20)-2</f>
        <v>#NAME?</v>
      </c>
    </row>
    <row r="39" spans="1:26" s="167" customFormat="1">
      <c r="B39" s="98"/>
      <c r="C39" s="98"/>
      <c r="D39" s="98"/>
      <c r="E39" s="95"/>
      <c r="F39" s="95"/>
      <c r="G39" s="95"/>
      <c r="H39" s="95"/>
      <c r="I39" s="95"/>
      <c r="J39" s="95"/>
      <c r="K39" s="95"/>
      <c r="L39" s="97"/>
      <c r="M39" s="95"/>
      <c r="N39" s="95"/>
      <c r="O39" s="95"/>
      <c r="P39" s="95"/>
      <c r="Q39" s="95"/>
      <c r="R39" s="96"/>
      <c r="S39" s="96"/>
      <c r="T39" s="168"/>
    </row>
    <row r="40" spans="1:26" s="167" customFormat="1">
      <c r="B40" s="98"/>
      <c r="C40" s="98"/>
      <c r="D40" s="98"/>
      <c r="E40" s="95"/>
      <c r="F40" s="95"/>
      <c r="G40" s="95"/>
      <c r="H40" s="95"/>
      <c r="I40" s="95"/>
      <c r="J40" s="95"/>
      <c r="K40" s="95"/>
      <c r="L40" s="97"/>
      <c r="M40" s="95"/>
      <c r="N40" s="95"/>
      <c r="O40" s="95"/>
      <c r="P40" s="95"/>
      <c r="Q40" s="95"/>
      <c r="R40" s="96"/>
      <c r="S40" s="96"/>
      <c r="T40" s="168"/>
    </row>
    <row r="41" spans="1:26" s="167" customFormat="1">
      <c r="B41" s="98"/>
      <c r="C41" s="98"/>
      <c r="D41" s="98"/>
      <c r="E41" s="95"/>
      <c r="F41" s="95"/>
      <c r="G41" s="95"/>
      <c r="H41" s="95"/>
      <c r="I41" s="95"/>
      <c r="J41" s="95"/>
      <c r="K41" s="95"/>
      <c r="L41" s="97"/>
      <c r="M41" s="95"/>
      <c r="N41" s="95"/>
      <c r="O41" s="95"/>
      <c r="P41" s="95"/>
      <c r="Q41" s="95"/>
      <c r="R41" s="96"/>
      <c r="S41" s="96"/>
      <c r="T41" s="168"/>
    </row>
    <row r="42" spans="1:26" s="167" customFormat="1">
      <c r="B42" s="174"/>
      <c r="C42" s="173"/>
      <c r="D42" s="173"/>
      <c r="E42" s="168"/>
      <c r="F42" s="171"/>
      <c r="G42" s="171"/>
      <c r="H42" s="171"/>
      <c r="I42" s="171"/>
      <c r="J42" s="171"/>
      <c r="K42" s="171"/>
      <c r="L42" s="172"/>
      <c r="M42" s="171"/>
      <c r="N42" s="171"/>
      <c r="O42" s="171"/>
      <c r="P42" s="171"/>
      <c r="Q42" s="171"/>
      <c r="R42" s="170"/>
      <c r="S42" s="169"/>
      <c r="T42" s="168"/>
    </row>
    <row r="45" spans="1:26">
      <c r="D45" s="412" t="s">
        <v>310</v>
      </c>
      <c r="E45" s="41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3"/>
    </row>
    <row r="46" spans="1:26" ht="21">
      <c r="A46" s="98"/>
      <c r="D46" s="166" t="s">
        <v>309</v>
      </c>
      <c r="E46" s="164" t="s">
        <v>308</v>
      </c>
      <c r="F46" s="164" t="s">
        <v>5</v>
      </c>
      <c r="G46" s="164" t="s">
        <v>6</v>
      </c>
      <c r="H46" s="164" t="s">
        <v>307</v>
      </c>
      <c r="I46" s="164" t="s">
        <v>8</v>
      </c>
      <c r="J46" s="164" t="s">
        <v>306</v>
      </c>
      <c r="K46" s="164" t="s">
        <v>305</v>
      </c>
      <c r="L46" s="165" t="s">
        <v>11</v>
      </c>
      <c r="M46" s="164" t="s">
        <v>304</v>
      </c>
      <c r="N46" s="164" t="s">
        <v>303</v>
      </c>
      <c r="O46" s="164" t="s">
        <v>14</v>
      </c>
      <c r="P46" s="164" t="s">
        <v>15</v>
      </c>
      <c r="Q46" s="164" t="s">
        <v>302</v>
      </c>
      <c r="R46" s="164" t="s">
        <v>301</v>
      </c>
      <c r="S46" s="164" t="s">
        <v>300</v>
      </c>
    </row>
    <row r="47" spans="1:26" ht="27.95" customHeight="1">
      <c r="A47" s="98"/>
      <c r="D47" s="163" t="s">
        <v>299</v>
      </c>
      <c r="E47" s="162"/>
      <c r="F47" s="161"/>
      <c r="G47" s="160"/>
      <c r="H47" s="158"/>
      <c r="I47" s="160"/>
      <c r="J47" s="159"/>
      <c r="K47" s="158"/>
      <c r="L47" s="157"/>
      <c r="M47" s="156" t="s">
        <v>298</v>
      </c>
      <c r="N47" s="155"/>
      <c r="O47" s="154" t="s">
        <v>297</v>
      </c>
      <c r="P47" s="153" t="s">
        <v>296</v>
      </c>
      <c r="Q47" s="152"/>
      <c r="R47" s="151"/>
      <c r="S47" s="150"/>
    </row>
    <row r="48" spans="1:26">
      <c r="A48" s="98"/>
      <c r="D48" s="374" t="s">
        <v>530</v>
      </c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6"/>
      <c r="T48" s="94"/>
    </row>
    <row r="49" spans="1:20" ht="27.95" customHeight="1">
      <c r="A49" s="98"/>
      <c r="D49" s="148" t="s">
        <v>531</v>
      </c>
      <c r="E49" s="128"/>
      <c r="F49" s="147"/>
      <c r="G49" s="128"/>
      <c r="H49" s="128"/>
      <c r="I49" s="128"/>
      <c r="J49" s="128"/>
      <c r="K49" s="145"/>
      <c r="L49" s="142"/>
      <c r="M49" s="147"/>
      <c r="N49" s="149"/>
      <c r="O49" s="147"/>
      <c r="P49" s="128"/>
      <c r="Q49" s="128"/>
      <c r="R49" s="23"/>
      <c r="S49" s="23"/>
      <c r="T49" s="94"/>
    </row>
    <row r="50" spans="1:20" ht="27.95" customHeight="1">
      <c r="A50" s="98"/>
      <c r="D50" s="148" t="s">
        <v>295</v>
      </c>
      <c r="E50" s="147" t="s">
        <v>294</v>
      </c>
      <c r="F50" s="116"/>
      <c r="G50" s="145" t="s">
        <v>293</v>
      </c>
      <c r="H50" s="145"/>
      <c r="I50" s="116"/>
      <c r="J50" s="145"/>
      <c r="K50" s="125"/>
      <c r="L50" s="142"/>
      <c r="M50" s="146"/>
      <c r="N50" s="145"/>
      <c r="O50" s="112" t="s">
        <v>292</v>
      </c>
      <c r="P50" s="145"/>
      <c r="Q50" s="112"/>
      <c r="R50" s="145"/>
      <c r="S50" s="145"/>
      <c r="T50" s="94"/>
    </row>
    <row r="51" spans="1:20" ht="27.95" customHeight="1">
      <c r="A51" s="98"/>
      <c r="D51" s="144" t="s">
        <v>291</v>
      </c>
      <c r="E51" s="127"/>
      <c r="F51" s="127"/>
      <c r="G51" s="127"/>
      <c r="H51" s="135"/>
      <c r="I51" s="135"/>
      <c r="J51" s="127"/>
      <c r="K51" s="143"/>
      <c r="L51" s="142"/>
      <c r="M51" s="126"/>
      <c r="N51" s="126"/>
      <c r="O51" s="126"/>
      <c r="P51" s="135"/>
      <c r="Q51" s="127" t="s">
        <v>290</v>
      </c>
      <c r="R51" s="137"/>
      <c r="S51" s="137"/>
      <c r="T51" s="94"/>
    </row>
    <row r="52" spans="1:20" ht="27.95" customHeight="1">
      <c r="A52" s="98"/>
      <c r="D52" s="139" t="s">
        <v>289</v>
      </c>
      <c r="E52" s="134"/>
      <c r="F52" s="134"/>
      <c r="G52" s="134"/>
      <c r="H52" s="135"/>
      <c r="I52" s="135"/>
      <c r="J52" s="133"/>
      <c r="K52" s="134"/>
      <c r="L52" s="141"/>
      <c r="M52" s="135"/>
      <c r="N52" s="135"/>
      <c r="O52" s="135"/>
      <c r="P52" s="140"/>
      <c r="Q52" s="134"/>
      <c r="R52" s="134"/>
      <c r="S52" s="134"/>
      <c r="T52" s="94"/>
    </row>
    <row r="53" spans="1:20">
      <c r="D53" s="375" t="s">
        <v>288</v>
      </c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</row>
    <row r="54" spans="1:20" ht="27.95" customHeight="1">
      <c r="D54" s="139" t="s">
        <v>287</v>
      </c>
      <c r="E54" s="137"/>
      <c r="F54" s="137"/>
      <c r="G54" s="137"/>
      <c r="H54" s="134"/>
      <c r="I54" s="137"/>
      <c r="J54" s="137"/>
      <c r="K54" s="138"/>
      <c r="L54" s="137"/>
      <c r="M54" s="135"/>
      <c r="N54" s="134"/>
      <c r="O54" s="136"/>
      <c r="P54" s="135"/>
      <c r="Q54" s="134"/>
      <c r="R54" s="134"/>
      <c r="S54" s="133"/>
    </row>
    <row r="55" spans="1:20" ht="27.95" customHeight="1">
      <c r="D55" s="132" t="s">
        <v>286</v>
      </c>
      <c r="E55" s="128"/>
      <c r="F55" s="129"/>
      <c r="G55" s="127"/>
      <c r="H55" s="128"/>
      <c r="I55" s="128"/>
      <c r="J55" s="131"/>
      <c r="K55" s="130"/>
      <c r="L55" s="126"/>
      <c r="M55" s="129"/>
      <c r="N55" s="127"/>
      <c r="O55" s="129"/>
      <c r="P55" s="126"/>
      <c r="Q55" s="128"/>
      <c r="R55" s="127"/>
      <c r="S55" s="126"/>
    </row>
    <row r="56" spans="1:20">
      <c r="D56" s="374" t="s">
        <v>532</v>
      </c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6"/>
    </row>
    <row r="57" spans="1:20" ht="27.95" customHeight="1">
      <c r="D57" s="120" t="s">
        <v>285</v>
      </c>
      <c r="E57" s="119"/>
      <c r="F57" s="119"/>
      <c r="G57" s="119"/>
      <c r="H57" s="111"/>
      <c r="I57" s="125"/>
      <c r="J57" s="117" t="s">
        <v>284</v>
      </c>
      <c r="K57" s="117"/>
      <c r="L57" s="111"/>
      <c r="M57" s="124"/>
      <c r="N57" s="123"/>
      <c r="O57" s="122"/>
      <c r="P57" s="122"/>
      <c r="Q57" s="121"/>
      <c r="R57" s="112"/>
      <c r="S57" s="113"/>
    </row>
    <row r="58" spans="1:20" ht="27.95" customHeight="1">
      <c r="D58" s="120" t="s">
        <v>283</v>
      </c>
      <c r="E58" s="111" t="s">
        <v>282</v>
      </c>
      <c r="F58" s="119"/>
      <c r="G58" s="112" t="s">
        <v>281</v>
      </c>
      <c r="H58" s="118"/>
      <c r="I58" s="111"/>
      <c r="J58" s="117" t="s">
        <v>280</v>
      </c>
      <c r="K58" s="111"/>
      <c r="L58" s="111"/>
      <c r="M58" s="112" t="s">
        <v>279</v>
      </c>
      <c r="N58" s="117"/>
      <c r="O58" s="116"/>
      <c r="P58" s="116"/>
      <c r="Q58" s="111"/>
      <c r="R58" s="115"/>
      <c r="S58" s="112"/>
    </row>
    <row r="59" spans="1:20" ht="27.75" customHeight="1">
      <c r="D59" s="114" t="s">
        <v>278</v>
      </c>
      <c r="E59" s="113"/>
      <c r="F59" s="112"/>
      <c r="G59" s="112"/>
      <c r="H59" s="111"/>
      <c r="I59" s="111" t="s">
        <v>277</v>
      </c>
      <c r="J59" s="111"/>
      <c r="K59" s="111"/>
      <c r="L59" s="111"/>
      <c r="M59" s="111"/>
      <c r="N59" s="111"/>
      <c r="O59" s="112"/>
      <c r="P59" s="111"/>
      <c r="Q59" s="111"/>
      <c r="R59" s="112"/>
      <c r="S59" s="111"/>
    </row>
    <row r="60" spans="1:20" ht="9.9499999999999993" customHeight="1">
      <c r="D60" s="110"/>
    </row>
    <row r="61" spans="1:20" ht="27.95" customHeight="1">
      <c r="D61" s="395" t="s">
        <v>276</v>
      </c>
      <c r="E61" s="109"/>
      <c r="F61" s="11" t="s">
        <v>275</v>
      </c>
      <c r="G61" s="81"/>
      <c r="H61" s="108"/>
      <c r="I61" s="11"/>
      <c r="J61" s="11" t="s">
        <v>274</v>
      </c>
      <c r="K61" s="11"/>
      <c r="L61" s="49" t="s">
        <v>273</v>
      </c>
      <c r="M61" s="81"/>
      <c r="N61" s="81"/>
      <c r="O61" s="11"/>
      <c r="P61" s="11" t="s">
        <v>272</v>
      </c>
      <c r="Q61" s="11"/>
      <c r="R61" s="107"/>
      <c r="S61" s="106"/>
    </row>
    <row r="62" spans="1:20" ht="27.95" customHeight="1">
      <c r="D62" s="396"/>
      <c r="G62" s="103"/>
      <c r="H62" s="105" t="s">
        <v>533</v>
      </c>
      <c r="I62" s="103"/>
      <c r="J62" s="103"/>
      <c r="K62" s="103"/>
      <c r="M62" s="104"/>
      <c r="N62" s="104"/>
      <c r="O62" s="104"/>
      <c r="P62" s="104"/>
      <c r="Q62" s="103"/>
      <c r="S62" s="102"/>
    </row>
    <row r="64" spans="1:20">
      <c r="F64" s="101"/>
      <c r="G64" s="101"/>
      <c r="H64" s="101"/>
      <c r="I64" s="101"/>
      <c r="J64" s="100"/>
      <c r="K64" s="99"/>
      <c r="L64" s="99"/>
      <c r="M64" s="100"/>
      <c r="N64" s="99"/>
      <c r="O64" s="100"/>
      <c r="P64" s="99"/>
      <c r="Q64" s="99"/>
      <c r="R64" s="99"/>
    </row>
  </sheetData>
  <mergeCells count="22">
    <mergeCell ref="A1:Q1"/>
    <mergeCell ref="A2:Q2"/>
    <mergeCell ref="C4:D11"/>
    <mergeCell ref="C14:D20"/>
    <mergeCell ref="D61:D62"/>
    <mergeCell ref="P21:Q22"/>
    <mergeCell ref="C23:D24"/>
    <mergeCell ref="D45:S45"/>
    <mergeCell ref="D48:S48"/>
    <mergeCell ref="D53:S53"/>
    <mergeCell ref="U21:Z30"/>
    <mergeCell ref="D56:S56"/>
    <mergeCell ref="P12:Q13"/>
    <mergeCell ref="B26:B27"/>
    <mergeCell ref="C26:D28"/>
    <mergeCell ref="P28:Q28"/>
    <mergeCell ref="U31:Z35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12.01</vt:lpstr>
      <vt:lpstr>12.02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2025-12-01T07:24:05Z</cp:lastPrinted>
  <dcterms:created xsi:type="dcterms:W3CDTF">2025-12-01T03:01:44Z</dcterms:created>
  <dcterms:modified xsi:type="dcterms:W3CDTF">2025-12-02T07:26:05Z</dcterms:modified>
</cp:coreProperties>
</file>