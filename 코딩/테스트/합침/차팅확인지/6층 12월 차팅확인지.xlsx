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14295" yWindow="0" windowWidth="14610" windowHeight="15585"/>
  </bookViews>
  <sheets>
    <sheet name="12.01" sheetId="1" r:id="rId1"/>
    <sheet name="Sheet1" sheetId="2" r:id="rId2"/>
  </sheets>
  <definedNames>
    <definedName name="_xlnm._FilterDatabase" localSheetId="1" hidden="1">Sheet1!$D$12:$F$43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" l="1"/>
  <c r="T28" i="1"/>
  <c r="T25" i="1"/>
  <c r="T23" i="1"/>
  <c r="T21" i="1"/>
  <c r="T20" i="1"/>
  <c r="T19" i="1"/>
  <c r="T18" i="1"/>
  <c r="T17" i="1"/>
  <c r="T16" i="1"/>
  <c r="T14" i="1"/>
  <c r="T13" i="1"/>
  <c r="T12" i="1"/>
  <c r="T11" i="1"/>
  <c r="T10" i="1"/>
  <c r="T9" i="1"/>
  <c r="T7" i="1"/>
  <c r="T6" i="1"/>
  <c r="T5" i="1"/>
  <c r="T4" i="1"/>
  <c r="T3" i="1" l="1"/>
</calcChain>
</file>

<file path=xl/sharedStrings.xml><?xml version="1.0" encoding="utf-8"?>
<sst xmlns="http://schemas.openxmlformats.org/spreadsheetml/2006/main" count="487" uniqueCount="320">
  <si>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</si>
  <si>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</si>
  <si>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</si>
  <si>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</si>
  <si>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</si>
  <si>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</si>
  <si>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</si>
  <si>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</si>
  <si>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</si>
  <si>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</si>
  <si>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</si>
  <si>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</si>
  <si>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</si>
  <si>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</si>
  <si>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</si>
  <si>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</si>
  <si>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</si>
  <si>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남원희</t>
    <phoneticPr fontId="3" type="noConversion"/>
  </si>
  <si>
    <t>RG문두순</t>
    <phoneticPr fontId="3" type="noConversion"/>
  </si>
  <si>
    <t>RG권수자</t>
    <phoneticPr fontId="3" type="noConversion"/>
  </si>
  <si>
    <t>RN김영순46</t>
    <phoneticPr fontId="3" type="noConversion"/>
  </si>
  <si>
    <t>RN이상호9</t>
    <phoneticPr fontId="3" type="noConversion"/>
  </si>
  <si>
    <t>N남완</t>
    <phoneticPr fontId="3" type="noConversion"/>
  </si>
  <si>
    <t>N김말분</t>
    <phoneticPr fontId="3" type="noConversion"/>
  </si>
  <si>
    <t>N한동수2A</t>
    <phoneticPr fontId="14" type="noConversion"/>
  </si>
  <si>
    <t>RM강기태</t>
    <phoneticPr fontId="3" type="noConversion"/>
  </si>
  <si>
    <t>정보라</t>
    <phoneticPr fontId="3" type="noConversion"/>
  </si>
  <si>
    <t>G쿠마라게</t>
    <phoneticPr fontId="14" type="noConversion"/>
  </si>
  <si>
    <t>RM유병우</t>
    <phoneticPr fontId="3" type="noConversion"/>
  </si>
  <si>
    <t>RM구예성</t>
    <phoneticPr fontId="3" type="noConversion"/>
  </si>
  <si>
    <t>N정호진2A</t>
    <phoneticPr fontId="14" type="noConversion"/>
  </si>
  <si>
    <t>RN채규칠</t>
    <phoneticPr fontId="14" type="noConversion"/>
  </si>
  <si>
    <t>RM진호연</t>
    <phoneticPr fontId="3" type="noConversion"/>
  </si>
  <si>
    <t>N이광영3A</t>
    <phoneticPr fontId="14" type="noConversion"/>
  </si>
  <si>
    <t>RN어성춘</t>
    <phoneticPr fontId="3" type="noConversion"/>
  </si>
  <si>
    <t>N반지환A</t>
    <phoneticPr fontId="14" type="noConversion"/>
  </si>
  <si>
    <t>RM유태현3</t>
    <phoneticPr fontId="3" type="noConversion"/>
  </si>
  <si>
    <t>신하연</t>
    <phoneticPr fontId="3" type="noConversion"/>
  </si>
  <si>
    <t>RG강옥순</t>
    <phoneticPr fontId="3" type="noConversion"/>
  </si>
  <si>
    <t>RG엄기복</t>
    <phoneticPr fontId="3" type="noConversion"/>
  </si>
  <si>
    <t>N이영휘</t>
  </si>
  <si>
    <t>RG김동인4</t>
  </si>
  <si>
    <t>N홍숙희A</t>
    <phoneticPr fontId="14" type="noConversion"/>
  </si>
  <si>
    <t>N반원모A</t>
    <phoneticPr fontId="14" type="noConversion"/>
  </si>
  <si>
    <t>N배성준</t>
    <phoneticPr fontId="3" type="noConversion"/>
  </si>
  <si>
    <t>RG권수자</t>
    <phoneticPr fontId="14" type="noConversion"/>
  </si>
  <si>
    <t>N김다연2A</t>
    <phoneticPr fontId="14" type="noConversion"/>
  </si>
  <si>
    <t>신민혁</t>
    <phoneticPr fontId="3" type="noConversion"/>
  </si>
  <si>
    <t>RN구예성</t>
  </si>
  <si>
    <t>RN김영한2</t>
    <phoneticPr fontId="14" type="noConversion"/>
  </si>
  <si>
    <t>RG이강민4</t>
  </si>
  <si>
    <t xml:space="preserve">N김혜진17 </t>
    <phoneticPr fontId="3" type="noConversion"/>
  </si>
  <si>
    <t>N김진학</t>
    <phoneticPr fontId="14" type="noConversion"/>
  </si>
  <si>
    <t>RN진호연</t>
    <phoneticPr fontId="3" type="noConversion"/>
  </si>
  <si>
    <t>RM전영석2</t>
    <phoneticPr fontId="3" type="noConversion"/>
  </si>
  <si>
    <t>김소현2
(연차)</t>
    <phoneticPr fontId="3" type="noConversion"/>
  </si>
  <si>
    <t>RM김영순46</t>
    <phoneticPr fontId="3" type="noConversion"/>
  </si>
  <si>
    <t>유은주</t>
    <phoneticPr fontId="3" type="noConversion"/>
  </si>
  <si>
    <t>N강철용A</t>
    <phoneticPr fontId="14" type="noConversion"/>
  </si>
  <si>
    <t>RM이상호9</t>
    <phoneticPr fontId="3" type="noConversion"/>
  </si>
  <si>
    <t>N나기태A</t>
    <phoneticPr fontId="14" type="noConversion"/>
  </si>
  <si>
    <t>N김기천A</t>
    <phoneticPr fontId="14" type="noConversion"/>
  </si>
  <si>
    <t>강민영</t>
    <phoneticPr fontId="3" type="noConversion"/>
  </si>
  <si>
    <t>RM어성춘</t>
    <phoneticPr fontId="3" type="noConversion"/>
  </si>
  <si>
    <t>N홍은남</t>
  </si>
  <si>
    <t>RN김동운2</t>
  </si>
  <si>
    <t>RG박옥하</t>
    <phoneticPr fontId="3" type="noConversion"/>
  </si>
  <si>
    <t>M7김원순</t>
    <phoneticPr fontId="3" type="noConversion"/>
  </si>
  <si>
    <t>N전용대</t>
    <phoneticPr fontId="14" type="noConversion"/>
  </si>
  <si>
    <t>전서구</t>
    <phoneticPr fontId="3" type="noConversion"/>
  </si>
  <si>
    <t>RG박옥하</t>
    <phoneticPr fontId="3" type="noConversion"/>
  </si>
  <si>
    <t>RG박옥하</t>
    <phoneticPr fontId="3" type="noConversion"/>
  </si>
  <si>
    <t>N서동출A</t>
    <phoneticPr fontId="14" type="noConversion"/>
  </si>
  <si>
    <t>N김창율</t>
    <phoneticPr fontId="3" type="noConversion"/>
  </si>
  <si>
    <t>M7김원순</t>
    <phoneticPr fontId="14" type="noConversion"/>
  </si>
  <si>
    <t>N한용식</t>
    <phoneticPr fontId="3" type="noConversion"/>
  </si>
  <si>
    <t>이예지</t>
    <phoneticPr fontId="3" type="noConversion"/>
  </si>
  <si>
    <t>RN강기태</t>
    <phoneticPr fontId="3" type="noConversion"/>
  </si>
  <si>
    <t>유지선</t>
    <phoneticPr fontId="3" type="noConversion"/>
  </si>
  <si>
    <t>RA유태현3</t>
  </si>
  <si>
    <t>RD구예성</t>
    <phoneticPr fontId="3" type="noConversion"/>
  </si>
  <si>
    <t>C김혜진17
C한용식</t>
    <phoneticPr fontId="14" type="noConversion"/>
  </si>
  <si>
    <t>RA유병우</t>
    <phoneticPr fontId="3" type="noConversion"/>
  </si>
  <si>
    <t>김나경</t>
    <phoneticPr fontId="3" type="noConversion"/>
  </si>
  <si>
    <t>전산화인지
김정숙31</t>
    <phoneticPr fontId="3" type="noConversion"/>
  </si>
  <si>
    <t>RA김동인4</t>
  </si>
  <si>
    <t>RA박옥하</t>
  </si>
  <si>
    <t>D정하균</t>
    <phoneticPr fontId="3" type="noConversion"/>
  </si>
  <si>
    <t>RS김동운2</t>
  </si>
  <si>
    <t>RD김영순46</t>
    <phoneticPr fontId="3" type="noConversion"/>
  </si>
  <si>
    <t>RA이강민4</t>
  </si>
  <si>
    <t>RA전영석2</t>
    <phoneticPr fontId="3" type="noConversion"/>
  </si>
  <si>
    <t>RA문두순</t>
    <phoneticPr fontId="3" type="noConversion"/>
  </si>
  <si>
    <t>이정은
(연차)</t>
    <phoneticPr fontId="3" type="noConversion"/>
  </si>
  <si>
    <t>RA구예성</t>
    <phoneticPr fontId="3" type="noConversion"/>
  </si>
  <si>
    <t>손수민</t>
    <phoneticPr fontId="3" type="noConversion"/>
  </si>
  <si>
    <t>CA김은미11</t>
    <phoneticPr fontId="14" type="noConversion"/>
  </si>
  <si>
    <t>전산화인지
김혜진17</t>
    <phoneticPr fontId="3" type="noConversion"/>
  </si>
  <si>
    <t>RS전영석2</t>
    <phoneticPr fontId="3" type="noConversion"/>
  </si>
  <si>
    <t>D김홍상</t>
    <phoneticPr fontId="3" type="noConversion"/>
  </si>
  <si>
    <t>RS이상호9</t>
    <phoneticPr fontId="3" type="noConversion"/>
  </si>
  <si>
    <t>RD유태현3</t>
    <phoneticPr fontId="3" type="noConversion"/>
  </si>
  <si>
    <t>김지영</t>
    <phoneticPr fontId="3" type="noConversion"/>
  </si>
  <si>
    <t>RD진호연</t>
    <phoneticPr fontId="3" type="noConversion"/>
  </si>
  <si>
    <t xml:space="preserve">C배성준
</t>
    <phoneticPr fontId="3" type="noConversion"/>
  </si>
  <si>
    <t>CA김진옥7</t>
  </si>
  <si>
    <t>D남완</t>
    <phoneticPr fontId="22" type="noConversion"/>
  </si>
  <si>
    <t>단축 근무</t>
    <phoneticPr fontId="3" type="noConversion"/>
  </si>
  <si>
    <t>석효원</t>
    <phoneticPr fontId="3" type="noConversion"/>
  </si>
  <si>
    <t>C연제순</t>
    <phoneticPr fontId="3" type="noConversion"/>
  </si>
  <si>
    <t>C권정희3</t>
    <phoneticPr fontId="3" type="noConversion"/>
  </si>
  <si>
    <t>C남완
C김말분</t>
    <phoneticPr fontId="3" type="noConversion"/>
  </si>
  <si>
    <t>RA엄기복</t>
    <phoneticPr fontId="3" type="noConversion"/>
  </si>
  <si>
    <t>R유태현3</t>
    <phoneticPr fontId="14" type="noConversion"/>
  </si>
  <si>
    <t>RA권수자</t>
    <phoneticPr fontId="3" type="noConversion"/>
  </si>
  <si>
    <t>RD엄기복</t>
    <phoneticPr fontId="3" type="noConversion"/>
  </si>
  <si>
    <t>이지수</t>
    <phoneticPr fontId="3" type="noConversion"/>
  </si>
  <si>
    <t>O7김홍상</t>
    <phoneticPr fontId="3" type="noConversion"/>
  </si>
  <si>
    <t>RA서극원</t>
    <phoneticPr fontId="14" type="noConversion"/>
  </si>
  <si>
    <t>RA강기태</t>
    <phoneticPr fontId="3" type="noConversion"/>
  </si>
  <si>
    <t>계장</t>
    <phoneticPr fontId="3" type="noConversion"/>
  </si>
  <si>
    <t>강용식</t>
    <phoneticPr fontId="3" type="noConversion"/>
  </si>
  <si>
    <t>RM강기태</t>
    <phoneticPr fontId="14" type="noConversion"/>
  </si>
  <si>
    <t>RN유병우</t>
    <phoneticPr fontId="3" type="noConversion"/>
  </si>
  <si>
    <t>박다은</t>
    <phoneticPr fontId="3" type="noConversion"/>
  </si>
  <si>
    <t>RA어성춘</t>
    <phoneticPr fontId="3" type="noConversion"/>
  </si>
  <si>
    <t>CA김명숙19</t>
    <phoneticPr fontId="14" type="noConversion"/>
  </si>
  <si>
    <t>CA유영만</t>
    <phoneticPr fontId="14" type="noConversion"/>
  </si>
  <si>
    <t>CA원종식</t>
    <phoneticPr fontId="14" type="noConversion"/>
  </si>
  <si>
    <t>김연희</t>
    <phoneticPr fontId="3" type="noConversion"/>
  </si>
  <si>
    <t>정윤희</t>
    <phoneticPr fontId="3" type="noConversion"/>
  </si>
  <si>
    <t>단축근무</t>
    <phoneticPr fontId="3" type="noConversion"/>
  </si>
  <si>
    <t>F서경옥2
F김창율</t>
    <phoneticPr fontId="3" type="noConversion"/>
  </si>
  <si>
    <t>F연제순
F김정숙31
F배성준</t>
    <phoneticPr fontId="3" type="noConversion"/>
  </si>
  <si>
    <t xml:space="preserve">
F김말분
F김혜진17
F배성준</t>
    <phoneticPr fontId="3" type="noConversion"/>
  </si>
  <si>
    <t>F원종식</t>
    <phoneticPr fontId="3" type="noConversion"/>
  </si>
  <si>
    <t>F김창율</t>
    <phoneticPr fontId="3" type="noConversion"/>
  </si>
  <si>
    <t>F남완
F정하균
F임예수
F김혜진17</t>
    <phoneticPr fontId="3" type="noConversion"/>
  </si>
  <si>
    <t>단축근무</t>
    <phoneticPr fontId="3" type="noConversion"/>
  </si>
  <si>
    <t xml:space="preserve">           시간    치료사</t>
  </si>
  <si>
    <t>8:00~
8:30</t>
    <phoneticPr fontId="3" type="noConversion"/>
  </si>
  <si>
    <t>9:40~
10:10</t>
    <phoneticPr fontId="3" type="noConversion"/>
  </si>
  <si>
    <t>16:25~
16:55</t>
  </si>
  <si>
    <t>17:00~
17:30</t>
  </si>
  <si>
    <t>김유진</t>
    <phoneticPr fontId="3" type="noConversion"/>
  </si>
  <si>
    <t>P박은용D</t>
    <phoneticPr fontId="3" type="noConversion"/>
  </si>
  <si>
    <t>P이경갑D</t>
    <phoneticPr fontId="3" type="noConversion"/>
  </si>
  <si>
    <t>P주현수2</t>
    <phoneticPr fontId="3" type="noConversion"/>
  </si>
  <si>
    <t>P남완D</t>
    <phoneticPr fontId="3" type="noConversion"/>
  </si>
  <si>
    <t>RP진호연D</t>
    <phoneticPr fontId="3" type="noConversion"/>
  </si>
  <si>
    <t>P김익현A</t>
    <phoneticPr fontId="3" type="noConversion"/>
  </si>
  <si>
    <t>윤도근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</si>
  <si>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</si>
  <si>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</si>
  <si>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</si>
  <si>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P권솔A</t>
    <phoneticPr fontId="3" type="noConversion"/>
  </si>
  <si>
    <t>6층 재활센터 시간표 차팅확인지     2025. 12. 01 (월)</t>
    <phoneticPr fontId="3" type="noConversion"/>
  </si>
  <si>
    <t>부족한 오더 적어주세요!</t>
    <phoneticPr fontId="3" type="noConversion"/>
  </si>
  <si>
    <t xml:space="preserve">담당 치료사 </t>
    <phoneticPr fontId="3" type="noConversion"/>
  </si>
  <si>
    <t>환자 성함</t>
    <phoneticPr fontId="3" type="noConversion"/>
  </si>
  <si>
    <t>오더/시간</t>
    <phoneticPr fontId="3" type="noConversion"/>
  </si>
  <si>
    <t>김혜진17(평)</t>
    <phoneticPr fontId="3" type="noConversion"/>
  </si>
  <si>
    <t>N김기일2A</t>
    <phoneticPr fontId="14" type="noConversion"/>
  </si>
  <si>
    <t>김창율(평)</t>
    <phoneticPr fontId="3" type="noConversion"/>
  </si>
  <si>
    <t>김성원4(평)</t>
    <phoneticPr fontId="3" type="noConversion"/>
  </si>
  <si>
    <t>M원종식</t>
    <phoneticPr fontId="3" type="noConversion"/>
  </si>
  <si>
    <t>RG엄기복</t>
    <phoneticPr fontId="3" type="noConversion"/>
  </si>
  <si>
    <t>RM이상호9</t>
    <phoneticPr fontId="3" type="noConversion"/>
  </si>
  <si>
    <t>RM진호연</t>
    <phoneticPr fontId="3" type="noConversion"/>
  </si>
  <si>
    <t>남완(평)</t>
    <phoneticPr fontId="22" type="noConversion"/>
  </si>
  <si>
    <t>RS강기태(평)</t>
    <phoneticPr fontId="3" type="noConversion"/>
  </si>
  <si>
    <t xml:space="preserve">
 M김익현
</t>
    <phoneticPr fontId="3" type="noConversion"/>
  </si>
  <si>
    <t>D김말분</t>
    <phoneticPr fontId="3" type="noConversion"/>
  </si>
  <si>
    <t>RA이상호9(평)</t>
    <phoneticPr fontId="3" type="noConversion"/>
  </si>
  <si>
    <t>RG박옥하(평)</t>
    <phoneticPr fontId="3" type="noConversion"/>
  </si>
  <si>
    <t>RM어성춘</t>
    <phoneticPr fontId="3" type="noConversion"/>
  </si>
  <si>
    <t>RM유병우(평)</t>
    <phoneticPr fontId="3" type="noConversion"/>
  </si>
  <si>
    <t>RA김영순46</t>
    <phoneticPr fontId="3" type="noConversion"/>
  </si>
  <si>
    <t>김정숙31(평)</t>
    <phoneticPr fontId="3" type="noConversion"/>
  </si>
  <si>
    <t>연제순(평)</t>
    <phoneticPr fontId="3" type="noConversion"/>
  </si>
  <si>
    <t>RA우병주</t>
    <phoneticPr fontId="14" type="noConversion"/>
  </si>
  <si>
    <r>
      <t xml:space="preserve">MM문두순
MM이강민4
</t>
    </r>
    <r>
      <rPr>
        <sz val="10"/>
        <color rgb="FFFF0000"/>
        <rFont val="돋움"/>
        <family val="3"/>
        <charset val="129"/>
      </rPr>
      <t/>
    </r>
    <phoneticPr fontId="3" type="noConversion"/>
  </si>
  <si>
    <t>M김혜진17
M서경옥2
 M김창율</t>
    <phoneticPr fontId="3" type="noConversion"/>
  </si>
  <si>
    <t>C이경애4</t>
    <phoneticPr fontId="3" type="noConversion"/>
  </si>
  <si>
    <t>M남완</t>
    <phoneticPr fontId="3" type="noConversion"/>
  </si>
  <si>
    <t>F김익현
F한용식</t>
    <phoneticPr fontId="3" type="noConversion"/>
  </si>
  <si>
    <t>RA김동인4(평)</t>
    <phoneticPr fontId="3" type="noConversion"/>
  </si>
  <si>
    <t>RG엄기복(평)</t>
    <phoneticPr fontId="3" type="noConversion"/>
  </si>
  <si>
    <t>RM김동운2</t>
    <phoneticPr fontId="14" type="noConversion"/>
  </si>
  <si>
    <t>RG강옥순</t>
    <phoneticPr fontId="14" type="noConversion"/>
  </si>
  <si>
    <t xml:space="preserve">M김정숙31
M김말분
M정하균
</t>
    <phoneticPr fontId="3" type="noConversion"/>
  </si>
  <si>
    <t>MM이상호9
MM강기태</t>
    <phoneticPr fontId="3" type="noConversion"/>
  </si>
  <si>
    <t>RM전영석2</t>
    <phoneticPr fontId="3" type="noConversion"/>
  </si>
  <si>
    <t>RM윤소희3</t>
    <phoneticPr fontId="14" type="noConversion"/>
  </si>
  <si>
    <t>이경애4</t>
    <phoneticPr fontId="3" type="noConversion"/>
  </si>
  <si>
    <t xml:space="preserve">
M권정희3
M한용식
</t>
    <phoneticPr fontId="3" type="noConversion"/>
  </si>
  <si>
    <t xml:space="preserve">
MM구예성
</t>
    <phoneticPr fontId="3" type="noConversion"/>
  </si>
  <si>
    <t>RM강기태</t>
    <phoneticPr fontId="3" type="noConversion"/>
  </si>
  <si>
    <t>RM김동운2</t>
    <phoneticPr fontId="3" type="noConversion"/>
  </si>
  <si>
    <t>RG강옥순</t>
    <phoneticPr fontId="3" type="noConversion"/>
  </si>
  <si>
    <t>RM강기태(평)</t>
    <phoneticPr fontId="3" type="noConversion"/>
  </si>
  <si>
    <t>RG권수자(평)</t>
    <phoneticPr fontId="3" type="noConversion"/>
  </si>
  <si>
    <t>이예지</t>
    <phoneticPr fontId="3" type="noConversion"/>
  </si>
  <si>
    <t>김원순</t>
    <phoneticPr fontId="3" type="noConversion"/>
  </si>
  <si>
    <t>M7/11;25-11;55</t>
    <phoneticPr fontId="3" type="noConversion"/>
  </si>
  <si>
    <t>RM김동운2</t>
    <phoneticPr fontId="3" type="noConversion"/>
  </si>
  <si>
    <t>RM어성춘(평)</t>
    <phoneticPr fontId="3" type="noConversion"/>
  </si>
  <si>
    <t>김말분(평)</t>
    <phoneticPr fontId="3" type="noConversion"/>
  </si>
  <si>
    <t>RM진호연(평)</t>
    <phoneticPr fontId="3" type="noConversion"/>
  </si>
  <si>
    <t>RA이강민4</t>
    <phoneticPr fontId="3" type="noConversion"/>
  </si>
  <si>
    <t>RS어성춘(평)</t>
    <phoneticPr fontId="3" type="noConversion"/>
  </si>
  <si>
    <t xml:space="preserve">
M배성준</t>
    <phoneticPr fontId="3" type="noConversion"/>
  </si>
  <si>
    <r>
      <t xml:space="preserve">
MM권수자</t>
    </r>
    <r>
      <rPr>
        <sz val="10"/>
        <color theme="1"/>
        <rFont val="돋움"/>
        <family val="3"/>
        <charset val="129"/>
      </rPr>
      <t xml:space="preserve">
MM김영순46
</t>
    </r>
    <phoneticPr fontId="3" type="noConversion"/>
  </si>
  <si>
    <t>김혜진17(평)</t>
    <phoneticPr fontId="3" type="noConversion"/>
  </si>
  <si>
    <t>RA진호연(평)</t>
    <phoneticPr fontId="3" type="noConversion"/>
  </si>
  <si>
    <t>윤도근</t>
    <phoneticPr fontId="3" type="noConversion"/>
  </si>
  <si>
    <t>유태현3</t>
    <phoneticPr fontId="3" type="noConversion"/>
  </si>
  <si>
    <t>ROM/00:00</t>
    <phoneticPr fontId="3" type="noConversion"/>
  </si>
  <si>
    <t>김익현(평)</t>
    <phoneticPr fontId="3" type="noConversion"/>
  </si>
  <si>
    <t xml:space="preserve"> 임예수(평)</t>
    <phoneticPr fontId="3" type="noConversion"/>
  </si>
  <si>
    <t>권정희3(평)</t>
    <phoneticPr fontId="3" type="noConversion"/>
  </si>
  <si>
    <t xml:space="preserve">한용식(평) </t>
    <phoneticPr fontId="3" type="noConversion"/>
  </si>
  <si>
    <t>배성준(평)</t>
    <phoneticPr fontId="3" type="noConversion"/>
  </si>
  <si>
    <t>남원희</t>
    <phoneticPr fontId="3" type="noConversion"/>
  </si>
  <si>
    <t>권정희3</t>
    <phoneticPr fontId="3" type="noConversion"/>
  </si>
  <si>
    <t>ROM,MMT,BBS/00:00</t>
    <phoneticPr fontId="3" type="noConversion"/>
  </si>
  <si>
    <t>전서구</t>
    <phoneticPr fontId="3" type="noConversion"/>
  </si>
  <si>
    <t>서동출</t>
    <phoneticPr fontId="3" type="noConversion"/>
  </si>
  <si>
    <t>N/10:50-11:20</t>
    <phoneticPr fontId="3" type="noConversion"/>
  </si>
  <si>
    <t>RA윤소희3</t>
    <phoneticPr fontId="14" type="noConversion"/>
  </si>
  <si>
    <t>D이영휘</t>
    <phoneticPr fontId="14" type="noConversion"/>
  </si>
  <si>
    <t>D권정희3</t>
    <phoneticPr fontId="14" type="noConversion"/>
  </si>
  <si>
    <t>M연제순</t>
    <phoneticPr fontId="3" type="noConversion"/>
  </si>
  <si>
    <t>강용식</t>
    <phoneticPr fontId="3" type="noConversion"/>
  </si>
  <si>
    <t>강옥순</t>
    <phoneticPr fontId="3" type="noConversion"/>
  </si>
  <si>
    <t>RG/10:50-11:20</t>
    <phoneticPr fontId="3" type="noConversion"/>
  </si>
  <si>
    <t>MM김철기</t>
    <phoneticPr fontId="3" type="noConversion"/>
  </si>
  <si>
    <t xml:space="preserve">
MM유병우
MM김동운2
MM이강민4
</t>
    <phoneticPr fontId="3" type="noConversion"/>
  </si>
  <si>
    <t>박은용</t>
    <phoneticPr fontId="3" type="noConversion"/>
  </si>
  <si>
    <t>김유진</t>
    <phoneticPr fontId="3" type="noConversion"/>
  </si>
  <si>
    <t>P/12:00-12:30</t>
    <phoneticPr fontId="3" type="noConversion"/>
  </si>
  <si>
    <t>정윤희</t>
    <phoneticPr fontId="3" type="noConversion"/>
  </si>
  <si>
    <t>배성준</t>
    <phoneticPr fontId="3" type="noConversion"/>
  </si>
  <si>
    <t>F/10:50-11:20</t>
    <phoneticPr fontId="3" type="noConversion"/>
  </si>
  <si>
    <t>RG김동인4</t>
    <phoneticPr fontId="3" type="noConversion"/>
  </si>
  <si>
    <t>전서구</t>
    <phoneticPr fontId="3" type="noConversion"/>
  </si>
  <si>
    <t>김원순</t>
    <phoneticPr fontId="3" type="noConversion"/>
  </si>
  <si>
    <t>M7/12;00-12;30</t>
    <phoneticPr fontId="3" type="noConversion"/>
  </si>
  <si>
    <t>유은주</t>
    <phoneticPr fontId="3" type="noConversion"/>
  </si>
  <si>
    <t>RA김귀례2</t>
    <phoneticPr fontId="14" type="noConversion"/>
  </si>
  <si>
    <t>남완(평)</t>
    <phoneticPr fontId="3" type="noConversion"/>
  </si>
  <si>
    <t>D김말분</t>
    <phoneticPr fontId="3" type="noConversion"/>
  </si>
  <si>
    <t>RA권수자</t>
    <phoneticPr fontId="3" type="noConversion"/>
  </si>
  <si>
    <t>임예수(평)</t>
    <phoneticPr fontId="3" type="noConversion"/>
  </si>
  <si>
    <t>G쿠마라게</t>
    <phoneticPr fontId="3" type="noConversion"/>
  </si>
  <si>
    <t xml:space="preserve">
</t>
    <phoneticPr fontId="3" type="noConversion"/>
  </si>
  <si>
    <t xml:space="preserve">MM엄기복
MM전영석2
</t>
    <phoneticPr fontId="3" type="noConversion"/>
  </si>
  <si>
    <t xml:space="preserve">
M원종식
M서경옥2
M배성준
M김성원4</t>
    <phoneticPr fontId="3" type="noConversion"/>
  </si>
  <si>
    <t>RM유태현3</t>
    <phoneticPr fontId="14" type="noConversion"/>
  </si>
  <si>
    <t>RM김동운2(평)</t>
    <phoneticPr fontId="3" type="noConversion"/>
  </si>
  <si>
    <t>서경옥2(평)</t>
    <phoneticPr fontId="3" type="noConversion"/>
  </si>
  <si>
    <t>RN전영석2(평)</t>
    <phoneticPr fontId="3" type="noConversion"/>
  </si>
  <si>
    <t>정하균(평)</t>
    <phoneticPr fontId="3" type="noConversion"/>
  </si>
  <si>
    <t>RA엄기복(평)</t>
    <phoneticPr fontId="3" type="noConversion"/>
  </si>
  <si>
    <t>RA김동운2(평)</t>
    <phoneticPr fontId="3" type="noConversion"/>
  </si>
  <si>
    <t>RA권수자(평)</t>
    <phoneticPr fontId="3" type="noConversion"/>
  </si>
  <si>
    <t>김성원4</t>
    <phoneticPr fontId="3" type="noConversion"/>
  </si>
  <si>
    <t>M/14:05-14:35</t>
    <phoneticPr fontId="3" type="noConversion"/>
  </si>
  <si>
    <t>M김정숙31
M한용식
M김익현</t>
    <phoneticPr fontId="3" type="noConversion"/>
  </si>
  <si>
    <t>문두순</t>
    <phoneticPr fontId="3" type="noConversion"/>
  </si>
  <si>
    <t>RA유태현3</t>
    <phoneticPr fontId="3" type="noConversion"/>
  </si>
  <si>
    <t>엄기복</t>
    <phoneticPr fontId="3" type="noConversion"/>
  </si>
  <si>
    <t>RG/13:30-14:00</t>
    <phoneticPr fontId="3" type="noConversion"/>
  </si>
  <si>
    <t>M7/14:40-15:10</t>
    <phoneticPr fontId="3" type="noConversion"/>
  </si>
  <si>
    <t>RG문두순(평)</t>
    <phoneticPr fontId="3" type="noConversion"/>
  </si>
  <si>
    <t>김홍상</t>
    <phoneticPr fontId="3" type="noConversion"/>
  </si>
  <si>
    <t>O7/10:15-10:45</t>
    <phoneticPr fontId="3" type="noConversion"/>
  </si>
  <si>
    <t>RG/08:30-09:00</t>
    <phoneticPr fontId="3" type="noConversion"/>
  </si>
  <si>
    <t>RG/09:05-09:20</t>
    <phoneticPr fontId="3" type="noConversion"/>
  </si>
  <si>
    <t>RG/12:00-12:15</t>
    <phoneticPr fontId="3" type="noConversion"/>
  </si>
  <si>
    <t>원종식(평)</t>
    <phoneticPr fontId="3" type="noConversion"/>
  </si>
  <si>
    <t>M정하균
M김혜진17
M김말분</t>
    <phoneticPr fontId="3" type="noConversion"/>
  </si>
  <si>
    <t xml:space="preserve">MM유병우
</t>
    <phoneticPr fontId="3" type="noConversion"/>
  </si>
  <si>
    <t xml:space="preserve">
MM이상호9
</t>
    <phoneticPr fontId="3" type="noConversion"/>
  </si>
  <si>
    <t>정하균</t>
    <phoneticPr fontId="3" type="noConversion"/>
  </si>
  <si>
    <t>RD/14:40-15:10</t>
    <phoneticPr fontId="3" type="noConversion"/>
  </si>
  <si>
    <t>권수자</t>
    <phoneticPr fontId="3" type="noConversion"/>
  </si>
  <si>
    <t>MMSE CDR HAND/00:00</t>
    <phoneticPr fontId="3" type="noConversion"/>
  </si>
  <si>
    <t>M7/14:05-14:35</t>
    <phoneticPr fontId="3" type="noConversion"/>
  </si>
  <si>
    <t>RA이강민4(평)</t>
    <phoneticPr fontId="3" type="noConversion"/>
  </si>
  <si>
    <t>이강민4</t>
    <phoneticPr fontId="3" type="noConversion"/>
  </si>
  <si>
    <t>MMSE, CDR, HAND</t>
    <phoneticPr fontId="3" type="noConversion"/>
  </si>
  <si>
    <t>원종식</t>
    <phoneticPr fontId="3" type="noConversion"/>
  </si>
  <si>
    <t>ROM, MMT, BBS</t>
    <phoneticPr fontId="3" type="noConversion"/>
  </si>
  <si>
    <t>RA김영순46(평)</t>
    <phoneticPr fontId="3" type="noConversion"/>
  </si>
  <si>
    <t>RM이상호9(평)</t>
    <phoneticPr fontId="3" type="noConversion"/>
  </si>
  <si>
    <t>김혜진17</t>
    <phoneticPr fontId="3" type="noConversion"/>
  </si>
  <si>
    <t>전산화 인지
/10:15-10:45</t>
    <phoneticPr fontId="3" type="noConversion"/>
  </si>
  <si>
    <t>RS유병우(평)</t>
    <phoneticPr fontId="3" type="noConversion"/>
  </si>
  <si>
    <t>RA박옥하(평)</t>
    <phoneticPr fontId="3" type="noConversion"/>
  </si>
  <si>
    <t>한용식(평)</t>
    <phoneticPr fontId="22" type="noConversion"/>
  </si>
  <si>
    <t>김다연2</t>
    <phoneticPr fontId="3" type="noConversion"/>
  </si>
  <si>
    <t>N/15:50-16:20</t>
    <phoneticPr fontId="3" type="noConversion"/>
  </si>
  <si>
    <t>김동운2</t>
    <phoneticPr fontId="3" type="noConversion"/>
  </si>
  <si>
    <t>강기태</t>
    <phoneticPr fontId="3" type="noConversion"/>
  </si>
  <si>
    <t>RM/16:05-16:20</t>
    <phoneticPr fontId="3" type="noConversion"/>
  </si>
  <si>
    <t>RM/13:30-13:45</t>
    <phoneticPr fontId="3" type="noConversion"/>
  </si>
  <si>
    <t>RG/14:05-14:35</t>
    <phoneticPr fontId="3" type="noConversion"/>
  </si>
  <si>
    <t>M권정희3
M남완
M연제순</t>
    <phoneticPr fontId="3" type="noConversion"/>
  </si>
  <si>
    <t>D김홍상</t>
    <phoneticPr fontId="14" type="noConversion"/>
  </si>
  <si>
    <t>C김창율</t>
    <phoneticPr fontId="3" type="noConversion"/>
  </si>
  <si>
    <t>RM구예성(평)</t>
    <phoneticPr fontId="3" type="noConversion"/>
  </si>
  <si>
    <t>PHQ-9, CDR,MMSE, HAND</t>
    <phoneticPr fontId="3" type="noConversion"/>
  </si>
  <si>
    <t>PHQ-9, CDR,MMSE, HAND, MBI</t>
    <phoneticPr fontId="3" type="noConversion"/>
  </si>
  <si>
    <t>김말분</t>
    <phoneticPr fontId="3" type="noConversion"/>
  </si>
  <si>
    <t>D 09:05--09:35</t>
    <phoneticPr fontId="3" type="noConversion"/>
  </si>
  <si>
    <t>C신옥남</t>
    <phoneticPr fontId="14" type="noConversion"/>
  </si>
  <si>
    <t>D홍우표2</t>
    <phoneticPr fontId="14" type="noConversion"/>
  </si>
  <si>
    <t>RG/15:30-15:45</t>
    <phoneticPr fontId="3" type="noConversion"/>
  </si>
  <si>
    <t>RN유태현3(평)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</si>
</sst>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B050"/>
      <name val="돋움"/>
      <family val="3"/>
      <charset val="129"/>
    </font>
    <font>
      <u/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rgb="FFFF0000"/>
      <name val="돋움"/>
      <family val="3"/>
      <charset val="129"/>
    </font>
    <font>
      <sz val="8"/>
      <color rgb="FF000000"/>
      <name val="굴림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8.5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4" tint="-0.249977111117893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7"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176" fontId="8" fillId="0" borderId="0" xfId="2" applyNumberFormat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3" borderId="7" xfId="3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9" fontId="8" fillId="0" borderId="0" xfId="4" applyFont="1" applyFill="1" applyBorder="1" applyAlignment="1" applyProtection="1">
      <alignment horizontal="center" vertical="center" wrapText="1"/>
    </xf>
    <xf numFmtId="0" fontId="13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2" fillId="3" borderId="9" xfId="3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/>
    </xf>
    <xf numFmtId="0" fontId="19" fillId="4" borderId="7" xfId="1" applyFont="1" applyFill="1" applyBorder="1" applyAlignment="1">
      <alignment horizontal="center" vertical="center" wrapText="1"/>
    </xf>
    <xf numFmtId="0" fontId="19" fillId="4" borderId="7" xfId="3" applyFont="1" applyFill="1" applyBorder="1" applyAlignment="1">
      <alignment horizontal="center" vertical="center" wrapText="1"/>
    </xf>
    <xf numFmtId="0" fontId="19" fillId="4" borderId="7" xfId="1" applyFont="1" applyFill="1" applyBorder="1" applyAlignment="1">
      <alignment horizontal="center" vertical="center"/>
    </xf>
    <xf numFmtId="0" fontId="13" fillId="4" borderId="7" xfId="3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/>
    </xf>
    <xf numFmtId="0" fontId="19" fillId="4" borderId="3" xfId="1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2" fillId="3" borderId="12" xfId="3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23" xfId="3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/>
    </xf>
    <xf numFmtId="0" fontId="12" fillId="3" borderId="14" xfId="3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3" borderId="14" xfId="1" applyFont="1" applyFill="1" applyBorder="1" applyAlignment="1">
      <alignment horizontal="center" vertical="center" wrapText="1"/>
    </xf>
    <xf numFmtId="0" fontId="21" fillId="4" borderId="3" xfId="1" applyFont="1" applyFill="1" applyBorder="1" applyAlignment="1">
      <alignment horizontal="center" vertical="center" wrapText="1"/>
    </xf>
    <xf numFmtId="0" fontId="19" fillId="4" borderId="5" xfId="1" applyFont="1" applyFill="1" applyBorder="1" applyAlignment="1">
      <alignment horizontal="center" vertical="center"/>
    </xf>
    <xf numFmtId="0" fontId="13" fillId="4" borderId="12" xfId="1" applyFont="1" applyFill="1" applyBorder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19" fillId="4" borderId="6" xfId="3" applyFont="1" applyFill="1" applyBorder="1" applyAlignment="1">
      <alignment horizontal="center" vertical="center" wrapText="1"/>
    </xf>
    <xf numFmtId="0" fontId="13" fillId="4" borderId="6" xfId="1" applyFont="1" applyFill="1" applyBorder="1" applyAlignment="1">
      <alignment horizontal="center" vertical="center" wrapText="1"/>
    </xf>
    <xf numFmtId="0" fontId="13" fillId="4" borderId="14" xfId="3" applyFont="1" applyFill="1" applyBorder="1" applyAlignment="1">
      <alignment horizontal="center" vertical="center" wrapText="1"/>
    </xf>
    <xf numFmtId="0" fontId="13" fillId="4" borderId="0" xfId="1" applyFont="1" applyFill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25" fillId="3" borderId="23" xfId="1" applyFont="1" applyFill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12" fillId="3" borderId="25" xfId="1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10" fillId="0" borderId="24" xfId="1" applyFont="1" applyBorder="1">
      <alignment vertical="center"/>
    </xf>
    <xf numFmtId="0" fontId="9" fillId="0" borderId="20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 wrapText="1"/>
    </xf>
    <xf numFmtId="0" fontId="12" fillId="3" borderId="3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0" fillId="3" borderId="29" xfId="3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3" fillId="3" borderId="29" xfId="1" applyFont="1" applyFill="1" applyBorder="1" applyAlignment="1">
      <alignment horizontal="center" vertical="center" wrapText="1"/>
    </xf>
    <xf numFmtId="0" fontId="10" fillId="0" borderId="1" xfId="1" applyFont="1" applyBorder="1">
      <alignment vertical="center"/>
    </xf>
    <xf numFmtId="0" fontId="12" fillId="0" borderId="23" xfId="1" applyFont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/>
    </xf>
    <xf numFmtId="0" fontId="10" fillId="0" borderId="23" xfId="1" applyFont="1" applyBorder="1" applyAlignment="1">
      <alignment horizontal="center" vertical="center" wrapText="1"/>
    </xf>
    <xf numFmtId="0" fontId="27" fillId="0" borderId="2" xfId="1" applyFont="1" applyBorder="1" applyAlignment="1">
      <alignment horizontal="center" vertical="center" wrapText="1"/>
    </xf>
    <xf numFmtId="0" fontId="10" fillId="0" borderId="7" xfId="1" applyFont="1" applyBorder="1">
      <alignment vertical="center"/>
    </xf>
    <xf numFmtId="0" fontId="10" fillId="0" borderId="12" xfId="3" applyFont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 wrapText="1"/>
    </xf>
    <xf numFmtId="0" fontId="27" fillId="0" borderId="2" xfId="6" applyFont="1" applyBorder="1" applyAlignment="1">
      <alignment horizontal="center" vertical="center" wrapText="1"/>
    </xf>
    <xf numFmtId="0" fontId="10" fillId="0" borderId="20" xfId="1" applyFont="1" applyBorder="1">
      <alignment vertical="center"/>
    </xf>
    <xf numFmtId="0" fontId="4" fillId="0" borderId="20" xfId="1" applyFont="1" applyBorder="1" applyAlignment="1">
      <alignment horizontal="center" vertical="center" wrapText="1"/>
    </xf>
    <xf numFmtId="0" fontId="23" fillId="5" borderId="20" xfId="1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 wrapText="1"/>
    </xf>
    <xf numFmtId="0" fontId="1" fillId="0" borderId="27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23" fillId="0" borderId="29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/>
    </xf>
    <xf numFmtId="0" fontId="23" fillId="0" borderId="30" xfId="1" applyFont="1" applyBorder="1" applyAlignment="1">
      <alignment vertical="center" wrapText="1"/>
    </xf>
    <xf numFmtId="0" fontId="23" fillId="0" borderId="15" xfId="1" applyFont="1" applyBorder="1" applyAlignment="1">
      <alignment horizontal="center" vertical="center" wrapText="1"/>
    </xf>
    <xf numFmtId="0" fontId="27" fillId="0" borderId="26" xfId="1" applyFont="1" applyBorder="1" applyAlignment="1">
      <alignment horizontal="center" vertical="center" wrapText="1"/>
    </xf>
    <xf numFmtId="0" fontId="1" fillId="0" borderId="26" xfId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28" fillId="0" borderId="5" xfId="1" applyFont="1" applyBorder="1">
      <alignment vertical="center"/>
    </xf>
    <xf numFmtId="0" fontId="9" fillId="0" borderId="7" xfId="1" applyFont="1" applyBorder="1" applyAlignment="1">
      <alignment horizontal="center" vertical="center" wrapText="1"/>
    </xf>
    <xf numFmtId="0" fontId="29" fillId="3" borderId="12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" fillId="0" borderId="7" xfId="1" applyBorder="1">
      <alignment vertical="center"/>
    </xf>
    <xf numFmtId="0" fontId="28" fillId="0" borderId="19" xfId="1" applyFont="1" applyBorder="1">
      <alignment vertical="center"/>
    </xf>
    <xf numFmtId="0" fontId="9" fillId="0" borderId="18" xfId="1" applyFont="1" applyBorder="1" applyAlignment="1">
      <alignment horizontal="center" vertical="center" wrapText="1"/>
    </xf>
    <xf numFmtId="0" fontId="1" fillId="0" borderId="20" xfId="1" applyBorder="1">
      <alignment vertical="center"/>
    </xf>
    <xf numFmtId="0" fontId="10" fillId="3" borderId="19" xfId="1" applyFont="1" applyFill="1" applyBorder="1" applyAlignment="1">
      <alignment horizontal="center" vertical="center" wrapText="1"/>
    </xf>
    <xf numFmtId="0" fontId="30" fillId="3" borderId="20" xfId="3" applyFont="1" applyFill="1" applyBorder="1" applyAlignment="1">
      <alignment horizontal="center" vertical="center" wrapText="1"/>
    </xf>
    <xf numFmtId="0" fontId="29" fillId="3" borderId="20" xfId="1" applyFont="1" applyFill="1" applyBorder="1" applyAlignment="1">
      <alignment horizontal="center" vertical="center" wrapText="1"/>
    </xf>
    <xf numFmtId="0" fontId="30" fillId="3" borderId="24" xfId="1" applyFont="1" applyFill="1" applyBorder="1" applyAlignment="1">
      <alignment horizontal="center" vertical="center" wrapText="1"/>
    </xf>
    <xf numFmtId="0" fontId="29" fillId="3" borderId="24" xfId="1" applyFont="1" applyFill="1" applyBorder="1" applyAlignment="1">
      <alignment horizontal="center" vertical="center" wrapText="1"/>
    </xf>
    <xf numFmtId="0" fontId="29" fillId="3" borderId="0" xfId="1" applyFont="1" applyFill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1" fillId="0" borderId="16" xfId="1" applyFont="1" applyBorder="1" applyAlignment="1">
      <alignment horizontal="center" vertical="center" wrapText="1"/>
    </xf>
    <xf numFmtId="0" fontId="32" fillId="0" borderId="0" xfId="1" applyFont="1">
      <alignment vertical="center"/>
    </xf>
    <xf numFmtId="0" fontId="1" fillId="0" borderId="0" xfId="1" applyAlignment="1">
      <alignment vertical="center" wrapText="1"/>
    </xf>
    <xf numFmtId="0" fontId="33" fillId="0" borderId="0" xfId="1" applyFont="1">
      <alignment vertical="center"/>
    </xf>
    <xf numFmtId="49" fontId="18" fillId="0" borderId="0" xfId="1" applyNumberFormat="1" applyFont="1" applyAlignment="1">
      <alignment vertical="top" wrapText="1"/>
    </xf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20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29" fillId="0" borderId="7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29" fillId="0" borderId="7" xfId="1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29" fillId="0" borderId="6" xfId="3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37" fillId="0" borderId="7" xfId="1" applyFont="1" applyBorder="1" applyAlignment="1">
      <alignment horizontal="center" vertical="center"/>
    </xf>
    <xf numFmtId="0" fontId="37" fillId="0" borderId="12" xfId="1" applyFont="1" applyBorder="1" applyAlignment="1">
      <alignment horizontal="center" vertical="center"/>
    </xf>
    <xf numFmtId="0" fontId="37" fillId="0" borderId="7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35" fillId="4" borderId="47" xfId="8" applyFont="1" applyFill="1" applyBorder="1" applyAlignment="1">
      <alignment horizontal="center" vertical="center" wrapText="1"/>
    </xf>
    <xf numFmtId="0" fontId="36" fillId="4" borderId="47" xfId="8" applyFont="1" applyFill="1" applyBorder="1" applyAlignment="1">
      <alignment horizontal="center" vertical="center" wrapText="1"/>
    </xf>
    <xf numFmtId="0" fontId="35" fillId="6" borderId="47" xfId="8" applyFont="1" applyFill="1" applyBorder="1" applyAlignment="1">
      <alignment horizontal="center" vertical="center" wrapText="1"/>
    </xf>
    <xf numFmtId="0" fontId="36" fillId="6" borderId="47" xfId="8" applyFont="1" applyFill="1" applyBorder="1" applyAlignment="1">
      <alignment horizontal="center" vertical="center" wrapText="1"/>
    </xf>
    <xf numFmtId="0" fontId="35" fillId="0" borderId="39" xfId="8" applyFont="1" applyBorder="1" applyAlignment="1">
      <alignment horizontal="center" vertical="center" wrapText="1"/>
    </xf>
    <xf numFmtId="0" fontId="35" fillId="0" borderId="40" xfId="8" applyFont="1" applyBorder="1" applyAlignment="1">
      <alignment horizontal="center" vertical="center" wrapText="1"/>
    </xf>
    <xf numFmtId="0" fontId="35" fillId="0" borderId="41" xfId="8" applyFont="1" applyBorder="1" applyAlignment="1">
      <alignment horizontal="center" vertical="center" wrapText="1"/>
    </xf>
    <xf numFmtId="0" fontId="35" fillId="0" borderId="42" xfId="8" applyFont="1" applyBorder="1" applyAlignment="1">
      <alignment horizontal="center" vertical="center" wrapText="1"/>
    </xf>
    <xf numFmtId="0" fontId="36" fillId="0" borderId="41" xfId="8" applyFont="1" applyBorder="1" applyAlignment="1">
      <alignment horizontal="center" vertical="center" wrapText="1"/>
    </xf>
    <xf numFmtId="0" fontId="34" fillId="0" borderId="32" xfId="7" applyFont="1" applyBorder="1" applyAlignment="1">
      <alignment horizontal="center" vertical="center"/>
    </xf>
    <xf numFmtId="0" fontId="34" fillId="0" borderId="16" xfId="7" applyFont="1" applyBorder="1" applyAlignment="1">
      <alignment horizontal="center" vertical="center"/>
    </xf>
    <xf numFmtId="0" fontId="34" fillId="0" borderId="33" xfId="7" applyFont="1" applyBorder="1" applyAlignment="1">
      <alignment horizontal="center" vertical="center"/>
    </xf>
    <xf numFmtId="0" fontId="34" fillId="0" borderId="34" xfId="7" applyFont="1" applyBorder="1" applyAlignment="1">
      <alignment horizontal="center" vertical="center"/>
    </xf>
    <xf numFmtId="0" fontId="34" fillId="0" borderId="26" xfId="7" applyFont="1" applyBorder="1" applyAlignment="1">
      <alignment horizontal="center" vertical="center"/>
    </xf>
    <xf numFmtId="0" fontId="34" fillId="0" borderId="35" xfId="7" applyFont="1" applyBorder="1" applyAlignment="1">
      <alignment horizontal="center" vertical="center"/>
    </xf>
    <xf numFmtId="0" fontId="35" fillId="0" borderId="36" xfId="8" applyFont="1" applyBorder="1" applyAlignment="1">
      <alignment horizontal="center" vertical="center" wrapText="1"/>
    </xf>
    <xf numFmtId="0" fontId="35" fillId="0" borderId="37" xfId="8" applyFont="1" applyBorder="1" applyAlignment="1">
      <alignment horizontal="center" vertical="center" wrapText="1"/>
    </xf>
    <xf numFmtId="0" fontId="35" fillId="0" borderId="38" xfId="8" applyFont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 wrapText="1"/>
    </xf>
    <xf numFmtId="0" fontId="12" fillId="3" borderId="22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0" fontId="12" fillId="3" borderId="28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23" fillId="5" borderId="3" xfId="1" applyFont="1" applyFill="1" applyBorder="1" applyAlignment="1">
      <alignment horizontal="center" vertical="center" wrapText="1"/>
    </xf>
    <xf numFmtId="0" fontId="23" fillId="5" borderId="4" xfId="1" applyFont="1" applyFill="1" applyBorder="1" applyAlignment="1">
      <alignment horizontal="center" vertical="center" wrapText="1"/>
    </xf>
    <xf numFmtId="0" fontId="23" fillId="5" borderId="5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35" fillId="0" borderId="43" xfId="8" applyFont="1" applyBorder="1" applyAlignment="1">
      <alignment horizontal="center" vertical="center" wrapText="1"/>
    </xf>
    <xf numFmtId="0" fontId="35" fillId="0" borderId="44" xfId="8" applyFont="1" applyBorder="1" applyAlignment="1">
      <alignment horizontal="center" vertical="center" wrapText="1"/>
    </xf>
    <xf numFmtId="0" fontId="35" fillId="0" borderId="45" xfId="8" applyFont="1" applyBorder="1" applyAlignment="1">
      <alignment horizontal="center" vertical="center" wrapText="1"/>
    </xf>
    <xf numFmtId="0" fontId="35" fillId="0" borderId="46" xfId="8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23" fillId="5" borderId="18" xfId="1" applyFont="1" applyFill="1" applyBorder="1" applyAlignment="1">
      <alignment horizontal="center" vertical="center" wrapText="1"/>
    </xf>
    <xf numFmtId="0" fontId="23" fillId="5" borderId="19" xfId="1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 wrapText="1"/>
    </xf>
    <xf numFmtId="0" fontId="10" fillId="3" borderId="27" xfId="3" applyFont="1" applyFill="1" applyBorder="1" applyAlignment="1">
      <alignment horizontal="center" vertical="center" wrapText="1"/>
    </xf>
    <xf numFmtId="0" fontId="10" fillId="3" borderId="28" xfId="3" applyFont="1" applyFill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</cellXfs>
  <cellStyles count="9">
    <cellStyle name="백분율 2" xfId="4"/>
    <cellStyle name="표준" xfId="0" builtinId="0"/>
    <cellStyle name="표준 2 10 17 25" xfId="2"/>
    <cellStyle name="표준 2 10 18 16" xfId="6"/>
    <cellStyle name="표준 2 10 19 20" xfId="1"/>
    <cellStyle name="표준 2 10 20 8" xfId="7"/>
    <cellStyle name="표준 2 2" xfId="3"/>
    <cellStyle name="표준 2 3 6 19 19" xfId="5"/>
    <cellStyle name="표준 2 3 6 20 8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7"/>
  <sheetViews>
    <sheetView tabSelected="1" topLeftCell="A2" zoomScale="85" zoomScaleNormal="85" zoomScalePageLayoutView="80" workbookViewId="0">
      <selection activeCell="H6" sqref="H6"/>
    </sheetView>
  </sheetViews>
  <sheetFormatPr defaultRowHeight="16.5"/>
  <cols>
    <col min="1" max="1" width="3.25" style="3" customWidth="1"/>
    <col min="2" max="2" width="10" style="154" customWidth="1"/>
    <col min="3" max="4" width="11.875" style="154" customWidth="1"/>
    <col min="5" max="11" width="11.875" style="2" customWidth="1"/>
    <col min="12" max="12" width="2.625" style="155" customWidth="1"/>
    <col min="13" max="17" width="11.875" style="2" customWidth="1"/>
    <col min="18" max="18" width="11.875" style="3" customWidth="1"/>
    <col min="19" max="19" width="11.875" style="2" customWidth="1"/>
    <col min="20" max="20" width="11.875" style="2" hidden="1" customWidth="1"/>
    <col min="21" max="21" width="1.625" style="2" customWidth="1"/>
    <col min="22" max="16384" width="9" style="3"/>
  </cols>
  <sheetData>
    <row r="1" spans="1:27" ht="16.5" hidden="1" customHeight="1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1"/>
    </row>
    <row r="2" spans="1:27" ht="18" customHeight="1" thickBot="1">
      <c r="A2" s="221" t="s">
        <v>156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3"/>
      <c r="R2" s="4"/>
      <c r="S2" s="4"/>
      <c r="T2" s="4"/>
      <c r="U2" s="5"/>
    </row>
    <row r="3" spans="1:27" ht="21" customHeight="1">
      <c r="A3" s="6"/>
      <c r="B3" s="7" t="s">
        <v>1</v>
      </c>
      <c r="C3" s="8" t="s">
        <v>2</v>
      </c>
      <c r="D3" s="8" t="s">
        <v>3</v>
      </c>
      <c r="E3" s="9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10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11"/>
      <c r="T3" s="12">
        <f>AVERAGE(T4:T29)</f>
        <v>0.97499999999999998</v>
      </c>
      <c r="V3" s="191" t="s">
        <v>157</v>
      </c>
      <c r="W3" s="192"/>
      <c r="X3" s="192"/>
      <c r="Y3" s="192"/>
      <c r="Z3" s="192"/>
      <c r="AA3" s="193"/>
    </row>
    <row r="4" spans="1:27" ht="27.95" customHeight="1" thickBot="1">
      <c r="A4" s="13">
        <v>1</v>
      </c>
      <c r="B4" s="14" t="s">
        <v>17</v>
      </c>
      <c r="C4" s="224"/>
      <c r="D4" s="225"/>
      <c r="E4" s="15" t="s">
        <v>18</v>
      </c>
      <c r="F4" s="15" t="s">
        <v>19</v>
      </c>
      <c r="G4" s="16" t="s">
        <v>218</v>
      </c>
      <c r="H4" s="17" t="s">
        <v>219</v>
      </c>
      <c r="I4" s="18" t="s">
        <v>20</v>
      </c>
      <c r="J4" s="17" t="s">
        <v>220</v>
      </c>
      <c r="K4" s="19" t="s">
        <v>21</v>
      </c>
      <c r="L4" s="18"/>
      <c r="M4" s="20" t="s">
        <v>22</v>
      </c>
      <c r="N4" s="17" t="s">
        <v>178</v>
      </c>
      <c r="O4" s="19" t="s">
        <v>23</v>
      </c>
      <c r="P4" s="179" t="s">
        <v>24</v>
      </c>
      <c r="Q4" s="19" t="s">
        <v>25</v>
      </c>
      <c r="R4" s="21"/>
      <c r="S4" s="22"/>
      <c r="T4" s="23">
        <f>(COUNTA(C4:Q4))/12</f>
        <v>1</v>
      </c>
      <c r="V4" s="194"/>
      <c r="W4" s="195"/>
      <c r="X4" s="195"/>
      <c r="Y4" s="195"/>
      <c r="Z4" s="195"/>
      <c r="AA4" s="196"/>
    </row>
    <row r="5" spans="1:27" ht="27.95" customHeight="1">
      <c r="A5" s="13">
        <v>2</v>
      </c>
      <c r="B5" s="14" t="s">
        <v>26</v>
      </c>
      <c r="C5" s="226"/>
      <c r="D5" s="215"/>
      <c r="E5" s="165" t="s">
        <v>27</v>
      </c>
      <c r="F5" s="17" t="s">
        <v>176</v>
      </c>
      <c r="G5" s="17" t="s">
        <v>311</v>
      </c>
      <c r="H5" s="166" t="s">
        <v>30</v>
      </c>
      <c r="I5" s="15" t="s">
        <v>18</v>
      </c>
      <c r="J5" s="167" t="s">
        <v>31</v>
      </c>
      <c r="K5" s="18" t="s">
        <v>32</v>
      </c>
      <c r="L5" s="25"/>
      <c r="M5" s="177" t="s">
        <v>33</v>
      </c>
      <c r="N5" s="26" t="s">
        <v>34</v>
      </c>
      <c r="O5" s="178" t="s">
        <v>35</v>
      </c>
      <c r="P5" s="27" t="s">
        <v>280</v>
      </c>
      <c r="Q5" s="28" t="s">
        <v>36</v>
      </c>
      <c r="R5" s="21"/>
      <c r="S5" s="22"/>
      <c r="T5" s="23">
        <f>(COUNTA(C5:Q5))/12</f>
        <v>1</v>
      </c>
      <c r="V5" s="197" t="s">
        <v>158</v>
      </c>
      <c r="W5" s="198"/>
      <c r="X5" s="198" t="s">
        <v>159</v>
      </c>
      <c r="Y5" s="198"/>
      <c r="Z5" s="198" t="s">
        <v>160</v>
      </c>
      <c r="AA5" s="199"/>
    </row>
    <row r="6" spans="1:27" ht="27.75" customHeight="1">
      <c r="A6" s="13">
        <v>3</v>
      </c>
      <c r="B6" s="14" t="s">
        <v>37</v>
      </c>
      <c r="C6" s="226"/>
      <c r="D6" s="215"/>
      <c r="E6" s="17" t="s">
        <v>38</v>
      </c>
      <c r="F6" s="18" t="s">
        <v>187</v>
      </c>
      <c r="G6" s="162" t="s">
        <v>40</v>
      </c>
      <c r="H6" s="18" t="s">
        <v>192</v>
      </c>
      <c r="I6" s="19" t="s">
        <v>197</v>
      </c>
      <c r="J6" s="29" t="s">
        <v>41</v>
      </c>
      <c r="K6" s="15" t="s">
        <v>274</v>
      </c>
      <c r="L6" s="18"/>
      <c r="M6" s="179" t="s">
        <v>42</v>
      </c>
      <c r="N6" s="177" t="s">
        <v>43</v>
      </c>
      <c r="O6" s="30" t="s">
        <v>44</v>
      </c>
      <c r="P6" s="16" t="s">
        <v>45</v>
      </c>
      <c r="Q6" s="177" t="s">
        <v>46</v>
      </c>
      <c r="R6" s="21"/>
      <c r="S6" s="22"/>
      <c r="T6" s="23">
        <f>(COUNTA(C6:Q6))/12</f>
        <v>1</v>
      </c>
      <c r="V6" s="186" t="s">
        <v>202</v>
      </c>
      <c r="W6" s="187"/>
      <c r="X6" s="188" t="s">
        <v>203</v>
      </c>
      <c r="Y6" s="187"/>
      <c r="Z6" s="188" t="s">
        <v>204</v>
      </c>
      <c r="AA6" s="189"/>
    </row>
    <row r="7" spans="1:27" ht="27.95" customHeight="1">
      <c r="A7" s="13">
        <v>4</v>
      </c>
      <c r="B7" s="31" t="s">
        <v>47</v>
      </c>
      <c r="C7" s="226"/>
      <c r="D7" s="215"/>
      <c r="E7" s="32" t="s">
        <v>48</v>
      </c>
      <c r="F7" s="17" t="s">
        <v>179</v>
      </c>
      <c r="G7" s="162" t="s">
        <v>193</v>
      </c>
      <c r="H7" s="161" t="s">
        <v>49</v>
      </c>
      <c r="I7" s="16" t="s">
        <v>201</v>
      </c>
      <c r="J7" s="17" t="s">
        <v>50</v>
      </c>
      <c r="K7" s="168" t="s">
        <v>194</v>
      </c>
      <c r="L7" s="25"/>
      <c r="M7" s="16" t="s">
        <v>51</v>
      </c>
      <c r="N7" s="17" t="s">
        <v>18</v>
      </c>
      <c r="O7" s="19" t="s">
        <v>52</v>
      </c>
      <c r="P7" s="15" t="s">
        <v>53</v>
      </c>
      <c r="Q7" s="19" t="s">
        <v>54</v>
      </c>
      <c r="R7" s="21"/>
      <c r="S7" s="22"/>
      <c r="T7" s="23">
        <f t="shared" ref="T7:T19" si="0">(COUNTA(C7:Q7))/12</f>
        <v>1</v>
      </c>
      <c r="V7" s="186" t="s">
        <v>215</v>
      </c>
      <c r="W7" s="187"/>
      <c r="X7" s="188" t="s">
        <v>216</v>
      </c>
      <c r="Y7" s="187"/>
      <c r="Z7" s="188" t="s">
        <v>217</v>
      </c>
      <c r="AA7" s="189"/>
    </row>
    <row r="8" spans="1:27" ht="27.95" customHeight="1">
      <c r="A8" s="13">
        <v>5</v>
      </c>
      <c r="B8" s="33" t="s">
        <v>55</v>
      </c>
      <c r="C8" s="226"/>
      <c r="D8" s="215"/>
      <c r="E8" s="34"/>
      <c r="F8" s="35"/>
      <c r="G8" s="36"/>
      <c r="H8" s="37"/>
      <c r="I8" s="38"/>
      <c r="J8" s="38"/>
      <c r="K8" s="39"/>
      <c r="L8" s="40"/>
      <c r="M8" s="36"/>
      <c r="N8" s="40"/>
      <c r="O8" s="40"/>
      <c r="P8" s="36"/>
      <c r="Q8" s="41"/>
      <c r="R8" s="21"/>
      <c r="S8" s="22"/>
      <c r="T8" s="23"/>
      <c r="V8" s="186" t="s">
        <v>223</v>
      </c>
      <c r="W8" s="187"/>
      <c r="X8" s="188" t="s">
        <v>224</v>
      </c>
      <c r="Y8" s="187"/>
      <c r="Z8" s="190" t="s">
        <v>225</v>
      </c>
      <c r="AA8" s="189"/>
    </row>
    <row r="9" spans="1:27" ht="27.95" customHeight="1">
      <c r="A9" s="13">
        <v>6</v>
      </c>
      <c r="B9" s="42" t="s">
        <v>57</v>
      </c>
      <c r="C9" s="227"/>
      <c r="D9" s="228"/>
      <c r="E9" s="19" t="s">
        <v>198</v>
      </c>
      <c r="F9" s="171" t="s">
        <v>58</v>
      </c>
      <c r="G9" s="19" t="s">
        <v>200</v>
      </c>
      <c r="H9" s="162" t="s">
        <v>199</v>
      </c>
      <c r="I9" s="19" t="s">
        <v>59</v>
      </c>
      <c r="J9" s="18" t="s">
        <v>38</v>
      </c>
      <c r="K9" s="29" t="s">
        <v>41</v>
      </c>
      <c r="L9" s="18"/>
      <c r="M9" s="18" t="s">
        <v>259</v>
      </c>
      <c r="N9" s="29" t="s">
        <v>28</v>
      </c>
      <c r="O9" s="175" t="s">
        <v>60</v>
      </c>
      <c r="P9" s="171" t="s">
        <v>61</v>
      </c>
      <c r="Q9" s="29" t="s">
        <v>56</v>
      </c>
      <c r="R9" s="21"/>
      <c r="S9" s="22"/>
      <c r="T9" s="23">
        <f t="shared" si="0"/>
        <v>1</v>
      </c>
      <c r="V9" s="186" t="s">
        <v>226</v>
      </c>
      <c r="W9" s="187"/>
      <c r="X9" s="188" t="s">
        <v>227</v>
      </c>
      <c r="Y9" s="187"/>
      <c r="Z9" s="188" t="s">
        <v>228</v>
      </c>
      <c r="AA9" s="189"/>
    </row>
    <row r="10" spans="1:27" ht="27.95" customHeight="1">
      <c r="A10" s="13">
        <v>7</v>
      </c>
      <c r="B10" s="14" t="s">
        <v>62</v>
      </c>
      <c r="C10" s="43" t="s">
        <v>63</v>
      </c>
      <c r="D10" s="180" t="s">
        <v>29</v>
      </c>
      <c r="E10" s="25" t="s">
        <v>64</v>
      </c>
      <c r="F10" s="17" t="s">
        <v>205</v>
      </c>
      <c r="G10" s="18" t="s">
        <v>206</v>
      </c>
      <c r="H10" s="18" t="s">
        <v>65</v>
      </c>
      <c r="I10" s="44" t="s">
        <v>66</v>
      </c>
      <c r="J10" s="19" t="s">
        <v>192</v>
      </c>
      <c r="K10" s="28" t="s">
        <v>207</v>
      </c>
      <c r="L10" s="18"/>
      <c r="M10" s="63" t="s">
        <v>208</v>
      </c>
      <c r="N10" s="60" t="s">
        <v>67</v>
      </c>
      <c r="O10" s="167" t="s">
        <v>68</v>
      </c>
      <c r="P10" s="208"/>
      <c r="Q10" s="209"/>
      <c r="R10" s="21"/>
      <c r="S10" s="22"/>
      <c r="T10" s="23">
        <f t="shared" si="0"/>
        <v>1</v>
      </c>
      <c r="V10" s="186" t="s">
        <v>233</v>
      </c>
      <c r="W10" s="187"/>
      <c r="X10" s="188" t="s">
        <v>234</v>
      </c>
      <c r="Y10" s="187"/>
      <c r="Z10" s="188" t="s">
        <v>235</v>
      </c>
      <c r="AA10" s="189"/>
    </row>
    <row r="11" spans="1:27" ht="27.95" customHeight="1">
      <c r="A11" s="13">
        <v>8</v>
      </c>
      <c r="B11" s="14" t="s">
        <v>69</v>
      </c>
      <c r="C11" s="43" t="s">
        <v>70</v>
      </c>
      <c r="D11" s="43" t="s">
        <v>71</v>
      </c>
      <c r="E11" s="45" t="s">
        <v>260</v>
      </c>
      <c r="F11" s="15" t="s">
        <v>18</v>
      </c>
      <c r="G11" s="18" t="s">
        <v>261</v>
      </c>
      <c r="H11" s="19" t="s">
        <v>39</v>
      </c>
      <c r="I11" s="169" t="s">
        <v>72</v>
      </c>
      <c r="J11" s="18" t="s">
        <v>73</v>
      </c>
      <c r="K11" s="165" t="s">
        <v>74</v>
      </c>
      <c r="L11" s="18"/>
      <c r="M11" s="46" t="s">
        <v>75</v>
      </c>
      <c r="N11" s="17" t="s">
        <v>262</v>
      </c>
      <c r="O11" s="170" t="s">
        <v>258</v>
      </c>
      <c r="P11" s="210"/>
      <c r="Q11" s="211"/>
      <c r="R11" s="47"/>
      <c r="S11" s="22"/>
      <c r="T11" s="23">
        <f t="shared" si="0"/>
        <v>1</v>
      </c>
      <c r="V11" s="186" t="s">
        <v>239</v>
      </c>
      <c r="W11" s="187"/>
      <c r="X11" s="188" t="s">
        <v>238</v>
      </c>
      <c r="Y11" s="187"/>
      <c r="Z11" s="188" t="s">
        <v>240</v>
      </c>
      <c r="AA11" s="189"/>
    </row>
    <row r="12" spans="1:27" ht="27.95" customHeight="1" thickBot="1">
      <c r="A12" s="13">
        <v>9</v>
      </c>
      <c r="B12" s="48" t="s">
        <v>76</v>
      </c>
      <c r="C12" s="202"/>
      <c r="D12" s="203"/>
      <c r="E12" s="49" t="s">
        <v>77</v>
      </c>
      <c r="F12" s="120" t="s">
        <v>168</v>
      </c>
      <c r="G12" s="119" t="s">
        <v>164</v>
      </c>
      <c r="H12" s="50" t="s">
        <v>50</v>
      </c>
      <c r="I12" s="27" t="s">
        <v>39</v>
      </c>
      <c r="J12" s="51" t="s">
        <v>67</v>
      </c>
      <c r="K12" s="52" t="s">
        <v>161</v>
      </c>
      <c r="L12" s="53"/>
      <c r="M12" s="50"/>
      <c r="N12" s="160" t="s">
        <v>162</v>
      </c>
      <c r="O12" s="52" t="s">
        <v>163</v>
      </c>
      <c r="P12" s="52" t="s">
        <v>41</v>
      </c>
      <c r="Q12" s="52" t="s">
        <v>175</v>
      </c>
      <c r="R12" s="47"/>
      <c r="S12" s="22"/>
      <c r="T12" s="23">
        <f>(COUNTA(C12:P12))/12</f>
        <v>0.83333333333333337</v>
      </c>
      <c r="V12" s="186" t="s">
        <v>241</v>
      </c>
      <c r="W12" s="187"/>
      <c r="X12" s="188" t="s">
        <v>242</v>
      </c>
      <c r="Y12" s="187"/>
      <c r="Z12" s="188" t="s">
        <v>243</v>
      </c>
      <c r="AA12" s="189"/>
    </row>
    <row r="13" spans="1:27" ht="27.95" customHeight="1">
      <c r="A13" s="13">
        <v>10</v>
      </c>
      <c r="B13" s="54" t="s">
        <v>78</v>
      </c>
      <c r="C13" s="212"/>
      <c r="D13" s="213"/>
      <c r="E13" s="55" t="s">
        <v>179</v>
      </c>
      <c r="F13" s="56" t="s">
        <v>178</v>
      </c>
      <c r="G13" s="57" t="s">
        <v>177</v>
      </c>
      <c r="H13" s="167" t="s">
        <v>164</v>
      </c>
      <c r="I13" s="58" t="s">
        <v>79</v>
      </c>
      <c r="J13" s="59" t="s">
        <v>213</v>
      </c>
      <c r="K13" s="84" t="s">
        <v>309</v>
      </c>
      <c r="L13" s="60"/>
      <c r="M13" s="44" t="s">
        <v>80</v>
      </c>
      <c r="N13" s="107" t="s">
        <v>81</v>
      </c>
      <c r="O13" s="61" t="s">
        <v>82</v>
      </c>
      <c r="P13" s="17" t="s">
        <v>310</v>
      </c>
      <c r="Q13" s="55" t="s">
        <v>214</v>
      </c>
      <c r="R13" s="21"/>
      <c r="S13" s="22"/>
      <c r="T13" s="23">
        <f t="shared" si="0"/>
        <v>1</v>
      </c>
      <c r="V13" s="186" t="s">
        <v>245</v>
      </c>
      <c r="W13" s="187"/>
      <c r="X13" s="188" t="s">
        <v>246</v>
      </c>
      <c r="Y13" s="187"/>
      <c r="Z13" s="188" t="s">
        <v>247</v>
      </c>
      <c r="AA13" s="189"/>
    </row>
    <row r="14" spans="1:27" ht="27.95" customHeight="1">
      <c r="A14" s="13">
        <v>11</v>
      </c>
      <c r="B14" s="54" t="s">
        <v>83</v>
      </c>
      <c r="C14" s="214"/>
      <c r="D14" s="215"/>
      <c r="E14" s="62" t="s">
        <v>84</v>
      </c>
      <c r="F14" s="44" t="s">
        <v>172</v>
      </c>
      <c r="G14" s="29" t="s">
        <v>186</v>
      </c>
      <c r="H14" s="17" t="s">
        <v>86</v>
      </c>
      <c r="I14" s="63" t="s">
        <v>87</v>
      </c>
      <c r="J14" s="15" t="s">
        <v>88</v>
      </c>
      <c r="K14" s="18" t="s">
        <v>89</v>
      </c>
      <c r="L14" s="60"/>
      <c r="M14" s="64" t="s">
        <v>289</v>
      </c>
      <c r="N14" s="64" t="s">
        <v>90</v>
      </c>
      <c r="O14" s="57" t="s">
        <v>91</v>
      </c>
      <c r="P14" s="18" t="s">
        <v>92</v>
      </c>
      <c r="Q14" s="18" t="s">
        <v>92</v>
      </c>
      <c r="R14" s="47"/>
      <c r="S14" s="22"/>
      <c r="T14" s="23">
        <f t="shared" si="0"/>
        <v>1</v>
      </c>
      <c r="V14" s="186" t="s">
        <v>248</v>
      </c>
      <c r="W14" s="187"/>
      <c r="X14" s="188" t="s">
        <v>303</v>
      </c>
      <c r="Y14" s="187"/>
      <c r="Z14" s="188" t="s">
        <v>306</v>
      </c>
      <c r="AA14" s="189"/>
    </row>
    <row r="15" spans="1:27" ht="27.95" customHeight="1">
      <c r="A15" s="13">
        <v>12</v>
      </c>
      <c r="B15" s="65" t="s">
        <v>93</v>
      </c>
      <c r="C15" s="214"/>
      <c r="D15" s="215"/>
      <c r="E15" s="66"/>
      <c r="F15" s="34"/>
      <c r="G15" s="67"/>
      <c r="H15" s="68"/>
      <c r="I15" s="36"/>
      <c r="J15" s="69"/>
      <c r="K15" s="70"/>
      <c r="L15" s="24"/>
      <c r="M15" s="71"/>
      <c r="N15" s="72"/>
      <c r="O15" s="70"/>
      <c r="P15" s="39"/>
      <c r="Q15" s="69"/>
      <c r="R15" s="47"/>
      <c r="S15" s="22"/>
      <c r="T15" s="23"/>
      <c r="V15" s="186" t="s">
        <v>129</v>
      </c>
      <c r="W15" s="187"/>
      <c r="X15" s="188" t="s">
        <v>266</v>
      </c>
      <c r="Y15" s="187"/>
      <c r="Z15" s="188" t="s">
        <v>267</v>
      </c>
      <c r="AA15" s="189"/>
    </row>
    <row r="16" spans="1:27" ht="27.95" customHeight="1">
      <c r="A16" s="13">
        <v>13</v>
      </c>
      <c r="B16" s="54" t="s">
        <v>95</v>
      </c>
      <c r="C16" s="214"/>
      <c r="D16" s="215"/>
      <c r="E16" s="19" t="s">
        <v>298</v>
      </c>
      <c r="F16" s="161" t="s">
        <v>96</v>
      </c>
      <c r="G16" s="27" t="s">
        <v>299</v>
      </c>
      <c r="H16" s="44" t="s">
        <v>97</v>
      </c>
      <c r="I16" s="161" t="s">
        <v>180</v>
      </c>
      <c r="J16" s="73" t="s">
        <v>300</v>
      </c>
      <c r="K16" s="18" t="s">
        <v>98</v>
      </c>
      <c r="L16" s="25"/>
      <c r="M16" s="45" t="s">
        <v>99</v>
      </c>
      <c r="N16" s="16" t="s">
        <v>218</v>
      </c>
      <c r="O16" s="17" t="s">
        <v>100</v>
      </c>
      <c r="P16" s="17" t="s">
        <v>101</v>
      </c>
      <c r="Q16" s="17" t="s">
        <v>207</v>
      </c>
      <c r="R16" s="47"/>
      <c r="S16" s="22"/>
      <c r="T16" s="23">
        <f t="shared" si="0"/>
        <v>1</v>
      </c>
      <c r="V16" s="186" t="s">
        <v>26</v>
      </c>
      <c r="W16" s="187"/>
      <c r="X16" s="188" t="s">
        <v>269</v>
      </c>
      <c r="Y16" s="187"/>
      <c r="Z16" s="188" t="s">
        <v>235</v>
      </c>
      <c r="AA16" s="189"/>
    </row>
    <row r="17" spans="1:27" ht="27.95" customHeight="1">
      <c r="A17" s="13"/>
      <c r="B17" s="54" t="s">
        <v>102</v>
      </c>
      <c r="C17" s="214"/>
      <c r="D17" s="215"/>
      <c r="E17" s="46" t="s">
        <v>103</v>
      </c>
      <c r="F17" s="17" t="s">
        <v>253</v>
      </c>
      <c r="G17" s="28" t="s">
        <v>252</v>
      </c>
      <c r="H17" s="74" t="s">
        <v>104</v>
      </c>
      <c r="I17" s="17" t="s">
        <v>85</v>
      </c>
      <c r="J17" s="173" t="s">
        <v>251</v>
      </c>
      <c r="K17" s="30" t="s">
        <v>105</v>
      </c>
      <c r="L17" s="25"/>
      <c r="M17" s="17" t="s">
        <v>260</v>
      </c>
      <c r="N17" s="17" t="s">
        <v>106</v>
      </c>
      <c r="O17" s="216" t="s">
        <v>107</v>
      </c>
      <c r="P17" s="217"/>
      <c r="Q17" s="218"/>
      <c r="R17" s="47"/>
      <c r="S17" s="22"/>
      <c r="T17" s="23">
        <f>(COUNTA(E17:N17))/9</f>
        <v>1</v>
      </c>
      <c r="V17" s="186" t="s">
        <v>144</v>
      </c>
      <c r="W17" s="187"/>
      <c r="X17" s="188" t="s">
        <v>271</v>
      </c>
      <c r="Y17" s="187"/>
      <c r="Z17" s="188" t="s">
        <v>272</v>
      </c>
      <c r="AA17" s="189"/>
    </row>
    <row r="18" spans="1:27" ht="27.95" customHeight="1">
      <c r="A18" s="13">
        <v>14</v>
      </c>
      <c r="B18" s="75" t="s">
        <v>108</v>
      </c>
      <c r="C18" s="76" t="s">
        <v>109</v>
      </c>
      <c r="D18" s="76" t="s">
        <v>110</v>
      </c>
      <c r="E18" s="45" t="s">
        <v>169</v>
      </c>
      <c r="F18" s="77" t="s">
        <v>170</v>
      </c>
      <c r="G18" s="17" t="s">
        <v>111</v>
      </c>
      <c r="H18" s="17" t="s">
        <v>94</v>
      </c>
      <c r="I18" s="17" t="s">
        <v>209</v>
      </c>
      <c r="J18" s="17" t="s">
        <v>112</v>
      </c>
      <c r="K18" s="17" t="s">
        <v>210</v>
      </c>
      <c r="L18" s="25"/>
      <c r="M18" s="176" t="s">
        <v>113</v>
      </c>
      <c r="N18" s="17" t="s">
        <v>265</v>
      </c>
      <c r="O18" s="17" t="s">
        <v>115</v>
      </c>
      <c r="P18" s="200"/>
      <c r="Q18" s="201"/>
      <c r="R18" s="47"/>
      <c r="S18" s="22"/>
      <c r="T18" s="23">
        <f t="shared" si="0"/>
        <v>1</v>
      </c>
      <c r="V18" s="186" t="s">
        <v>144</v>
      </c>
      <c r="W18" s="187"/>
      <c r="X18" s="188" t="s">
        <v>203</v>
      </c>
      <c r="Y18" s="187"/>
      <c r="Z18" s="188" t="s">
        <v>273</v>
      </c>
      <c r="AA18" s="189"/>
    </row>
    <row r="19" spans="1:27" ht="27.95" customHeight="1" thickBot="1">
      <c r="A19" s="78">
        <v>15</v>
      </c>
      <c r="B19" s="48" t="s">
        <v>116</v>
      </c>
      <c r="C19" s="202"/>
      <c r="D19" s="203"/>
      <c r="E19" s="79" t="s">
        <v>114</v>
      </c>
      <c r="F19" s="120" t="s">
        <v>230</v>
      </c>
      <c r="G19" s="120" t="s">
        <v>270</v>
      </c>
      <c r="H19" s="120" t="s">
        <v>117</v>
      </c>
      <c r="I19" s="120" t="s">
        <v>118</v>
      </c>
      <c r="J19" s="170" t="s">
        <v>229</v>
      </c>
      <c r="K19" s="163" t="s">
        <v>263</v>
      </c>
      <c r="L19" s="120"/>
      <c r="M19" s="165" t="s">
        <v>222</v>
      </c>
      <c r="N19" s="119" t="s">
        <v>264</v>
      </c>
      <c r="O19" s="120" t="s">
        <v>119</v>
      </c>
      <c r="P19" s="120" t="s">
        <v>231</v>
      </c>
      <c r="Q19" s="81" t="s">
        <v>262</v>
      </c>
      <c r="R19" s="47"/>
      <c r="S19" s="22"/>
      <c r="T19" s="23">
        <f t="shared" si="0"/>
        <v>1</v>
      </c>
      <c r="V19" s="186" t="s">
        <v>116</v>
      </c>
      <c r="W19" s="187"/>
      <c r="X19" s="188" t="s">
        <v>275</v>
      </c>
      <c r="Y19" s="187"/>
      <c r="Z19" s="188" t="s">
        <v>276</v>
      </c>
      <c r="AA19" s="189"/>
    </row>
    <row r="20" spans="1:27" ht="27.95" customHeight="1">
      <c r="A20" s="82" t="s">
        <v>120</v>
      </c>
      <c r="B20" s="83" t="s">
        <v>121</v>
      </c>
      <c r="C20" s="204"/>
      <c r="D20" s="205"/>
      <c r="E20" s="84"/>
      <c r="F20" s="61" t="s">
        <v>174</v>
      </c>
      <c r="G20" s="109" t="s">
        <v>188</v>
      </c>
      <c r="H20" s="85"/>
      <c r="I20" s="84" t="s">
        <v>189</v>
      </c>
      <c r="J20" s="55" t="s">
        <v>250</v>
      </c>
      <c r="K20" s="55"/>
      <c r="L20" s="86"/>
      <c r="M20" s="55"/>
      <c r="N20" s="77" t="s">
        <v>122</v>
      </c>
      <c r="O20" s="56" t="s">
        <v>56</v>
      </c>
      <c r="P20" s="87"/>
      <c r="Q20" s="61" t="s">
        <v>123</v>
      </c>
      <c r="R20" s="88"/>
      <c r="T20" s="23">
        <f>(COUNTA(C20:Q20))/7</f>
        <v>1</v>
      </c>
      <c r="V20" s="186" t="s">
        <v>37</v>
      </c>
      <c r="W20" s="187"/>
      <c r="X20" s="188" t="s">
        <v>234</v>
      </c>
      <c r="Y20" s="187"/>
      <c r="Z20" s="188" t="s">
        <v>277</v>
      </c>
      <c r="AA20" s="189"/>
    </row>
    <row r="21" spans="1:27" ht="27.95" customHeight="1" thickBot="1">
      <c r="A21" s="89"/>
      <c r="B21" s="90" t="s">
        <v>124</v>
      </c>
      <c r="C21" s="206"/>
      <c r="D21" s="207"/>
      <c r="E21" s="52" t="s">
        <v>173</v>
      </c>
      <c r="F21" s="19" t="s">
        <v>90</v>
      </c>
      <c r="G21" s="119" t="s">
        <v>249</v>
      </c>
      <c r="H21" s="163" t="s">
        <v>316</v>
      </c>
      <c r="I21" s="119" t="s">
        <v>317</v>
      </c>
      <c r="J21" s="50" t="s">
        <v>125</v>
      </c>
      <c r="K21" s="50" t="s">
        <v>163</v>
      </c>
      <c r="L21" s="91"/>
      <c r="M21" s="18" t="s">
        <v>125</v>
      </c>
      <c r="N21" s="119" t="s">
        <v>126</v>
      </c>
      <c r="O21" s="120" t="s">
        <v>127</v>
      </c>
      <c r="P21" s="50" t="s">
        <v>294</v>
      </c>
      <c r="Q21" s="164" t="s">
        <v>128</v>
      </c>
      <c r="R21" s="92"/>
      <c r="T21" s="23">
        <f>(COUNTA(C21:Q21))/12</f>
        <v>1</v>
      </c>
      <c r="V21" s="186" t="s">
        <v>37</v>
      </c>
      <c r="W21" s="187"/>
      <c r="X21" s="188" t="s">
        <v>271</v>
      </c>
      <c r="Y21" s="187"/>
      <c r="Z21" s="188" t="s">
        <v>278</v>
      </c>
      <c r="AA21" s="189"/>
    </row>
    <row r="22" spans="1:27" ht="9.9499999999999993" customHeight="1" thickBot="1">
      <c r="A22" s="93"/>
      <c r="B22" s="94"/>
      <c r="C22" s="95"/>
      <c r="D22" s="96"/>
      <c r="E22" s="97"/>
      <c r="F22" s="98"/>
      <c r="G22" s="99"/>
      <c r="H22" s="100"/>
      <c r="I22" s="101"/>
      <c r="J22" s="100"/>
      <c r="K22" s="102"/>
      <c r="L22" s="103"/>
      <c r="M22" s="104"/>
      <c r="N22" s="105"/>
      <c r="O22" s="97"/>
      <c r="P22" s="101"/>
      <c r="Q22" s="97"/>
      <c r="R22" s="88"/>
      <c r="T22" s="23"/>
      <c r="V22" s="186" t="s">
        <v>37</v>
      </c>
      <c r="W22" s="187"/>
      <c r="X22" s="188" t="s">
        <v>269</v>
      </c>
      <c r="Y22" s="187"/>
      <c r="Z22" s="188" t="s">
        <v>279</v>
      </c>
      <c r="AA22" s="189"/>
    </row>
    <row r="23" spans="1:27" ht="120" customHeight="1">
      <c r="A23" s="106"/>
      <c r="B23" s="233" t="s">
        <v>129</v>
      </c>
      <c r="C23" s="212"/>
      <c r="D23" s="213"/>
      <c r="E23" s="59" t="s">
        <v>165</v>
      </c>
      <c r="F23" s="55" t="s">
        <v>171</v>
      </c>
      <c r="G23" s="59" t="s">
        <v>182</v>
      </c>
      <c r="H23" s="55" t="s">
        <v>190</v>
      </c>
      <c r="I23" s="59" t="s">
        <v>195</v>
      </c>
      <c r="J23" s="107" t="s">
        <v>211</v>
      </c>
      <c r="K23" s="55" t="s">
        <v>232</v>
      </c>
      <c r="L23" s="108"/>
      <c r="M23" s="55" t="s">
        <v>254</v>
      </c>
      <c r="N23" s="59" t="s">
        <v>257</v>
      </c>
      <c r="O23" s="59" t="s">
        <v>268</v>
      </c>
      <c r="P23" s="109" t="s">
        <v>281</v>
      </c>
      <c r="Q23" s="59" t="s">
        <v>308</v>
      </c>
      <c r="R23" s="110"/>
      <c r="T23" s="23">
        <f>(COUNTA(C23:Q23))/12</f>
        <v>1</v>
      </c>
      <c r="V23" s="186" t="s">
        <v>37</v>
      </c>
      <c r="W23" s="187"/>
      <c r="X23" s="188" t="s">
        <v>286</v>
      </c>
      <c r="Y23" s="187"/>
      <c r="Z23" s="188" t="s">
        <v>318</v>
      </c>
      <c r="AA23" s="189"/>
    </row>
    <row r="24" spans="1:27" ht="120" customHeight="1">
      <c r="A24" s="111"/>
      <c r="B24" s="234"/>
      <c r="C24" s="214"/>
      <c r="D24" s="215"/>
      <c r="E24" s="44" t="s">
        <v>236</v>
      </c>
      <c r="F24" s="161"/>
      <c r="G24" s="17" t="s">
        <v>181</v>
      </c>
      <c r="H24" s="112" t="s">
        <v>191</v>
      </c>
      <c r="I24" s="49"/>
      <c r="J24" s="44" t="s">
        <v>212</v>
      </c>
      <c r="K24" s="49" t="s">
        <v>237</v>
      </c>
      <c r="L24" s="113"/>
      <c r="M24" s="17" t="s">
        <v>255</v>
      </c>
      <c r="N24" s="114" t="s">
        <v>256</v>
      </c>
      <c r="O24" s="49" t="s">
        <v>196</v>
      </c>
      <c r="P24" s="44" t="s">
        <v>282</v>
      </c>
      <c r="Q24" s="44" t="s">
        <v>283</v>
      </c>
      <c r="R24" s="110"/>
      <c r="T24" s="115"/>
      <c r="V24" s="186" t="s">
        <v>69</v>
      </c>
      <c r="W24" s="187"/>
      <c r="X24" s="188" t="s">
        <v>284</v>
      </c>
      <c r="Y24" s="187"/>
      <c r="Z24" s="190" t="s">
        <v>225</v>
      </c>
      <c r="AA24" s="189"/>
    </row>
    <row r="25" spans="1:27" ht="99.95" customHeight="1" thickBot="1">
      <c r="A25" s="116"/>
      <c r="B25" s="117" t="s">
        <v>130</v>
      </c>
      <c r="C25" s="235"/>
      <c r="D25" s="236"/>
      <c r="E25" s="118" t="s">
        <v>131</v>
      </c>
      <c r="F25" s="80" t="s">
        <v>132</v>
      </c>
      <c r="G25" s="91" t="s">
        <v>133</v>
      </c>
      <c r="H25" s="80" t="s">
        <v>185</v>
      </c>
      <c r="I25" s="119" t="s">
        <v>134</v>
      </c>
      <c r="J25" s="50" t="s">
        <v>183</v>
      </c>
      <c r="K25" s="80" t="s">
        <v>184</v>
      </c>
      <c r="L25" s="120"/>
      <c r="M25" s="119" t="s">
        <v>135</v>
      </c>
      <c r="N25" s="80" t="s">
        <v>136</v>
      </c>
      <c r="O25" s="91" t="s">
        <v>137</v>
      </c>
      <c r="P25" s="237" t="s">
        <v>138</v>
      </c>
      <c r="Q25" s="238"/>
      <c r="R25" s="110"/>
      <c r="T25" s="23">
        <f>(COUNTA(F25:O25))/9</f>
        <v>1</v>
      </c>
      <c r="V25" s="186" t="s">
        <v>108</v>
      </c>
      <c r="W25" s="187"/>
      <c r="X25" s="188" t="s">
        <v>271</v>
      </c>
      <c r="Y25" s="187"/>
      <c r="Z25" s="188" t="s">
        <v>285</v>
      </c>
      <c r="AA25" s="189"/>
    </row>
    <row r="26" spans="1:27" ht="39.75" customHeight="1" thickBot="1">
      <c r="A26" s="121"/>
      <c r="B26" s="122"/>
      <c r="C26" s="123"/>
      <c r="D26" s="124"/>
      <c r="E26" s="125"/>
      <c r="F26" s="126"/>
      <c r="G26" s="127"/>
      <c r="H26" s="126"/>
      <c r="I26" s="126"/>
      <c r="J26" s="127"/>
      <c r="K26" s="128"/>
      <c r="L26" s="129"/>
      <c r="M26" s="126"/>
      <c r="N26" s="126"/>
      <c r="O26" s="127"/>
      <c r="P26" s="130"/>
      <c r="Q26" s="131"/>
      <c r="R26" s="132"/>
      <c r="S26" s="133"/>
      <c r="V26" s="186" t="s">
        <v>108</v>
      </c>
      <c r="W26" s="187"/>
      <c r="X26" s="188" t="s">
        <v>286</v>
      </c>
      <c r="Y26" s="187"/>
      <c r="Z26" s="188" t="s">
        <v>287</v>
      </c>
      <c r="AA26" s="189"/>
    </row>
    <row r="27" spans="1:27" ht="27.95" customHeight="1" thickBot="1">
      <c r="A27" s="134"/>
      <c r="B27" s="7" t="s">
        <v>139</v>
      </c>
      <c r="C27" s="135" t="s">
        <v>2</v>
      </c>
      <c r="D27" s="135" t="s">
        <v>140</v>
      </c>
      <c r="E27" s="8" t="s">
        <v>4</v>
      </c>
      <c r="F27" s="8" t="s">
        <v>5</v>
      </c>
      <c r="G27" s="8" t="s">
        <v>141</v>
      </c>
      <c r="H27" s="8" t="s">
        <v>7</v>
      </c>
      <c r="I27" s="8" t="s">
        <v>8</v>
      </c>
      <c r="J27" s="8" t="s">
        <v>9</v>
      </c>
      <c r="K27" s="8" t="s">
        <v>10</v>
      </c>
      <c r="L27" s="10" t="s">
        <v>11</v>
      </c>
      <c r="M27" s="8" t="s">
        <v>12</v>
      </c>
      <c r="N27" s="8" t="s">
        <v>13</v>
      </c>
      <c r="O27" s="8" t="s">
        <v>14</v>
      </c>
      <c r="P27" s="8" t="s">
        <v>15</v>
      </c>
      <c r="Q27" s="8" t="s">
        <v>16</v>
      </c>
      <c r="R27" s="8" t="s">
        <v>142</v>
      </c>
      <c r="S27" s="8" t="s">
        <v>143</v>
      </c>
      <c r="V27" s="229" t="s">
        <v>62</v>
      </c>
      <c r="W27" s="230"/>
      <c r="X27" s="231" t="s">
        <v>203</v>
      </c>
      <c r="Y27" s="230"/>
      <c r="Z27" s="231" t="s">
        <v>288</v>
      </c>
      <c r="AA27" s="232"/>
    </row>
    <row r="28" spans="1:27" ht="27.95" customHeight="1" thickBot="1">
      <c r="A28" s="136">
        <v>16</v>
      </c>
      <c r="B28" s="137" t="s">
        <v>144</v>
      </c>
      <c r="C28" s="239"/>
      <c r="D28" s="240"/>
      <c r="E28" s="174" t="s">
        <v>145</v>
      </c>
      <c r="F28" s="138" t="s">
        <v>146</v>
      </c>
      <c r="G28" s="139" t="s">
        <v>147</v>
      </c>
      <c r="H28" s="17" t="s">
        <v>148</v>
      </c>
      <c r="I28" s="44" t="s">
        <v>149</v>
      </c>
      <c r="J28" s="140" t="s">
        <v>150</v>
      </c>
      <c r="K28" s="17"/>
      <c r="L28" s="141"/>
      <c r="M28" s="165" t="s">
        <v>166</v>
      </c>
      <c r="N28" s="173" t="s">
        <v>167</v>
      </c>
      <c r="O28" s="18" t="s">
        <v>67</v>
      </c>
      <c r="P28" s="15" t="s">
        <v>295</v>
      </c>
      <c r="Q28" s="172" t="s">
        <v>244</v>
      </c>
      <c r="R28" s="243"/>
      <c r="S28" s="244"/>
      <c r="T28" s="23">
        <f>(COUNTA(C28:Q28))/12</f>
        <v>0.91666666666666663</v>
      </c>
      <c r="V28" s="229" t="s">
        <v>83</v>
      </c>
      <c r="W28" s="230"/>
      <c r="X28" s="231" t="s">
        <v>290</v>
      </c>
      <c r="Y28" s="230"/>
      <c r="Z28" s="231" t="s">
        <v>291</v>
      </c>
      <c r="AA28" s="232"/>
    </row>
    <row r="29" spans="1:27" ht="27.95" customHeight="1" thickBot="1">
      <c r="A29" s="142">
        <v>17</v>
      </c>
      <c r="B29" s="143" t="s">
        <v>151</v>
      </c>
      <c r="C29" s="241"/>
      <c r="D29" s="242"/>
      <c r="E29" s="245"/>
      <c r="F29" s="246"/>
      <c r="G29" s="18" t="s">
        <v>221</v>
      </c>
      <c r="H29" s="52" t="s">
        <v>319</v>
      </c>
      <c r="I29" s="50" t="s">
        <v>63</v>
      </c>
      <c r="J29" s="44" t="s">
        <v>28</v>
      </c>
      <c r="K29" s="53" t="s">
        <v>222</v>
      </c>
      <c r="L29" s="144"/>
      <c r="M29" s="145" t="s">
        <v>152</v>
      </c>
      <c r="N29" s="146"/>
      <c r="O29" s="50" t="s">
        <v>153</v>
      </c>
      <c r="P29" s="147" t="s">
        <v>154</v>
      </c>
      <c r="Q29" s="147"/>
      <c r="R29" s="148"/>
      <c r="S29" s="149" t="s">
        <v>155</v>
      </c>
      <c r="T29" s="23">
        <f>(COUNTA(G29:S29))/12</f>
        <v>0.75</v>
      </c>
      <c r="U29" s="150"/>
      <c r="V29" s="229" t="s">
        <v>26</v>
      </c>
      <c r="W29" s="230"/>
      <c r="X29" s="231" t="s">
        <v>292</v>
      </c>
      <c r="Y29" s="230"/>
      <c r="Z29" s="231" t="s">
        <v>293</v>
      </c>
      <c r="AA29" s="232"/>
    </row>
    <row r="30" spans="1:27" ht="32.25" customHeight="1" thickBot="1">
      <c r="A30" s="151"/>
      <c r="B30" s="151"/>
      <c r="C30" s="151"/>
      <c r="D30" s="151"/>
      <c r="E30" s="151"/>
      <c r="F30" s="151"/>
      <c r="G30" s="152"/>
      <c r="H30" s="151"/>
      <c r="I30" s="151"/>
      <c r="J30" s="152"/>
      <c r="K30" s="151"/>
      <c r="L30" s="151"/>
      <c r="M30" s="151"/>
      <c r="N30" s="151"/>
      <c r="O30" s="151"/>
      <c r="P30" s="151"/>
      <c r="Q30" s="151"/>
      <c r="R30" s="153"/>
      <c r="V30" s="229" t="s">
        <v>95</v>
      </c>
      <c r="W30" s="230"/>
      <c r="X30" s="231" t="s">
        <v>296</v>
      </c>
      <c r="Y30" s="230"/>
      <c r="Z30" s="231" t="s">
        <v>297</v>
      </c>
      <c r="AA30" s="232"/>
    </row>
    <row r="31" spans="1:27" ht="17.25" thickBot="1">
      <c r="D31" s="157"/>
      <c r="E31" s="157"/>
      <c r="F31" s="156"/>
      <c r="G31" s="156"/>
      <c r="H31" s="156"/>
      <c r="I31" s="156"/>
      <c r="J31" s="3"/>
      <c r="K31" s="3"/>
      <c r="L31" s="3"/>
      <c r="M31" s="3"/>
      <c r="N31" s="3"/>
      <c r="O31" s="3"/>
      <c r="P31" s="3"/>
      <c r="Q31" s="3"/>
      <c r="S31" s="3"/>
      <c r="T31" s="3"/>
      <c r="U31" s="3"/>
      <c r="V31" s="229" t="s">
        <v>37</v>
      </c>
      <c r="W31" s="230"/>
      <c r="X31" s="231" t="s">
        <v>301</v>
      </c>
      <c r="Y31" s="230"/>
      <c r="Z31" s="231" t="s">
        <v>302</v>
      </c>
      <c r="AA31" s="232"/>
    </row>
    <row r="32" spans="1:27" ht="17.25" thickBot="1">
      <c r="D32" s="158"/>
      <c r="P32" s="3"/>
      <c r="Q32" s="3"/>
      <c r="S32" s="3"/>
      <c r="T32" s="3"/>
      <c r="U32" s="3"/>
      <c r="V32" s="229" t="s">
        <v>17</v>
      </c>
      <c r="W32" s="230"/>
      <c r="X32" s="231" t="s">
        <v>304</v>
      </c>
      <c r="Y32" s="230"/>
      <c r="Z32" s="231" t="s">
        <v>305</v>
      </c>
      <c r="AA32" s="232"/>
    </row>
    <row r="33" spans="4:27" ht="17.25" thickBot="1">
      <c r="D33" s="157"/>
      <c r="P33" s="3"/>
      <c r="Q33" s="3"/>
      <c r="S33" s="3"/>
      <c r="T33" s="3"/>
      <c r="U33" s="3"/>
      <c r="V33" s="229" t="s">
        <v>47</v>
      </c>
      <c r="W33" s="230"/>
      <c r="X33" s="231" t="s">
        <v>269</v>
      </c>
      <c r="Y33" s="230"/>
      <c r="Z33" s="231" t="s">
        <v>307</v>
      </c>
      <c r="AA33" s="232"/>
    </row>
    <row r="34" spans="4:27" ht="53.25" customHeight="1" thickBot="1">
      <c r="D34" s="157"/>
      <c r="S34" s="3"/>
      <c r="T34" s="3"/>
      <c r="U34" s="3"/>
      <c r="V34" s="229" t="s">
        <v>116</v>
      </c>
      <c r="W34" s="230"/>
      <c r="X34" s="231" t="s">
        <v>271</v>
      </c>
      <c r="Y34" s="230"/>
      <c r="Z34" s="231" t="s">
        <v>312</v>
      </c>
      <c r="AA34" s="232"/>
    </row>
    <row r="35" spans="4:27" ht="50.25" customHeight="1" thickBot="1">
      <c r="S35" s="159"/>
      <c r="T35" s="159"/>
      <c r="U35" s="159"/>
      <c r="V35" s="229" t="s">
        <v>116</v>
      </c>
      <c r="W35" s="230"/>
      <c r="X35" s="231" t="s">
        <v>284</v>
      </c>
      <c r="Y35" s="230"/>
      <c r="Z35" s="231" t="s">
        <v>313</v>
      </c>
      <c r="AA35" s="232"/>
    </row>
    <row r="36" spans="4:27" ht="17.25" thickBot="1">
      <c r="V36" s="229" t="s">
        <v>83</v>
      </c>
      <c r="W36" s="230"/>
      <c r="X36" s="231" t="s">
        <v>314</v>
      </c>
      <c r="Y36" s="230"/>
      <c r="Z36" s="231" t="s">
        <v>315</v>
      </c>
      <c r="AA36" s="232"/>
    </row>
    <row r="37" spans="4:27" ht="17.25" thickBot="1">
      <c r="V37" s="229"/>
      <c r="W37" s="230"/>
      <c r="X37" s="231"/>
      <c r="Y37" s="230"/>
      <c r="Z37" s="231"/>
      <c r="AA37" s="232"/>
    </row>
  </sheetData>
  <mergeCells count="116">
    <mergeCell ref="V36:W36"/>
    <mergeCell ref="X36:Y36"/>
    <mergeCell ref="Z36:AA36"/>
    <mergeCell ref="V37:W37"/>
    <mergeCell ref="X37:Y37"/>
    <mergeCell ref="Z37:AA37"/>
    <mergeCell ref="V34:W34"/>
    <mergeCell ref="X34:Y34"/>
    <mergeCell ref="Z34:AA34"/>
    <mergeCell ref="V35:W35"/>
    <mergeCell ref="X35:Y35"/>
    <mergeCell ref="Z35:AA35"/>
    <mergeCell ref="V32:W32"/>
    <mergeCell ref="X32:Y32"/>
    <mergeCell ref="Z32:AA32"/>
    <mergeCell ref="V33:W33"/>
    <mergeCell ref="X33:Y33"/>
    <mergeCell ref="Z33:AA33"/>
    <mergeCell ref="V30:W30"/>
    <mergeCell ref="X30:Y30"/>
    <mergeCell ref="Z30:AA30"/>
    <mergeCell ref="V31:W31"/>
    <mergeCell ref="X31:Y31"/>
    <mergeCell ref="Z31:AA31"/>
    <mergeCell ref="V28:W28"/>
    <mergeCell ref="X28:Y28"/>
    <mergeCell ref="Z28:AA28"/>
    <mergeCell ref="V29:W29"/>
    <mergeCell ref="X29:Y29"/>
    <mergeCell ref="Z29:AA29"/>
    <mergeCell ref="B23:B24"/>
    <mergeCell ref="C23:D25"/>
    <mergeCell ref="P25:Q25"/>
    <mergeCell ref="C28:D29"/>
    <mergeCell ref="R28:S28"/>
    <mergeCell ref="E29:F29"/>
    <mergeCell ref="V23:W23"/>
    <mergeCell ref="X23:Y23"/>
    <mergeCell ref="Z23:AA23"/>
    <mergeCell ref="V24:W24"/>
    <mergeCell ref="X24:Y24"/>
    <mergeCell ref="Z24:AA24"/>
    <mergeCell ref="V27:W27"/>
    <mergeCell ref="X27:Y27"/>
    <mergeCell ref="Z27:AA27"/>
    <mergeCell ref="V25:W25"/>
    <mergeCell ref="X25:Y25"/>
    <mergeCell ref="Z25:AA25"/>
    <mergeCell ref="P18:Q18"/>
    <mergeCell ref="C19:D19"/>
    <mergeCell ref="C20:D21"/>
    <mergeCell ref="P10:Q11"/>
    <mergeCell ref="C12:D12"/>
    <mergeCell ref="C13:D17"/>
    <mergeCell ref="O17:Q17"/>
    <mergeCell ref="A1:Q1"/>
    <mergeCell ref="A2:Q2"/>
    <mergeCell ref="C4:D9"/>
    <mergeCell ref="V3:AA4"/>
    <mergeCell ref="V5:W5"/>
    <mergeCell ref="X5:Y5"/>
    <mergeCell ref="Z5:AA5"/>
    <mergeCell ref="V6:W6"/>
    <mergeCell ref="X6:Y6"/>
    <mergeCell ref="Z6:AA6"/>
    <mergeCell ref="V7:W7"/>
    <mergeCell ref="X7:Y7"/>
    <mergeCell ref="Z7:AA7"/>
    <mergeCell ref="V8:W8"/>
    <mergeCell ref="X8:Y8"/>
    <mergeCell ref="Z8:AA8"/>
    <mergeCell ref="V9:W9"/>
    <mergeCell ref="X9:Y9"/>
    <mergeCell ref="Z9:AA9"/>
    <mergeCell ref="V10:W10"/>
    <mergeCell ref="X10:Y10"/>
    <mergeCell ref="Z10:AA10"/>
    <mergeCell ref="V11:W11"/>
    <mergeCell ref="X11:Y11"/>
    <mergeCell ref="Z11:AA11"/>
    <mergeCell ref="V12:W12"/>
    <mergeCell ref="X12:Y12"/>
    <mergeCell ref="Z12:AA12"/>
    <mergeCell ref="V13:W13"/>
    <mergeCell ref="X13:Y13"/>
    <mergeCell ref="Z13:AA13"/>
    <mergeCell ref="V14:W14"/>
    <mergeCell ref="X14:Y14"/>
    <mergeCell ref="Z14:AA14"/>
    <mergeCell ref="V15:W15"/>
    <mergeCell ref="X15:Y15"/>
    <mergeCell ref="Z15:AA15"/>
    <mergeCell ref="V16:W16"/>
    <mergeCell ref="X16:Y16"/>
    <mergeCell ref="Z16:AA16"/>
    <mergeCell ref="V17:W17"/>
    <mergeCell ref="X17:Y17"/>
    <mergeCell ref="Z17:AA17"/>
    <mergeCell ref="V18:W18"/>
    <mergeCell ref="X18:Y18"/>
    <mergeCell ref="Z18:AA18"/>
    <mergeCell ref="V19:W19"/>
    <mergeCell ref="X19:Y19"/>
    <mergeCell ref="Z19:AA19"/>
    <mergeCell ref="V26:W26"/>
    <mergeCell ref="X26:Y26"/>
    <mergeCell ref="Z26:AA26"/>
    <mergeCell ref="V20:W20"/>
    <mergeCell ref="X20:Y20"/>
    <mergeCell ref="Z20:AA20"/>
    <mergeCell ref="V21:W21"/>
    <mergeCell ref="X21:Y21"/>
    <mergeCell ref="Z21:AA21"/>
    <mergeCell ref="V22:W22"/>
    <mergeCell ref="X22:Y22"/>
    <mergeCell ref="Z22:AA22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F43"/>
  <sheetViews>
    <sheetView topLeftCell="A20" workbookViewId="0">
      <selection activeCell="E29" sqref="E29"/>
    </sheetView>
  </sheetViews>
  <sheetFormatPr defaultRowHeight="16.5"/>
  <cols>
    <col min="4" max="4" width="21.5" customWidth="1"/>
    <col min="5" max="5" width="15.875" customWidth="1"/>
    <col min="6" max="6" width="19.5" customWidth="1"/>
  </cols>
  <sheetData>
    <row r="12" spans="4:6">
      <c r="D12" s="181"/>
      <c r="E12" s="181" t="s">
        <v>159</v>
      </c>
      <c r="F12" s="181"/>
    </row>
    <row r="13" spans="4:6">
      <c r="D13" s="182" t="s">
        <v>17</v>
      </c>
      <c r="E13" s="182" t="s">
        <v>304</v>
      </c>
      <c r="F13" s="182" t="s">
        <v>305</v>
      </c>
    </row>
    <row r="14" spans="4:6">
      <c r="D14" s="182" t="s">
        <v>121</v>
      </c>
      <c r="E14" s="182" t="s">
        <v>234</v>
      </c>
      <c r="F14" s="182" t="s">
        <v>235</v>
      </c>
    </row>
    <row r="15" spans="4:6">
      <c r="D15" s="182" t="s">
        <v>37</v>
      </c>
      <c r="E15" s="182" t="s">
        <v>234</v>
      </c>
      <c r="F15" s="182" t="s">
        <v>277</v>
      </c>
    </row>
    <row r="16" spans="4:6">
      <c r="D16" s="182" t="s">
        <v>37</v>
      </c>
      <c r="E16" s="182" t="s">
        <v>286</v>
      </c>
      <c r="F16" s="182" t="s">
        <v>318</v>
      </c>
    </row>
    <row r="17" spans="4:6" ht="33">
      <c r="D17" s="182" t="s">
        <v>108</v>
      </c>
      <c r="E17" s="182" t="s">
        <v>286</v>
      </c>
      <c r="F17" s="182" t="s">
        <v>287</v>
      </c>
    </row>
    <row r="18" spans="4:6">
      <c r="D18" s="182" t="s">
        <v>17</v>
      </c>
      <c r="E18" s="182" t="s">
        <v>224</v>
      </c>
      <c r="F18" s="183" t="s">
        <v>225</v>
      </c>
    </row>
    <row r="19" spans="4:6">
      <c r="D19" s="184" t="s">
        <v>37</v>
      </c>
      <c r="E19" s="184" t="s">
        <v>301</v>
      </c>
      <c r="F19" s="184" t="s">
        <v>302</v>
      </c>
    </row>
    <row r="20" spans="4:6">
      <c r="D20" s="184" t="s">
        <v>57</v>
      </c>
      <c r="E20" s="184" t="s">
        <v>303</v>
      </c>
      <c r="F20" s="184" t="s">
        <v>306</v>
      </c>
    </row>
    <row r="21" spans="4:6">
      <c r="D21" s="184" t="s">
        <v>83</v>
      </c>
      <c r="E21" s="184" t="s">
        <v>314</v>
      </c>
      <c r="F21" s="184" t="s">
        <v>315</v>
      </c>
    </row>
    <row r="22" spans="4:6">
      <c r="D22" s="184" t="s">
        <v>129</v>
      </c>
      <c r="E22" s="184" t="s">
        <v>266</v>
      </c>
      <c r="F22" s="184" t="s">
        <v>267</v>
      </c>
    </row>
    <row r="23" spans="4:6">
      <c r="D23" s="182" t="s">
        <v>76</v>
      </c>
      <c r="E23" s="182" t="s">
        <v>203</v>
      </c>
      <c r="F23" s="182" t="s">
        <v>204</v>
      </c>
    </row>
    <row r="24" spans="4:6">
      <c r="D24" s="182" t="s">
        <v>69</v>
      </c>
      <c r="E24" s="182" t="s">
        <v>203</v>
      </c>
      <c r="F24" s="182" t="s">
        <v>247</v>
      </c>
    </row>
    <row r="25" spans="4:6">
      <c r="D25" s="182" t="s">
        <v>144</v>
      </c>
      <c r="E25" s="182" t="s">
        <v>203</v>
      </c>
      <c r="F25" s="182" t="s">
        <v>273</v>
      </c>
    </row>
    <row r="26" spans="4:6">
      <c r="D26" s="182" t="s">
        <v>62</v>
      </c>
      <c r="E26" s="182" t="s">
        <v>203</v>
      </c>
      <c r="F26" s="182" t="s">
        <v>288</v>
      </c>
    </row>
    <row r="27" spans="4:6" ht="33">
      <c r="D27" s="184" t="s">
        <v>95</v>
      </c>
      <c r="E27" s="184" t="s">
        <v>296</v>
      </c>
      <c r="F27" s="184" t="s">
        <v>297</v>
      </c>
    </row>
    <row r="28" spans="4:6">
      <c r="D28" s="184" t="s">
        <v>116</v>
      </c>
      <c r="E28" s="184" t="s">
        <v>275</v>
      </c>
      <c r="F28" s="184" t="s">
        <v>276</v>
      </c>
    </row>
    <row r="29" spans="4:6">
      <c r="D29" s="184" t="s">
        <v>26</v>
      </c>
      <c r="E29" s="184" t="s">
        <v>269</v>
      </c>
      <c r="F29" s="184" t="s">
        <v>235</v>
      </c>
    </row>
    <row r="30" spans="4:6">
      <c r="D30" s="184" t="s">
        <v>37</v>
      </c>
      <c r="E30" s="184" t="s">
        <v>269</v>
      </c>
      <c r="F30" s="184" t="s">
        <v>279</v>
      </c>
    </row>
    <row r="31" spans="4:6">
      <c r="D31" s="184" t="s">
        <v>47</v>
      </c>
      <c r="E31" s="184" t="s">
        <v>269</v>
      </c>
      <c r="F31" s="184" t="s">
        <v>307</v>
      </c>
    </row>
    <row r="32" spans="4:6">
      <c r="D32" s="184" t="s">
        <v>144</v>
      </c>
      <c r="E32" s="184" t="s">
        <v>238</v>
      </c>
      <c r="F32" s="184" t="s">
        <v>240</v>
      </c>
    </row>
    <row r="33" spans="4:6">
      <c r="D33" s="184" t="s">
        <v>130</v>
      </c>
      <c r="E33" s="184" t="s">
        <v>242</v>
      </c>
      <c r="F33" s="184" t="s">
        <v>243</v>
      </c>
    </row>
    <row r="34" spans="4:6">
      <c r="D34" s="184" t="s">
        <v>69</v>
      </c>
      <c r="E34" s="184" t="s">
        <v>227</v>
      </c>
      <c r="F34" s="184" t="s">
        <v>228</v>
      </c>
    </row>
    <row r="35" spans="4:6">
      <c r="D35" s="184" t="s">
        <v>144</v>
      </c>
      <c r="E35" s="184" t="s">
        <v>271</v>
      </c>
      <c r="F35" s="184" t="s">
        <v>272</v>
      </c>
    </row>
    <row r="36" spans="4:6">
      <c r="D36" s="184" t="s">
        <v>37</v>
      </c>
      <c r="E36" s="184" t="s">
        <v>271</v>
      </c>
      <c r="F36" s="184" t="s">
        <v>278</v>
      </c>
    </row>
    <row r="37" spans="4:6">
      <c r="D37" s="184" t="s">
        <v>108</v>
      </c>
      <c r="E37" s="184" t="s">
        <v>271</v>
      </c>
      <c r="F37" s="184" t="s">
        <v>285</v>
      </c>
    </row>
    <row r="38" spans="4:6" ht="33">
      <c r="D38" s="184" t="s">
        <v>116</v>
      </c>
      <c r="E38" s="184" t="s">
        <v>271</v>
      </c>
      <c r="F38" s="184" t="s">
        <v>312</v>
      </c>
    </row>
    <row r="39" spans="4:6">
      <c r="D39" s="184" t="s">
        <v>26</v>
      </c>
      <c r="E39" s="184" t="s">
        <v>292</v>
      </c>
      <c r="F39" s="184" t="s">
        <v>293</v>
      </c>
    </row>
    <row r="40" spans="4:6">
      <c r="D40" s="184" t="s">
        <v>151</v>
      </c>
      <c r="E40" s="184" t="s">
        <v>216</v>
      </c>
      <c r="F40" s="184" t="s">
        <v>217</v>
      </c>
    </row>
    <row r="41" spans="4:6">
      <c r="D41" s="184" t="s">
        <v>83</v>
      </c>
      <c r="E41" s="184" t="s">
        <v>290</v>
      </c>
      <c r="F41" s="184" t="s">
        <v>291</v>
      </c>
    </row>
    <row r="42" spans="4:6">
      <c r="D42" s="184" t="s">
        <v>69</v>
      </c>
      <c r="E42" s="184" t="s">
        <v>284</v>
      </c>
      <c r="F42" s="185" t="s">
        <v>225</v>
      </c>
    </row>
    <row r="43" spans="4:6" ht="33">
      <c r="D43" s="184" t="s">
        <v>116</v>
      </c>
      <c r="E43" s="184" t="s">
        <v>284</v>
      </c>
      <c r="F43" s="184" t="s">
        <v>313</v>
      </c>
    </row>
  </sheetData>
  <autoFilter ref="D12:F43">
    <sortState ref="D13:F43">
      <sortCondition ref="E12:E4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2025-12-01T07:11:58Z</cp:lastPrinted>
  <dcterms:created xsi:type="dcterms:W3CDTF">2025-11-30T23:17:36Z</dcterms:created>
  <dcterms:modified xsi:type="dcterms:W3CDTF">2025-12-01T08:00:07Z</dcterms:modified>
</cp:coreProperties>
</file>